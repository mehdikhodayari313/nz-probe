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03229-91211\Tender doc - Cost estimate\Cost estimate - update 140209, 1403\"/>
    </mc:Choice>
  </mc:AlternateContent>
  <bookViews>
    <workbookView xWindow="240" yWindow="975" windowWidth="19440" windowHeight="7170" tabRatio="983" firstSheet="2" activeTab="21"/>
  </bookViews>
  <sheets>
    <sheet name="Cover" sheetId="14" r:id="rId1"/>
    <sheet name="Record Sheet" sheetId="13" r:id="rId2"/>
    <sheet name="TITLE" sheetId="273" r:id="rId3"/>
    <sheet name="DESALTER" sheetId="239" r:id="rId4"/>
    <sheet name="HEATERS" sheetId="241" r:id="rId5"/>
    <sheet name="VESSELS" sheetId="207" r:id="rId6"/>
    <sheet name="TANKS" sheetId="213" r:id="rId7"/>
    <sheet name="EXCHANG." sheetId="218" r:id="rId8"/>
    <sheet name="PUMPS" sheetId="231" r:id="rId9"/>
    <sheet name="C.I.P." sheetId="245" r:id="rId10"/>
    <sheet name="DEAERATOR" sheetId="269" r:id="rId11"/>
    <sheet name="IGF" sheetId="258" r:id="rId12"/>
    <sheet name="FILTERS" sheetId="264" r:id="rId13"/>
    <sheet name="FLARE" sheetId="262" r:id="rId14"/>
    <sheet name="BURN PIT" sheetId="271" r:id="rId15"/>
    <sheet name="AIR COMP." sheetId="265" r:id="rId16"/>
    <sheet name="AIR DRYER" sheetId="266" r:id="rId17"/>
    <sheet name="CRANES" sheetId="236" r:id="rId18"/>
    <sheet name="Lab Equip" sheetId="274" r:id="rId19"/>
    <sheet name="Consumables" sheetId="276" r:id="rId20"/>
    <sheet name="Spare parts" sheetId="277" r:id="rId21"/>
    <sheet name="TOTAL" sheetId="268" r:id="rId22"/>
    <sheet name="DE-112  (1)-Asmari" sheetId="28" state="hidden" r:id="rId23"/>
    <sheet name="DE-112  (2)-Asmari" sheetId="29" state="hidden" r:id="rId24"/>
    <sheet name="DE-112 (3)-Asmari" sheetId="30" state="hidden" r:id="rId25"/>
    <sheet name="DE-112  (1)-Bangestan" sheetId="37" state="hidden" r:id="rId26"/>
    <sheet name="DE-112  (2)-Bangestan" sheetId="38" state="hidden" r:id="rId27"/>
    <sheet name="DE-112 (3)-Bangestan" sheetId="39" state="hidden" r:id="rId28"/>
  </sheets>
  <externalReferences>
    <externalReference r:id="rId29"/>
    <externalReference r:id="rId30"/>
    <externalReference r:id="rId31"/>
    <externalReference r:id="rId32"/>
    <externalReference r:id="rId33"/>
  </externalReferences>
  <definedNames>
    <definedName name="________________GEN1" localSheetId="15">[1]D!#REF!</definedName>
    <definedName name="________________GEN1" localSheetId="16">[1]D!#REF!</definedName>
    <definedName name="________________GEN1" localSheetId="14">[1]D!#REF!</definedName>
    <definedName name="________________GEN1" localSheetId="9">[1]D!#REF!</definedName>
    <definedName name="________________GEN1" localSheetId="17">[1]D!#REF!</definedName>
    <definedName name="________________GEN1" localSheetId="10">[1]D!#REF!</definedName>
    <definedName name="________________GEN1" localSheetId="3">[1]D!#REF!</definedName>
    <definedName name="________________GEN1" localSheetId="7">[1]D!#REF!</definedName>
    <definedName name="________________GEN1" localSheetId="12">[1]D!#REF!</definedName>
    <definedName name="________________GEN1" localSheetId="13">[1]D!#REF!</definedName>
    <definedName name="________________GEN1" localSheetId="4">[1]D!#REF!</definedName>
    <definedName name="________________GEN1" localSheetId="11">[1]D!#REF!</definedName>
    <definedName name="________________GEN1" localSheetId="8">[1]D!#REF!</definedName>
    <definedName name="________________GEN1" localSheetId="6">[1]D!#REF!</definedName>
    <definedName name="________________GEN1" localSheetId="2">[1]D!#REF!</definedName>
    <definedName name="________________GEN1" localSheetId="21">[1]D!#REF!</definedName>
    <definedName name="________________GEN1" localSheetId="5">[1]D!#REF!</definedName>
    <definedName name="________________GEN1">[1]D!#REF!</definedName>
    <definedName name="______GEN1" localSheetId="24">[1]D!#REF!</definedName>
    <definedName name="______GEN1" localSheetId="27">[1]D!#REF!</definedName>
    <definedName name="_____GEN1" localSheetId="23">[1]D!#REF!</definedName>
    <definedName name="_____GEN1" localSheetId="26">[1]D!#REF!</definedName>
    <definedName name="____GEN1" localSheetId="15">[1]D!#REF!</definedName>
    <definedName name="____GEN1" localSheetId="16">[1]D!#REF!</definedName>
    <definedName name="____GEN1" localSheetId="14">[1]D!#REF!</definedName>
    <definedName name="____GEN1" localSheetId="9">[1]D!#REF!</definedName>
    <definedName name="____GEN1" localSheetId="0">[1]D!#REF!</definedName>
    <definedName name="____GEN1" localSheetId="17">[1]D!#REF!</definedName>
    <definedName name="____GEN1" localSheetId="10">[1]D!#REF!</definedName>
    <definedName name="____GEN1" localSheetId="3">[1]D!#REF!</definedName>
    <definedName name="____GEN1" localSheetId="7">[1]D!#REF!</definedName>
    <definedName name="____GEN1" localSheetId="12">[1]D!#REF!</definedName>
    <definedName name="____GEN1" localSheetId="13">[1]D!#REF!</definedName>
    <definedName name="____GEN1" localSheetId="4">[1]D!#REF!</definedName>
    <definedName name="____GEN1" localSheetId="11">[1]D!#REF!</definedName>
    <definedName name="____GEN1" localSheetId="8">[1]D!#REF!</definedName>
    <definedName name="____GEN1" localSheetId="1">[1]D!#REF!</definedName>
    <definedName name="____GEN1" localSheetId="6">[1]D!#REF!</definedName>
    <definedName name="____GEN1" localSheetId="2">[1]D!#REF!</definedName>
    <definedName name="____GEN1" localSheetId="21">[1]D!#REF!</definedName>
    <definedName name="____GEN1" localSheetId="5">[1]D!#REF!</definedName>
    <definedName name="____GEN1">[1]D!#REF!</definedName>
    <definedName name="___GEN1" localSheetId="22">[1]D!#REF!</definedName>
    <definedName name="___GEN1" localSheetId="25">[1]D!#REF!</definedName>
    <definedName name="_GEN1" localSheetId="15">[1]D!#REF!</definedName>
    <definedName name="_GEN1" localSheetId="16">[1]D!#REF!</definedName>
    <definedName name="_GEN1" localSheetId="14">[1]D!#REF!</definedName>
    <definedName name="_GEN1" localSheetId="9">[1]D!#REF!</definedName>
    <definedName name="_GEN1" localSheetId="0">[1]D!#REF!</definedName>
    <definedName name="_GEN1" localSheetId="17">[1]D!#REF!</definedName>
    <definedName name="_GEN1" localSheetId="10">[1]D!#REF!</definedName>
    <definedName name="_GEN1" localSheetId="3">[1]D!#REF!</definedName>
    <definedName name="_GEN1" localSheetId="7">[1]D!#REF!</definedName>
    <definedName name="_GEN1" localSheetId="12">[1]D!#REF!</definedName>
    <definedName name="_GEN1" localSheetId="13">[1]D!#REF!</definedName>
    <definedName name="_GEN1" localSheetId="4">[1]D!#REF!</definedName>
    <definedName name="_GEN1" localSheetId="11">[1]D!#REF!</definedName>
    <definedName name="_GEN1" localSheetId="8">[1]D!#REF!</definedName>
    <definedName name="_GEN1" localSheetId="1">[1]D!#REF!</definedName>
    <definedName name="_GEN1" localSheetId="6">[1]D!#REF!</definedName>
    <definedName name="_GEN1" localSheetId="2">[1]D!#REF!</definedName>
    <definedName name="_GEN1" localSheetId="21">[1]D!#REF!</definedName>
    <definedName name="_GEN1" localSheetId="5">[1]D!#REF!</definedName>
    <definedName name="_GEN1">[2]D!#REF!</definedName>
    <definedName name="C_PageNo_Total" localSheetId="15">'AIR COMP.'!#REF!</definedName>
    <definedName name="C_PageNo_Total" localSheetId="16">'AIR DRYER'!#REF!</definedName>
    <definedName name="C_PageNo_Total" localSheetId="14">'BURN PIT'!#REF!</definedName>
    <definedName name="C_PageNo_Total" localSheetId="9">C.I.P.!#REF!</definedName>
    <definedName name="C_PageNo_Total" localSheetId="0">Cover!#REF!</definedName>
    <definedName name="C_PageNo_Total" localSheetId="17">CRANES!#REF!</definedName>
    <definedName name="C_PageNo_Total" localSheetId="22">'DE-112  (1)-Asmari'!$AK$1</definedName>
    <definedName name="C_PageNo_Total" localSheetId="25">'DE-112  (1)-Bangestan'!$AK$1</definedName>
    <definedName name="C_PageNo_Total" localSheetId="23">'DE-112  (2)-Asmari'!$AK$1</definedName>
    <definedName name="C_PageNo_Total" localSheetId="26">'DE-112  (2)-Bangestan'!$AK$1</definedName>
    <definedName name="C_PageNo_Total" localSheetId="24">'DE-112 (3)-Asmari'!$AK$1</definedName>
    <definedName name="C_PageNo_Total" localSheetId="27">'DE-112 (3)-Bangestan'!$AK$1</definedName>
    <definedName name="C_PageNo_Total" localSheetId="10">DEAERATOR!#REF!</definedName>
    <definedName name="C_PageNo_Total" localSheetId="3">DESALTER!#REF!</definedName>
    <definedName name="C_PageNo_Total" localSheetId="7">EXCHANG.!#REF!</definedName>
    <definedName name="C_PageNo_Total" localSheetId="12">FILTERS!#REF!</definedName>
    <definedName name="C_PageNo_Total" localSheetId="13">FLARE!#REF!</definedName>
    <definedName name="C_PageNo_Total" localSheetId="4">HEATERS!#REF!</definedName>
    <definedName name="C_PageNo_Total" localSheetId="11">IGF!#REF!</definedName>
    <definedName name="C_PageNo_Total" localSheetId="8">PUMPS!#REF!</definedName>
    <definedName name="C_PageNo_Total" localSheetId="1">'Record Sheet'!#REF!</definedName>
    <definedName name="C_PageNo_Total" localSheetId="6">TANKS!#REF!</definedName>
    <definedName name="C_PageNo_Total" localSheetId="2">TITLE!#REF!</definedName>
    <definedName name="C_PageNo_Total" localSheetId="21">TOTAL!#REF!</definedName>
    <definedName name="C_PageNo_Total" localSheetId="5">VESSELS!#REF!</definedName>
    <definedName name="C_PageNo_Total">#REF!</definedName>
    <definedName name="C_SerialNo">[3]Page1!$Q$24</definedName>
    <definedName name="cond" localSheetId="15">'[4]Corrib Haz'!#REF!</definedName>
    <definedName name="cond" localSheetId="16">'[4]Corrib Haz'!#REF!</definedName>
    <definedName name="cond" localSheetId="14">'[4]Corrib Haz'!#REF!</definedName>
    <definedName name="cond" localSheetId="9">'[4]Corrib Haz'!#REF!</definedName>
    <definedName name="cond" localSheetId="0">'[4]Corrib Haz'!#REF!</definedName>
    <definedName name="cond" localSheetId="17">'[4]Corrib Haz'!#REF!</definedName>
    <definedName name="cond" localSheetId="22">'[4]Corrib Haz'!#REF!</definedName>
    <definedName name="cond" localSheetId="25">'[4]Corrib Haz'!#REF!</definedName>
    <definedName name="cond" localSheetId="23">'[4]Corrib Haz'!#REF!</definedName>
    <definedName name="cond" localSheetId="26">'[4]Corrib Haz'!#REF!</definedName>
    <definedName name="cond" localSheetId="24">'[4]Corrib Haz'!#REF!</definedName>
    <definedName name="cond" localSheetId="27">'[4]Corrib Haz'!#REF!</definedName>
    <definedName name="cond" localSheetId="10">'[4]Corrib Haz'!#REF!</definedName>
    <definedName name="cond" localSheetId="3">'[4]Corrib Haz'!#REF!</definedName>
    <definedName name="cond" localSheetId="7">'[4]Corrib Haz'!#REF!</definedName>
    <definedName name="cond" localSheetId="12">'[4]Corrib Haz'!#REF!</definedName>
    <definedName name="cond" localSheetId="13">'[4]Corrib Haz'!#REF!</definedName>
    <definedName name="cond" localSheetId="4">'[4]Corrib Haz'!#REF!</definedName>
    <definedName name="cond" localSheetId="11">'[4]Corrib Haz'!#REF!</definedName>
    <definedName name="cond" localSheetId="8">'[4]Corrib Haz'!#REF!</definedName>
    <definedName name="cond" localSheetId="1">'[4]Corrib Haz'!#REF!</definedName>
    <definedName name="cond" localSheetId="6">'[4]Corrib Haz'!#REF!</definedName>
    <definedName name="cond" localSheetId="2">'[4]Corrib Haz'!#REF!</definedName>
    <definedName name="cond" localSheetId="21">'[4]Corrib Haz'!#REF!</definedName>
    <definedName name="cond" localSheetId="5">'[4]Corrib Haz'!#REF!</definedName>
    <definedName name="cond">'[4]Corrib Haz'!#REF!</definedName>
    <definedName name="fgas" localSheetId="15">'[4]Corrib Haz'!#REF!</definedName>
    <definedName name="fgas" localSheetId="16">'[4]Corrib Haz'!#REF!</definedName>
    <definedName name="fgas" localSheetId="14">'[4]Corrib Haz'!#REF!</definedName>
    <definedName name="fgas" localSheetId="9">'[4]Corrib Haz'!#REF!</definedName>
    <definedName name="fgas" localSheetId="0">'[4]Corrib Haz'!#REF!</definedName>
    <definedName name="fgas" localSheetId="17">'[4]Corrib Haz'!#REF!</definedName>
    <definedName name="fgas" localSheetId="22">'[4]Corrib Haz'!#REF!</definedName>
    <definedName name="fgas" localSheetId="25">'[4]Corrib Haz'!#REF!</definedName>
    <definedName name="fgas" localSheetId="23">'[4]Corrib Haz'!#REF!</definedName>
    <definedName name="fgas" localSheetId="26">'[4]Corrib Haz'!#REF!</definedName>
    <definedName name="fgas" localSheetId="24">'[4]Corrib Haz'!#REF!</definedName>
    <definedName name="fgas" localSheetId="27">'[4]Corrib Haz'!#REF!</definedName>
    <definedName name="fgas" localSheetId="10">'[4]Corrib Haz'!#REF!</definedName>
    <definedName name="fgas" localSheetId="3">'[4]Corrib Haz'!#REF!</definedName>
    <definedName name="fgas" localSheetId="7">'[4]Corrib Haz'!#REF!</definedName>
    <definedName name="fgas" localSheetId="12">'[4]Corrib Haz'!#REF!</definedName>
    <definedName name="fgas" localSheetId="13">'[4]Corrib Haz'!#REF!</definedName>
    <definedName name="fgas" localSheetId="4">'[4]Corrib Haz'!#REF!</definedName>
    <definedName name="fgas" localSheetId="11">'[4]Corrib Haz'!#REF!</definedName>
    <definedName name="fgas" localSheetId="8">'[4]Corrib Haz'!#REF!</definedName>
    <definedName name="fgas" localSheetId="1">'[4]Corrib Haz'!#REF!</definedName>
    <definedName name="fgas" localSheetId="6">'[4]Corrib Haz'!#REF!</definedName>
    <definedName name="fgas" localSheetId="2">'[4]Corrib Haz'!#REF!</definedName>
    <definedName name="fgas" localSheetId="21">'[4]Corrib Haz'!#REF!</definedName>
    <definedName name="fgas" localSheetId="5">'[4]Corrib Haz'!#REF!</definedName>
    <definedName name="fgas">'[4]Corrib Haz'!#REF!</definedName>
    <definedName name="fgfgedrf" localSheetId="15">'[4]Corrib Haz'!#REF!</definedName>
    <definedName name="fgfgedrf" localSheetId="16">'[4]Corrib Haz'!#REF!</definedName>
    <definedName name="fgfgedrf" localSheetId="14">'[4]Corrib Haz'!#REF!</definedName>
    <definedName name="fgfgedrf" localSheetId="9">'[4]Corrib Haz'!#REF!</definedName>
    <definedName name="fgfgedrf" localSheetId="17">'[4]Corrib Haz'!#REF!</definedName>
    <definedName name="fgfgedrf" localSheetId="22">'[4]Corrib Haz'!#REF!</definedName>
    <definedName name="fgfgedrf" localSheetId="25">'[4]Corrib Haz'!#REF!</definedName>
    <definedName name="fgfgedrf" localSheetId="23">'[4]Corrib Haz'!#REF!</definedName>
    <definedName name="fgfgedrf" localSheetId="26">'[4]Corrib Haz'!#REF!</definedName>
    <definedName name="fgfgedrf" localSheetId="24">'[4]Corrib Haz'!#REF!</definedName>
    <definedName name="fgfgedrf" localSheetId="27">'[4]Corrib Haz'!#REF!</definedName>
    <definedName name="fgfgedrf" localSheetId="10">'[4]Corrib Haz'!#REF!</definedName>
    <definedName name="fgfgedrf" localSheetId="3">'[4]Corrib Haz'!#REF!</definedName>
    <definedName name="fgfgedrf" localSheetId="7">'[4]Corrib Haz'!#REF!</definedName>
    <definedName name="fgfgedrf" localSheetId="12">'[4]Corrib Haz'!#REF!</definedName>
    <definedName name="fgfgedrf" localSheetId="13">'[4]Corrib Haz'!#REF!</definedName>
    <definedName name="fgfgedrf" localSheetId="4">'[4]Corrib Haz'!#REF!</definedName>
    <definedName name="fgfgedrf" localSheetId="11">'[4]Corrib Haz'!#REF!</definedName>
    <definedName name="fgfgedrf" localSheetId="8">'[4]Corrib Haz'!#REF!</definedName>
    <definedName name="fgfgedrf" localSheetId="6">'[4]Corrib Haz'!#REF!</definedName>
    <definedName name="fgfgedrf" localSheetId="2">'[4]Corrib Haz'!#REF!</definedName>
    <definedName name="fgfgedrf" localSheetId="21">'[4]Corrib Haz'!#REF!</definedName>
    <definedName name="fgfgedrf" localSheetId="5">'[4]Corrib Haz'!#REF!</definedName>
    <definedName name="fgfgedrf">'[4]Corrib Haz'!#REF!</definedName>
    <definedName name="fluids2" localSheetId="15">'[4]Corrib Haz'!#REF!</definedName>
    <definedName name="fluids2" localSheetId="16">'[4]Corrib Haz'!#REF!</definedName>
    <definedName name="fluids2" localSheetId="14">'[4]Corrib Haz'!#REF!</definedName>
    <definedName name="fluids2" localSheetId="9">'[4]Corrib Haz'!#REF!</definedName>
    <definedName name="fluids2" localSheetId="0">'[4]Corrib Haz'!#REF!</definedName>
    <definedName name="fluids2" localSheetId="17">'[4]Corrib Haz'!#REF!</definedName>
    <definedName name="fluids2" localSheetId="22">'[4]Corrib Haz'!#REF!</definedName>
    <definedName name="fluids2" localSheetId="25">'[4]Corrib Haz'!#REF!</definedName>
    <definedName name="fluids2" localSheetId="23">'[4]Corrib Haz'!#REF!</definedName>
    <definedName name="fluids2" localSheetId="26">'[4]Corrib Haz'!#REF!</definedName>
    <definedName name="fluids2" localSheetId="24">'[4]Corrib Haz'!#REF!</definedName>
    <definedName name="fluids2" localSheetId="27">'[4]Corrib Haz'!#REF!</definedName>
    <definedName name="fluids2" localSheetId="10">'[4]Corrib Haz'!#REF!</definedName>
    <definedName name="fluids2" localSheetId="3">'[4]Corrib Haz'!#REF!</definedName>
    <definedName name="fluids2" localSheetId="7">'[4]Corrib Haz'!#REF!</definedName>
    <definedName name="fluids2" localSheetId="12">'[4]Corrib Haz'!#REF!</definedName>
    <definedName name="fluids2" localSheetId="13">'[4]Corrib Haz'!#REF!</definedName>
    <definedName name="fluids2" localSheetId="4">'[4]Corrib Haz'!#REF!</definedName>
    <definedName name="fluids2" localSheetId="11">'[4]Corrib Haz'!#REF!</definedName>
    <definedName name="fluids2" localSheetId="8">'[4]Corrib Haz'!#REF!</definedName>
    <definedName name="fluids2" localSheetId="1">'[4]Corrib Haz'!#REF!</definedName>
    <definedName name="fluids2" localSheetId="6">'[4]Corrib Haz'!#REF!</definedName>
    <definedName name="fluids2" localSheetId="2">'[4]Corrib Haz'!#REF!</definedName>
    <definedName name="fluids2" localSheetId="21">'[4]Corrib Haz'!#REF!</definedName>
    <definedName name="fluids2" localSheetId="5">'[4]Corrib Haz'!#REF!</definedName>
    <definedName name="fluids2">'[4]Corrib Haz'!#REF!</definedName>
    <definedName name="fluids3" localSheetId="15">'[4]Corrib Haz'!#REF!</definedName>
    <definedName name="fluids3" localSheetId="16">'[4]Corrib Haz'!#REF!</definedName>
    <definedName name="fluids3" localSheetId="14">'[4]Corrib Haz'!#REF!</definedName>
    <definedName name="fluids3" localSheetId="9">'[4]Corrib Haz'!#REF!</definedName>
    <definedName name="fluids3" localSheetId="0">'[4]Corrib Haz'!#REF!</definedName>
    <definedName name="fluids3" localSheetId="17">'[4]Corrib Haz'!#REF!</definedName>
    <definedName name="fluids3" localSheetId="22">'[4]Corrib Haz'!#REF!</definedName>
    <definedName name="fluids3" localSheetId="25">'[4]Corrib Haz'!#REF!</definedName>
    <definedName name="fluids3" localSheetId="23">'[4]Corrib Haz'!#REF!</definedName>
    <definedName name="fluids3" localSheetId="26">'[4]Corrib Haz'!#REF!</definedName>
    <definedName name="fluids3" localSheetId="24">'[4]Corrib Haz'!#REF!</definedName>
    <definedName name="fluids3" localSheetId="27">'[4]Corrib Haz'!#REF!</definedName>
    <definedName name="fluids3" localSheetId="10">'[4]Corrib Haz'!#REF!</definedName>
    <definedName name="fluids3" localSheetId="3">'[4]Corrib Haz'!#REF!</definedName>
    <definedName name="fluids3" localSheetId="7">'[4]Corrib Haz'!#REF!</definedName>
    <definedName name="fluids3" localSheetId="12">'[4]Corrib Haz'!#REF!</definedName>
    <definedName name="fluids3" localSheetId="13">'[4]Corrib Haz'!#REF!</definedName>
    <definedName name="fluids3" localSheetId="4">'[4]Corrib Haz'!#REF!</definedName>
    <definedName name="fluids3" localSheetId="11">'[4]Corrib Haz'!#REF!</definedName>
    <definedName name="fluids3" localSheetId="8">'[4]Corrib Haz'!#REF!</definedName>
    <definedName name="fluids3" localSheetId="1">'[4]Corrib Haz'!#REF!</definedName>
    <definedName name="fluids3" localSheetId="6">'[4]Corrib Haz'!#REF!</definedName>
    <definedName name="fluids3" localSheetId="2">'[4]Corrib Haz'!#REF!</definedName>
    <definedName name="fluids3" localSheetId="21">'[4]Corrib Haz'!#REF!</definedName>
    <definedName name="fluids3" localSheetId="5">'[4]Corrib Haz'!#REF!</definedName>
    <definedName name="fluids3">'[4]Corrib Haz'!#REF!</definedName>
    <definedName name="gas" localSheetId="15">'[4]Corrib Haz'!#REF!</definedName>
    <definedName name="gas" localSheetId="16">'[4]Corrib Haz'!#REF!</definedName>
    <definedName name="gas" localSheetId="14">'[4]Corrib Haz'!#REF!</definedName>
    <definedName name="gas" localSheetId="9">'[4]Corrib Haz'!#REF!</definedName>
    <definedName name="gas" localSheetId="0">'[4]Corrib Haz'!#REF!</definedName>
    <definedName name="gas" localSheetId="17">'[4]Corrib Haz'!#REF!</definedName>
    <definedName name="gas" localSheetId="22">'[4]Corrib Haz'!#REF!</definedName>
    <definedName name="gas" localSheetId="25">'[4]Corrib Haz'!#REF!</definedName>
    <definedName name="gas" localSheetId="23">'[4]Corrib Haz'!#REF!</definedName>
    <definedName name="gas" localSheetId="26">'[4]Corrib Haz'!#REF!</definedName>
    <definedName name="gas" localSheetId="24">'[4]Corrib Haz'!#REF!</definedName>
    <definedName name="gas" localSheetId="27">'[4]Corrib Haz'!#REF!</definedName>
    <definedName name="gas" localSheetId="10">'[4]Corrib Haz'!#REF!</definedName>
    <definedName name="gas" localSheetId="3">'[4]Corrib Haz'!#REF!</definedName>
    <definedName name="gas" localSheetId="7">'[4]Corrib Haz'!#REF!</definedName>
    <definedName name="gas" localSheetId="12">'[4]Corrib Haz'!#REF!</definedName>
    <definedName name="gas" localSheetId="13">'[4]Corrib Haz'!#REF!</definedName>
    <definedName name="gas" localSheetId="4">'[4]Corrib Haz'!#REF!</definedName>
    <definedName name="gas" localSheetId="11">'[4]Corrib Haz'!#REF!</definedName>
    <definedName name="gas" localSheetId="8">'[4]Corrib Haz'!#REF!</definedName>
    <definedName name="gas" localSheetId="1">'[4]Corrib Haz'!#REF!</definedName>
    <definedName name="gas" localSheetId="6">'[4]Corrib Haz'!#REF!</definedName>
    <definedName name="gas" localSheetId="2">'[4]Corrib Haz'!#REF!</definedName>
    <definedName name="gas" localSheetId="21">'[4]Corrib Haz'!#REF!</definedName>
    <definedName name="gas" localSheetId="5">'[4]Corrib Haz'!#REF!</definedName>
    <definedName name="gas">'[4]Corrib Haz'!#REF!</definedName>
    <definedName name="general" localSheetId="15">'[4]Corrib Haz'!#REF!</definedName>
    <definedName name="general" localSheetId="16">'[4]Corrib Haz'!#REF!</definedName>
    <definedName name="general" localSheetId="14">'[4]Corrib Haz'!#REF!</definedName>
    <definedName name="general" localSheetId="9">'[4]Corrib Haz'!#REF!</definedName>
    <definedName name="general" localSheetId="0">'[4]Corrib Haz'!#REF!</definedName>
    <definedName name="general" localSheetId="17">'[4]Corrib Haz'!#REF!</definedName>
    <definedName name="general" localSheetId="22">'[4]Corrib Haz'!#REF!</definedName>
    <definedName name="general" localSheetId="25">'[4]Corrib Haz'!#REF!</definedName>
    <definedName name="general" localSheetId="23">'[4]Corrib Haz'!#REF!</definedName>
    <definedName name="general" localSheetId="26">'[4]Corrib Haz'!#REF!</definedName>
    <definedName name="general" localSheetId="24">'[4]Corrib Haz'!#REF!</definedName>
    <definedName name="general" localSheetId="27">'[4]Corrib Haz'!#REF!</definedName>
    <definedName name="general" localSheetId="10">'[4]Corrib Haz'!#REF!</definedName>
    <definedName name="general" localSheetId="3">'[4]Corrib Haz'!#REF!</definedName>
    <definedName name="general" localSheetId="7">'[4]Corrib Haz'!#REF!</definedName>
    <definedName name="general" localSheetId="12">'[4]Corrib Haz'!#REF!</definedName>
    <definedName name="general" localSheetId="13">'[4]Corrib Haz'!#REF!</definedName>
    <definedName name="general" localSheetId="4">'[4]Corrib Haz'!#REF!</definedName>
    <definedName name="general" localSheetId="11">'[4]Corrib Haz'!#REF!</definedName>
    <definedName name="general" localSheetId="8">'[4]Corrib Haz'!#REF!</definedName>
    <definedName name="general" localSheetId="1">'[4]Corrib Haz'!#REF!</definedName>
    <definedName name="general" localSheetId="6">'[4]Corrib Haz'!#REF!</definedName>
    <definedName name="general" localSheetId="2">'[4]Corrib Haz'!#REF!</definedName>
    <definedName name="general" localSheetId="21">'[4]Corrib Haz'!#REF!</definedName>
    <definedName name="general" localSheetId="5">'[4]Corrib Haz'!#REF!</definedName>
    <definedName name="general">'[4]Corrib Haz'!#REF!</definedName>
    <definedName name="IVENTS" localSheetId="15">'[4]Corrib Haz'!#REF!</definedName>
    <definedName name="IVENTS" localSheetId="16">'[4]Corrib Haz'!#REF!</definedName>
    <definedName name="IVENTS" localSheetId="14">'[4]Corrib Haz'!#REF!</definedName>
    <definedName name="IVENTS" localSheetId="9">'[4]Corrib Haz'!#REF!</definedName>
    <definedName name="IVENTS" localSheetId="0">'[4]Corrib Haz'!#REF!</definedName>
    <definedName name="IVENTS" localSheetId="17">'[4]Corrib Haz'!#REF!</definedName>
    <definedName name="IVENTS" localSheetId="22">'[4]Corrib Haz'!#REF!</definedName>
    <definedName name="IVENTS" localSheetId="25">'[4]Corrib Haz'!#REF!</definedName>
    <definedName name="IVENTS" localSheetId="23">'[4]Corrib Haz'!#REF!</definedName>
    <definedName name="IVENTS" localSheetId="26">'[4]Corrib Haz'!#REF!</definedName>
    <definedName name="IVENTS" localSheetId="24">'[4]Corrib Haz'!#REF!</definedName>
    <definedName name="IVENTS" localSheetId="27">'[4]Corrib Haz'!#REF!</definedName>
    <definedName name="IVENTS" localSheetId="10">'[4]Corrib Haz'!#REF!</definedName>
    <definedName name="IVENTS" localSheetId="3">'[4]Corrib Haz'!#REF!</definedName>
    <definedName name="IVENTS" localSheetId="7">'[4]Corrib Haz'!#REF!</definedName>
    <definedName name="IVENTS" localSheetId="12">'[4]Corrib Haz'!#REF!</definedName>
    <definedName name="IVENTS" localSheetId="13">'[4]Corrib Haz'!#REF!</definedName>
    <definedName name="IVENTS" localSheetId="4">'[4]Corrib Haz'!#REF!</definedName>
    <definedName name="IVENTS" localSheetId="11">'[4]Corrib Haz'!#REF!</definedName>
    <definedName name="IVENTS" localSheetId="8">'[4]Corrib Haz'!#REF!</definedName>
    <definedName name="IVENTS" localSheetId="1">'[4]Corrib Haz'!#REF!</definedName>
    <definedName name="IVENTS" localSheetId="6">'[4]Corrib Haz'!#REF!</definedName>
    <definedName name="IVENTS" localSheetId="2">'[4]Corrib Haz'!#REF!</definedName>
    <definedName name="IVENTS" localSheetId="21">'[4]Corrib Haz'!#REF!</definedName>
    <definedName name="IVENTS" localSheetId="5">'[4]Corrib Haz'!#REF!</definedName>
    <definedName name="IVENTS">'[4]Corrib Haz'!#REF!</definedName>
    <definedName name="M1122_" localSheetId="15">'[4]Corrib Haz'!#REF!</definedName>
    <definedName name="M1122_" localSheetId="16">'[4]Corrib Haz'!#REF!</definedName>
    <definedName name="M1122_" localSheetId="14">'[4]Corrib Haz'!#REF!</definedName>
    <definedName name="M1122_" localSheetId="9">'[4]Corrib Haz'!#REF!</definedName>
    <definedName name="M1122_" localSheetId="0">'[4]Corrib Haz'!#REF!</definedName>
    <definedName name="M1122_" localSheetId="17">'[4]Corrib Haz'!#REF!</definedName>
    <definedName name="M1122_" localSheetId="22">'[4]Corrib Haz'!#REF!</definedName>
    <definedName name="M1122_" localSheetId="25">'[4]Corrib Haz'!#REF!</definedName>
    <definedName name="M1122_" localSheetId="23">'[4]Corrib Haz'!#REF!</definedName>
    <definedName name="M1122_" localSheetId="26">'[4]Corrib Haz'!#REF!</definedName>
    <definedName name="M1122_" localSheetId="24">'[4]Corrib Haz'!#REF!</definedName>
    <definedName name="M1122_" localSheetId="27">'[4]Corrib Haz'!#REF!</definedName>
    <definedName name="M1122_" localSheetId="10">'[4]Corrib Haz'!#REF!</definedName>
    <definedName name="M1122_" localSheetId="3">'[4]Corrib Haz'!#REF!</definedName>
    <definedName name="M1122_" localSheetId="7">'[4]Corrib Haz'!#REF!</definedName>
    <definedName name="M1122_" localSheetId="12">'[4]Corrib Haz'!#REF!</definedName>
    <definedName name="M1122_" localSheetId="13">'[4]Corrib Haz'!#REF!</definedName>
    <definedName name="M1122_" localSheetId="4">'[4]Corrib Haz'!#REF!</definedName>
    <definedName name="M1122_" localSheetId="11">'[4]Corrib Haz'!#REF!</definedName>
    <definedName name="M1122_" localSheetId="8">'[4]Corrib Haz'!#REF!</definedName>
    <definedName name="M1122_" localSheetId="1">'[4]Corrib Haz'!#REF!</definedName>
    <definedName name="M1122_" localSheetId="6">'[4]Corrib Haz'!#REF!</definedName>
    <definedName name="M1122_" localSheetId="2">'[4]Corrib Haz'!#REF!</definedName>
    <definedName name="M1122_" localSheetId="21">'[4]Corrib Haz'!#REF!</definedName>
    <definedName name="M1122_" localSheetId="5">'[4]Corrib Haz'!#REF!</definedName>
    <definedName name="M1122_">'[4]Corrib Haz'!#REF!</definedName>
    <definedName name="notes" localSheetId="15">[1]D!#REF!</definedName>
    <definedName name="notes" localSheetId="16">[1]D!#REF!</definedName>
    <definedName name="notes" localSheetId="14">[1]D!#REF!</definedName>
    <definedName name="notes" localSheetId="9">[1]D!#REF!</definedName>
    <definedName name="notes" localSheetId="17">[1]D!#REF!</definedName>
    <definedName name="notes" localSheetId="22">[1]D!#REF!</definedName>
    <definedName name="notes" localSheetId="25">[1]D!#REF!</definedName>
    <definedName name="notes" localSheetId="23">[1]D!#REF!</definedName>
    <definedName name="notes" localSheetId="26">[1]D!#REF!</definedName>
    <definedName name="notes" localSheetId="24">[1]D!#REF!</definedName>
    <definedName name="notes" localSheetId="27">[1]D!#REF!</definedName>
    <definedName name="notes" localSheetId="10">[1]D!#REF!</definedName>
    <definedName name="notes" localSheetId="3">[1]D!#REF!</definedName>
    <definedName name="notes" localSheetId="7">[1]D!#REF!</definedName>
    <definedName name="notes" localSheetId="12">[1]D!#REF!</definedName>
    <definedName name="notes" localSheetId="13">[1]D!#REF!</definedName>
    <definedName name="notes" localSheetId="4">[1]D!#REF!</definedName>
    <definedName name="notes" localSheetId="11">[1]D!#REF!</definedName>
    <definedName name="notes" localSheetId="8">[1]D!#REF!</definedName>
    <definedName name="notes" localSheetId="6">[1]D!#REF!</definedName>
    <definedName name="notes" localSheetId="2">[1]D!#REF!</definedName>
    <definedName name="notes" localSheetId="21">[1]D!#REF!</definedName>
    <definedName name="notes" localSheetId="5">[1]D!#REF!</definedName>
    <definedName name="notes">[1]D!#REF!</definedName>
    <definedName name="PGLANDS" localSheetId="15">'[4]Corrib Haz'!#REF!</definedName>
    <definedName name="PGLANDS" localSheetId="16">'[4]Corrib Haz'!#REF!</definedName>
    <definedName name="PGLANDS" localSheetId="14">'[4]Corrib Haz'!#REF!</definedName>
    <definedName name="PGLANDS" localSheetId="9">'[4]Corrib Haz'!#REF!</definedName>
    <definedName name="PGLANDS" localSheetId="0">'[4]Corrib Haz'!#REF!</definedName>
    <definedName name="PGLANDS" localSheetId="17">'[4]Corrib Haz'!#REF!</definedName>
    <definedName name="PGLANDS" localSheetId="22">'[4]Corrib Haz'!#REF!</definedName>
    <definedName name="PGLANDS" localSheetId="25">'[4]Corrib Haz'!#REF!</definedName>
    <definedName name="PGLANDS" localSheetId="23">'[4]Corrib Haz'!#REF!</definedName>
    <definedName name="PGLANDS" localSheetId="26">'[4]Corrib Haz'!#REF!</definedName>
    <definedName name="PGLANDS" localSheetId="24">'[4]Corrib Haz'!#REF!</definedName>
    <definedName name="PGLANDS" localSheetId="27">'[4]Corrib Haz'!#REF!</definedName>
    <definedName name="PGLANDS" localSheetId="10">'[4]Corrib Haz'!#REF!</definedName>
    <definedName name="PGLANDS" localSheetId="3">'[4]Corrib Haz'!#REF!</definedName>
    <definedName name="PGLANDS" localSheetId="7">'[4]Corrib Haz'!#REF!</definedName>
    <definedName name="PGLANDS" localSheetId="12">'[4]Corrib Haz'!#REF!</definedName>
    <definedName name="PGLANDS" localSheetId="13">'[4]Corrib Haz'!#REF!</definedName>
    <definedName name="PGLANDS" localSheetId="4">'[4]Corrib Haz'!#REF!</definedName>
    <definedName name="PGLANDS" localSheetId="11">'[4]Corrib Haz'!#REF!</definedName>
    <definedName name="PGLANDS" localSheetId="8">'[4]Corrib Haz'!#REF!</definedName>
    <definedName name="PGLANDS" localSheetId="1">'[4]Corrib Haz'!#REF!</definedName>
    <definedName name="PGLANDS" localSheetId="6">'[4]Corrib Haz'!#REF!</definedName>
    <definedName name="PGLANDS" localSheetId="2">'[4]Corrib Haz'!#REF!</definedName>
    <definedName name="PGLANDS" localSheetId="21">'[4]Corrib Haz'!#REF!</definedName>
    <definedName name="PGLANDS" localSheetId="5">'[4]Corrib Haz'!#REF!</definedName>
    <definedName name="PGLANDS">'[4]Corrib Haz'!#REF!</definedName>
    <definedName name="_xlnm.Print_Area" localSheetId="15">'AIR COMP.'!$A$1:$H$12</definedName>
    <definedName name="_xlnm.Print_Area" localSheetId="16">'AIR DRYER'!$A$1:$H$12</definedName>
    <definedName name="_xlnm.Print_Area" localSheetId="14">'BURN PIT'!$A$1:$H$12</definedName>
    <definedName name="_xlnm.Print_Area" localSheetId="9">C.I.P.!$A$1:$H$22</definedName>
    <definedName name="_xlnm.Print_Area" localSheetId="19">Consumables!$J$3:$Q$16</definedName>
    <definedName name="_xlnm.Print_Area" localSheetId="0">Cover!$A$1:$AN$68</definedName>
    <definedName name="_xlnm.Print_Area" localSheetId="17">CRANES!$A$1:$H$17</definedName>
    <definedName name="_xlnm.Print_Area" localSheetId="22">'DE-112  (1)-Asmari'!$A$1:$AO$73</definedName>
    <definedName name="_xlnm.Print_Area" localSheetId="25">'DE-112  (1)-Bangestan'!$A$1:$AO$73</definedName>
    <definedName name="_xlnm.Print_Area" localSheetId="23">'DE-112  (2)-Asmari'!$A$1:$AN$73</definedName>
    <definedName name="_xlnm.Print_Area" localSheetId="26">'DE-112  (2)-Bangestan'!$A$1:$AN$73</definedName>
    <definedName name="_xlnm.Print_Area" localSheetId="24">'DE-112 (3)-Asmari'!$A$1:$AN$73</definedName>
    <definedName name="_xlnm.Print_Area" localSheetId="27">'DE-112 (3)-Bangestan'!$A$1:$AN$73</definedName>
    <definedName name="_xlnm.Print_Area" localSheetId="10">DEAERATOR!$A$1:$H$12</definedName>
    <definedName name="_xlnm.Print_Area" localSheetId="3">DESALTER!$A$1:$H$12</definedName>
    <definedName name="_xlnm.Print_Area" localSheetId="7">EXCHANG.!$A$1:$H$12</definedName>
    <definedName name="_xlnm.Print_Area" localSheetId="12">FILTERS!$A$1:$H$13</definedName>
    <definedName name="_xlnm.Print_Area" localSheetId="13">FLARE!$A$1:$H$12</definedName>
    <definedName name="_xlnm.Print_Area" localSheetId="4">HEATERS!$A$1:$H$13</definedName>
    <definedName name="_xlnm.Print_Area" localSheetId="11">IGF!$A$1:$H$12</definedName>
    <definedName name="_xlnm.Print_Area" localSheetId="8">PUMPS!$A$1:$H$32</definedName>
    <definedName name="_xlnm.Print_Area" localSheetId="1">'Record Sheet'!$A$1:$AN$69</definedName>
    <definedName name="_xlnm.Print_Area" localSheetId="6">TANKS!$A$1:$H$13</definedName>
    <definedName name="_xlnm.Print_Area" localSheetId="2">TITLE!$A$1:$BH$45</definedName>
    <definedName name="_xlnm.Print_Area" localSheetId="21">TOTAL!$A$1:$D$29</definedName>
    <definedName name="_xlnm.Print_Area" localSheetId="5">VESSELS!$A$1:$H$15</definedName>
    <definedName name="_xlnm.Print_Titles" localSheetId="9">C.I.P.!$1:$7</definedName>
    <definedName name="_xlnm.Print_Titles" localSheetId="19">Consumables!#REF!</definedName>
    <definedName name="_xlnm.Print_Titles" localSheetId="17">CRANES!$1:$7</definedName>
    <definedName name="_xlnm.Print_Titles" localSheetId="8">PUMPS!$1:$7</definedName>
    <definedName name="_xlnm.Print_Titles" localSheetId="5">VESSELS!$1:$7</definedName>
    <definedName name="vess" localSheetId="15">'[4]Corrib Haz'!#REF!</definedName>
    <definedName name="vess" localSheetId="16">'[4]Corrib Haz'!#REF!</definedName>
    <definedName name="vess" localSheetId="14">'[4]Corrib Haz'!#REF!</definedName>
    <definedName name="vess" localSheetId="9">'[4]Corrib Haz'!#REF!</definedName>
    <definedName name="vess" localSheetId="0">'[4]Corrib Haz'!#REF!</definedName>
    <definedName name="vess" localSheetId="17">'[4]Corrib Haz'!#REF!</definedName>
    <definedName name="vess" localSheetId="22">'[4]Corrib Haz'!#REF!</definedName>
    <definedName name="vess" localSheetId="25">'[4]Corrib Haz'!#REF!</definedName>
    <definedName name="vess" localSheetId="23">'[4]Corrib Haz'!#REF!</definedName>
    <definedName name="vess" localSheetId="26">'[4]Corrib Haz'!#REF!</definedName>
    <definedName name="vess" localSheetId="24">'[4]Corrib Haz'!#REF!</definedName>
    <definedName name="vess" localSheetId="27">'[4]Corrib Haz'!#REF!</definedName>
    <definedName name="vess" localSheetId="10">'[4]Corrib Haz'!#REF!</definedName>
    <definedName name="vess" localSheetId="3">'[4]Corrib Haz'!#REF!</definedName>
    <definedName name="vess" localSheetId="7">'[4]Corrib Haz'!#REF!</definedName>
    <definedName name="vess" localSheetId="12">'[4]Corrib Haz'!#REF!</definedName>
    <definedName name="vess" localSheetId="13">'[4]Corrib Haz'!#REF!</definedName>
    <definedName name="vess" localSheetId="4">'[4]Corrib Haz'!#REF!</definedName>
    <definedName name="vess" localSheetId="11">'[4]Corrib Haz'!#REF!</definedName>
    <definedName name="vess" localSheetId="8">'[4]Corrib Haz'!#REF!</definedName>
    <definedName name="vess" localSheetId="1">'[4]Corrib Haz'!#REF!</definedName>
    <definedName name="vess" localSheetId="6">'[4]Corrib Haz'!#REF!</definedName>
    <definedName name="vess" localSheetId="2">'[4]Corrib Haz'!#REF!</definedName>
    <definedName name="vess" localSheetId="21">'[4]Corrib Haz'!#REF!</definedName>
    <definedName name="vess" localSheetId="5">'[4]Corrib Haz'!#REF!</definedName>
    <definedName name="vess">'[4]Corrib Haz'!#REF!</definedName>
  </definedNames>
  <calcPr calcId="162913"/>
</workbook>
</file>

<file path=xl/calcChain.xml><?xml version="1.0" encoding="utf-8"?>
<calcChain xmlns="http://schemas.openxmlformats.org/spreadsheetml/2006/main">
  <c r="R11" i="276" l="1"/>
  <c r="R10" i="276"/>
  <c r="R9" i="276"/>
  <c r="R8" i="276"/>
  <c r="R7" i="276"/>
  <c r="R6" i="276"/>
  <c r="R5" i="276"/>
  <c r="R4" i="276"/>
  <c r="AE9" i="213" l="1"/>
  <c r="AE8" i="213"/>
  <c r="Q11" i="276" l="1"/>
  <c r="N10" i="276" l="1"/>
  <c r="Q10" i="276" s="1"/>
  <c r="C4" i="276"/>
  <c r="D4" i="276"/>
  <c r="E4" i="276" s="1"/>
  <c r="C5" i="276"/>
  <c r="D5" i="276"/>
  <c r="E5" i="276" s="1"/>
  <c r="K5" i="276" s="1"/>
  <c r="L5" i="276" s="1"/>
  <c r="N5" i="276" s="1"/>
  <c r="Q5" i="276" s="1"/>
  <c r="C6" i="276"/>
  <c r="D6" i="276"/>
  <c r="E6" i="276" s="1"/>
  <c r="K6" i="276" s="1"/>
  <c r="L6" i="276" s="1"/>
  <c r="N6" i="276" s="1"/>
  <c r="Q6" i="276" s="1"/>
  <c r="C7" i="276"/>
  <c r="D7" i="276"/>
  <c r="E7" i="276" s="1"/>
  <c r="H20" i="274" l="1"/>
  <c r="H19" i="274"/>
  <c r="H18" i="274"/>
  <c r="H17" i="274"/>
  <c r="H16" i="274"/>
  <c r="H15" i="274"/>
  <c r="H14" i="274"/>
  <c r="H13" i="274"/>
  <c r="H12" i="274"/>
  <c r="H11" i="274"/>
  <c r="H10" i="274"/>
  <c r="H9" i="274"/>
  <c r="H7" i="274"/>
  <c r="H6" i="274"/>
  <c r="H5" i="274"/>
  <c r="H4" i="274"/>
  <c r="H22" i="274" s="1"/>
  <c r="H25" i="274" s="1"/>
  <c r="C23" i="268" s="1"/>
  <c r="H21" i="274"/>
  <c r="I15" i="274"/>
  <c r="I11" i="274"/>
  <c r="I10" i="274"/>
  <c r="I6" i="274"/>
  <c r="I4" i="274"/>
  <c r="F6" i="274"/>
  <c r="F7" i="274"/>
  <c r="I7" i="274" s="1"/>
  <c r="F9" i="274"/>
  <c r="I9" i="274" s="1"/>
  <c r="F10" i="274"/>
  <c r="F11" i="274"/>
  <c r="F12" i="274"/>
  <c r="I12" i="274" s="1"/>
  <c r="F13" i="274"/>
  <c r="I13" i="274" s="1"/>
  <c r="F14" i="274"/>
  <c r="I14" i="274" s="1"/>
  <c r="F15" i="274"/>
  <c r="F16" i="274"/>
  <c r="I16" i="274" s="1"/>
  <c r="F17" i="274"/>
  <c r="I17" i="274" s="1"/>
  <c r="F18" i="274"/>
  <c r="I18" i="274" s="1"/>
  <c r="F19" i="274"/>
  <c r="I19" i="274" s="1"/>
  <c r="F20" i="274"/>
  <c r="I20" i="274" s="1"/>
  <c r="F5" i="274"/>
  <c r="I5" i="274" s="1"/>
  <c r="I22" i="274" l="1"/>
  <c r="I25" i="274" s="1"/>
  <c r="D23" i="268" s="1"/>
  <c r="C8" i="276"/>
  <c r="D8" i="276"/>
  <c r="E8" i="276" s="1"/>
  <c r="C9" i="276"/>
  <c r="D9" i="276"/>
  <c r="E9" i="276" s="1"/>
  <c r="C10" i="276"/>
  <c r="D10" i="276"/>
  <c r="E10" i="276" s="1"/>
  <c r="C11" i="276"/>
  <c r="D11" i="276"/>
  <c r="E11" i="276" s="1"/>
  <c r="C12" i="276"/>
  <c r="D12" i="276"/>
  <c r="E12" i="276" s="1"/>
  <c r="C13" i="276"/>
  <c r="D13" i="276"/>
  <c r="E13" i="276" s="1"/>
  <c r="K9" i="276" s="1"/>
  <c r="L9" i="276" s="1"/>
  <c r="N9" i="276" s="1"/>
  <c r="Q9" i="276" s="1"/>
  <c r="C14" i="276"/>
  <c r="D14" i="276"/>
  <c r="E14" i="276" s="1"/>
  <c r="K4" i="276" s="1"/>
  <c r="L4" i="276" s="1"/>
  <c r="N4" i="276" s="1"/>
  <c r="Q4" i="276" s="1"/>
  <c r="K7" i="276" l="1"/>
  <c r="L7" i="276" s="1"/>
  <c r="N7" i="276" s="1"/>
  <c r="Q7" i="276" s="1"/>
  <c r="Q12" i="276" s="1"/>
  <c r="Q13" i="276" s="1"/>
  <c r="Q16" i="276" s="1"/>
  <c r="K8" i="276"/>
  <c r="L8" i="276" s="1"/>
  <c r="N8" i="276" s="1"/>
  <c r="Q8" i="276" s="1"/>
  <c r="C24" i="268" l="1"/>
  <c r="AE11" i="207"/>
  <c r="AE10" i="207"/>
  <c r="AE9" i="207"/>
  <c r="AE8" i="207"/>
  <c r="F13" i="236" l="1"/>
  <c r="F12" i="236"/>
  <c r="F11" i="236"/>
  <c r="F10" i="236"/>
  <c r="F9" i="236"/>
  <c r="F8" i="236"/>
  <c r="F8" i="266"/>
  <c r="E8" i="266"/>
  <c r="F8" i="265"/>
  <c r="F9" i="264"/>
  <c r="E9" i="264"/>
  <c r="E8" i="264"/>
  <c r="E8" i="258"/>
  <c r="E8" i="269"/>
  <c r="F28" i="231"/>
  <c r="E28" i="231"/>
  <c r="F27" i="231"/>
  <c r="E27" i="231"/>
  <c r="E26" i="231"/>
  <c r="E25" i="231"/>
  <c r="E24" i="231"/>
  <c r="E23" i="231"/>
  <c r="E22" i="231"/>
  <c r="E21" i="231"/>
  <c r="E20" i="231"/>
  <c r="F19" i="231"/>
  <c r="E19" i="231"/>
  <c r="E18" i="231"/>
  <c r="E17" i="231"/>
  <c r="E16" i="231"/>
  <c r="E15" i="231"/>
  <c r="E14" i="231"/>
  <c r="E13" i="231"/>
  <c r="E12" i="231"/>
  <c r="E11" i="231"/>
  <c r="E10" i="231"/>
  <c r="E9" i="231"/>
  <c r="E8" i="231"/>
  <c r="F8" i="218"/>
  <c r="E8" i="218"/>
  <c r="E9" i="241"/>
  <c r="E8" i="241"/>
  <c r="E8" i="239"/>
  <c r="AM8" i="239" l="1"/>
  <c r="P8" i="265" l="1"/>
  <c r="G9" i="241" l="1"/>
  <c r="G8" i="241"/>
  <c r="G8" i="239"/>
  <c r="G9" i="239" s="1"/>
  <c r="AM9" i="241"/>
  <c r="AJ9" i="241"/>
  <c r="AI9" i="241"/>
  <c r="AH9" i="241"/>
  <c r="AK9" i="241" s="1"/>
  <c r="AJ8" i="241"/>
  <c r="AM8" i="241" s="1"/>
  <c r="AI8" i="241"/>
  <c r="AL8" i="241" s="1"/>
  <c r="AH8" i="241"/>
  <c r="AK8" i="241" s="1"/>
  <c r="AJ8" i="239"/>
  <c r="AI8" i="239"/>
  <c r="AL8" i="239" s="1"/>
  <c r="AH8" i="239"/>
  <c r="AJ11" i="207"/>
  <c r="AM11" i="207" s="1"/>
  <c r="AI11" i="207"/>
  <c r="AH11" i="207"/>
  <c r="AK11" i="207" s="1"/>
  <c r="AJ10" i="207"/>
  <c r="AM10" i="207" s="1"/>
  <c r="AI10" i="207"/>
  <c r="AH10" i="207"/>
  <c r="AK9" i="207"/>
  <c r="AJ9" i="207"/>
  <c r="AM9" i="207" s="1"/>
  <c r="AI9" i="207"/>
  <c r="AH9" i="207"/>
  <c r="H11" i="207"/>
  <c r="H10" i="207"/>
  <c r="H9" i="207"/>
  <c r="AM9" i="213"/>
  <c r="AK9" i="213"/>
  <c r="AJ9" i="213"/>
  <c r="AI9" i="213"/>
  <c r="F9" i="213" s="1"/>
  <c r="AH9" i="213"/>
  <c r="H9" i="213"/>
  <c r="AK28" i="231"/>
  <c r="AJ28" i="231"/>
  <c r="AM28" i="231" s="1"/>
  <c r="AI28" i="231"/>
  <c r="AL28" i="231" s="1"/>
  <c r="AH28" i="231"/>
  <c r="AJ27" i="231"/>
  <c r="AM27" i="231" s="1"/>
  <c r="AI27" i="231"/>
  <c r="AL27" i="231" s="1"/>
  <c r="AH27" i="231"/>
  <c r="AM26" i="231"/>
  <c r="AK26" i="231"/>
  <c r="AJ26" i="231"/>
  <c r="AI26" i="231"/>
  <c r="AL26" i="231" s="1"/>
  <c r="AH26" i="231"/>
  <c r="AJ25" i="231"/>
  <c r="AM25" i="231" s="1"/>
  <c r="AI25" i="231"/>
  <c r="AL25" i="231" s="1"/>
  <c r="AH25" i="231"/>
  <c r="AK25" i="231" s="1"/>
  <c r="AM24" i="231"/>
  <c r="AK24" i="231"/>
  <c r="AJ24" i="231"/>
  <c r="AI24" i="231"/>
  <c r="AL24" i="231" s="1"/>
  <c r="AH24" i="231"/>
  <c r="AJ23" i="231"/>
  <c r="AM23" i="231" s="1"/>
  <c r="AI23" i="231"/>
  <c r="AL23" i="231" s="1"/>
  <c r="AH23" i="231"/>
  <c r="AK23" i="231" s="1"/>
  <c r="AM22" i="231"/>
  <c r="AJ22" i="231"/>
  <c r="AI22" i="231"/>
  <c r="AL22" i="231" s="1"/>
  <c r="AH22" i="231"/>
  <c r="AL21" i="231"/>
  <c r="AK21" i="231"/>
  <c r="AJ21" i="231"/>
  <c r="AI21" i="231"/>
  <c r="AH21" i="231"/>
  <c r="AJ20" i="231"/>
  <c r="AM20" i="231" s="1"/>
  <c r="AI20" i="231"/>
  <c r="AL20" i="231" s="1"/>
  <c r="AH20" i="231"/>
  <c r="AM19" i="231"/>
  <c r="AK19" i="231"/>
  <c r="AJ19" i="231"/>
  <c r="AI19" i="231"/>
  <c r="AH19" i="231"/>
  <c r="AJ18" i="231"/>
  <c r="AM18" i="231" s="1"/>
  <c r="AI18" i="231"/>
  <c r="AL18" i="231" s="1"/>
  <c r="AH18" i="231"/>
  <c r="AK18" i="231" s="1"/>
  <c r="AM17" i="231"/>
  <c r="AK17" i="231"/>
  <c r="AJ17" i="231"/>
  <c r="AI17" i="231"/>
  <c r="AL17" i="231" s="1"/>
  <c r="AH17" i="231"/>
  <c r="AK16" i="231"/>
  <c r="AJ16" i="231"/>
  <c r="AM16" i="231" s="1"/>
  <c r="AI16" i="231"/>
  <c r="AL16" i="231" s="1"/>
  <c r="AH16" i="231"/>
  <c r="AM15" i="231"/>
  <c r="AJ15" i="231"/>
  <c r="AI15" i="231"/>
  <c r="AL15" i="231" s="1"/>
  <c r="AH15" i="231"/>
  <c r="AM14" i="231"/>
  <c r="AK14" i="231"/>
  <c r="AJ14" i="231"/>
  <c r="AI14" i="231"/>
  <c r="AL14" i="231" s="1"/>
  <c r="AH14" i="231"/>
  <c r="AJ13" i="231"/>
  <c r="AM13" i="231" s="1"/>
  <c r="AI13" i="231"/>
  <c r="AL13" i="231" s="1"/>
  <c r="AH13" i="231"/>
  <c r="AK13" i="231" s="1"/>
  <c r="AM12" i="231"/>
  <c r="AK12" i="231"/>
  <c r="AJ12" i="231"/>
  <c r="AI12" i="231"/>
  <c r="AL12" i="231" s="1"/>
  <c r="AH12" i="231"/>
  <c r="AJ11" i="231"/>
  <c r="AM11" i="231" s="1"/>
  <c r="AI11" i="231"/>
  <c r="AL11" i="231" s="1"/>
  <c r="AH11" i="231"/>
  <c r="AK11" i="231" s="1"/>
  <c r="AM10" i="231"/>
  <c r="AL10" i="231"/>
  <c r="AJ10" i="231"/>
  <c r="AI10" i="231"/>
  <c r="AH10" i="231"/>
  <c r="AK10" i="231" s="1"/>
  <c r="AK9" i="231"/>
  <c r="AJ9" i="231"/>
  <c r="AI9" i="231"/>
  <c r="AL9" i="231" s="1"/>
  <c r="AH9" i="231"/>
  <c r="H28" i="231"/>
  <c r="H27" i="231"/>
  <c r="G26" i="231"/>
  <c r="G25" i="231"/>
  <c r="G24" i="231"/>
  <c r="G23" i="231"/>
  <c r="G22" i="231"/>
  <c r="G21" i="231"/>
  <c r="G20" i="231"/>
  <c r="G19" i="231"/>
  <c r="G18" i="231"/>
  <c r="G17" i="231"/>
  <c r="G16" i="231"/>
  <c r="G15" i="231"/>
  <c r="G14" i="231"/>
  <c r="G13" i="231"/>
  <c r="G12" i="231"/>
  <c r="G11" i="231"/>
  <c r="G10" i="231"/>
  <c r="G9" i="231"/>
  <c r="AJ18" i="245"/>
  <c r="AI18" i="245"/>
  <c r="AH18" i="245"/>
  <c r="F18" i="245" s="1"/>
  <c r="AJ17" i="245"/>
  <c r="AI17" i="245"/>
  <c r="AL17" i="245" s="1"/>
  <c r="AH17" i="245"/>
  <c r="AJ16" i="245"/>
  <c r="AI16" i="245"/>
  <c r="AL16" i="245" s="1"/>
  <c r="AH16" i="245"/>
  <c r="AJ15" i="245"/>
  <c r="AI15" i="245"/>
  <c r="AL15" i="245" s="1"/>
  <c r="AH15" i="245"/>
  <c r="AJ14" i="245"/>
  <c r="AI14" i="245"/>
  <c r="AL14" i="245" s="1"/>
  <c r="AH14" i="245"/>
  <c r="AJ13" i="245"/>
  <c r="AI13" i="245"/>
  <c r="AL13" i="245" s="1"/>
  <c r="AH13" i="245"/>
  <c r="AJ12" i="245"/>
  <c r="AI12" i="245"/>
  <c r="AL12" i="245" s="1"/>
  <c r="AH12" i="245"/>
  <c r="F12" i="245" s="1"/>
  <c r="AJ11" i="245"/>
  <c r="AI11" i="245"/>
  <c r="AL11" i="245" s="1"/>
  <c r="AH11" i="245"/>
  <c r="F11" i="245" s="1"/>
  <c r="AJ10" i="245"/>
  <c r="AI10" i="245"/>
  <c r="AL10" i="245" s="1"/>
  <c r="AH10" i="245"/>
  <c r="AJ9" i="245"/>
  <c r="AI9" i="245"/>
  <c r="AH9" i="245"/>
  <c r="H18" i="245"/>
  <c r="H17" i="245"/>
  <c r="H16" i="245"/>
  <c r="H15" i="245"/>
  <c r="H14" i="245"/>
  <c r="H13" i="245"/>
  <c r="H12" i="245"/>
  <c r="H11" i="245"/>
  <c r="H10" i="245"/>
  <c r="H9" i="245"/>
  <c r="AM9" i="264"/>
  <c r="AJ9" i="264"/>
  <c r="AI9" i="264"/>
  <c r="AL9" i="264" s="1"/>
  <c r="AH9" i="264"/>
  <c r="AK9" i="264" s="1"/>
  <c r="H9" i="264"/>
  <c r="AJ13" i="236"/>
  <c r="AI13" i="236"/>
  <c r="AL13" i="236" s="1"/>
  <c r="AH13" i="236"/>
  <c r="AJ12" i="236"/>
  <c r="AI12" i="236"/>
  <c r="AL12" i="236" s="1"/>
  <c r="AH12" i="236"/>
  <c r="AL11" i="236"/>
  <c r="AJ11" i="236"/>
  <c r="AI11" i="236"/>
  <c r="AH11" i="236"/>
  <c r="AL10" i="236"/>
  <c r="AK10" i="236"/>
  <c r="AJ10" i="236"/>
  <c r="AI10" i="236"/>
  <c r="AH10" i="236"/>
  <c r="AL9" i="236"/>
  <c r="AJ9" i="236"/>
  <c r="AI9" i="236"/>
  <c r="AH9" i="236"/>
  <c r="AK9" i="236" s="1"/>
  <c r="H13" i="236"/>
  <c r="H12" i="236"/>
  <c r="H11" i="236"/>
  <c r="H10" i="236"/>
  <c r="H9" i="236"/>
  <c r="H8" i="236"/>
  <c r="H8" i="266"/>
  <c r="H9" i="266" s="1"/>
  <c r="H8" i="265"/>
  <c r="H9" i="265" s="1"/>
  <c r="H8" i="271"/>
  <c r="H9" i="271" s="1"/>
  <c r="G8" i="264"/>
  <c r="H8" i="262"/>
  <c r="H9" i="262" s="1"/>
  <c r="G8" i="258"/>
  <c r="G9" i="258" s="1"/>
  <c r="G8" i="269"/>
  <c r="G9" i="269" s="1"/>
  <c r="H8" i="245"/>
  <c r="G8" i="231"/>
  <c r="G8" i="218"/>
  <c r="G9" i="218" s="1"/>
  <c r="H8" i="213"/>
  <c r="H8" i="207"/>
  <c r="AP8" i="266"/>
  <c r="AP8" i="218"/>
  <c r="AJ8" i="236"/>
  <c r="AI8" i="236"/>
  <c r="AL8" i="236" s="1"/>
  <c r="AH8" i="236"/>
  <c r="AK8" i="236" s="1"/>
  <c r="AJ8" i="266"/>
  <c r="AM8" i="266" s="1"/>
  <c r="AI8" i="266"/>
  <c r="AL8" i="266" s="1"/>
  <c r="AH8" i="266"/>
  <c r="AK8" i="266" s="1"/>
  <c r="AJ8" i="265"/>
  <c r="AM8" i="265" s="1"/>
  <c r="AI8" i="265"/>
  <c r="AL8" i="265" s="1"/>
  <c r="AH8" i="265"/>
  <c r="AK8" i="265" s="1"/>
  <c r="AJ8" i="271"/>
  <c r="AI8" i="271"/>
  <c r="AL8" i="271" s="1"/>
  <c r="AH8" i="271"/>
  <c r="AJ8" i="262"/>
  <c r="AI8" i="262"/>
  <c r="AL8" i="262" s="1"/>
  <c r="AH8" i="262"/>
  <c r="AJ8" i="264"/>
  <c r="AM8" i="264" s="1"/>
  <c r="AI8" i="264"/>
  <c r="AL8" i="264" s="1"/>
  <c r="AH8" i="264"/>
  <c r="AJ8" i="258"/>
  <c r="AM8" i="258" s="1"/>
  <c r="AI8" i="258"/>
  <c r="AL8" i="258" s="1"/>
  <c r="AH8" i="258"/>
  <c r="AJ8" i="269"/>
  <c r="AM8" i="269" s="1"/>
  <c r="AI8" i="269"/>
  <c r="AL8" i="269" s="1"/>
  <c r="AH8" i="269"/>
  <c r="AJ8" i="245"/>
  <c r="AI8" i="245"/>
  <c r="AL8" i="245" s="1"/>
  <c r="AH8" i="245"/>
  <c r="AJ8" i="231"/>
  <c r="AM8" i="231" s="1"/>
  <c r="AI8" i="231"/>
  <c r="AL8" i="231" s="1"/>
  <c r="AH8" i="231"/>
  <c r="AN8" i="218"/>
  <c r="AM8" i="218"/>
  <c r="AL8" i="218"/>
  <c r="AJ8" i="218"/>
  <c r="AI8" i="218"/>
  <c r="AH8" i="218"/>
  <c r="AK8" i="218" s="1"/>
  <c r="AJ8" i="213"/>
  <c r="AM8" i="213" s="1"/>
  <c r="AI8" i="213"/>
  <c r="AH8" i="213"/>
  <c r="AK8" i="213" s="1"/>
  <c r="AJ8" i="207"/>
  <c r="AM8" i="207" s="1"/>
  <c r="AI8" i="207"/>
  <c r="AH8" i="207"/>
  <c r="AL8" i="213" l="1"/>
  <c r="AN8" i="213" s="1"/>
  <c r="F8" i="213"/>
  <c r="AL11" i="207"/>
  <c r="AN11" i="207" s="1"/>
  <c r="F11" i="207"/>
  <c r="AL10" i="207"/>
  <c r="F10" i="207"/>
  <c r="AL9" i="207"/>
  <c r="F9" i="207"/>
  <c r="AL8" i="207"/>
  <c r="F8" i="207"/>
  <c r="AK8" i="271"/>
  <c r="F8" i="271"/>
  <c r="AK8" i="262"/>
  <c r="F8" i="262"/>
  <c r="F9" i="245"/>
  <c r="F16" i="245"/>
  <c r="F13" i="245"/>
  <c r="F8" i="245"/>
  <c r="F10" i="245"/>
  <c r="F17" i="245"/>
  <c r="F14" i="245"/>
  <c r="F15" i="245"/>
  <c r="H13" i="266"/>
  <c r="F21" i="268" s="1"/>
  <c r="G13" i="266"/>
  <c r="E21" i="268" s="1"/>
  <c r="G13" i="218"/>
  <c r="E12" i="268" s="1"/>
  <c r="H13" i="218"/>
  <c r="F12" i="268" s="1"/>
  <c r="H10" i="213"/>
  <c r="D11" i="268" s="1"/>
  <c r="AN27" i="231"/>
  <c r="AL9" i="241"/>
  <c r="AN9" i="241" s="1"/>
  <c r="AP9" i="241" s="1"/>
  <c r="AL9" i="245"/>
  <c r="AL19" i="231"/>
  <c r="AN28" i="231"/>
  <c r="AN19" i="231"/>
  <c r="AP19" i="231"/>
  <c r="AP27" i="231"/>
  <c r="AP28" i="231"/>
  <c r="AN14" i="231"/>
  <c r="AP14" i="231" s="1"/>
  <c r="AN26" i="231"/>
  <c r="AP26" i="231" s="1"/>
  <c r="G10" i="241"/>
  <c r="G13" i="241" s="1"/>
  <c r="AL9" i="213"/>
  <c r="AN9" i="213" s="1"/>
  <c r="H19" i="245"/>
  <c r="H12" i="265"/>
  <c r="D20" i="268"/>
  <c r="AN17" i="231"/>
  <c r="AP17" i="231" s="1"/>
  <c r="AN12" i="231"/>
  <c r="AP12" i="231" s="1"/>
  <c r="H12" i="271"/>
  <c r="D19" i="268"/>
  <c r="G12" i="258"/>
  <c r="C16" i="268"/>
  <c r="G12" i="269"/>
  <c r="C15" i="268"/>
  <c r="H12" i="266"/>
  <c r="D21" i="268"/>
  <c r="H14" i="236"/>
  <c r="G12" i="239"/>
  <c r="C8" i="268"/>
  <c r="H12" i="262"/>
  <c r="D18" i="268"/>
  <c r="G12" i="218"/>
  <c r="C12" i="268"/>
  <c r="AN24" i="231"/>
  <c r="AP24" i="231" s="1"/>
  <c r="H12" i="207"/>
  <c r="AN9" i="264"/>
  <c r="AP9" i="264" s="1"/>
  <c r="AN16" i="231"/>
  <c r="AP16" i="231" s="1"/>
  <c r="AN8" i="241"/>
  <c r="AP8" i="241" s="1"/>
  <c r="F8" i="241" s="1"/>
  <c r="AK8" i="239"/>
  <c r="AN8" i="239" s="1"/>
  <c r="AP8" i="239" s="1"/>
  <c r="F8" i="239" s="1"/>
  <c r="AN9" i="207"/>
  <c r="AK10" i="207"/>
  <c r="AN10" i="231"/>
  <c r="AP10" i="231" s="1"/>
  <c r="AN11" i="231"/>
  <c r="AP11" i="231" s="1"/>
  <c r="AK20" i="231"/>
  <c r="AN20" i="231" s="1"/>
  <c r="AP20" i="231" s="1"/>
  <c r="AK15" i="231"/>
  <c r="AN15" i="231" s="1"/>
  <c r="AP15" i="231" s="1"/>
  <c r="AN18" i="231"/>
  <c r="AP18" i="231" s="1"/>
  <c r="AK27" i="231"/>
  <c r="AN23" i="231"/>
  <c r="AP23" i="231" s="1"/>
  <c r="AN13" i="231"/>
  <c r="AP13" i="231" s="1"/>
  <c r="AK22" i="231"/>
  <c r="AN22" i="231" s="1"/>
  <c r="AP22" i="231" s="1"/>
  <c r="AN25" i="231"/>
  <c r="AP25" i="231" s="1"/>
  <c r="AM9" i="231"/>
  <c r="AN9" i="231" s="1"/>
  <c r="AP9" i="231" s="1"/>
  <c r="AM21" i="231"/>
  <c r="AN21" i="231" s="1"/>
  <c r="AP21" i="231" s="1"/>
  <c r="AL18" i="245"/>
  <c r="AK12" i="236"/>
  <c r="AK11" i="236"/>
  <c r="AK13" i="236"/>
  <c r="AN8" i="266"/>
  <c r="AN8" i="265"/>
  <c r="AK8" i="264"/>
  <c r="AN8" i="264" s="1"/>
  <c r="AP8" i="264" s="1"/>
  <c r="AK8" i="258"/>
  <c r="AN8" i="258" s="1"/>
  <c r="AP8" i="258" s="1"/>
  <c r="AK8" i="269"/>
  <c r="AN8" i="269" s="1"/>
  <c r="AP8" i="269" s="1"/>
  <c r="F8" i="269" s="1"/>
  <c r="AK8" i="231"/>
  <c r="AN8" i="231" s="1"/>
  <c r="AP8" i="231" s="1"/>
  <c r="AK8" i="207"/>
  <c r="D13" i="277" l="1"/>
  <c r="G13" i="277" s="1"/>
  <c r="C11" i="277"/>
  <c r="F11" i="277" s="1"/>
  <c r="D14" i="277"/>
  <c r="G14" i="277" s="1"/>
  <c r="C3" i="277"/>
  <c r="F3" i="277" s="1"/>
  <c r="D15" i="277"/>
  <c r="G15" i="277" s="1"/>
  <c r="D16" i="277"/>
  <c r="G16" i="277" s="1"/>
  <c r="C7" i="277"/>
  <c r="F7" i="277" s="1"/>
  <c r="C10" i="277"/>
  <c r="F10" i="277" s="1"/>
  <c r="D6" i="277"/>
  <c r="G6" i="277" s="1"/>
  <c r="AN10" i="207"/>
  <c r="AN8" i="207"/>
  <c r="F9" i="231"/>
  <c r="H9" i="231" s="1"/>
  <c r="F8" i="231"/>
  <c r="H8" i="231" s="1"/>
  <c r="G33" i="231"/>
  <c r="E13" i="268" s="1"/>
  <c r="F25" i="231"/>
  <c r="H25" i="231" s="1"/>
  <c r="F17" i="231"/>
  <c r="H17" i="231" s="1"/>
  <c r="F13" i="231"/>
  <c r="H13" i="231" s="1"/>
  <c r="F8" i="264"/>
  <c r="H8" i="264" s="1"/>
  <c r="G14" i="264"/>
  <c r="E17" i="268" s="1"/>
  <c r="F23" i="231"/>
  <c r="H23" i="231" s="1"/>
  <c r="F9" i="241"/>
  <c r="H9" i="241" s="1"/>
  <c r="G13" i="258"/>
  <c r="E16" i="268" s="1"/>
  <c r="F8" i="258"/>
  <c r="H8" i="258" s="1"/>
  <c r="F16" i="231"/>
  <c r="H16" i="231" s="1"/>
  <c r="F18" i="231"/>
  <c r="H18" i="231" s="1"/>
  <c r="F15" i="231"/>
  <c r="H15" i="231" s="1"/>
  <c r="F26" i="231"/>
  <c r="H26" i="231" s="1"/>
  <c r="F20" i="231"/>
  <c r="H20" i="231" s="1"/>
  <c r="F24" i="231"/>
  <c r="H24" i="231" s="1"/>
  <c r="F14" i="231"/>
  <c r="H14" i="231" s="1"/>
  <c r="F22" i="231"/>
  <c r="H22" i="231" s="1"/>
  <c r="F11" i="231"/>
  <c r="H11" i="231" s="1"/>
  <c r="F21" i="231"/>
  <c r="H21" i="231" s="1"/>
  <c r="F12" i="231"/>
  <c r="H12" i="231" s="1"/>
  <c r="F10" i="231"/>
  <c r="H10" i="231" s="1"/>
  <c r="H8" i="239"/>
  <c r="H9" i="239" s="1"/>
  <c r="D8" i="268" s="1"/>
  <c r="G13" i="239"/>
  <c r="E8" i="268" s="1"/>
  <c r="H13" i="239"/>
  <c r="F8" i="268" s="1"/>
  <c r="H8" i="241"/>
  <c r="G14" i="241"/>
  <c r="E9" i="268" s="1"/>
  <c r="H8" i="269"/>
  <c r="H9" i="269" s="1"/>
  <c r="H12" i="269" s="1"/>
  <c r="G13" i="269"/>
  <c r="E15" i="268" s="1"/>
  <c r="C9" i="268"/>
  <c r="H13" i="213"/>
  <c r="H15" i="207"/>
  <c r="D10" i="268"/>
  <c r="H17" i="236"/>
  <c r="D22" i="268"/>
  <c r="H22" i="245"/>
  <c r="D14" i="268"/>
  <c r="D3" i="277" l="1"/>
  <c r="G3" i="277" s="1"/>
  <c r="D9" i="277"/>
  <c r="G9" i="277" s="1"/>
  <c r="D17" i="277"/>
  <c r="G17" i="277" s="1"/>
  <c r="D5" i="277"/>
  <c r="G5" i="277" s="1"/>
  <c r="C4" i="277"/>
  <c r="F4" i="277" s="1"/>
  <c r="H12" i="239"/>
  <c r="H13" i="269"/>
  <c r="F15" i="268" s="1"/>
  <c r="H10" i="264"/>
  <c r="H14" i="264"/>
  <c r="F17" i="268" s="1"/>
  <c r="H10" i="241"/>
  <c r="D9" i="268" s="1"/>
  <c r="H14" i="241"/>
  <c r="F9" i="268" s="1"/>
  <c r="H33" i="231"/>
  <c r="F13" i="268" s="1"/>
  <c r="H9" i="258"/>
  <c r="H13" i="258"/>
  <c r="F16" i="268" s="1"/>
  <c r="D15" i="268"/>
  <c r="D10" i="277" l="1"/>
  <c r="G10" i="277" s="1"/>
  <c r="D4" i="277"/>
  <c r="G4" i="277" s="1"/>
  <c r="H13" i="241"/>
  <c r="H12" i="258"/>
  <c r="D16" i="268"/>
  <c r="H13" i="264"/>
  <c r="D17" i="268"/>
  <c r="D11" i="277" l="1"/>
  <c r="G11" i="277" s="1"/>
  <c r="D12" i="277"/>
  <c r="G12" i="277" s="1"/>
  <c r="G9" i="264"/>
  <c r="G10" i="264" s="1"/>
  <c r="G27" i="231"/>
  <c r="G8" i="266"/>
  <c r="G9" i="266" s="1"/>
  <c r="G28" i="231"/>
  <c r="G13" i="264" l="1"/>
  <c r="C17" i="268"/>
  <c r="G12" i="266"/>
  <c r="C21" i="268"/>
  <c r="G29" i="231"/>
  <c r="H19" i="231"/>
  <c r="H29" i="231" s="1"/>
  <c r="H8" i="218"/>
  <c r="H9" i="218" s="1"/>
  <c r="C16" i="277" l="1"/>
  <c r="F16" i="277" s="1"/>
  <c r="C12" i="277"/>
  <c r="F12" i="277" s="1"/>
  <c r="D12" i="268"/>
  <c r="H12" i="218"/>
  <c r="D13" i="268"/>
  <c r="H32" i="231"/>
  <c r="G32" i="231"/>
  <c r="C13" i="268"/>
  <c r="C8" i="277" l="1"/>
  <c r="F8" i="277" s="1"/>
  <c r="D8" i="277"/>
  <c r="G8" i="277" s="1"/>
  <c r="D7" i="277"/>
  <c r="G7" i="277" s="1"/>
  <c r="G18" i="277" s="1"/>
  <c r="D25" i="268" s="1"/>
  <c r="D26" i="268" s="1"/>
  <c r="D29" i="268" s="1"/>
  <c r="AK15" i="245" l="1"/>
  <c r="AP10" i="207" l="1"/>
  <c r="AP11" i="207"/>
  <c r="AP9" i="213"/>
  <c r="AK9" i="245"/>
  <c r="AK13" i="245"/>
  <c r="AK14" i="245"/>
  <c r="AK12" i="245"/>
  <c r="AK17" i="245"/>
  <c r="AK10" i="245"/>
  <c r="AK16" i="245"/>
  <c r="AK18" i="245"/>
  <c r="AP9" i="207"/>
  <c r="AK8" i="245"/>
  <c r="AP8" i="213"/>
  <c r="E8" i="213" s="1"/>
  <c r="AP8" i="207"/>
  <c r="E8" i="207" s="1"/>
  <c r="AM12" i="245"/>
  <c r="AM9" i="245"/>
  <c r="AM8" i="236"/>
  <c r="AN8" i="236" s="1"/>
  <c r="AP8" i="236" s="1"/>
  <c r="AM13" i="245"/>
  <c r="AN13" i="245" s="1"/>
  <c r="AP13" i="245" s="1"/>
  <c r="AM10" i="245"/>
  <c r="AM8" i="245"/>
  <c r="AM15" i="245"/>
  <c r="AN15" i="245" s="1"/>
  <c r="AP15" i="245" s="1"/>
  <c r="AM10" i="236"/>
  <c r="AN10" i="236" s="1"/>
  <c r="AP10" i="236" s="1"/>
  <c r="AM8" i="262"/>
  <c r="AN8" i="262" s="1"/>
  <c r="AP8" i="262" s="1"/>
  <c r="AM11" i="245"/>
  <c r="AM12" i="236"/>
  <c r="AN12" i="236" s="1"/>
  <c r="AP12" i="236" s="1"/>
  <c r="AM9" i="236"/>
  <c r="AN9" i="236" s="1"/>
  <c r="AP9" i="236" s="1"/>
  <c r="AM17" i="245"/>
  <c r="AM14" i="245"/>
  <c r="AM13" i="236"/>
  <c r="AN13" i="236" s="1"/>
  <c r="AP13" i="236" s="1"/>
  <c r="AM11" i="236"/>
  <c r="AN11" i="236" s="1"/>
  <c r="AP11" i="236" s="1"/>
  <c r="AM16" i="245"/>
  <c r="AM18" i="245"/>
  <c r="AM8" i="271"/>
  <c r="AN8" i="271" s="1"/>
  <c r="AP8" i="271" s="1"/>
  <c r="AP8" i="265"/>
  <c r="AK11" i="245"/>
  <c r="E8" i="262" l="1"/>
  <c r="G8" i="262" s="1"/>
  <c r="H13" i="262"/>
  <c r="F18" i="268" s="1"/>
  <c r="E10" i="236"/>
  <c r="G10" i="236" s="1"/>
  <c r="E15" i="245"/>
  <c r="G15" i="245" s="1"/>
  <c r="H13" i="265"/>
  <c r="F20" i="268" s="1"/>
  <c r="E8" i="265"/>
  <c r="G8" i="265" s="1"/>
  <c r="E13" i="245"/>
  <c r="G13" i="245" s="1"/>
  <c r="E13" i="236"/>
  <c r="G13" i="236" s="1"/>
  <c r="E9" i="207"/>
  <c r="G9" i="207" s="1"/>
  <c r="E11" i="236"/>
  <c r="G11" i="236" s="1"/>
  <c r="H13" i="271"/>
  <c r="F19" i="268" s="1"/>
  <c r="E8" i="271"/>
  <c r="G8" i="271" s="1"/>
  <c r="E9" i="236"/>
  <c r="G9" i="236" s="1"/>
  <c r="E9" i="213"/>
  <c r="G9" i="213" s="1"/>
  <c r="E12" i="236"/>
  <c r="G12" i="236" s="1"/>
  <c r="E11" i="207"/>
  <c r="G11" i="207" s="1"/>
  <c r="E8" i="236"/>
  <c r="G8" i="236" s="1"/>
  <c r="H18" i="236"/>
  <c r="F22" i="268" s="1"/>
  <c r="E10" i="207"/>
  <c r="G10" i="207" s="1"/>
  <c r="G8" i="207"/>
  <c r="H16" i="207"/>
  <c r="F10" i="268" s="1"/>
  <c r="G8" i="213"/>
  <c r="H14" i="213"/>
  <c r="F11" i="268" s="1"/>
  <c r="AN11" i="245"/>
  <c r="AP11" i="245" s="1"/>
  <c r="AN8" i="245"/>
  <c r="AP8" i="245" s="1"/>
  <c r="AN14" i="245"/>
  <c r="AP14" i="245" s="1"/>
  <c r="AN9" i="245"/>
  <c r="AP9" i="245" s="1"/>
  <c r="AN17" i="245"/>
  <c r="AP17" i="245" s="1"/>
  <c r="AN12" i="245"/>
  <c r="AP12" i="245" s="1"/>
  <c r="AN18" i="245"/>
  <c r="AP18" i="245" s="1"/>
  <c r="AN16" i="245"/>
  <c r="AP16" i="245" s="1"/>
  <c r="AN10" i="245"/>
  <c r="AP10" i="245" s="1"/>
  <c r="G14" i="213" l="1"/>
  <c r="E11" i="268" s="1"/>
  <c r="G16" i="207"/>
  <c r="E10" i="268" s="1"/>
  <c r="G18" i="236"/>
  <c r="E22" i="268" s="1"/>
  <c r="G14" i="236"/>
  <c r="G9" i="265"/>
  <c r="G13" i="265"/>
  <c r="E20" i="268" s="1"/>
  <c r="G9" i="271"/>
  <c r="G13" i="271"/>
  <c r="E19" i="268" s="1"/>
  <c r="G9" i="262"/>
  <c r="G13" i="262"/>
  <c r="E18" i="268" s="1"/>
  <c r="E9" i="245"/>
  <c r="G9" i="245" s="1"/>
  <c r="H23" i="245"/>
  <c r="F14" i="268" s="1"/>
  <c r="F29" i="268" s="1"/>
  <c r="E8" i="245"/>
  <c r="G8" i="245" s="1"/>
  <c r="E14" i="245"/>
  <c r="G14" i="245" s="1"/>
  <c r="E16" i="245"/>
  <c r="G16" i="245" s="1"/>
  <c r="G10" i="213"/>
  <c r="G13" i="213" s="1"/>
  <c r="E18" i="245"/>
  <c r="G18" i="245" s="1"/>
  <c r="E11" i="245"/>
  <c r="G11" i="245" s="1"/>
  <c r="G12" i="207"/>
  <c r="G15" i="207" s="1"/>
  <c r="E12" i="245"/>
  <c r="G12" i="245" s="1"/>
  <c r="E10" i="245"/>
  <c r="G10" i="245" s="1"/>
  <c r="E17" i="245"/>
  <c r="G17" i="245" s="1"/>
  <c r="C11" i="268"/>
  <c r="C22" i="268"/>
  <c r="G17" i="236"/>
  <c r="C17" i="277" l="1"/>
  <c r="F17" i="277" s="1"/>
  <c r="C6" i="277"/>
  <c r="F6" i="277" s="1"/>
  <c r="G19" i="245"/>
  <c r="C14" i="268" s="1"/>
  <c r="C10" i="268"/>
  <c r="G23" i="245"/>
  <c r="E14" i="268" s="1"/>
  <c r="E29" i="268" s="1"/>
  <c r="G12" i="262"/>
  <c r="C18" i="268"/>
  <c r="G12" i="271"/>
  <c r="C19" i="268"/>
  <c r="G12" i="265"/>
  <c r="C20" i="268"/>
  <c r="C13" i="277" l="1"/>
  <c r="F13" i="277" s="1"/>
  <c r="C5" i="277"/>
  <c r="F5" i="277" s="1"/>
  <c r="F18" i="277" s="1"/>
  <c r="C25" i="268" s="1"/>
  <c r="C26" i="268" s="1"/>
  <c r="C29" i="268" s="1"/>
  <c r="C14" i="277"/>
  <c r="F14" i="277" s="1"/>
  <c r="C9" i="277"/>
  <c r="F9" i="277" s="1"/>
  <c r="C15" i="277"/>
  <c r="F15" i="277" s="1"/>
  <c r="G22" i="245"/>
  <c r="R16" i="276" l="1"/>
</calcChain>
</file>

<file path=xl/sharedStrings.xml><?xml version="1.0" encoding="utf-8"?>
<sst xmlns="http://schemas.openxmlformats.org/spreadsheetml/2006/main" count="2702" uniqueCount="668">
  <si>
    <t>Hirgan Energy Eng. Co.</t>
  </si>
  <si>
    <t>NISOC</t>
  </si>
  <si>
    <t>Project No.: 53-51-91215</t>
  </si>
  <si>
    <t>Contract No.: 53-73-1264</t>
  </si>
  <si>
    <t>Consult. Proj. No.: 9104</t>
  </si>
  <si>
    <t>Proj.</t>
  </si>
  <si>
    <t>Loc.</t>
  </si>
  <si>
    <t>Disc.</t>
  </si>
  <si>
    <t>Type</t>
  </si>
  <si>
    <t>Seq.</t>
  </si>
  <si>
    <t>Rev.</t>
  </si>
  <si>
    <t>ME</t>
  </si>
  <si>
    <t>DS</t>
  </si>
  <si>
    <t>a</t>
  </si>
  <si>
    <t>M.F.</t>
  </si>
  <si>
    <t>M.Kh.</t>
  </si>
  <si>
    <t>M.M.</t>
  </si>
  <si>
    <t>REV.</t>
  </si>
  <si>
    <t>DATE</t>
  </si>
  <si>
    <t>P.O.I.</t>
  </si>
  <si>
    <t>PREPARED</t>
  </si>
  <si>
    <t>CHECKED</t>
  </si>
  <si>
    <t>APPROVED</t>
  </si>
  <si>
    <t>AUTHORIZED</t>
  </si>
  <si>
    <t>CHANGE RECORD SHEET</t>
  </si>
  <si>
    <t>PAGE</t>
  </si>
  <si>
    <t>R01</t>
  </si>
  <si>
    <t>R02</t>
  </si>
  <si>
    <t>R03</t>
  </si>
  <si>
    <t>R04</t>
  </si>
  <si>
    <t>SERVICE</t>
  </si>
  <si>
    <t>TYPE</t>
  </si>
  <si>
    <t>ORIENTATION</t>
  </si>
  <si>
    <t>*</t>
  </si>
  <si>
    <t>N/A</t>
  </si>
  <si>
    <t>VENT</t>
  </si>
  <si>
    <t>DRAIN</t>
  </si>
  <si>
    <t>ULTRASONIC</t>
  </si>
  <si>
    <t>RADIOGRAPHY</t>
  </si>
  <si>
    <t>TRANS. No.</t>
  </si>
  <si>
    <t>Page No: 4  of 9</t>
  </si>
  <si>
    <t>NOTES</t>
  </si>
  <si>
    <t>32</t>
  </si>
  <si>
    <t>48</t>
  </si>
  <si>
    <t>-</t>
  </si>
  <si>
    <t>5</t>
  </si>
  <si>
    <t>1</t>
  </si>
  <si>
    <t>SERVICE:</t>
  </si>
  <si>
    <t>MANUFACTURER:</t>
  </si>
  <si>
    <t>2</t>
  </si>
  <si>
    <t>FOR:</t>
  </si>
  <si>
    <t>MODEL NO:</t>
  </si>
  <si>
    <t>3</t>
  </si>
  <si>
    <t>SITE:</t>
  </si>
  <si>
    <t>TYPE:</t>
  </si>
  <si>
    <t>4</t>
  </si>
  <si>
    <t>NO. REQUIRED:</t>
  </si>
  <si>
    <t>TWO</t>
    <phoneticPr fontId="4" type="noConversion"/>
  </si>
  <si>
    <t>PROCESS DESIGN DATA</t>
  </si>
  <si>
    <t>CONTENTS</t>
  </si>
  <si>
    <t>VAPOUR FLOW</t>
  </si>
  <si>
    <t>(kg/h)</t>
  </si>
  <si>
    <t>6</t>
  </si>
  <si>
    <t>OPERATING TEMP.</t>
  </si>
  <si>
    <t>(°C)</t>
  </si>
  <si>
    <t>REFER SECTION 2.1</t>
  </si>
  <si>
    <t>(kg/kgmol)</t>
  </si>
  <si>
    <t>7</t>
  </si>
  <si>
    <t>OPERATING PRESSURE</t>
  </si>
  <si>
    <t>(barg)</t>
  </si>
  <si>
    <t>* (REFER SECTION 2.1)</t>
  </si>
  <si>
    <t>LIQUID SPECIFIC GRAVITY</t>
  </si>
  <si>
    <t>8</t>
  </si>
  <si>
    <t>HOLDING CAPACITY</t>
  </si>
  <si>
    <r>
      <t>(m</t>
    </r>
    <r>
      <rPr>
        <vertAlign val="superscript"/>
        <sz val="7"/>
        <color indexed="8"/>
        <rFont val="Trebuchet MS"/>
        <family val="2"/>
      </rPr>
      <t>3</t>
    </r>
    <r>
      <rPr>
        <sz val="7"/>
        <color indexed="8"/>
        <rFont val="Trebuchet MS"/>
        <family val="2"/>
      </rPr>
      <t>)</t>
    </r>
  </si>
  <si>
    <t>LIQUID VISCOSITY</t>
  </si>
  <si>
    <t>(cP)</t>
  </si>
  <si>
    <t>9</t>
  </si>
  <si>
    <t>LIQUID FLOW</t>
  </si>
  <si>
    <r>
      <t>(m</t>
    </r>
    <r>
      <rPr>
        <vertAlign val="superscript"/>
        <sz val="7"/>
        <color indexed="8"/>
        <rFont val="Trebuchet MS"/>
        <family val="2"/>
      </rPr>
      <t>3</t>
    </r>
    <r>
      <rPr>
        <sz val="7"/>
        <color indexed="8"/>
        <rFont val="Trebuchet MS"/>
        <family val="2"/>
      </rPr>
      <t>/h)</t>
    </r>
  </si>
  <si>
    <t>REFER SECTION 2.1 (REMARK 2)</t>
    <phoneticPr fontId="4" type="noConversion"/>
  </si>
  <si>
    <t>PROCESS DESIGN REQUIREMENTS</t>
  </si>
  <si>
    <t>REFER SECTION 2.5</t>
  </si>
  <si>
    <t xml:space="preserve">Refer Section </t>
  </si>
  <si>
    <t>MECHANICAL DESIGN DATA</t>
  </si>
  <si>
    <t>10</t>
  </si>
  <si>
    <t>DESIGN TEMPERATURE (MIN/MAX)</t>
  </si>
  <si>
    <t>VESSEL ORIENTATION</t>
  </si>
  <si>
    <t>HORIZONTAL</t>
  </si>
  <si>
    <t>11</t>
  </si>
  <si>
    <t>DESIGN PRESSURE</t>
  </si>
  <si>
    <t>TOTAL VOLUME MAX. OPER.</t>
  </si>
  <si>
    <t>12</t>
  </si>
  <si>
    <t>TEST PRESSURE</t>
  </si>
  <si>
    <t>NORMAL LIQUID VOLUME</t>
  </si>
  <si>
    <t>13</t>
  </si>
  <si>
    <t>INTERNAL VACUUM</t>
  </si>
  <si>
    <t>(mm Hg)</t>
  </si>
  <si>
    <t>FULL VACUUM *</t>
  </si>
  <si>
    <t>ERECTION/SHIPPING WEIGHT</t>
  </si>
  <si>
    <t>(kg)</t>
  </si>
  <si>
    <t>14</t>
  </si>
  <si>
    <t>DIAMETER OF SHELL</t>
  </si>
  <si>
    <t>(mm)</t>
  </si>
  <si>
    <t>TOTAL OPERATING WEIGHT</t>
  </si>
  <si>
    <t>15</t>
  </si>
  <si>
    <t>TAN. TO TAN. DIMENSION</t>
  </si>
  <si>
    <t>WEIGHT FULL OF WATER</t>
  </si>
  <si>
    <t>16</t>
  </si>
  <si>
    <t>WALL THICKNESS SHELL</t>
  </si>
  <si>
    <t>INTERNALS:</t>
  </si>
  <si>
    <t>17</t>
  </si>
  <si>
    <t>WALL THICKNESS HEAD</t>
  </si>
  <si>
    <t>EXPLOSION BLAST LOAD</t>
  </si>
  <si>
    <r>
      <t xml:space="preserve"> (kN/m</t>
    </r>
    <r>
      <rPr>
        <vertAlign val="superscript"/>
        <sz val="7"/>
        <color indexed="8"/>
        <rFont val="Trebuchet MS"/>
        <family val="2"/>
      </rPr>
      <t>2</t>
    </r>
    <r>
      <rPr>
        <sz val="7"/>
        <color indexed="8"/>
        <rFont val="Trebuchet MS"/>
        <family val="2"/>
      </rPr>
      <t>)</t>
    </r>
  </si>
  <si>
    <t>18</t>
  </si>
  <si>
    <t>CORROSION ALLOWANCE</t>
  </si>
  <si>
    <t>ACCELERATION TOW OUT</t>
  </si>
  <si>
    <t>19</t>
  </si>
  <si>
    <t>JOINT EFFICIENCY</t>
  </si>
  <si>
    <t>WIND LOAD</t>
  </si>
  <si>
    <t>(m/s)</t>
  </si>
  <si>
    <t>20</t>
  </si>
  <si>
    <t>HEAD FORM</t>
  </si>
  <si>
    <t>INSULATION THICKNESS</t>
  </si>
  <si>
    <t xml:space="preserve"> REMARK 3  (HOLD 5)</t>
    <phoneticPr fontId="4" type="noConversion"/>
  </si>
  <si>
    <t>STANDARDS AND SPECIFICATIONS</t>
  </si>
  <si>
    <t>21</t>
  </si>
  <si>
    <t>CODE</t>
  </si>
  <si>
    <t>ASME VIII DIV 1 + 'U' STAMP</t>
  </si>
  <si>
    <t>SPECIFICATION</t>
  </si>
  <si>
    <t>YAP1-CTEP00-MEVE-SPEQ-1001</t>
  </si>
  <si>
    <t>MATERIALS</t>
  </si>
  <si>
    <t>22</t>
  </si>
  <si>
    <t>SHELL</t>
  </si>
  <si>
    <t>ASME SA 516 GR 70 *</t>
  </si>
  <si>
    <t>FLANGES</t>
  </si>
  <si>
    <t>ASME SA 105*</t>
  </si>
  <si>
    <t>23</t>
  </si>
  <si>
    <t>HEADS</t>
  </si>
  <si>
    <t>ASME SA 516 GR 70  *</t>
  </si>
  <si>
    <t>NOZZLE</t>
  </si>
  <si>
    <t>: PIPES</t>
  </si>
  <si>
    <t>ASME SA 106 GR B*</t>
  </si>
  <si>
    <t>24</t>
  </si>
  <si>
    <t>LINING / CLADDING</t>
  </si>
  <si>
    <t>(NOTE 4) *</t>
    <phoneticPr fontId="4" type="noConversion"/>
  </si>
  <si>
    <t>NECKS</t>
  </si>
  <si>
    <t>: PLATES</t>
  </si>
  <si>
    <t>ASME SA 516 GR 70*</t>
  </si>
  <si>
    <t>25</t>
  </si>
  <si>
    <t>SUPPORT</t>
  </si>
  <si>
    <t>: SKIRT</t>
  </si>
  <si>
    <t>: FORGINGS</t>
  </si>
  <si>
    <t>26</t>
  </si>
  <si>
    <t>: SADDLES</t>
  </si>
  <si>
    <t>EXTERNAL BOLTS</t>
  </si>
  <si>
    <t>ASME SA 193 GR B7M  *</t>
    <phoneticPr fontId="4" type="noConversion"/>
  </si>
  <si>
    <t>27</t>
  </si>
  <si>
    <t>STRUCTURAL SHAPES</t>
  </si>
  <si>
    <t xml:space="preserve">CARBON STEEL * </t>
    <phoneticPr fontId="4" type="noConversion"/>
  </si>
  <si>
    <t>EXTERNAL NUTS</t>
  </si>
  <si>
    <t>ASME SA 194 GR 2HM  *</t>
    <phoneticPr fontId="4" type="noConversion"/>
  </si>
  <si>
    <t>28</t>
  </si>
  <si>
    <t>INTERNALS</t>
  </si>
  <si>
    <t xml:space="preserve">CARBON STEEL * </t>
  </si>
  <si>
    <t>INTERNAL BOLTS</t>
  </si>
  <si>
    <t>ASME SA 193 GR B8 *</t>
  </si>
  <si>
    <t>29</t>
  </si>
  <si>
    <t>GASKETS</t>
  </si>
  <si>
    <t>SPIRAL WOUND GRAPHOIL FILLED *</t>
    <phoneticPr fontId="4" type="noConversion"/>
  </si>
  <si>
    <t>INTERNAL NUTS</t>
  </si>
  <si>
    <t>ASME SA 194 GR  8 *</t>
  </si>
  <si>
    <t>30</t>
  </si>
  <si>
    <t>LIFTING LUGS</t>
  </si>
  <si>
    <t>PLATES &amp; PADS</t>
  </si>
  <si>
    <t>AS SHELL</t>
  </si>
  <si>
    <t>FABRICATION AND INSPECTION REQUIREMENTS</t>
  </si>
  <si>
    <t>31</t>
  </si>
  <si>
    <t>INSPECTION AUTHORITY</t>
  </si>
  <si>
    <t>THIRD PARTY STAGE INSPECTION (*)</t>
    <phoneticPr fontId="4" type="noConversion"/>
  </si>
  <si>
    <t>DYE PENETRANT</t>
  </si>
  <si>
    <t>PER CODE &amp; SPEC REQUIREMENTS</t>
  </si>
  <si>
    <t>POST WELD HEAT TREATMENT</t>
  </si>
  <si>
    <t>33</t>
  </si>
  <si>
    <t>SPECIAL HEAT TREATMENT</t>
  </si>
  <si>
    <t>PNEUMATIC TEST</t>
  </si>
  <si>
    <t>34</t>
  </si>
  <si>
    <t>IMPACT TESTS</t>
  </si>
  <si>
    <t>35</t>
  </si>
  <si>
    <t>MAGNETIC PARTICLE</t>
  </si>
  <si>
    <t>HYDRO TEST</t>
  </si>
  <si>
    <t>36</t>
  </si>
  <si>
    <t>MATERIAL CERTIFICATIONS</t>
  </si>
  <si>
    <t>IN ACCORDANCE WITH BS EN 10204, TYPE 3.1 MINIMUM FOR PRESSURE CONTAINING COMPONENTS AND ATTACHMENTS</t>
  </si>
  <si>
    <t>PROTECTIVE COATING DATA</t>
  </si>
  <si>
    <t>37</t>
  </si>
  <si>
    <t>SURFACE PREPARATION</t>
  </si>
  <si>
    <t>INSIDE :</t>
  </si>
  <si>
    <t>CLEAN &amp; DRY</t>
  </si>
  <si>
    <t>OUTSIDE :</t>
  </si>
  <si>
    <t>IPS-E-TP-100</t>
  </si>
  <si>
    <t>38</t>
  </si>
  <si>
    <t>PAINT</t>
  </si>
  <si>
    <t>39</t>
  </si>
  <si>
    <t>40</t>
  </si>
  <si>
    <t>REMARKS:-</t>
  </si>
  <si>
    <t>41</t>
  </si>
  <si>
    <t>DESIGN PRESSURE SPECIFIED IS AT TOP OF VESSEL. VENDOR/BIDDER DESIGN SHALL INCLUDE STATIC HEAD FOR VESSEL HLL WITH LIQUID OF SPECIFIC GRAVITY 1.0.</t>
  </si>
  <si>
    <t>42</t>
  </si>
  <si>
    <t>10% DESIGN MARGIN SHALL BE INCLUDED ON THE FLOW RATE.</t>
  </si>
  <si>
    <t>43</t>
  </si>
  <si>
    <t xml:space="preserve">IF THE VESSEL IS LOCATED IN FIRE HAZARDOUS AREA (WILL BE DETERMINED LATER BASED ON EQUIPMENT LAYOUTS), </t>
  </si>
  <si>
    <t>44</t>
  </si>
  <si>
    <t xml:space="preserve">STAINLESS STEEL JACKETING SHALL BE USED OVER INSULATION. </t>
    <phoneticPr fontId="4" type="noConversion"/>
  </si>
  <si>
    <t>45</t>
  </si>
  <si>
    <t>46</t>
  </si>
  <si>
    <t>47</t>
  </si>
  <si>
    <t>49</t>
  </si>
  <si>
    <t>50</t>
  </si>
  <si>
    <t>VESSEL LAYOUT DETAILS</t>
  </si>
  <si>
    <t xml:space="preserve">NOTE : </t>
  </si>
  <si>
    <t>DIMENSIONS IN MILLIMETRES</t>
  </si>
  <si>
    <t>LIQUID LEVELS : VENDOR/BIDDER SHALL ADVISE</t>
    <phoneticPr fontId="12" type="noConversion"/>
  </si>
  <si>
    <t>VENDOR/BIDDER SHALL INDICATE INTERNAL DETAILS</t>
    <phoneticPr fontId="12" type="noConversion"/>
  </si>
  <si>
    <t>NOZZLE INDICATED ARE MINIMUM REQUIREMENT. VENDOR/BIDDER SHALL PROVIDE ADDITIONAL NOZZLES BASED ON DESIGN.</t>
    <phoneticPr fontId="12" type="noConversion"/>
  </si>
  <si>
    <t>NOZZLE CONNECTION SCHEDULE *</t>
  </si>
  <si>
    <t>MK</t>
  </si>
  <si>
    <t>No:</t>
  </si>
  <si>
    <t>SIZE</t>
  </si>
  <si>
    <t>RATING</t>
  </si>
  <si>
    <t>FACE</t>
  </si>
  <si>
    <t>STANDOUT</t>
  </si>
  <si>
    <t>REMARKS</t>
  </si>
  <si>
    <t>N1</t>
  </si>
  <si>
    <t>1 *</t>
  </si>
  <si>
    <t>12" *</t>
    <phoneticPr fontId="16" type="noConversion"/>
  </si>
  <si>
    <t>150#</t>
    <phoneticPr fontId="16" type="noConversion"/>
  </si>
  <si>
    <t>RF</t>
  </si>
  <si>
    <t>WN</t>
  </si>
  <si>
    <t xml:space="preserve">FEED INLET </t>
  </si>
  <si>
    <t>N2</t>
  </si>
  <si>
    <t>CRUDE OUTLET</t>
  </si>
  <si>
    <t xml:space="preserve">N3 </t>
  </si>
  <si>
    <t>1*</t>
  </si>
  <si>
    <t xml:space="preserve"> *</t>
  </si>
  <si>
    <t>GAS OUTLET</t>
  </si>
  <si>
    <t>N4</t>
  </si>
  <si>
    <t>2" *</t>
  </si>
  <si>
    <t>300#</t>
    <phoneticPr fontId="16" type="noConversion"/>
  </si>
  <si>
    <t>LWN</t>
    <phoneticPr fontId="16" type="noConversion"/>
  </si>
  <si>
    <t>UTILITY</t>
  </si>
  <si>
    <t>N5</t>
  </si>
  <si>
    <t>3" *</t>
  </si>
  <si>
    <t>N6</t>
  </si>
  <si>
    <t>N7</t>
  </si>
  <si>
    <t>N8</t>
  </si>
  <si>
    <t>N9A/B</t>
  </si>
  <si>
    <t>2 *</t>
  </si>
  <si>
    <t>4" *</t>
  </si>
  <si>
    <t>LEVEL TRANSMITTER</t>
    <phoneticPr fontId="16" type="noConversion"/>
  </si>
  <si>
    <t>PAIRDED NOZZLES SHALL BE JIG-SET</t>
    <phoneticPr fontId="16" type="noConversion"/>
  </si>
  <si>
    <t>N10A/B</t>
  </si>
  <si>
    <t>LEVEL GAUGE</t>
  </si>
  <si>
    <t>N11</t>
  </si>
  <si>
    <t>PRESSURE TRANSMITTER</t>
  </si>
  <si>
    <t>N12</t>
  </si>
  <si>
    <t>N13A/B</t>
  </si>
  <si>
    <t>LEVEL BRIDLE</t>
  </si>
  <si>
    <t>N14</t>
  </si>
  <si>
    <t>PSV</t>
  </si>
  <si>
    <t>MW 1/2</t>
  </si>
  <si>
    <t>24" *</t>
  </si>
  <si>
    <t>MANWAY C/W DAVIT</t>
    <phoneticPr fontId="16" type="noConversion"/>
  </si>
  <si>
    <t xml:space="preserve">THE VENDOR/BIDDER SHALL CONFIRM FLANGE SIZES AND RATING ON BATTERY LIMIT, BETWEEN THE PACKAGE FOR ALL PROCESS AND </t>
    <phoneticPr fontId="12" type="noConversion"/>
  </si>
  <si>
    <t>UTILITY PIPING.</t>
  </si>
  <si>
    <t xml:space="preserve">NOZZLE INDICATED ABOVE ARE THE MINIMUM REQUIREMENT AND VENDOR/BIDDER SHALL CONFIRM OR PROVIDE ADDITIONAL NOZZLES </t>
    <phoneticPr fontId="12" type="noConversion"/>
  </si>
  <si>
    <t>REQUIRED, IF ANY.</t>
  </si>
  <si>
    <t>VAPOUR MOLEC. WT</t>
  </si>
  <si>
    <t>Basic Design Study and FEED Package Preparation for Construct New KOOPAL (ASMARI &amp; BANGESTAN) Desalting Unit</t>
  </si>
  <si>
    <t>KPL</t>
  </si>
  <si>
    <t>Document Title : 
MECH. D.S. For DESALTING PACKAGES</t>
  </si>
  <si>
    <t xml:space="preserve">VENDOR/BIDDER SHALL DESIGN AND PROVIDE THE INTERNAL SACRIFICIAL ANODES IN ACCORDANCE WITH IPS-E-TP-820 AND IPS-M-TP-750. LIFE OF ANODES SHALL BE </t>
  </si>
  <si>
    <t>MINIMUM 5 YEARS.</t>
  </si>
  <si>
    <t xml:space="preserve"> (MAX)</t>
  </si>
  <si>
    <t>2st Stage Desalter / DE-112 (1 of 3)</t>
  </si>
  <si>
    <t>2st Stage Desalter / DE-112 (2 of 3)</t>
  </si>
  <si>
    <t>2st Stage Desalter / DE-112 (3 of 3)</t>
  </si>
  <si>
    <t>ASMARI TRAIN / DESALTING PACKAGE MECH. D.S. / PK-111 (Sheet 7 of 19)</t>
  </si>
  <si>
    <t>ASMARI TRAIN / DESALTING PACKAGE MECH. D.S. / PK-111 (Sheet 8 of 19)</t>
  </si>
  <si>
    <t>ASMARI TRAIN / DESALTING PACKAGE MECH. D.S. / PK-111 (Sheet 9 of 19)</t>
  </si>
  <si>
    <t>ASMARI TRAIN / DESALTING PACKAGE MECH. D.S. / PK-111 (Sheet 7 of 16)</t>
  </si>
  <si>
    <t>ASMARI TRAIN / DESALTING PACKAGE MECH. D.S. / PK-111 (Sheet 8 of 16)</t>
  </si>
  <si>
    <t>ASMARI TRAIN / DESALTING PACKAGE MECH. D.S. / PK-111 (Sheet 9 of 16)</t>
  </si>
  <si>
    <r>
      <rPr>
        <b/>
        <sz val="14"/>
        <color indexed="8"/>
        <rFont val="Arial"/>
        <family val="2"/>
      </rPr>
      <t>DOCUMENT TITLE:</t>
    </r>
    <r>
      <rPr>
        <b/>
        <sz val="8"/>
        <color indexed="8"/>
        <rFont val="Times New Roman"/>
        <family val="1"/>
      </rPr>
      <t xml:space="preserve">
</t>
    </r>
    <r>
      <rPr>
        <b/>
        <sz val="16"/>
        <color indexed="8"/>
        <rFont val="Arial"/>
        <family val="2"/>
      </rPr>
      <t xml:space="preserve">MECHANICAL BASIC DESIGN MTO
&amp; COST ESTIMATION REPORT
</t>
    </r>
    <r>
      <rPr>
        <b/>
        <sz val="8"/>
        <color indexed="8"/>
        <rFont val="Times New Roman"/>
        <family val="1"/>
      </rPr>
      <t xml:space="preserve">
</t>
    </r>
  </si>
  <si>
    <t>Item No.</t>
  </si>
  <si>
    <t>Description</t>
  </si>
  <si>
    <t>Total Price (Rials)</t>
  </si>
  <si>
    <t>Total Price (Euros)</t>
  </si>
  <si>
    <t>Unit Price
(Rials)</t>
  </si>
  <si>
    <t>Total Price
(Rials)</t>
  </si>
  <si>
    <t>V-171</t>
  </si>
  <si>
    <t>Qty.
(Set)</t>
  </si>
  <si>
    <t>TANKS</t>
  </si>
  <si>
    <t>TK-111</t>
  </si>
  <si>
    <t>VESSELS</t>
  </si>
  <si>
    <t>PLATE &amp; FRAME HEAT EXCHANGERS</t>
  </si>
  <si>
    <t>E-111</t>
  </si>
  <si>
    <t>PUMPS</t>
  </si>
  <si>
    <t>P-136 A/B</t>
  </si>
  <si>
    <t>P-137 A/B</t>
  </si>
  <si>
    <t>P-151 A/B</t>
  </si>
  <si>
    <t>P-161 A/B</t>
  </si>
  <si>
    <t>P-162</t>
  </si>
  <si>
    <t>P-122 A/B</t>
  </si>
  <si>
    <t>OVERHEAD TRAVELING CRANES</t>
  </si>
  <si>
    <t xml:space="preserve">DESALTING PACKAGES </t>
  </si>
  <si>
    <t>PK-111</t>
  </si>
  <si>
    <t xml:space="preserve">INDIRECT FIRED HEATER PACKAGES </t>
  </si>
  <si>
    <t>H-111 A/B</t>
  </si>
  <si>
    <t>H-112</t>
  </si>
  <si>
    <t>CHEMICAL INJECTION PACKAGES</t>
  </si>
  <si>
    <t>IGF PACKAGES</t>
  </si>
  <si>
    <t>PK-131</t>
  </si>
  <si>
    <t>FLARE PACKAGES</t>
  </si>
  <si>
    <t>PK-181</t>
  </si>
  <si>
    <t>FILTERS</t>
  </si>
  <si>
    <t>PK-132</t>
  </si>
  <si>
    <t>PK-142</t>
  </si>
  <si>
    <t>AIR COMPRESSOR PACKAGES</t>
  </si>
  <si>
    <t>AIR DRYER PACKAGES</t>
  </si>
  <si>
    <t>PK-212</t>
  </si>
  <si>
    <t>Air Dryer Packages</t>
  </si>
  <si>
    <t>No.</t>
  </si>
  <si>
    <t>DESCRIPTION</t>
  </si>
  <si>
    <t>Desalting Packages</t>
  </si>
  <si>
    <t>Vessels</t>
  </si>
  <si>
    <t>Tanks</t>
  </si>
  <si>
    <t>Pumps</t>
  </si>
  <si>
    <t>IGF Packages</t>
  </si>
  <si>
    <t>Filters</t>
  </si>
  <si>
    <t>Flare Packages</t>
  </si>
  <si>
    <t>Plate &amp; Frame H. Ex.</t>
  </si>
  <si>
    <t>Chemical Inj. Packages</t>
  </si>
  <si>
    <t>Air Comp. Packages</t>
  </si>
  <si>
    <t>Overhead Travel. Cranes</t>
  </si>
  <si>
    <t>V-141</t>
  </si>
  <si>
    <t>V-151</t>
  </si>
  <si>
    <t>V-161</t>
  </si>
  <si>
    <t>TK-191 A/B</t>
  </si>
  <si>
    <t>P-111 A/B</t>
  </si>
  <si>
    <t>P-139 A/B/C</t>
  </si>
  <si>
    <t>P-124</t>
  </si>
  <si>
    <t>P-125 A/B</t>
  </si>
  <si>
    <t>P-138 A/B</t>
  </si>
  <si>
    <t>P-164 A/B</t>
  </si>
  <si>
    <t>P-171</t>
  </si>
  <si>
    <t>P-194 A/B</t>
  </si>
  <si>
    <t>P-192</t>
  </si>
  <si>
    <t>P-193</t>
  </si>
  <si>
    <t>P-191</t>
  </si>
  <si>
    <t>P-163 A/B</t>
  </si>
  <si>
    <t>P-210 A/B</t>
  </si>
  <si>
    <t>P-211</t>
  </si>
  <si>
    <t>P-165 A/B</t>
  </si>
  <si>
    <t>PK-180</t>
  </si>
  <si>
    <t>PK-182</t>
  </si>
  <si>
    <t>PK-183</t>
  </si>
  <si>
    <t>PK-184</t>
  </si>
  <si>
    <t>PK-185</t>
  </si>
  <si>
    <t>PK-186</t>
  </si>
  <si>
    <t>PK-187</t>
  </si>
  <si>
    <t>PK-188</t>
  </si>
  <si>
    <t>PK-189</t>
  </si>
  <si>
    <t>DEAERATION PACKAGES</t>
  </si>
  <si>
    <t>PK-121</t>
  </si>
  <si>
    <t>F-121</t>
  </si>
  <si>
    <t>PK-151</t>
  </si>
  <si>
    <t>PK-141 A/B</t>
  </si>
  <si>
    <t>CN-131</t>
  </si>
  <si>
    <t>CN-141</t>
  </si>
  <si>
    <t>CN-161</t>
  </si>
  <si>
    <t>CN-181</t>
  </si>
  <si>
    <t>CN-182</t>
  </si>
  <si>
    <t>CN-191</t>
  </si>
  <si>
    <t>Deaeration Packages</t>
  </si>
  <si>
    <t>Unit Price
'FOB' (€)</t>
  </si>
  <si>
    <t>Total Price 'FOB'
(€)</t>
  </si>
  <si>
    <t>Indirect Fired Heater Packages</t>
  </si>
  <si>
    <t>BURN PIT IGNITION PACKAGES</t>
  </si>
  <si>
    <t>PK-201</t>
  </si>
  <si>
    <t>Burn Pit Ignition Packages</t>
  </si>
  <si>
    <t>PROCUREMENT 
MTO &amp; COST ESTIMATION</t>
  </si>
  <si>
    <t>TOTAL PROCUREMENT NET PRICE</t>
  </si>
  <si>
    <t>R00</t>
  </si>
  <si>
    <t>IFC</t>
  </si>
  <si>
    <t>JUN. 2014</t>
  </si>
  <si>
    <t>SEP. 2014</t>
  </si>
  <si>
    <t>91211-TN-ME-0286</t>
  </si>
  <si>
    <t>X</t>
  </si>
  <si>
    <t>IBB</t>
  </si>
  <si>
    <t>91211-TN-ME-0316</t>
  </si>
  <si>
    <t>FEB. 2015</t>
  </si>
  <si>
    <t>91211-TN-ME-0304</t>
  </si>
  <si>
    <t>Lab. Equipment and Devices</t>
  </si>
  <si>
    <t>استعلام 1</t>
  </si>
  <si>
    <t>استعلام 2</t>
  </si>
  <si>
    <t>استعلام 3</t>
  </si>
  <si>
    <t>منبع</t>
  </si>
  <si>
    <t>بهای واحد (ریال)</t>
  </si>
  <si>
    <t>بهای واحد (یورو)</t>
  </si>
  <si>
    <t>مصنوعات فلزی سنگین</t>
  </si>
  <si>
    <t>ماشین فولاد جنوب</t>
  </si>
  <si>
    <t>طرح مکانیک گستر شیراز</t>
  </si>
  <si>
    <t>تاریخ مرجع</t>
  </si>
  <si>
    <t>توان سازه کیان</t>
  </si>
  <si>
    <t>ماشین سازی منگان</t>
  </si>
  <si>
    <t>سازه های فلزی و جرثقیل فسان</t>
  </si>
  <si>
    <t>بهای واحد (دلار)</t>
  </si>
  <si>
    <t>استعلام 4</t>
  </si>
  <si>
    <t>استعلام 5</t>
  </si>
  <si>
    <t>پایساز</t>
  </si>
  <si>
    <t>تاشا</t>
  </si>
  <si>
    <t>ماشین سازی اراک</t>
  </si>
  <si>
    <t>پولادورزان کیمیا</t>
  </si>
  <si>
    <t>02/29/2025</t>
  </si>
  <si>
    <t>2/29/2025</t>
  </si>
  <si>
    <t>فراز کمپرسور</t>
  </si>
  <si>
    <t>صنایع هوای فشرده</t>
  </si>
  <si>
    <t>هوایار</t>
  </si>
  <si>
    <t>آبسان پالایش</t>
  </si>
  <si>
    <t>چمان</t>
  </si>
  <si>
    <t>هامون راه</t>
  </si>
  <si>
    <t>no reply</t>
  </si>
  <si>
    <t>آریا سپهر کیهان</t>
  </si>
  <si>
    <t>پمپیران</t>
  </si>
  <si>
    <t>کالای پمپ</t>
  </si>
  <si>
    <t>دالاهو پارس کیش (دمکو)</t>
  </si>
  <si>
    <t>declined</t>
  </si>
  <si>
    <t>نواندیشان آریا</t>
  </si>
  <si>
    <t>زلال ایران</t>
  </si>
  <si>
    <t>کاردانان شرق</t>
  </si>
  <si>
    <t>کندر صنعت پارتیان</t>
  </si>
  <si>
    <t>ماشین سازی نیو</t>
  </si>
  <si>
    <t>استعلام 6</t>
  </si>
  <si>
    <t>استعلام 7</t>
  </si>
  <si>
    <t>استعلام 8</t>
  </si>
  <si>
    <t>استعلام 9</t>
  </si>
  <si>
    <t>استعلام 10</t>
  </si>
  <si>
    <t>استعلام 11</t>
  </si>
  <si>
    <t>استعلام 12</t>
  </si>
  <si>
    <t>استعلام 13</t>
  </si>
  <si>
    <t>گازتک ایرانیان</t>
  </si>
  <si>
    <t>انرزی گستر ماد</t>
  </si>
  <si>
    <t>Thermo Engineering, Italy</t>
  </si>
  <si>
    <t>خرد صنعت</t>
  </si>
  <si>
    <t>Aker Solutions, Norway</t>
  </si>
  <si>
    <t>Petro Technca, Canada</t>
  </si>
  <si>
    <t>Axens, France</t>
  </si>
  <si>
    <t>Desalters LLC, USA</t>
  </si>
  <si>
    <t>Sulzer, USA</t>
  </si>
  <si>
    <t>Howe Baker</t>
  </si>
  <si>
    <t>Process Systems, France</t>
  </si>
  <si>
    <t>شرکت چمان</t>
  </si>
  <si>
    <t>گرما گستر</t>
  </si>
  <si>
    <t>کول سامر</t>
  </si>
  <si>
    <t>پرگاسیران</t>
  </si>
  <si>
    <t>Project Title: Revamping of Pazanan II Desalting Plant</t>
  </si>
  <si>
    <t>Sub-Project Title: Basic Design Studies and Preparation of FEED Package for Revamping of Pazanan II Desalting Plant</t>
  </si>
  <si>
    <t>Project Budget Ref. 03229 (formerly 53-51-91211)</t>
  </si>
  <si>
    <t>Doc. Title:  BASIC MTO &amp; COST ESTMATION REPORT (MECHANICAL)</t>
  </si>
  <si>
    <t>Doc. Ref. 91211-PZN-ME-RE-451-R02</t>
  </si>
  <si>
    <t>Desalting Package
Type: Electrostatic - AC / DC
Including 1st Desalter
(W/ 3 x 50% Transformer), Recycle Pumps, 
Related Piping, Instruments, etc.
Desalter Vessel Tag No.: DE-111
Vessels Dim. (ID x TL-TL): 3658 x 16764 mm
Vessels Design Pressure: 15.5 Barg
Vessels Design Temperature: -2.8 / 95 oC
Vessels Mat. (Shell/Heads): SA 516 Gr. 70
NACE 'MR-0175' Required: Yes
Vessel Design Code &amp; Standard: 
ASME VIII, DIV.1 &amp; IPS-G-ME-150
Recycle Pumps Tag Nos.: P-112 A/B
Pumps Type: Centrifugal (OH2)
Pumps Rated Flow (m3/hr): 20.2
Pumps Differential Pressure (Barg): 4.5
Pumps Material Class(Acc. to API 610): D2
NACE 'MR-0175' Required: Yes
Pumps Design Code &amp; Standard: API 610
&amp; IPS-G-PM-105</t>
  </si>
  <si>
    <t>Oil Indirect Fired Heater Packages
Rated Heat Exchanged (KW): 7725
 Shell Dim. (ID x TL-TL): 3900 x 12000 mm
Design Press. (Shell/Coils): 0.3/15.5 Barg
Design Temperature: -2.8 / 120 oC
Material (Shell/Heads): SA 516 Gr. 70
Material (Coils): SA 106 Gr. B
NACE 'MR-0175' Required: Yes (for Coils)
Design Code &amp; Standard: API Spec.12K
, ASME VIII, DIV.1 &amp; IPS-G-ME-200</t>
  </si>
  <si>
    <t>Water Indirect Fired Heater Packages
Rated Heat Exchanged (KW): 4174
 Dimsion (ID x TL-TL):  2800 x 10400 mm
Design Press. (Shell/Coils): 0.3/15.5 Barg
Design Temperature: -2.8 / 120 oC
Material (Shell/Heads): SA 516 Gr. 70
Material (Coils): SA 106 Gr. B
Design Code &amp; Standard: API Spec.12K
, ASME VIII, DIV.1 &amp; IPS-G-ME-200</t>
  </si>
  <si>
    <t>Air Receiver
Size (ID x TL-TL): 2300 x 6900 mm
Installation Position: Vertical
Design Pressure: 13.5 Barg
Design Temperature: -2.8 / 85 oC
Material (Shell/Heads): SA 516 Gr. 70
Design Code &amp; Standard: ASME VIII, DIV.1
&amp; IPS-G-ME-150</t>
  </si>
  <si>
    <t xml:space="preserve">Flare K.O. Drum
Size (ID x TL-TL): 1300 x 3900 mm
Installation Position: Horizontal
Design Pressure: 3.5 (F.V.) Barg
Design Temperature: -2.8 / 85 oC
Material (Shell/Heads): SA 516 Gr. 70
NACE 'MR-0175' Required: Yes
Design Code &amp; Standard: ASME VIII, DIV.1
&amp; IPS-G-ME-150
</t>
  </si>
  <si>
    <t>Off Spec. Tank
Size (D x H): 20000 x 13000 mm
Roof Type: Dome
Design Pressure: -0.4 / 25 Kpa(g)
Design Temperature: -2.8 / 85 oC
Material (Shell/Bottom/Roof): A 283 Gr. C
NACE 'MR-0175' Required: Yes
Design Code &amp; Standard: API 620 
&amp; IPS-G-ME-110</t>
  </si>
  <si>
    <t>Fire Water Tank
Size (D x H): 15000 x 10000 mm
Roof Type: Cone
Design Pressure: Atm.
Design Temperature: -2.8 / 85 oC
Material (Shell/Bottom/Roof): A 283 Gr. C
Design Code &amp; Standard: API 650
&amp; IPS-G-ME-100</t>
  </si>
  <si>
    <t>Dilution Water / Waste Water H.E.
Heat Exchanged (KW): 3155 (Dirty Cond.)
Design Pressure: 15.5 Barg
Design Temperature: -2.8 / 95 oC
Material (Plates/Gaskets): Titanium / HNBR
Design Code &amp; Standard: API 662
&amp; ASME VIII, DIV.1</t>
  </si>
  <si>
    <t xml:space="preserve">Off Spec. Crude Pumps
Type: Centrifugal (VS6)
Rated Flow (m3/hr): 45
Differential Head (m): 139.1
Discharge Pressure (Barg): 14.5
Material Class(Acc. to API 610): D1
NACE 'MR-0175' Required: Yes
Design Code &amp; Standard: API 610
&amp; IPS-G-PM-105
</t>
  </si>
  <si>
    <t xml:space="preserve">Deaerated Water Pumps
Type: Centrifugal (Horizontal)
Rated Flow (m3/hr): 53
Differential Head (m): 35.7
Discharge Pressure (Barg): 2.9
Material Class(Acc. to API 610): I2
Design Code &amp; Standard: ISO 5199
&amp; IPS-M-PM-115
</t>
  </si>
  <si>
    <t xml:space="preserve">Dilution Water Pump
Type: Centrifugal (OH2)
Rated Flow (m3/hr): 53
Differential Head (m): 122.3
Discharge Pressure (Barg): 12
Material Class(Acc. to API 610): I2
Design Code &amp; Standard: API 610
&amp; IPS-G-PM-105
</t>
  </si>
  <si>
    <t xml:space="preserve">Dilution Water Pumps
Type: Centrifugal (OH2)
Rated Flow (m3/hr): 31
Differential Head (m): 122
Discharge Pressure (Barg): 13
Material Class(Acc. to API 610): I2
Design Code &amp; Standard: API 610
&amp; IPS-G-PM-105
</t>
  </si>
  <si>
    <t xml:space="preserve">Disposal Water InjectionPumps
Type: Centrifugal (BB3)
Rated Flow (m3/hr): 91
Differential Head (m): 650
Discharge Pressure (Barg): 72.8
Material Class(Acc. to API 610): D2
NACE 'MR-0175' Required: Yes
Design Code &amp; Standard: API 610
&amp; IPS-G-PM-105
</t>
  </si>
  <si>
    <t xml:space="preserve">Dirty Oil Pumps
Type: P.D.-Rotary (Ext. Gear)
Rated Flow (m3/hr): 5
Discharge Pressure (Barg): 8
Material Class(Acc. to API 610): D1
NACE 'MR-0175' Required: Yes
Design Code &amp; Standard: API 676
&amp; IPS-M-PM-140
</t>
  </si>
  <si>
    <t xml:space="preserve">Evaporation Pond Water Return Pumps
Type: Centrifugal (OH2)
Rated Flow (m3/hr): 15
Differential Head (m): 27
Discharge Pressure (Barg): 3.2
Material Class(Acc. to API 610): D2
Design Code &amp; Standard: API 610
&amp; IPS-G-PM-105
</t>
  </si>
  <si>
    <t xml:space="preserve">Disposal Water InjectionPumps
Type: Centrifugal (BB3)
Rated Flow (m3/hr): 44
Differential Head (m): 385
Discharge Pressure (Barg): 48.2
Material Class(Acc. to API 610): D2
NACE 'MR-0175' Required: Yes
Design Code &amp; Standard: API 610
&amp; IPS-G-PM-105
</t>
  </si>
  <si>
    <t xml:space="preserve">Flare K.O. Drum Pumps
Type: Centrifugal (OH2)
Rated Flow (m3/hr): 10
Differential Head (m): 40
Discharge Pressure (Barg): 6.8
Material Class(Acc. to API 610): S6
Design Code &amp; Standard: API 610
&amp; IPS-G-PM-105
</t>
  </si>
  <si>
    <t xml:space="preserve">Closed Drain Drum Pumps
Type: Centrifugal (OH2)
Rated Flow (m3/hr): 25
Differential Head (m): 55
Discharge Pressure (Barg): 5
Material Class(Acc. to API 610): D2
NACE 'MR-0175' Required: Yes
Design Code &amp; Standard: API 610
&amp; IPS-G-PM-105
</t>
  </si>
  <si>
    <t xml:space="preserve">C. D. Drum / Flare K.O. Drum Sump Pump
Type: Centrifugal (VS4)
Rated Flow (m3/hr): 5
Differential Head (m): 21.4
Discharge Pressure (Barg): 2
Material Class(Acc. to API 610): S6
Design Code &amp; Standard: API 610
&amp; IPS-G-PM-105
</t>
  </si>
  <si>
    <t xml:space="preserve">O.W.S. Oil Pumps
Type: P.D.-Rotary (Progressing Cavity)
Rated Flow (m3/hr): 5
Discharge Pressure (Barg): 6.4
Material Class(Acc. to API 610): D1
NACE 'MR-0175' Required: Yes
Design Code &amp; Standard: API 676
&amp; IPS-M-PM-140
</t>
  </si>
  <si>
    <t xml:space="preserve">O.W.S. Water Pumps
Type: Centrifugal (OH2)
Rated Flow (m3/hr): 15
Differential Head (m): 50
Discharge Pressure (Barg): 5.7
Material Class(Acc. to API 610): D2
NACE 'MR-0175' Required: Yes
Design Code &amp; Standard: API 610
&amp; IPS-G-PM-105
</t>
  </si>
  <si>
    <t xml:space="preserve">Oily Water Basin Pumps
Type: Centrifugal (OH2)
Rated Flow (m3/hr): 15
Differential Head (m): 20
Discharge Pressure (Barg): 2.5
Material Class(Acc. to API 610): S6
Design Code &amp; Standard: API 610
&amp; IPS-G-PM-105
</t>
  </si>
  <si>
    <t xml:space="preserve">Fuel Oil Pump
Type: Centrifugal (Horizontal)
Rated Flow (m3/hr): 10
Differential Head (m): 21
Discharge Pressure (Barg): 2
Material Class(Acc. to API 610): S1
Design Code &amp; Standard: ISO 5199
&amp; IPS-M-PM-115
</t>
  </si>
  <si>
    <t xml:space="preserve">Fire Water Loading Pump
Type: Centrifugal (Horizontal)
Rated Flow (m3/hr): 33
Differential Head (m): 31
Discharge Pressure (Barg): 2.9
Material Class(Acc. to API 610): I2
Design Code &amp; Standard: ISO 5199
&amp; IPS-M-PM-115
</t>
  </si>
  <si>
    <t xml:space="preserve">Fire Water Pump-Elect. Motor Driven
Type: Centrifugal (Horizontal,  
Impeller Between Bearings Design)
Rated Flow (m3/hr): 825
Differential Head (m): 107
Discharge Pressure (Barg): 11.3
Material Class(Acc. to API 610): I2
Design Code &amp; Standard: NFPA 20
&amp; IPS-M-PM-125
</t>
  </si>
  <si>
    <t xml:space="preserve">Fire Water Pump-Diesel Engine Driven
Type: Centrifugal (Horizontal,  
Impeller Between Bearings Design)
Rated Flow (m3/hr): 825
Differential Head (m): 107
Discharge Pressure (Barg): 11.3
Material Class(Acc. to API 610): I2
Design Code &amp; Standard: NFPA 20
&amp; IPS-M-PM-125
</t>
  </si>
  <si>
    <t xml:space="preserve">Fire Water Jockey Pumps
Type: Centrifugal 
(Horizontal, Overhung Impeller Design)
Rated Flow (m3/hr): 16.5
Differential Head (m): 107
Discharge Pressure (Barg): 11.3
Material Class(Acc. to API 610): I2
Design Code &amp; Standard: NFPA 20
&amp; IPS-M-PM-125
</t>
  </si>
  <si>
    <t xml:space="preserve">Chemical Loading Pumps
Type: Portable Barrel Pump
Rated Flow (Lit/min): 160
Differential Pressure (Bar): 2
Material: S.S. 316 L
</t>
  </si>
  <si>
    <t>Anti Scale Injection Package
Max. Injection Rate (Lit/hr): 3
Max. Discharge Pressure (Barg): 3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</si>
  <si>
    <t>Demulsifier Injection Package
Max. Injection Rate (Lit/hr): 44
Max. Discharge Pressure (Barg): 11
Pumps Qty.: 3
Pumps Material: S.S. 316 L
Pumps Design Code &amp; Standard: API 675
&amp; IPS-M-PM-135
Tank Qty.: 2 Sets
Tank Capacity (m3): 0.5 &amp; 2.5
Tank Design Pressure (Barg): 3.5
Tank Design Temperature (oC): -2.8 / 55
Tank Material: S.S. 316 L
Agitator Required: Yes
Tank Design Code &amp; Standard: 
ASME VIII, DIV.1 &amp; IPS-G-ME-150</t>
  </si>
  <si>
    <t>Reverse Demulsifier Injection Package
Max. Injection Rate (Lit/hr): 13
Max. Discharge Pressure (Barg): 3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</si>
  <si>
    <t>Biocide Injection Package
Max. Injection Rate (Lit/hr): 66
Max. Discharge Pressure (Barg): 6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</si>
  <si>
    <t>Oxygen Scavenger Injection Package
Max. Injection Rate (Lit/hr): 9
Max. Discharge Pressure (Barg): 6
Pumps Qty.: 2
Pumps Material: S.S. 316 L
Pumps Design Code &amp; Standard: API 675
&amp; IPS-M-PM-135
Tank Capacity (m3): N/A (Portable Barrel)
Agitator Required: N/A</t>
  </si>
  <si>
    <t>Anti Scale Injection Package
Max. Injection Rate (Lit/hr): 2
Max. Discharge Pressure (Barg): 6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</si>
  <si>
    <t>Corrosion Inhibitor Injection Package
Max. Injection Rate (Lit/hr): 12
Max. Discharge Pressure (Barg): 6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</si>
  <si>
    <t>Anti Scale Injection Package
Max. Injection Rate (Lit/hr): 4.5
Max. Discharge Pressure (Barg): 6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</si>
  <si>
    <t>Oxygen Scavenger Injection Package
Max. Injection Rate (Lit/hr): 0.2
Max. Discharge Pressure (Barg): 6
Pumps Qty.: 2
Pumps Material: S.S. 316 L
Pumps Design Code &amp; Standard: API 675
&amp; IPS-M-PM-135
Tank Capacity (m3): N/A (Portable Barrel)
Agitator Required: N/A</t>
  </si>
  <si>
    <t>Oxygen Scavenger Injection Package
Max. Injection Rate (Lit/hr): 3
Max. Discharge Pressure (Barg): 4
Pumps Qty.: 2
Pumps Material: S.S. 316 L
Pumps Design Code &amp; Standard: API 675
&amp; IPS-M-PM-135
Tank Capacity (m3): N/A (Portable Barrel)
Agitator Required: N/A</t>
  </si>
  <si>
    <t>Demulsifier Injection Package
(Production Unit)
Max. Injection Rate (Lit/hr): 44
Max. Discharge Pressure (Barg): 11
Pumps Qty.: 2
Pumps Material: S.S. 316 L
Pumps Design Code &amp; Standard: API 675
&amp; IPS-M-PM-135
Tank Capacity (m3): 2.5
Tank Design Pressure (Barg): 3.5
Tank Design Temperature (oC): -2.8 / 55
Tank Material: S.S. 316 L
Agitator Required: Yes
Tank Design Code &amp; Standard: 
ASME VIII, DIV.1 &amp; IPS-G-ME-150</t>
  </si>
  <si>
    <t>Deaeration Package
Max. Flow Rate (m3/hr): 50
Including Deaerator Tower,
Water Liquid Ring Return Pumps,
Vacuum Liquid Ring Pumps,
Air Ejector, Chilling Unit
Recycle Water Tank
Related Piping, Instruments, etc.
Tower Tag No.: DA -121
Internals: Packing &amp; Tray 
Design Pressure: 3.5 (F.V.) Barg
Design Temperature: -2.8 / 85 oC
Mat. (Shell/Heads): SA 516 Gr. 70
Mat. (Remov. Internals): S.S. 316L
Design Code &amp; Standard: 
ASME VIII, DIV.1 &amp; IPS-G-ME-150</t>
  </si>
  <si>
    <t>Nutshell Filter Package
Type: Auotomatic Backwashable
Including: 2 x 100% Filter Vessels
Rated Flow Rate (Kg/hr): 161650
Discharge Free Oil Content (ppmw): 25
Design Pressure: 10.5 Barg
Design Temperature: -2.8 / 95 oC
Material (Shell/Heads): SA 516 Gr. 70
Material (Internal Wetted Parts): Duplex S.S.
NACE 'MR-0175' Required: Yes
Agitator Required: Yes
Design Code &amp; Standard: ASME VIII, DIV.1
&amp; IPS-G-ME-150</t>
  </si>
  <si>
    <t>Pumps Sealing Water Filter
Type: Auotomatic Self Cleaning
Flow Rate: 3 m3/hr
Design Pressure: 15.5 Barg
Design Temperature: -2.8 / 85 oC
Material (Shell/Heads): C.S.
Design Code &amp; Standard: ASME VIII, DIV.1
&amp; IPS-G-ME-150</t>
  </si>
  <si>
    <t xml:space="preserve">Flare Package
Total Capacity (Kg/hr): 13060
Ignition System Type: Flame Front Gen.
(Compressed Air)
Stack Size (D x H): 16 in x 12 m
Stack Support System: Self-Supported
Design Code &amp; Standard: API RP 521,
API-537, ASME STS-1,  IPS-G-ME-210,
 &amp; IPS-E-PR-460 </t>
  </si>
  <si>
    <t>Burn Pit Ignition Package
Ignition System Type: Flame Front Gen.
(Compressed Air)
Burn Pit Diameter: 11 m
Electrical Duty: 1 KW
Min. Elect. Equip. Protection: IP 56</t>
  </si>
  <si>
    <t>Air Compressor Packages
Type: Non-Lubricated, Reciprocating
Normal Flow Rate (m3/hr): 300
Discharge Pressure: 9 Barg
Design Code &amp; Standard: API 618
&amp; IPS-M-PM-211</t>
  </si>
  <si>
    <t>Air Dryer Packages
Type: Adsorber (heatless-pressure swig)
Drying Medium : Solid Desicant
Inlet Flow Rate (m3/hr): 190
Design Pressure: 13.5 Barg
Design Temperature: -2.8 / 85 oC
Tower Qty.: 2
No. of Pre-Filter Req'd: 2
No. of After-Filter Req'd: 2
Material: C.S.
Design Code &amp; Standard: ASME VIII, DIV.1
&amp; IPS-G-ME-150</t>
  </si>
  <si>
    <t>Disposal Pumps Shelter Cranes
Type: Top Running, Elect. Motor Driven
Capacity (Kg): 5000
Lift / Span / Travel (m): 5.9 / 8.15 / 24
Motor Charactristics: IP65- 400V,3Ph,50Hz
&amp; EEX-e, IIB, T3
Design Code &amp; Standard: BSI 466
&amp; IPS-M-GN-350</t>
  </si>
  <si>
    <t>Utility Building Crane
Type: Top Running, Elect. Motor Driven
Capacity (Kg): 5000
Lift / Span / Travel (m): 5.9 / 8.15 / 18
Motor Charactristics: IP65- 400V,3Ph,50Hz
Design Code &amp; Standard: BSI 466
&amp; IPS-M-GN-350</t>
  </si>
  <si>
    <t>O.W.S. Pumps Shelter Crane
Type: Top Running, Elect. Motor Driven
Capacity (Kg): 3000
Lift / Span / Travel (m): 3.9 / 4.15 / 7.5
Motor Charactristics: IP65- 400V,3Ph,50Hz
Design Code &amp; Standard: BSI 466
&amp; IPS-M-GN-350</t>
  </si>
  <si>
    <t>Chemical Storage Shelter Cranes
Type: Top Running, Elect. Motor Driven
Capacity (Kg): 1000
Lift / Span / Travel (m): 7.3 / 8.15 / 31
Motor Charactristics: IP65- 400V,3Ph,50Hz
&amp; EEX-e, IIB, T3
Design Code &amp; Standard: BSI 466
&amp; IPS-M-GN-350</t>
  </si>
  <si>
    <t>Chemical Inj. Package Shelter Cranes
Type: Top Running, Elect. Motor Driven
Capacity (Kg): 3000
Lift / Span / Travel (m): 5.9 / 9.15 / 20
Motor Charactristics: IP65- 400V,3Ph,50Hz
&amp; EEX-e, IIB, T3
Design Code &amp; Standard: BSI 466
&amp; IPS-M-GN-350</t>
  </si>
  <si>
    <t>Fire Water Pumps Shelter Crane
Type: Top Running, Elect. Motor Driven
Capacity (Kg): 5000
Lift / Span / Travel (m): 5.9 / 10.15 / 24
Motor Charactristics: IP65- 400V,3Ph,50Hz
Design Code &amp; Standard: BSI 466
&amp; IPS-M-GN-350</t>
  </si>
  <si>
    <t>IGF Package
Design Flow (m3/hr): 132.5
Including IGF Vessel, Pumps (Water Recycle, De-oiled Water Booster, Recovered Waste Oil&amp; Oily Sludge), Related Piping, Instruments, etc.
Vessel Design Pressure (Barg): 5 (F.V.)
Vessel Design Temperature (oC): 95
Vessel Mat. (Shell/Heads): SA 516 Gr.70
Removable Internals Mat.: Duplex S.S.
Vessel Design Codes &amp; Standards: ASME VIII, DIV.1 &amp; IPS-G-ME-150
Eductor Supply Pumps:
Type: Centrifugal (OH2), Material Class(Acc. to API 610): D2, Design Code &amp; Standard: API 610 &amp; IPS-G-PM-105
De-oiled Water Booster Pumps:
Type: Centrifugal (OH2), Material Class(Acc. to API 610): D2, NACE 'MR-0175' Required: Yes, Design Code &amp; Standard: API 610 &amp; IPS-G-PM-105
Recovered Waste Oil Pumps:
Type: P.D.-Rotary (Ext. Gear), Material Class(Acc. to API 610): D1, Design Code &amp; Standard: API 676 &amp; IPS-M-PM-140
Oily Sludge Pumps:
Type: P.D.-Rotary (Twin Screw), Material Class(Acc. to API 610): D2, NACE 'MR-0175' Required: Yes, Design Code &amp; Standard: API 610 &amp; IPS-G-PM-105
Sump Drain Pump:
Type: Centrifugal (VS4), Material Class(Acc. to API 610): S6, Design Code &amp; Standard: API 610 &amp; IPS-G-PM-105</t>
  </si>
  <si>
    <t>IRR</t>
  </si>
  <si>
    <t>EUR</t>
  </si>
  <si>
    <t>No. of available quotations
in IRR</t>
  </si>
  <si>
    <t>No. of available quotations
in EUR</t>
  </si>
  <si>
    <t>No. of available quotations
in USD</t>
  </si>
  <si>
    <t>avg. of IRR quotations
converted to EUR</t>
  </si>
  <si>
    <t>avg. of EUR quotations
EUR</t>
  </si>
  <si>
    <t>avg. of USD quotations
converted to EUR</t>
  </si>
  <si>
    <t>aggregate average quoted unit price
(all in EUR)</t>
  </si>
  <si>
    <t>Ref. Currency</t>
  </si>
  <si>
    <t>quoted unit price</t>
  </si>
  <si>
    <t>NEW ITEM
unit price
IRR</t>
  </si>
  <si>
    <t>NEW ITEM
unit price
EUR</t>
  </si>
  <si>
    <t>GOING UNIT PRICE IRR
1404Q1</t>
  </si>
  <si>
    <t>GOING UNIT 
PRICE FOB
EUR
1404Q1</t>
  </si>
  <si>
    <t>TOTAL PRICE
ریال</t>
  </si>
  <si>
    <t>TOTAL 
PRICE FOB
€</t>
  </si>
  <si>
    <t>برآورد هزینه بدون سربار و مالیات بر ارزش افزوده</t>
  </si>
  <si>
    <t>ضریب سربار تأمین کالا</t>
  </si>
  <si>
    <t>مالیات بر ارزش افزوده</t>
  </si>
  <si>
    <t>هزینه تأمین کالا + سربار + مالیات بر ارزش افزوده</t>
  </si>
  <si>
    <t>Fuel Oil Storage Drum
Size (ID x TL-TL): 1500 x 4500 mm
Installation Position: Horizontal
Design Pressure: Atm. + Full of Liquid
Design Temperature: -2.8 / 85 oC
Material (Shell/Heads): SA 285 Gr. C
Design Code &amp; Standard: ASME VIII, DIV.1
&amp; IPS-G-ME-150</t>
  </si>
  <si>
    <t>Closed Drain Drum
Size (ID x TL-TL): 2000 x 8000 mm
Installation Position: Horizontal
Design Pressure: 3.5 (F.V.) Barg
Design Temperature: -2.8 / 85 oC
Material (Shell/Heads): SA 516 Gr. 70
NACE 'MR-0175' Required: Yes
Design Code &amp; Standard: ASME VIII, DIV.1
&amp; IPS-G-ME-150</t>
  </si>
  <si>
    <t>UNIT PRICE 
ریال
1393Q3</t>
  </si>
  <si>
    <t>UNIT 
PRICE FOB
€ - 1393Q3</t>
  </si>
  <si>
    <t/>
  </si>
  <si>
    <t>APPARATUS</t>
  </si>
  <si>
    <t>QUANTITY</t>
  </si>
  <si>
    <t>ATOMIC ABSORBTION</t>
  </si>
  <si>
    <t>ION METER</t>
  </si>
  <si>
    <t>OXYGEN METER</t>
  </si>
  <si>
    <t>BAROMETER</t>
  </si>
  <si>
    <t>OIL TEST CENTRIFUGE</t>
  </si>
  <si>
    <t>DUAL EXTRACTION APPARATUS</t>
  </si>
  <si>
    <t>EVAPORATOR MANTLESS(500 cc)</t>
  </si>
  <si>
    <t>WATER STILL (STAINLESS STEEL)</t>
  </si>
  <si>
    <t>PH METER</t>
  </si>
  <si>
    <t>BALANCE</t>
  </si>
  <si>
    <t>R.V.P AUTOMATIC</t>
  </si>
  <si>
    <t>THERMOSTATIC WATER BATHS</t>
  </si>
  <si>
    <t>DENSITY METER</t>
  </si>
  <si>
    <t>BARO METER</t>
  </si>
  <si>
    <t>SALT IN CRUDE ANALYZER</t>
  </si>
  <si>
    <t xml:space="preserve">     - Reverse Demulsifier: 0.5-5 lit/h</t>
  </si>
  <si>
    <t xml:space="preserve">     - Demulsifier: 5-80 ppm</t>
  </si>
  <si>
    <t xml:space="preserve">     - Anti Scale: 5-30 ppm</t>
  </si>
  <si>
    <t xml:space="preserve">     - Biocide(Types A &amp; B): 50-400 ppm (once a week)</t>
  </si>
  <si>
    <t xml:space="preserve">     - Corrosion Inhibitor: 5-50 ppm</t>
  </si>
  <si>
    <t xml:space="preserve">     - O2 Scavenger: 10-15 ppm per 1 ppm O2 in water.</t>
  </si>
  <si>
    <t>1- required value for chemical injection has been concidered as the following:</t>
  </si>
  <si>
    <t xml:space="preserve">Notes: </t>
  </si>
  <si>
    <t>Continuous</t>
  </si>
  <si>
    <t>Demulsifier
(PK-212)</t>
  </si>
  <si>
    <t>Production Unit Inlet Manifold</t>
  </si>
  <si>
    <t>Corrosion Inhibitor 
(PK-186)</t>
  </si>
  <si>
    <t>Inlet of Dilution water Tank &amp; Disposal water tank</t>
  </si>
  <si>
    <t>Anti-Scale (PK-187)</t>
  </si>
  <si>
    <t>Inlet of  Disposal water tank</t>
  </si>
  <si>
    <t>Anti-Scale (PK-180)</t>
  </si>
  <si>
    <t>Inlet of  Dilution water/waste water heat Exchanger</t>
  </si>
  <si>
    <t>Anti-Scale (PK-185)</t>
  </si>
  <si>
    <t>Inlet of Dilution water Tank</t>
  </si>
  <si>
    <t xml:space="preserve">Temporary </t>
  </si>
  <si>
    <t>Intermittent</t>
  </si>
  <si>
    <t>Oxygen Scavenger 
(PK-189)</t>
  </si>
  <si>
    <t>Evaporation Pond Return Line</t>
  </si>
  <si>
    <t>Oxygen Scavenger 
(PK-188)</t>
  </si>
  <si>
    <t>Inlet of Disposal water Tank</t>
  </si>
  <si>
    <t>Oxygen Scavenger 
(PK-184)</t>
  </si>
  <si>
    <t xml:space="preserve">Inlet of Dilution water Tank </t>
  </si>
  <si>
    <t>2 Hours</t>
  </si>
  <si>
    <t>Once a week</t>
  </si>
  <si>
    <t>Biocide (Types A&amp;B)
 (PK-183)</t>
  </si>
  <si>
    <t>Inlet of Dilution water Tank, dilution water enters sand jets of the Coalescer tank (TK-21) &amp; Disposal water tank</t>
  </si>
  <si>
    <t>Reverse Demulsifier (PK-182)</t>
  </si>
  <si>
    <t>Inlet of Skimmer Tank &amp; IGF System</t>
  </si>
  <si>
    <t>Demulsifier
(PK-181)</t>
  </si>
  <si>
    <t xml:space="preserve">Inlet of Coalescer Tank, Crude oil indirect fired heater
 &amp; Desalting system </t>
  </si>
  <si>
    <t>DURATION</t>
  </si>
  <si>
    <t>FREQUENCY</t>
  </si>
  <si>
    <t>CONTINUOUS / INTERMITTENT</t>
  </si>
  <si>
    <t>ANNUAL (m³)</t>
  </si>
  <si>
    <t>MAXIMUM (L/h)</t>
  </si>
  <si>
    <t>MINIMUM (L/h)</t>
  </si>
  <si>
    <t>MODE OF OPERATION</t>
  </si>
  <si>
    <t>FLOWRATE</t>
  </si>
  <si>
    <t>TYPE OF CHEMICAL</t>
  </si>
  <si>
    <t>UNIT</t>
  </si>
  <si>
    <t>Laboratory equipment list</t>
  </si>
  <si>
    <t>Desalting plant lab</t>
  </si>
  <si>
    <t>Pazanan II central laboratory</t>
  </si>
  <si>
    <t>Capacity: 2000 Lit
Material: High Density P.E.</t>
  </si>
  <si>
    <t>MODEL &amp; Brand Name</t>
  </si>
  <si>
    <t>Model: 13-2142, Brand name: PETROTEST</t>
  </si>
  <si>
    <t>Model: K-46600, Brand name: KOEHLER</t>
  </si>
  <si>
    <t>Model: LG-2ER, Brand name: ISOPAD</t>
  </si>
  <si>
    <t>Model: L4, Brand name: MANESTY</t>
  </si>
  <si>
    <t>Model: MP220, Brand name: MERLLER TOLEDO</t>
  </si>
  <si>
    <t>Model: AB204-S, Brand name: MERLLER TOLEDO</t>
  </si>
  <si>
    <t>Model: H.V.P. 420, Brand name: HERZOG</t>
  </si>
  <si>
    <t>Model: T-1000E, Brand name: TAMSON</t>
  </si>
  <si>
    <t>Model: SVM-3000, Brand name: ANTON PAAR</t>
  </si>
  <si>
    <t>Model: M-564, Brand name: DARTON</t>
  </si>
  <si>
    <t>Model: SC-960, Brand name: HERZOG</t>
  </si>
  <si>
    <t>Cost estimate in 2013 (ref. Gachsaran IV B.R. 89205)</t>
  </si>
  <si>
    <t>Model: PGM-36, Brand name: TOXI-RAE</t>
  </si>
  <si>
    <t>Brand name: TOXIRAE</t>
  </si>
  <si>
    <t>Brand name: METEROHM</t>
  </si>
  <si>
    <t>brand name: DARTON</t>
  </si>
  <si>
    <t>Model: ZEEnit 700, Brand name: Analytik Jena</t>
  </si>
  <si>
    <t>unit price (Euros)</t>
  </si>
  <si>
    <t>unit price (Rials)</t>
  </si>
  <si>
    <t>WASTEWATER STORAGE TANK</t>
  </si>
  <si>
    <t>total price (Euros)</t>
  </si>
  <si>
    <t>total price (IRR)</t>
  </si>
  <si>
    <t>سهم مبتنی بر استعلامها (شامل سربار و مالیات ارزش افزوده)</t>
  </si>
  <si>
    <t>Ref. Doc. "Chemical Consumption List" 91211-PZN-PR-LI-136-R05</t>
  </si>
  <si>
    <t>Demulsifier</t>
  </si>
  <si>
    <t>Reverse Demulsifier</t>
  </si>
  <si>
    <t>Biocide (Types A&amp;B)</t>
  </si>
  <si>
    <t>Oxygen Scavenger</t>
  </si>
  <si>
    <t>Anti-Scale</t>
  </si>
  <si>
    <t>Corrosion Inhibitor</t>
  </si>
  <si>
    <t>chemical</t>
  </si>
  <si>
    <t>annual (m3)</t>
  </si>
  <si>
    <t>Ethylene Glycol</t>
  </si>
  <si>
    <t>commissioning period (m3, 1 month)</t>
  </si>
  <si>
    <t>6-month operation</t>
  </si>
  <si>
    <t>weight (kg)</t>
  </si>
  <si>
    <t>بهای واحد سال 1392 پروژه گچساران 4 (Rial/Kg)</t>
  </si>
  <si>
    <t>other consumables (lubricants, detergents, etc)</t>
  </si>
  <si>
    <t>بهای واحد</t>
  </si>
  <si>
    <t>بهای کل</t>
  </si>
  <si>
    <t>برآورد هزینه بدون سربار و مالیات بر ارزش افزوده (بر حسب یورو)</t>
  </si>
  <si>
    <t>برآورد هزینه بدون سربار و مالیات بر ارزش افزوده (تبدیل شده به ریال)</t>
  </si>
  <si>
    <t>Chemicals &amp; Consumables</t>
  </si>
  <si>
    <t>Spare parts</t>
  </si>
  <si>
    <t>TOTAL</t>
  </si>
  <si>
    <t>Spare parts for process equipment</t>
  </si>
  <si>
    <t>Estimate for spare parts (IRR)</t>
  </si>
  <si>
    <t>Estimate for spare parts (EUR)</t>
  </si>
  <si>
    <t>درصد اقلام یدکی و راه اندازی از هزینه کل تجهیز</t>
  </si>
  <si>
    <t>Total Price (ٍEUR)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</si>
</sst>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.000"/>
    <numFmt numFmtId="165" formatCode="\ @"/>
    <numFmt numFmtId="166" formatCode="#,##0.0\ \ \ \ \ "/>
    <numFmt numFmtId="167" formatCode="#,##0.0"/>
    <numFmt numFmtId="168" formatCode="#,##0."/>
    <numFmt numFmtId="169" formatCode="0\&quot;"/>
    <numFmt numFmtId="170" formatCode="_-* #,##0.00_-;_-* #,##0.00\-;_-* &quot;-&quot;??_-;_-@_-"/>
    <numFmt numFmtId="171" formatCode="_-* #,##0_-;_-* #,##0\-;_-* &quot;-&quot;??_-;_-@_-"/>
    <numFmt numFmtId="172" formatCode="_([$€-2]\ * #,##0.00_);_([$€-2]\ * \(#,##0.00\);_([$€-2]\ * &quot;-&quot;??_);_(@_)"/>
    <numFmt numFmtId="173" formatCode="[$€-2]\ #,##0.00"/>
    <numFmt numFmtId="174" formatCode="#,##0.00\ [$€-1]"/>
    <numFmt numFmtId="175" formatCode="_([$IRR]\ * #,##0_);_([$IRR]\ * \(#,##0\);_([$IRR]\ * &quot;-&quot;_);_(@_)"/>
    <numFmt numFmtId="176" formatCode="0.0"/>
    <numFmt numFmtId="177" formatCode="0.0000"/>
    <numFmt numFmtId="178" formatCode="_(* #,##0_);_(* \(#,##0\);_(* &quot;-&quot;??_);_(@_)"/>
    <numFmt numFmtId="179" formatCode="0.0%"/>
  </numFmts>
  <fonts count="7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8"/>
      <color indexed="12"/>
      <name val="Times New Roman"/>
      <family val="1"/>
    </font>
    <font>
      <sz val="8"/>
      <color indexed="17"/>
      <name val="Times New Roman"/>
      <family val="1"/>
    </font>
    <font>
      <b/>
      <sz val="8"/>
      <color indexed="8"/>
      <name val="Times New Roman"/>
      <family val="1"/>
    </font>
    <font>
      <sz val="9"/>
      <name val="Times New Roman"/>
      <family val="1"/>
    </font>
    <font>
      <b/>
      <sz val="8"/>
      <color indexed="8"/>
      <name val="Arial"/>
      <family val="2"/>
    </font>
    <font>
      <sz val="8.5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8.5"/>
      <name val="Arial"/>
      <family val="2"/>
    </font>
    <font>
      <sz val="8"/>
      <color indexed="8"/>
      <name val="Arial"/>
      <family val="2"/>
    </font>
    <font>
      <sz val="10"/>
      <name val="Trebuchet MS"/>
      <family val="2"/>
    </font>
    <font>
      <b/>
      <sz val="9"/>
      <color indexed="8"/>
      <name val="Arial"/>
      <family val="2"/>
    </font>
    <font>
      <sz val="7"/>
      <name val="Trebuchet MS"/>
      <family val="2"/>
    </font>
    <font>
      <sz val="7"/>
      <color indexed="8"/>
      <name val="Trebuchet MS"/>
      <family val="2"/>
    </font>
    <font>
      <b/>
      <sz val="7"/>
      <color indexed="8"/>
      <name val="Trebuchet MS"/>
      <family val="2"/>
    </font>
    <font>
      <vertAlign val="superscript"/>
      <sz val="7"/>
      <color indexed="8"/>
      <name val="Trebuchet MS"/>
      <family val="2"/>
    </font>
    <font>
      <sz val="7"/>
      <color indexed="8"/>
      <name val="Arial"/>
      <family val="2"/>
    </font>
    <font>
      <u/>
      <sz val="7"/>
      <name val="Trebuchet MS"/>
      <family val="2"/>
    </font>
    <font>
      <sz val="6.5"/>
      <color indexed="8"/>
      <name val="Trebuchet MS"/>
      <family val="2"/>
    </font>
    <font>
      <sz val="6.5"/>
      <name val="Trebuchet MS"/>
      <family val="2"/>
    </font>
    <font>
      <sz val="6"/>
      <color indexed="8"/>
      <name val="Trebuchet MS"/>
      <family val="2"/>
    </font>
    <font>
      <sz val="6"/>
      <name val="Trebuchet MS"/>
      <family val="2"/>
    </font>
    <font>
      <sz val="10"/>
      <color indexed="8"/>
      <name val="Trebuchet MS"/>
      <family val="2"/>
    </font>
    <font>
      <u/>
      <sz val="7"/>
      <color indexed="8"/>
      <name val="Trebuchet MS"/>
      <family val="2"/>
    </font>
    <font>
      <b/>
      <sz val="10"/>
      <color indexed="8"/>
      <name val="Trebuchet MS"/>
      <family val="2"/>
    </font>
    <font>
      <u/>
      <sz val="8"/>
      <name val="Trebuchet MS"/>
      <family val="2"/>
    </font>
    <font>
      <sz val="8"/>
      <name val="Trebuchet MS"/>
      <family val="2"/>
    </font>
    <font>
      <sz val="8"/>
      <color indexed="8"/>
      <name val="Trebuchet MS"/>
      <family val="2"/>
    </font>
    <font>
      <b/>
      <i/>
      <sz val="11"/>
      <name val="Times New Roman"/>
      <family val="1"/>
    </font>
    <font>
      <b/>
      <sz val="10"/>
      <color indexed="8"/>
      <name val="Verdana"/>
      <family val="2"/>
    </font>
    <font>
      <b/>
      <sz val="20"/>
      <color indexed="8"/>
      <name val="Verdan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Times New Roman"/>
      <family val="1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medium">
        <color auto="1"/>
      </right>
      <top style="hair">
        <color indexed="64"/>
      </top>
      <bottom style="medium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1">
    <xf numFmtId="0" fontId="0" fillId="0" borderId="0"/>
    <xf numFmtId="0" fontId="1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9" applyNumberFormat="0" applyFill="0" applyBorder="0" applyAlignment="0" applyProtection="0">
      <protection locked="0"/>
    </xf>
    <xf numFmtId="170" fontId="1" fillId="0" borderId="0" applyFont="0" applyFill="0" applyBorder="0" applyAlignment="0" applyProtection="0"/>
    <xf numFmtId="0" fontId="1" fillId="0" borderId="0"/>
    <xf numFmtId="0" fontId="1" fillId="0" borderId="0"/>
    <xf numFmtId="43" fontId="49" fillId="0" borderId="0" applyFont="0" applyFill="0" applyBorder="0" applyAlignment="0" applyProtection="0"/>
    <xf numFmtId="0" fontId="50" fillId="0" borderId="0"/>
    <xf numFmtId="0" fontId="54" fillId="6" borderId="70" applyNumberFormat="0" applyAlignment="0" applyProtection="0"/>
    <xf numFmtId="0" fontId="1" fillId="0" borderId="0"/>
    <xf numFmtId="0" fontId="63" fillId="0" borderId="73" applyNumberFormat="0" applyFill="0" applyAlignment="0" applyProtection="0"/>
    <xf numFmtId="0" fontId="64" fillId="0" borderId="74" applyNumberFormat="0" applyFill="0" applyAlignment="0" applyProtection="0"/>
    <xf numFmtId="0" fontId="65" fillId="0" borderId="75" applyNumberFormat="0" applyFill="0" applyAlignment="0" applyProtection="0"/>
    <xf numFmtId="0" fontId="1" fillId="0" borderId="0"/>
    <xf numFmtId="9" fontId="49" fillId="0" borderId="0" applyFont="0" applyFill="0" applyBorder="0" applyAlignment="0" applyProtection="0"/>
  </cellStyleXfs>
  <cellXfs count="774">
    <xf numFmtId="0" fontId="0" fillId="0" borderId="0" xfId="0"/>
    <xf numFmtId="0" fontId="1" fillId="0" borderId="0" xfId="1" applyBorder="1"/>
    <xf numFmtId="0" fontId="3" fillId="0" borderId="0" xfId="1" applyFont="1" applyBorder="1" applyAlignment="1">
      <alignment vertical="center" wrapText="1"/>
    </xf>
    <xf numFmtId="0" fontId="3" fillId="0" borderId="9" xfId="1" applyFont="1" applyBorder="1" applyAlignment="1">
      <alignment vertical="center" wrapText="1"/>
    </xf>
    <xf numFmtId="0" fontId="8" fillId="0" borderId="0" xfId="1" applyFont="1" applyBorder="1" applyAlignment="1" applyProtection="1">
      <alignment vertical="center"/>
      <protection hidden="1"/>
    </xf>
    <xf numFmtId="0" fontId="11" fillId="0" borderId="0" xfId="2" applyFont="1" applyBorder="1" applyAlignment="1"/>
    <xf numFmtId="0" fontId="11" fillId="0" borderId="0" xfId="1" applyFont="1" applyBorder="1" applyAlignment="1"/>
    <xf numFmtId="0" fontId="1" fillId="0" borderId="9" xfId="1" applyBorder="1"/>
    <xf numFmtId="0" fontId="12" fillId="0" borderId="0" xfId="1" applyFont="1" applyAlignment="1">
      <alignment horizontal="left"/>
    </xf>
    <xf numFmtId="49" fontId="13" fillId="0" borderId="0" xfId="1" applyNumberFormat="1" applyFont="1" applyFill="1" applyBorder="1" applyAlignment="1" applyProtection="1">
      <alignment horizontal="left"/>
    </xf>
    <xf numFmtId="49" fontId="12" fillId="0" borderId="0" xfId="1" applyNumberFormat="1" applyFont="1" applyBorder="1" applyAlignment="1">
      <alignment horizontal="left"/>
    </xf>
    <xf numFmtId="49" fontId="14" fillId="0" borderId="0" xfId="1" applyNumberFormat="1" applyFont="1" applyFill="1" applyBorder="1" applyAlignment="1" applyProtection="1">
      <alignment horizontal="left"/>
    </xf>
    <xf numFmtId="49" fontId="12" fillId="0" borderId="0" xfId="1" applyNumberFormat="1" applyFont="1" applyFill="1" applyBorder="1" applyAlignment="1" applyProtection="1">
      <alignment horizontal="left"/>
    </xf>
    <xf numFmtId="49" fontId="12" fillId="0" borderId="0" xfId="1" applyNumberFormat="1" applyFont="1" applyBorder="1" applyAlignment="1" applyProtection="1">
      <alignment horizontal="left"/>
    </xf>
    <xf numFmtId="49" fontId="12" fillId="0" borderId="0" xfId="1" applyNumberFormat="1" applyFont="1" applyBorder="1" applyAlignment="1" applyProtection="1">
      <alignment horizontal="left"/>
      <protection locked="0"/>
    </xf>
    <xf numFmtId="49" fontId="12" fillId="0" borderId="0" xfId="1" applyNumberFormat="1" applyFont="1" applyFill="1" applyBorder="1" applyAlignment="1" applyProtection="1">
      <alignment horizontal="left"/>
      <protection locked="0"/>
    </xf>
    <xf numFmtId="49" fontId="15" fillId="0" borderId="1" xfId="1" applyNumberFormat="1" applyFont="1" applyFill="1" applyBorder="1" applyAlignment="1" applyProtection="1"/>
    <xf numFmtId="49" fontId="15" fillId="0" borderId="2" xfId="1" applyNumberFormat="1" applyFont="1" applyFill="1" applyBorder="1" applyAlignment="1" applyProtection="1"/>
    <xf numFmtId="49" fontId="15" fillId="0" borderId="5" xfId="1" applyNumberFormat="1" applyFont="1" applyFill="1" applyBorder="1" applyAlignment="1" applyProtection="1"/>
    <xf numFmtId="49" fontId="15" fillId="0" borderId="6" xfId="1" applyNumberFormat="1" applyFont="1" applyFill="1" applyBorder="1" applyAlignment="1" applyProtection="1"/>
    <xf numFmtId="49" fontId="15" fillId="0" borderId="0" xfId="1" applyNumberFormat="1" applyFont="1" applyFill="1" applyBorder="1" applyAlignment="1" applyProtection="1"/>
    <xf numFmtId="49" fontId="15" fillId="0" borderId="9" xfId="1" applyNumberFormat="1" applyFont="1" applyFill="1" applyBorder="1" applyAlignment="1" applyProtection="1"/>
    <xf numFmtId="49" fontId="15" fillId="0" borderId="22" xfId="1" applyNumberFormat="1" applyFont="1" applyFill="1" applyBorder="1" applyAlignment="1" applyProtection="1"/>
    <xf numFmtId="49" fontId="15" fillId="0" borderId="23" xfId="1" applyNumberFormat="1" applyFont="1" applyFill="1" applyBorder="1" applyAlignment="1" applyProtection="1"/>
    <xf numFmtId="49" fontId="15" fillId="0" borderId="26" xfId="1" applyNumberFormat="1" applyFont="1" applyFill="1" applyBorder="1" applyAlignment="1" applyProtection="1"/>
    <xf numFmtId="0" fontId="9" fillId="0" borderId="0" xfId="1" applyFont="1" applyBorder="1" applyAlignment="1" applyProtection="1">
      <alignment horizontal="center" vertical="center"/>
      <protection hidden="1"/>
    </xf>
    <xf numFmtId="0" fontId="12" fillId="0" borderId="1" xfId="3" applyFont="1" applyFill="1" applyBorder="1" applyAlignment="1" applyProtection="1">
      <alignment horizontal="center"/>
    </xf>
    <xf numFmtId="0" fontId="12" fillId="0" borderId="4" xfId="3" applyFont="1" applyFill="1" applyBorder="1" applyAlignment="1" applyProtection="1">
      <alignment horizontal="center"/>
    </xf>
    <xf numFmtId="0" fontId="12" fillId="0" borderId="0" xfId="3" applyFont="1" applyAlignment="1">
      <alignment horizontal="left"/>
    </xf>
    <xf numFmtId="0" fontId="12" fillId="0" borderId="6" xfId="3" applyFont="1" applyFill="1" applyBorder="1" applyAlignment="1" applyProtection="1">
      <alignment horizontal="center"/>
    </xf>
    <xf numFmtId="0" fontId="12" fillId="0" borderId="8" xfId="3" applyFont="1" applyFill="1" applyBorder="1" applyAlignment="1" applyProtection="1">
      <alignment horizontal="center"/>
    </xf>
    <xf numFmtId="0" fontId="12" fillId="2" borderId="0" xfId="3" applyFont="1" applyFill="1" applyBorder="1" applyAlignment="1">
      <alignment horizontal="left"/>
    </xf>
    <xf numFmtId="49" fontId="23" fillId="0" borderId="0" xfId="3" applyNumberFormat="1" applyFont="1" applyFill="1" applyBorder="1" applyAlignment="1" applyProtection="1">
      <alignment vertical="center"/>
    </xf>
    <xf numFmtId="49" fontId="24" fillId="0" borderId="0" xfId="3" applyNumberFormat="1" applyFont="1" applyBorder="1" applyAlignment="1">
      <alignment vertical="center"/>
    </xf>
    <xf numFmtId="49" fontId="18" fillId="0" borderId="0" xfId="3" applyNumberFormat="1" applyFont="1" applyFill="1" applyBorder="1" applyAlignment="1" applyProtection="1">
      <alignment vertical="center"/>
    </xf>
    <xf numFmtId="0" fontId="24" fillId="0" borderId="0" xfId="3" applyFont="1" applyAlignment="1">
      <alignment horizontal="left"/>
    </xf>
    <xf numFmtId="0" fontId="24" fillId="0" borderId="0" xfId="3" applyFont="1" applyFill="1" applyBorder="1" applyAlignment="1">
      <alignment horizontal="left" vertical="top" wrapText="1"/>
    </xf>
    <xf numFmtId="0" fontId="24" fillId="0" borderId="0" xfId="3" applyFont="1" applyAlignment="1">
      <alignment vertical="center"/>
    </xf>
    <xf numFmtId="0" fontId="24" fillId="0" borderId="0" xfId="3" applyFont="1" applyBorder="1" applyAlignment="1">
      <alignment vertical="center"/>
    </xf>
    <xf numFmtId="0" fontId="11" fillId="0" borderId="0" xfId="3" applyFont="1" applyAlignment="1">
      <alignment horizontal="left"/>
    </xf>
    <xf numFmtId="165" fontId="28" fillId="0" borderId="16" xfId="4" applyNumberFormat="1" applyFont="1" applyBorder="1" applyAlignment="1">
      <alignment horizontal="left" vertical="center"/>
    </xf>
    <xf numFmtId="0" fontId="28" fillId="0" borderId="14" xfId="4" applyFont="1" applyBorder="1" applyAlignment="1">
      <alignment vertical="center"/>
    </xf>
    <xf numFmtId="0" fontId="29" fillId="0" borderId="40" xfId="4" applyFont="1" applyBorder="1" applyAlignment="1" applyProtection="1">
      <alignment horizontal="centerContinuous" vertical="center"/>
    </xf>
    <xf numFmtId="0" fontId="28" fillId="0" borderId="40" xfId="3" applyFont="1" applyBorder="1" applyAlignment="1">
      <alignment vertical="center"/>
    </xf>
    <xf numFmtId="0" fontId="28" fillId="0" borderId="40" xfId="4" applyFont="1" applyBorder="1" applyAlignment="1">
      <alignment vertical="center"/>
    </xf>
    <xf numFmtId="0" fontId="29" fillId="0" borderId="40" xfId="4" applyFont="1" applyBorder="1" applyAlignment="1" applyProtection="1">
      <alignment horizontal="right" vertical="center"/>
    </xf>
    <xf numFmtId="0" fontId="28" fillId="0" borderId="41" xfId="3" applyFont="1" applyBorder="1" applyAlignment="1">
      <alignment vertical="center"/>
    </xf>
    <xf numFmtId="0" fontId="29" fillId="0" borderId="14" xfId="4" applyFont="1" applyBorder="1" applyAlignment="1" applyProtection="1">
      <alignment horizontal="left" vertical="center"/>
      <protection locked="0"/>
    </xf>
    <xf numFmtId="0" fontId="29" fillId="0" borderId="14" xfId="4" applyFont="1" applyBorder="1" applyAlignment="1" applyProtection="1">
      <alignment vertical="center"/>
    </xf>
    <xf numFmtId="0" fontId="29" fillId="0" borderId="40" xfId="4" applyFont="1" applyBorder="1" applyAlignment="1" applyProtection="1">
      <alignment vertical="center"/>
    </xf>
    <xf numFmtId="0" fontId="28" fillId="0" borderId="40" xfId="3" applyNumberFormat="1" applyFont="1" applyBorder="1" applyAlignment="1">
      <alignment horizontal="left" vertical="center"/>
    </xf>
    <xf numFmtId="165" fontId="28" fillId="0" borderId="7" xfId="4" applyNumberFormat="1" applyFont="1" applyBorder="1" applyAlignment="1">
      <alignment horizontal="left" vertical="center"/>
    </xf>
    <xf numFmtId="0" fontId="28" fillId="0" borderId="0" xfId="4" applyFont="1" applyBorder="1" applyAlignment="1">
      <alignment vertical="center"/>
    </xf>
    <xf numFmtId="0" fontId="29" fillId="0" borderId="37" xfId="4" applyFont="1" applyBorder="1" applyAlignment="1" applyProtection="1">
      <alignment horizontal="centerContinuous" vertical="center"/>
    </xf>
    <xf numFmtId="0" fontId="28" fillId="0" borderId="37" xfId="3" applyFont="1" applyBorder="1" applyAlignment="1">
      <alignment vertical="center"/>
    </xf>
    <xf numFmtId="0" fontId="28" fillId="0" borderId="37" xfId="4" applyFont="1" applyBorder="1" applyAlignment="1">
      <alignment vertical="center"/>
    </xf>
    <xf numFmtId="0" fontId="29" fillId="0" borderId="37" xfId="4" applyFont="1" applyBorder="1" applyAlignment="1" applyProtection="1">
      <alignment horizontal="right" vertical="center"/>
    </xf>
    <xf numFmtId="0" fontId="28" fillId="0" borderId="43" xfId="3" applyFont="1" applyBorder="1" applyAlignment="1">
      <alignment vertical="center"/>
    </xf>
    <xf numFmtId="165" fontId="29" fillId="0" borderId="7" xfId="4" applyNumberFormat="1" applyFont="1" applyBorder="1" applyAlignment="1" applyProtection="1">
      <alignment horizontal="left" vertical="center"/>
    </xf>
    <xf numFmtId="0" fontId="29" fillId="0" borderId="0" xfId="4" applyFont="1" applyBorder="1" applyAlignment="1" applyProtection="1">
      <alignment horizontal="left" vertical="center"/>
    </xf>
    <xf numFmtId="0" fontId="29" fillId="0" borderId="37" xfId="4" applyFont="1" applyBorder="1" applyAlignment="1" applyProtection="1">
      <alignment horizontal="left" vertical="center"/>
    </xf>
    <xf numFmtId="0" fontId="30" fillId="0" borderId="37" xfId="4" applyFont="1" applyBorder="1" applyAlignment="1" applyProtection="1">
      <alignment horizontal="left" vertical="center"/>
    </xf>
    <xf numFmtId="0" fontId="28" fillId="0" borderId="37" xfId="3" applyNumberFormat="1" applyFont="1" applyBorder="1" applyAlignment="1">
      <alignment horizontal="left" vertical="center"/>
    </xf>
    <xf numFmtId="0" fontId="28" fillId="0" borderId="0" xfId="3" applyFont="1" applyBorder="1" applyAlignment="1">
      <alignment vertical="center"/>
    </xf>
    <xf numFmtId="0" fontId="29" fillId="0" borderId="0" xfId="4" applyFont="1" applyBorder="1" applyAlignment="1" applyProtection="1">
      <alignment horizontal="centerContinuous" vertical="center"/>
    </xf>
    <xf numFmtId="0" fontId="29" fillId="0" borderId="0" xfId="4" applyFont="1" applyBorder="1" applyAlignment="1" applyProtection="1">
      <alignment horizontal="centerContinuous" vertical="center"/>
      <protection locked="0"/>
    </xf>
    <xf numFmtId="3" fontId="30" fillId="0" borderId="37" xfId="4" applyNumberFormat="1" applyFont="1" applyBorder="1" applyAlignment="1" applyProtection="1">
      <alignment horizontal="center" vertical="center"/>
    </xf>
    <xf numFmtId="165" fontId="28" fillId="0" borderId="10" xfId="4" applyNumberFormat="1" applyFont="1" applyBorder="1" applyAlignment="1">
      <alignment horizontal="left" vertical="center"/>
    </xf>
    <xf numFmtId="0" fontId="28" fillId="0" borderId="11" xfId="4" applyFont="1" applyBorder="1" applyAlignment="1">
      <alignment vertical="center"/>
    </xf>
    <xf numFmtId="0" fontId="29" fillId="0" borderId="44" xfId="4" applyFont="1" applyBorder="1" applyAlignment="1" applyProtection="1">
      <alignment horizontal="left" vertical="center"/>
    </xf>
    <xf numFmtId="0" fontId="29" fillId="0" borderId="44" xfId="4" applyFont="1" applyBorder="1" applyAlignment="1" applyProtection="1">
      <alignment horizontal="centerContinuous" vertical="center"/>
    </xf>
    <xf numFmtId="0" fontId="28" fillId="0" borderId="44" xfId="3" applyFont="1" applyBorder="1" applyAlignment="1">
      <alignment vertical="center"/>
    </xf>
    <xf numFmtId="0" fontId="28" fillId="0" borderId="44" xfId="4" applyFont="1" applyBorder="1" applyAlignment="1">
      <alignment vertical="center"/>
    </xf>
    <xf numFmtId="0" fontId="29" fillId="0" borderId="44" xfId="4" applyFont="1" applyBorder="1" applyAlignment="1" applyProtection="1">
      <alignment horizontal="right" vertical="center"/>
    </xf>
    <xf numFmtId="0" fontId="28" fillId="0" borderId="45" xfId="3" applyFont="1" applyBorder="1" applyAlignment="1">
      <alignment vertical="center"/>
    </xf>
    <xf numFmtId="0" fontId="30" fillId="0" borderId="44" xfId="4" applyFont="1" applyBorder="1" applyAlignment="1">
      <alignment horizontal="left" vertical="center"/>
    </xf>
    <xf numFmtId="0" fontId="30" fillId="0" borderId="44" xfId="4" applyFont="1" applyBorder="1" applyAlignment="1" applyProtection="1">
      <alignment horizontal="centerContinuous" vertical="center"/>
    </xf>
    <xf numFmtId="0" fontId="28" fillId="0" borderId="44" xfId="3" applyNumberFormat="1" applyFont="1" applyBorder="1" applyAlignment="1">
      <alignment horizontal="left" vertical="center"/>
    </xf>
    <xf numFmtId="165" fontId="29" fillId="0" borderId="7" xfId="6" applyNumberFormat="1" applyFont="1" applyBorder="1" applyAlignment="1" applyProtection="1">
      <alignment horizontal="left" vertical="center"/>
    </xf>
    <xf numFmtId="0" fontId="29" fillId="0" borderId="0" xfId="6" applyFont="1" applyBorder="1" applyAlignment="1" applyProtection="1">
      <alignment horizontal="left" vertical="center"/>
    </xf>
    <xf numFmtId="0" fontId="29" fillId="0" borderId="0" xfId="6" applyFont="1" applyBorder="1" applyAlignment="1" applyProtection="1">
      <alignment horizontal="left" vertical="center"/>
      <protection locked="0"/>
    </xf>
    <xf numFmtId="165" fontId="29" fillId="0" borderId="0" xfId="6" applyNumberFormat="1" applyFont="1" applyBorder="1" applyAlignment="1" applyProtection="1">
      <alignment horizontal="left" vertical="center"/>
    </xf>
    <xf numFmtId="0" fontId="29" fillId="0" borderId="0" xfId="6" applyFont="1" applyBorder="1" applyAlignment="1" applyProtection="1">
      <alignment horizontal="center" vertical="center"/>
    </xf>
    <xf numFmtId="0" fontId="28" fillId="0" borderId="0" xfId="3" applyFont="1" applyBorder="1" applyAlignment="1">
      <alignment horizontal="centerContinuous" vertical="center"/>
    </xf>
    <xf numFmtId="0" fontId="29" fillId="0" borderId="0" xfId="6" applyFont="1" applyBorder="1" applyAlignment="1" applyProtection="1">
      <alignment horizontal="center" vertical="center"/>
      <protection locked="0"/>
    </xf>
    <xf numFmtId="0" fontId="28" fillId="0" borderId="0" xfId="3" applyFont="1" applyBorder="1" applyAlignment="1">
      <alignment horizontal="center" vertical="center"/>
    </xf>
    <xf numFmtId="0" fontId="29" fillId="0" borderId="0" xfId="6" applyFont="1" applyBorder="1" applyAlignment="1" applyProtection="1">
      <alignment horizontal="centerContinuous" vertical="center"/>
    </xf>
    <xf numFmtId="0" fontId="30" fillId="0" borderId="0" xfId="6" applyFont="1" applyBorder="1" applyAlignment="1" applyProtection="1">
      <alignment horizontal="center" vertical="center"/>
      <protection locked="0"/>
    </xf>
    <xf numFmtId="164" fontId="29" fillId="0" borderId="0" xfId="6" applyNumberFormat="1" applyFont="1" applyBorder="1" applyAlignment="1" applyProtection="1">
      <alignment horizontal="centerContinuous" vertical="center"/>
    </xf>
    <xf numFmtId="0" fontId="29" fillId="0" borderId="11" xfId="6" applyFont="1" applyBorder="1" applyAlignment="1" applyProtection="1">
      <alignment horizontal="center" vertical="center"/>
    </xf>
    <xf numFmtId="0" fontId="29" fillId="0" borderId="11" xfId="6" applyFont="1" applyBorder="1" applyAlignment="1" applyProtection="1">
      <alignment horizontal="left" vertical="center"/>
    </xf>
    <xf numFmtId="0" fontId="29" fillId="0" borderId="11" xfId="6" applyFont="1" applyBorder="1" applyAlignment="1" applyProtection="1">
      <alignment horizontal="centerContinuous" vertical="center"/>
    </xf>
    <xf numFmtId="0" fontId="29" fillId="0" borderId="0" xfId="6" applyFont="1" applyBorder="1" applyAlignment="1">
      <alignment vertical="center"/>
    </xf>
    <xf numFmtId="165" fontId="29" fillId="0" borderId="16" xfId="6" applyNumberFormat="1" applyFont="1" applyBorder="1" applyAlignment="1" applyProtection="1">
      <alignment horizontal="left" vertical="center"/>
    </xf>
    <xf numFmtId="165" fontId="29" fillId="0" borderId="7" xfId="6" quotePrefix="1" applyNumberFormat="1" applyFont="1" applyBorder="1" applyAlignment="1" applyProtection="1">
      <alignment horizontal="left" vertical="center"/>
    </xf>
    <xf numFmtId="0" fontId="29" fillId="0" borderId="11" xfId="6" applyNumberFormat="1" applyFont="1" applyBorder="1" applyAlignment="1" applyProtection="1">
      <alignment horizontal="center" vertical="center"/>
    </xf>
    <xf numFmtId="165" fontId="29" fillId="0" borderId="10" xfId="6" applyNumberFormat="1" applyFont="1" applyBorder="1" applyAlignment="1" applyProtection="1">
      <alignment horizontal="left" vertical="center"/>
    </xf>
    <xf numFmtId="165" fontId="29" fillId="0" borderId="19" xfId="6" applyNumberFormat="1" applyFont="1" applyBorder="1" applyAlignment="1" applyProtection="1">
      <alignment horizontal="left" vertical="center"/>
    </xf>
    <xf numFmtId="0" fontId="29" fillId="0" borderId="39" xfId="6" applyFont="1" applyBorder="1" applyAlignment="1" applyProtection="1">
      <alignment horizontal="left" vertical="center"/>
    </xf>
    <xf numFmtId="0" fontId="29" fillId="0" borderId="39" xfId="6" applyFont="1" applyBorder="1" applyAlignment="1" applyProtection="1">
      <alignment horizontal="left" vertical="center"/>
      <protection locked="0"/>
    </xf>
    <xf numFmtId="0" fontId="29" fillId="0" borderId="39" xfId="6" applyFont="1" applyBorder="1" applyAlignment="1" applyProtection="1">
      <alignment horizontal="center" vertical="center"/>
      <protection locked="0"/>
    </xf>
    <xf numFmtId="0" fontId="29" fillId="0" borderId="39" xfId="6" applyFont="1" applyBorder="1" applyAlignment="1">
      <alignment vertical="center"/>
    </xf>
    <xf numFmtId="0" fontId="28" fillId="0" borderId="20" xfId="3" applyFont="1" applyBorder="1" applyAlignment="1">
      <alignment vertical="center"/>
    </xf>
    <xf numFmtId="165" fontId="29" fillId="0" borderId="39" xfId="6" applyNumberFormat="1" applyFont="1" applyBorder="1" applyAlignment="1" applyProtection="1">
      <alignment horizontal="left" vertical="center"/>
    </xf>
    <xf numFmtId="0" fontId="28" fillId="0" borderId="39" xfId="3" applyFont="1" applyBorder="1" applyAlignment="1">
      <alignment vertical="center"/>
    </xf>
    <xf numFmtId="0" fontId="28" fillId="0" borderId="39" xfId="3" applyNumberFormat="1" applyFont="1" applyBorder="1" applyAlignment="1">
      <alignment horizontal="left" vertical="center"/>
    </xf>
    <xf numFmtId="165" fontId="29" fillId="0" borderId="7" xfId="6" applyNumberFormat="1" applyFont="1" applyBorder="1" applyAlignment="1" applyProtection="1">
      <alignment horizontal="left" vertical="center"/>
      <protection locked="0"/>
    </xf>
    <xf numFmtId="0" fontId="29" fillId="0" borderId="0" xfId="6" quotePrefix="1" applyFont="1" applyBorder="1" applyAlignment="1" applyProtection="1">
      <alignment horizontal="left" vertical="center"/>
    </xf>
    <xf numFmtId="0" fontId="30" fillId="0" borderId="0" xfId="6" applyFont="1" applyBorder="1" applyAlignment="1" applyProtection="1">
      <alignment horizontal="left" vertical="center"/>
    </xf>
    <xf numFmtId="0" fontId="29" fillId="0" borderId="41" xfId="6" applyFont="1" applyBorder="1" applyAlignment="1" applyProtection="1">
      <alignment vertical="center"/>
    </xf>
    <xf numFmtId="0" fontId="28" fillId="0" borderId="43" xfId="3" applyNumberFormat="1" applyFont="1" applyBorder="1" applyAlignment="1">
      <alignment horizontal="left" vertical="center"/>
    </xf>
    <xf numFmtId="0" fontId="29" fillId="0" borderId="0" xfId="6" applyFont="1" applyFill="1" applyBorder="1" applyAlignment="1" applyProtection="1">
      <alignment vertical="center"/>
    </xf>
    <xf numFmtId="0" fontId="29" fillId="0" borderId="38" xfId="6" applyFont="1" applyBorder="1" applyAlignment="1" applyProtection="1">
      <alignment horizontal="left" vertical="center"/>
    </xf>
    <xf numFmtId="0" fontId="29" fillId="0" borderId="52" xfId="6" applyFont="1" applyBorder="1" applyAlignment="1" applyProtection="1">
      <alignment horizontal="centerContinuous" vertical="center"/>
    </xf>
    <xf numFmtId="0" fontId="29" fillId="0" borderId="38" xfId="6" applyFont="1" applyBorder="1" applyAlignment="1" applyProtection="1">
      <alignment horizontal="centerContinuous" vertical="center"/>
      <protection locked="0"/>
    </xf>
    <xf numFmtId="0" fontId="28" fillId="0" borderId="38" xfId="3" applyFont="1" applyBorder="1" applyAlignment="1">
      <alignment horizontal="centerContinuous" vertical="center"/>
    </xf>
    <xf numFmtId="49" fontId="22" fillId="0" borderId="11" xfId="3" applyNumberFormat="1" applyFont="1" applyFill="1" applyBorder="1" applyAlignment="1" applyProtection="1">
      <alignment vertical="center"/>
    </xf>
    <xf numFmtId="165" fontId="29" fillId="0" borderId="7" xfId="6" quotePrefix="1" applyNumberFormat="1" applyFont="1" applyBorder="1" applyAlignment="1" applyProtection="1">
      <alignment horizontal="left" vertical="center"/>
      <protection locked="0"/>
    </xf>
    <xf numFmtId="0" fontId="29" fillId="0" borderId="0" xfId="6" applyFont="1" applyBorder="1" applyAlignment="1" applyProtection="1">
      <alignment horizontal="right" vertical="center"/>
    </xf>
    <xf numFmtId="168" fontId="29" fillId="0" borderId="10" xfId="6" applyNumberFormat="1" applyFont="1" applyBorder="1" applyAlignment="1" applyProtection="1">
      <alignment horizontal="right" vertical="center"/>
    </xf>
    <xf numFmtId="0" fontId="29" fillId="0" borderId="11" xfId="6" applyFont="1" applyBorder="1" applyAlignment="1">
      <alignment horizontal="centerContinuous" vertical="center"/>
    </xf>
    <xf numFmtId="0" fontId="29" fillId="0" borderId="11" xfId="6" applyFont="1" applyBorder="1" applyAlignment="1" applyProtection="1">
      <alignment horizontal="centerContinuous" vertical="center"/>
      <protection locked="0"/>
    </xf>
    <xf numFmtId="0" fontId="29" fillId="0" borderId="44" xfId="6" applyFont="1" applyBorder="1" applyAlignment="1" applyProtection="1">
      <alignment horizontal="centerContinuous" vertical="center"/>
    </xf>
    <xf numFmtId="0" fontId="29" fillId="0" borderId="44" xfId="6" applyFont="1" applyBorder="1" applyAlignment="1" applyProtection="1">
      <alignment horizontal="centerContinuous" vertical="center"/>
      <protection locked="0"/>
    </xf>
    <xf numFmtId="0" fontId="29" fillId="0" borderId="49" xfId="6" applyFont="1" applyBorder="1" applyAlignment="1" applyProtection="1">
      <alignment horizontal="left" vertical="center"/>
    </xf>
    <xf numFmtId="0" fontId="29" fillId="0" borderId="36" xfId="6" quotePrefix="1" applyFont="1" applyBorder="1" applyAlignment="1" applyProtection="1">
      <alignment horizontal="centerContinuous" vertical="center"/>
    </xf>
    <xf numFmtId="0" fontId="29" fillId="0" borderId="40" xfId="6" applyFont="1" applyBorder="1" applyAlignment="1" applyProtection="1">
      <alignment horizontal="centerContinuous" vertical="center"/>
    </xf>
    <xf numFmtId="0" fontId="29" fillId="0" borderId="40" xfId="6" applyFont="1" applyBorder="1" applyAlignment="1">
      <alignment horizontal="centerContinuous" vertical="center"/>
    </xf>
    <xf numFmtId="0" fontId="29" fillId="0" borderId="40" xfId="6" applyFont="1" applyBorder="1" applyAlignment="1" applyProtection="1">
      <alignment horizontal="centerContinuous" vertical="center"/>
      <protection locked="0"/>
    </xf>
    <xf numFmtId="0" fontId="29" fillId="0" borderId="36" xfId="6" applyFont="1" applyBorder="1" applyAlignment="1" applyProtection="1">
      <alignment horizontal="centerContinuous" vertical="center"/>
    </xf>
    <xf numFmtId="0" fontId="29" fillId="0" borderId="36" xfId="6" applyFont="1" applyBorder="1" applyAlignment="1" applyProtection="1">
      <alignment horizontal="centerContinuous" vertical="center"/>
      <protection locked="0"/>
    </xf>
    <xf numFmtId="0" fontId="28" fillId="0" borderId="36" xfId="3" applyNumberFormat="1" applyFont="1" applyBorder="1" applyAlignment="1">
      <alignment horizontal="left" vertical="center"/>
    </xf>
    <xf numFmtId="0" fontId="28" fillId="0" borderId="0" xfId="3" applyFont="1" applyAlignment="1">
      <alignment vertical="center"/>
    </xf>
    <xf numFmtId="0" fontId="29" fillId="0" borderId="37" xfId="6" applyFont="1" applyBorder="1" applyAlignment="1" applyProtection="1">
      <alignment horizontal="centerContinuous" vertical="center"/>
    </xf>
    <xf numFmtId="0" fontId="29" fillId="0" borderId="37" xfId="6" applyFont="1" applyBorder="1" applyAlignment="1">
      <alignment horizontal="centerContinuous" vertical="center"/>
    </xf>
    <xf numFmtId="0" fontId="29" fillId="0" borderId="37" xfId="6" applyFont="1" applyBorder="1" applyAlignment="1" applyProtection="1">
      <alignment horizontal="centerContinuous" vertical="center"/>
      <protection locked="0"/>
    </xf>
    <xf numFmtId="0" fontId="34" fillId="0" borderId="42" xfId="6" applyFont="1" applyBorder="1" applyAlignment="1" applyProtection="1">
      <alignment horizontal="center" vertical="center"/>
    </xf>
    <xf numFmtId="0" fontId="34" fillId="0" borderId="37" xfId="6" applyFont="1" applyBorder="1" applyAlignment="1" applyProtection="1">
      <alignment horizontal="left" vertical="center"/>
    </xf>
    <xf numFmtId="0" fontId="34" fillId="0" borderId="37" xfId="6" applyFont="1" applyBorder="1" applyAlignment="1" applyProtection="1">
      <alignment horizontal="centerContinuous" vertical="center"/>
    </xf>
    <xf numFmtId="0" fontId="34" fillId="0" borderId="37" xfId="6" applyFont="1" applyBorder="1" applyAlignment="1">
      <alignment horizontal="centerContinuous" vertical="center"/>
    </xf>
    <xf numFmtId="0" fontId="34" fillId="0" borderId="37" xfId="6" applyFont="1" applyBorder="1" applyAlignment="1" applyProtection="1">
      <alignment horizontal="centerContinuous" vertical="center"/>
      <protection locked="0"/>
    </xf>
    <xf numFmtId="0" fontId="35" fillId="0" borderId="37" xfId="3" applyNumberFormat="1" applyFont="1" applyBorder="1" applyAlignment="1">
      <alignment horizontal="left" vertical="center"/>
    </xf>
    <xf numFmtId="0" fontId="35" fillId="0" borderId="0" xfId="3" applyFont="1" applyAlignment="1">
      <alignment vertical="center"/>
    </xf>
    <xf numFmtId="0" fontId="29" fillId="0" borderId="42" xfId="6" applyFont="1" applyBorder="1" applyAlignment="1" applyProtection="1">
      <alignment horizontal="center" vertical="center"/>
    </xf>
    <xf numFmtId="0" fontId="29" fillId="0" borderId="37" xfId="6" applyFont="1" applyBorder="1" applyAlignment="1" applyProtection="1">
      <alignment horizontal="left" vertical="center"/>
    </xf>
    <xf numFmtId="0" fontId="36" fillId="0" borderId="42" xfId="6" applyFont="1" applyBorder="1" applyAlignment="1" applyProtection="1">
      <alignment horizontal="center" vertical="center"/>
    </xf>
    <xf numFmtId="0" fontId="37" fillId="0" borderId="37" xfId="3" applyFont="1" applyBorder="1" applyAlignment="1">
      <alignment vertical="center"/>
    </xf>
    <xf numFmtId="0" fontId="37" fillId="0" borderId="0" xfId="3" applyFont="1" applyAlignment="1">
      <alignment vertical="center"/>
    </xf>
    <xf numFmtId="0" fontId="28" fillId="0" borderId="37" xfId="3" applyFont="1" applyFill="1" applyBorder="1" applyAlignment="1">
      <alignment vertical="center"/>
    </xf>
    <xf numFmtId="0" fontId="28" fillId="0" borderId="42" xfId="3" applyFont="1" applyBorder="1" applyAlignment="1">
      <alignment vertical="center"/>
    </xf>
    <xf numFmtId="0" fontId="8" fillId="0" borderId="0" xfId="3" applyFont="1" applyAlignment="1">
      <alignment horizontal="left"/>
    </xf>
    <xf numFmtId="0" fontId="29" fillId="0" borderId="0" xfId="7" applyFont="1" applyBorder="1" applyAlignment="1" applyProtection="1">
      <alignment horizontal="left"/>
      <protection locked="0"/>
    </xf>
    <xf numFmtId="0" fontId="29" fillId="0" borderId="0" xfId="7" applyFont="1" applyBorder="1" applyAlignment="1" applyProtection="1">
      <alignment horizontal="left"/>
    </xf>
    <xf numFmtId="0" fontId="29" fillId="0" borderId="0" xfId="7" applyFont="1" applyBorder="1" applyAlignment="1" applyProtection="1">
      <alignment horizontal="centerContinuous"/>
    </xf>
    <xf numFmtId="0" fontId="29" fillId="0" borderId="0" xfId="7" applyFont="1" applyBorder="1" applyAlignment="1" applyProtection="1">
      <alignment horizontal="centerContinuous"/>
      <protection locked="0"/>
    </xf>
    <xf numFmtId="0" fontId="29" fillId="0" borderId="0" xfId="7" quotePrefix="1" applyFont="1" applyBorder="1" applyAlignment="1" applyProtection="1">
      <alignment horizontal="centerContinuous"/>
    </xf>
    <xf numFmtId="0" fontId="29" fillId="0" borderId="0" xfId="7" applyFont="1" applyBorder="1" applyAlignment="1" applyProtection="1">
      <alignment horizontal="right"/>
    </xf>
    <xf numFmtId="0" fontId="30" fillId="0" borderId="0" xfId="7" applyFont="1" applyBorder="1" applyAlignment="1" applyProtection="1">
      <alignment horizontal="center" vertical="center"/>
      <protection locked="0"/>
    </xf>
    <xf numFmtId="0" fontId="29" fillId="0" borderId="0" xfId="7" quotePrefix="1" applyFont="1" applyBorder="1" applyAlignment="1" applyProtection="1">
      <alignment horizontal="left"/>
    </xf>
    <xf numFmtId="0" fontId="30" fillId="0" borderId="0" xfId="7" applyFont="1" applyBorder="1" applyAlignment="1" applyProtection="1">
      <alignment horizontal="left"/>
    </xf>
    <xf numFmtId="0" fontId="30" fillId="0" borderId="0" xfId="7" applyFont="1" applyBorder="1" applyAlignment="1" applyProtection="1">
      <alignment horizontal="left" vertical="center"/>
    </xf>
    <xf numFmtId="0" fontId="30" fillId="0" borderId="0" xfId="7" applyFont="1" applyBorder="1" applyAlignment="1" applyProtection="1">
      <alignment horizontal="centerContinuous"/>
    </xf>
    <xf numFmtId="0" fontId="30" fillId="0" borderId="0" xfId="7" applyFont="1" applyBorder="1" applyAlignment="1" applyProtection="1">
      <alignment horizontal="centerContinuous" vertical="center"/>
      <protection locked="0"/>
    </xf>
    <xf numFmtId="0" fontId="30" fillId="0" borderId="0" xfId="7" applyFont="1" applyBorder="1" applyAlignment="1" applyProtection="1">
      <alignment horizontal="centerContinuous" vertical="center"/>
    </xf>
    <xf numFmtId="0" fontId="38" fillId="0" borderId="0" xfId="7" applyFont="1" applyBorder="1"/>
    <xf numFmtId="0" fontId="29" fillId="0" borderId="0" xfId="7" quotePrefix="1" applyFont="1" applyBorder="1" applyAlignment="1" applyProtection="1">
      <alignment horizontal="center" vertical="center"/>
    </xf>
    <xf numFmtId="0" fontId="29" fillId="0" borderId="0" xfId="7" applyFont="1" applyBorder="1" applyAlignment="1" applyProtection="1">
      <alignment horizontal="centerContinuous" vertical="center"/>
    </xf>
    <xf numFmtId="0" fontId="29" fillId="0" borderId="0" xfId="7" quotePrefix="1" applyFont="1" applyBorder="1" applyAlignment="1" applyProtection="1">
      <alignment horizontal="left" vertical="center"/>
    </xf>
    <xf numFmtId="0" fontId="38" fillId="0" borderId="0" xfId="7" applyFont="1" applyBorder="1" applyAlignment="1">
      <alignment horizontal="centerContinuous"/>
    </xf>
    <xf numFmtId="0" fontId="39" fillId="0" borderId="0" xfId="7" applyFont="1" applyBorder="1" applyAlignment="1" applyProtection="1">
      <alignment horizontal="left"/>
    </xf>
    <xf numFmtId="0" fontId="38" fillId="0" borderId="39" xfId="6" applyFont="1" applyBorder="1" applyAlignment="1" applyProtection="1">
      <alignment vertical="center"/>
    </xf>
    <xf numFmtId="0" fontId="29" fillId="0" borderId="19" xfId="6" applyFont="1" applyBorder="1" applyAlignment="1" applyProtection="1">
      <alignment horizontal="center" vertical="center"/>
    </xf>
    <xf numFmtId="0" fontId="29" fillId="0" borderId="39" xfId="6" applyFont="1" applyBorder="1" applyAlignment="1" applyProtection="1">
      <alignment horizontal="center" vertical="center"/>
    </xf>
    <xf numFmtId="0" fontId="29" fillId="0" borderId="20" xfId="6" applyFont="1" applyBorder="1" applyAlignment="1" applyProtection="1">
      <alignment horizontal="center" vertical="center"/>
    </xf>
    <xf numFmtId="0" fontId="29" fillId="0" borderId="19" xfId="6" applyFont="1" applyBorder="1" applyAlignment="1" applyProtection="1">
      <alignment horizontal="center" vertical="center"/>
      <protection locked="0"/>
    </xf>
    <xf numFmtId="0" fontId="29" fillId="0" borderId="20" xfId="6" applyFont="1" applyBorder="1" applyAlignment="1" applyProtection="1">
      <alignment horizontal="center" vertical="center"/>
      <protection locked="0"/>
    </xf>
    <xf numFmtId="169" fontId="29" fillId="0" borderId="19" xfId="6" applyNumberFormat="1" applyFont="1" applyBorder="1" applyAlignment="1" applyProtection="1">
      <alignment horizontal="center" vertical="center"/>
    </xf>
    <xf numFmtId="169" fontId="29" fillId="0" borderId="20" xfId="6" applyNumberFormat="1" applyFont="1" applyBorder="1" applyAlignment="1" applyProtection="1">
      <alignment horizontal="center" vertical="center"/>
    </xf>
    <xf numFmtId="0" fontId="29" fillId="0" borderId="19" xfId="6" applyFont="1" applyBorder="1" applyAlignment="1" applyProtection="1">
      <alignment horizontal="left"/>
    </xf>
    <xf numFmtId="0" fontId="29" fillId="0" borderId="39" xfId="6" applyFont="1" applyBorder="1" applyAlignment="1" applyProtection="1">
      <alignment horizontal="left"/>
    </xf>
    <xf numFmtId="0" fontId="29" fillId="0" borderId="20" xfId="6" applyFont="1" applyBorder="1" applyAlignment="1" applyProtection="1">
      <alignment horizontal="left"/>
    </xf>
    <xf numFmtId="0" fontId="29" fillId="0" borderId="19" xfId="6" applyFont="1" applyBorder="1" applyAlignment="1" applyProtection="1">
      <alignment horizontal="center"/>
      <protection locked="0"/>
    </xf>
    <xf numFmtId="0" fontId="29" fillId="0" borderId="39" xfId="6" applyFont="1" applyBorder="1" applyAlignment="1" applyProtection="1">
      <alignment horizontal="center"/>
      <protection locked="0"/>
    </xf>
    <xf numFmtId="0" fontId="29" fillId="0" borderId="20" xfId="6" applyFont="1" applyBorder="1" applyAlignment="1" applyProtection="1">
      <alignment horizontal="center"/>
      <protection locked="0"/>
    </xf>
    <xf numFmtId="0" fontId="29" fillId="0" borderId="16" xfId="6" applyFont="1" applyBorder="1" applyAlignment="1" applyProtection="1">
      <alignment horizontal="center" vertical="center"/>
    </xf>
    <xf numFmtId="0" fontId="29" fillId="0" borderId="15" xfId="6" applyFont="1" applyBorder="1" applyAlignment="1" applyProtection="1">
      <alignment horizontal="center" vertical="center"/>
    </xf>
    <xf numFmtId="0" fontId="29" fillId="0" borderId="19" xfId="6" applyFont="1" applyBorder="1" applyAlignment="1" applyProtection="1">
      <alignment horizontal="left"/>
      <protection locked="0"/>
    </xf>
    <xf numFmtId="0" fontId="29" fillId="0" borderId="39" xfId="6" applyFont="1" applyBorder="1" applyAlignment="1" applyProtection="1">
      <alignment horizontal="left"/>
      <protection locked="0"/>
    </xf>
    <xf numFmtId="0" fontId="29" fillId="0" borderId="20" xfId="6" applyFont="1" applyBorder="1" applyAlignment="1" applyProtection="1">
      <alignment horizontal="left"/>
      <protection locked="0"/>
    </xf>
    <xf numFmtId="0" fontId="29" fillId="0" borderId="19" xfId="6" applyFont="1" applyBorder="1" applyAlignment="1" applyProtection="1">
      <alignment horizontal="left" vertical="center"/>
    </xf>
    <xf numFmtId="0" fontId="29" fillId="0" borderId="20" xfId="6" applyFont="1" applyBorder="1" applyAlignment="1" applyProtection="1">
      <alignment horizontal="left" vertical="center"/>
    </xf>
    <xf numFmtId="0" fontId="29" fillId="0" borderId="19" xfId="6" applyFont="1" applyBorder="1" applyAlignment="1" applyProtection="1">
      <alignment vertical="center"/>
    </xf>
    <xf numFmtId="0" fontId="29" fillId="0" borderId="39" xfId="6" applyFont="1" applyBorder="1" applyAlignment="1" applyProtection="1">
      <alignment vertical="center"/>
    </xf>
    <xf numFmtId="49" fontId="26" fillId="0" borderId="39" xfId="3" applyNumberFormat="1" applyFont="1" applyBorder="1" applyAlignment="1">
      <alignment horizontal="center" vertical="center"/>
    </xf>
    <xf numFmtId="0" fontId="29" fillId="0" borderId="20" xfId="6" applyFont="1" applyBorder="1" applyAlignment="1" applyProtection="1">
      <alignment vertical="center"/>
    </xf>
    <xf numFmtId="1" fontId="29" fillId="0" borderId="39" xfId="6" applyNumberFormat="1" applyFont="1" applyFill="1" applyBorder="1" applyAlignment="1" applyProtection="1">
      <alignment horizontal="center" vertical="center"/>
    </xf>
    <xf numFmtId="1" fontId="29" fillId="0" borderId="20" xfId="6" applyNumberFormat="1" applyFont="1" applyFill="1" applyBorder="1" applyAlignment="1" applyProtection="1">
      <alignment horizontal="center" vertical="center"/>
    </xf>
    <xf numFmtId="0" fontId="30" fillId="0" borderId="0" xfId="6" applyFont="1" applyBorder="1" applyAlignment="1" applyProtection="1">
      <alignment horizontal="left"/>
    </xf>
    <xf numFmtId="0" fontId="29" fillId="0" borderId="0" xfId="6" applyFont="1" applyBorder="1" applyAlignment="1" applyProtection="1">
      <alignment horizontal="left"/>
    </xf>
    <xf numFmtId="0" fontId="29" fillId="0" borderId="0" xfId="6" applyFont="1" applyBorder="1" applyAlignment="1" applyProtection="1">
      <alignment horizontal="left"/>
      <protection locked="0"/>
    </xf>
    <xf numFmtId="0" fontId="29" fillId="0" borderId="0" xfId="6" applyFont="1" applyBorder="1" applyAlignment="1" applyProtection="1">
      <alignment horizontal="center"/>
    </xf>
    <xf numFmtId="49" fontId="26" fillId="0" borderId="0" xfId="3" applyNumberFormat="1" applyFont="1" applyBorder="1" applyAlignment="1">
      <alignment horizontal="center" vertical="center"/>
    </xf>
    <xf numFmtId="0" fontId="30" fillId="0" borderId="0" xfId="6" applyFont="1" applyBorder="1" applyAlignment="1" applyProtection="1">
      <alignment horizontal="center"/>
    </xf>
    <xf numFmtId="0" fontId="38" fillId="0" borderId="0" xfId="6" applyFont="1" applyBorder="1" applyProtection="1"/>
    <xf numFmtId="0" fontId="43" fillId="0" borderId="0" xfId="6" applyFont="1" applyBorder="1" applyAlignment="1" applyProtection="1">
      <alignment horizontal="left"/>
    </xf>
    <xf numFmtId="0" fontId="26" fillId="0" borderId="0" xfId="6" applyFont="1" applyBorder="1"/>
    <xf numFmtId="0" fontId="42" fillId="0" borderId="0" xfId="6" applyFont="1" applyBorder="1" applyAlignment="1">
      <alignment horizontal="center"/>
    </xf>
    <xf numFmtId="0" fontId="42" fillId="0" borderId="0" xfId="6" quotePrefix="1" applyFont="1" applyBorder="1" applyAlignment="1">
      <alignment horizontal="right"/>
    </xf>
    <xf numFmtId="2" fontId="42" fillId="0" borderId="0" xfId="6" quotePrefix="1" applyNumberFormat="1" applyFont="1" applyBorder="1" applyAlignment="1">
      <alignment horizontal="right"/>
    </xf>
    <xf numFmtId="0" fontId="29" fillId="0" borderId="0" xfId="6" applyFont="1" applyBorder="1" applyAlignment="1" applyProtection="1">
      <alignment horizontal="centerContinuous"/>
    </xf>
    <xf numFmtId="0" fontId="30" fillId="0" borderId="0" xfId="6" applyFont="1" applyBorder="1" applyAlignment="1" applyProtection="1">
      <alignment horizontal="centerContinuous"/>
    </xf>
    <xf numFmtId="0" fontId="12" fillId="0" borderId="0" xfId="3" applyFont="1" applyBorder="1" applyAlignment="1">
      <alignment horizontal="left"/>
    </xf>
    <xf numFmtId="0" fontId="29" fillId="0" borderId="44" xfId="6" applyFont="1" applyBorder="1" applyAlignment="1" applyProtection="1">
      <alignment horizontal="center" vertical="center"/>
    </xf>
    <xf numFmtId="3" fontId="28" fillId="0" borderId="44" xfId="6" applyNumberFormat="1" applyFont="1" applyFill="1" applyBorder="1" applyAlignment="1" applyProtection="1">
      <alignment horizontal="center" vertical="center"/>
    </xf>
    <xf numFmtId="3" fontId="29" fillId="0" borderId="37" xfId="6" applyNumberFormat="1" applyFont="1" applyBorder="1" applyAlignment="1" applyProtection="1">
      <alignment horizontal="center" vertical="center"/>
    </xf>
    <xf numFmtId="166" fontId="29" fillId="0" borderId="40" xfId="6" applyNumberFormat="1" applyFont="1" applyBorder="1" applyAlignment="1" applyProtection="1">
      <alignment horizontal="center" vertical="center"/>
    </xf>
    <xf numFmtId="166" fontId="29" fillId="0" borderId="41" xfId="6" applyNumberFormat="1" applyFont="1" applyBorder="1" applyAlignment="1" applyProtection="1">
      <alignment horizontal="center" vertical="center"/>
    </xf>
    <xf numFmtId="0" fontId="12" fillId="0" borderId="2" xfId="3" applyFont="1" applyFill="1" applyBorder="1" applyAlignment="1" applyProtection="1">
      <alignment horizontal="center"/>
    </xf>
    <xf numFmtId="0" fontId="12" fillId="0" borderId="0" xfId="3" applyFont="1" applyFill="1" applyBorder="1" applyAlignment="1" applyProtection="1">
      <alignment horizontal="center"/>
    </xf>
    <xf numFmtId="0" fontId="29" fillId="0" borderId="40" xfId="6" applyNumberFormat="1" applyFont="1" applyBorder="1" applyAlignment="1" applyProtection="1">
      <alignment horizontal="center" vertical="center"/>
    </xf>
    <xf numFmtId="166" fontId="29" fillId="0" borderId="37" xfId="6" applyNumberFormat="1" applyFont="1" applyBorder="1" applyAlignment="1" applyProtection="1">
      <alignment horizontal="center" vertical="center"/>
    </xf>
    <xf numFmtId="166" fontId="29" fillId="0" borderId="43" xfId="6" applyNumberFormat="1" applyFont="1" applyBorder="1" applyAlignment="1" applyProtection="1">
      <alignment horizontal="center" vertical="center"/>
    </xf>
    <xf numFmtId="166" fontId="29" fillId="0" borderId="44" xfId="6" applyNumberFormat="1" applyFont="1" applyBorder="1" applyAlignment="1" applyProtection="1">
      <alignment horizontal="center" vertical="center"/>
    </xf>
    <xf numFmtId="166" fontId="29" fillId="0" borderId="45" xfId="6" applyNumberFormat="1" applyFont="1" applyBorder="1" applyAlignment="1" applyProtection="1">
      <alignment horizontal="center" vertical="center"/>
    </xf>
    <xf numFmtId="0" fontId="29" fillId="0" borderId="40" xfId="6" applyFont="1" applyBorder="1" applyAlignment="1" applyProtection="1">
      <alignment horizontal="center" vertical="center"/>
    </xf>
    <xf numFmtId="0" fontId="29" fillId="0" borderId="37" xfId="6" applyFont="1" applyBorder="1" applyAlignment="1" applyProtection="1">
      <alignment horizontal="center" vertical="center"/>
    </xf>
    <xf numFmtId="0" fontId="29" fillId="0" borderId="14" xfId="6" applyFont="1" applyBorder="1" applyAlignment="1" applyProtection="1">
      <alignment horizontal="center" vertical="center"/>
    </xf>
    <xf numFmtId="0" fontId="28" fillId="3" borderId="40" xfId="5" applyFont="1" applyFill="1" applyBorder="1" applyAlignment="1" applyProtection="1">
      <alignment vertical="center"/>
      <protection locked="0"/>
    </xf>
    <xf numFmtId="0" fontId="28" fillId="3" borderId="37" xfId="5" applyFont="1" applyFill="1" applyBorder="1" applyAlignment="1" applyProtection="1">
      <alignment vertical="center"/>
      <protection locked="0"/>
    </xf>
    <xf numFmtId="3" fontId="29" fillId="3" borderId="37" xfId="6" applyNumberFormat="1" applyFont="1" applyFill="1" applyBorder="1" applyAlignment="1" applyProtection="1">
      <alignment horizontal="center" vertical="center"/>
    </xf>
    <xf numFmtId="0" fontId="29" fillId="3" borderId="40" xfId="6" applyFont="1" applyFill="1" applyBorder="1" applyAlignment="1" applyProtection="1">
      <alignment horizontal="left" vertical="center"/>
    </xf>
    <xf numFmtId="0" fontId="29" fillId="3" borderId="37" xfId="6" applyFont="1" applyFill="1" applyBorder="1" applyAlignment="1" applyProtection="1">
      <alignment vertical="center"/>
    </xf>
    <xf numFmtId="0" fontId="29" fillId="3" borderId="44" xfId="6" applyFont="1" applyFill="1" applyBorder="1" applyAlignment="1" applyProtection="1">
      <alignment vertical="center"/>
    </xf>
    <xf numFmtId="0" fontId="29" fillId="3" borderId="37" xfId="6" applyFont="1" applyFill="1" applyBorder="1" applyAlignment="1" applyProtection="1">
      <alignment horizontal="left" vertical="center"/>
    </xf>
    <xf numFmtId="0" fontId="29" fillId="3" borderId="19" xfId="6" applyFont="1" applyFill="1" applyBorder="1" applyAlignment="1" applyProtection="1">
      <alignment horizontal="left"/>
    </xf>
    <xf numFmtId="0" fontId="29" fillId="3" borderId="39" xfId="6" applyFont="1" applyFill="1" applyBorder="1" applyAlignment="1" applyProtection="1">
      <alignment horizontal="left"/>
    </xf>
    <xf numFmtId="0" fontId="29" fillId="0" borderId="19" xfId="6" applyFont="1" applyBorder="1" applyAlignment="1" applyProtection="1">
      <alignment horizontal="left" vertical="center"/>
      <protection locked="0"/>
    </xf>
    <xf numFmtId="169" fontId="29" fillId="0" borderId="19" xfId="6" applyNumberFormat="1" applyFont="1" applyBorder="1" applyAlignment="1" applyProtection="1">
      <alignment horizontal="left" vertical="center"/>
    </xf>
    <xf numFmtId="169" fontId="29" fillId="0" borderId="20" xfId="6" applyNumberFormat="1" applyFont="1" applyBorder="1" applyAlignment="1" applyProtection="1">
      <alignment horizontal="left" vertical="center"/>
    </xf>
    <xf numFmtId="0" fontId="29" fillId="0" borderId="54" xfId="6" applyFont="1" applyBorder="1" applyAlignment="1" applyProtection="1">
      <alignment horizontal="center" vertical="center"/>
    </xf>
    <xf numFmtId="0" fontId="29" fillId="0" borderId="48" xfId="6" applyFont="1" applyBorder="1" applyAlignment="1" applyProtection="1">
      <alignment vertical="center"/>
    </xf>
    <xf numFmtId="0" fontId="28" fillId="0" borderId="54" xfId="3" applyFont="1" applyBorder="1" applyAlignment="1">
      <alignment vertical="center"/>
    </xf>
    <xf numFmtId="0" fontId="28" fillId="0" borderId="51" xfId="3" applyFont="1" applyBorder="1" applyAlignment="1">
      <alignment vertical="center"/>
    </xf>
    <xf numFmtId="0" fontId="28" fillId="0" borderId="59" xfId="3" applyFont="1" applyBorder="1" applyAlignment="1">
      <alignment vertical="center"/>
    </xf>
    <xf numFmtId="0" fontId="12" fillId="0" borderId="9" xfId="3" applyFont="1" applyBorder="1" applyAlignment="1">
      <alignment horizontal="left"/>
    </xf>
    <xf numFmtId="0" fontId="12" fillId="0" borderId="23" xfId="3" applyFont="1" applyBorder="1" applyAlignment="1">
      <alignment horizontal="left"/>
    </xf>
    <xf numFmtId="0" fontId="12" fillId="0" borderId="26" xfId="3" applyFont="1" applyBorder="1" applyAlignment="1">
      <alignment horizontal="left"/>
    </xf>
    <xf numFmtId="49" fontId="13" fillId="0" borderId="61" xfId="3" applyNumberFormat="1" applyFont="1" applyFill="1" applyBorder="1" applyAlignment="1" applyProtection="1">
      <alignment horizontal="left"/>
    </xf>
    <xf numFmtId="49" fontId="12" fillId="0" borderId="62" xfId="3" applyNumberFormat="1" applyFont="1" applyBorder="1" applyAlignment="1">
      <alignment horizontal="left"/>
    </xf>
    <xf numFmtId="49" fontId="13" fillId="0" borderId="62" xfId="3" applyNumberFormat="1" applyFont="1" applyFill="1" applyBorder="1" applyAlignment="1" applyProtection="1">
      <alignment horizontal="left"/>
    </xf>
    <xf numFmtId="49" fontId="14" fillId="0" borderId="62" xfId="3" applyNumberFormat="1" applyFont="1" applyFill="1" applyBorder="1" applyAlignment="1" applyProtection="1">
      <alignment horizontal="left"/>
    </xf>
    <xf numFmtId="49" fontId="12" fillId="0" borderId="62" xfId="3" applyNumberFormat="1" applyFont="1" applyFill="1" applyBorder="1" applyAlignment="1" applyProtection="1">
      <alignment horizontal="left"/>
    </xf>
    <xf numFmtId="49" fontId="12" fillId="0" borderId="62" xfId="3" applyNumberFormat="1" applyFont="1" applyBorder="1" applyAlignment="1" applyProtection="1">
      <alignment horizontal="left"/>
    </xf>
    <xf numFmtId="49" fontId="12" fillId="0" borderId="62" xfId="3" applyNumberFormat="1" applyFont="1" applyBorder="1" applyAlignment="1" applyProtection="1">
      <alignment horizontal="left"/>
      <protection locked="0"/>
    </xf>
    <xf numFmtId="49" fontId="12" fillId="0" borderId="62" xfId="3" applyNumberFormat="1" applyFont="1" applyFill="1" applyBorder="1" applyAlignment="1" applyProtection="1">
      <alignment horizontal="left"/>
      <protection locked="0"/>
    </xf>
    <xf numFmtId="49" fontId="12" fillId="0" borderId="63" xfId="3" applyNumberFormat="1" applyFont="1" applyBorder="1" applyAlignment="1">
      <alignment horizontal="left"/>
    </xf>
    <xf numFmtId="49" fontId="27" fillId="0" borderId="56" xfId="3" applyNumberFormat="1" applyFont="1" applyFill="1" applyBorder="1" applyAlignment="1" applyProtection="1">
      <alignment vertical="center"/>
    </xf>
    <xf numFmtId="0" fontId="28" fillId="0" borderId="55" xfId="3" applyFont="1" applyBorder="1" applyAlignment="1">
      <alignment vertical="center"/>
    </xf>
    <xf numFmtId="49" fontId="27" fillId="0" borderId="57" xfId="3" applyNumberFormat="1" applyFont="1" applyFill="1" applyBorder="1" applyAlignment="1" applyProtection="1">
      <alignment vertical="center"/>
    </xf>
    <xf numFmtId="0" fontId="28" fillId="0" borderId="54" xfId="3" applyNumberFormat="1" applyFont="1" applyBorder="1" applyAlignment="1">
      <alignment horizontal="left" vertical="center"/>
    </xf>
    <xf numFmtId="0" fontId="28" fillId="0" borderId="58" xfId="3" applyNumberFormat="1" applyFont="1" applyBorder="1" applyAlignment="1">
      <alignment horizontal="left" vertical="center"/>
    </xf>
    <xf numFmtId="49" fontId="22" fillId="0" borderId="30" xfId="3" applyNumberFormat="1" applyFont="1" applyFill="1" applyBorder="1" applyAlignment="1" applyProtection="1">
      <alignment vertical="center"/>
    </xf>
    <xf numFmtId="49" fontId="22" fillId="0" borderId="6" xfId="3" applyNumberFormat="1" applyFont="1" applyFill="1" applyBorder="1" applyAlignment="1" applyProtection="1">
      <alignment vertical="center"/>
    </xf>
    <xf numFmtId="166" fontId="29" fillId="0" borderId="55" xfId="6" applyNumberFormat="1" applyFont="1" applyBorder="1" applyAlignment="1" applyProtection="1">
      <alignment horizontal="center" vertical="center"/>
    </xf>
    <xf numFmtId="166" fontId="29" fillId="0" borderId="54" xfId="6" applyNumberFormat="1" applyFont="1" applyBorder="1" applyAlignment="1" applyProtection="1">
      <alignment horizontal="center" vertical="center"/>
    </xf>
    <xf numFmtId="49" fontId="27" fillId="0" borderId="6" xfId="3" applyNumberFormat="1" applyFont="1" applyFill="1" applyBorder="1" applyAlignment="1" applyProtection="1">
      <alignment vertical="center"/>
    </xf>
    <xf numFmtId="166" fontId="29" fillId="0" borderId="58" xfId="6" applyNumberFormat="1" applyFont="1" applyBorder="1" applyAlignment="1" applyProtection="1">
      <alignment horizontal="center" vertical="center"/>
    </xf>
    <xf numFmtId="0" fontId="29" fillId="0" borderId="55" xfId="6" applyNumberFormat="1" applyFont="1" applyBorder="1" applyAlignment="1" applyProtection="1">
      <alignment horizontal="center" vertical="center"/>
    </xf>
    <xf numFmtId="3" fontId="29" fillId="0" borderId="54" xfId="6" applyNumberFormat="1" applyFont="1" applyBorder="1" applyAlignment="1" applyProtection="1">
      <alignment horizontal="center" vertical="center"/>
    </xf>
    <xf numFmtId="3" fontId="28" fillId="0" borderId="58" xfId="6" applyNumberFormat="1" applyFont="1" applyFill="1" applyBorder="1" applyAlignment="1" applyProtection="1">
      <alignment horizontal="center" vertical="center"/>
    </xf>
    <xf numFmtId="0" fontId="28" fillId="0" borderId="48" xfId="3" applyNumberFormat="1" applyFont="1" applyBorder="1" applyAlignment="1">
      <alignment horizontal="left" vertical="center"/>
    </xf>
    <xf numFmtId="0" fontId="29" fillId="0" borderId="55" xfId="6" applyFont="1" applyBorder="1" applyAlignment="1" applyProtection="1">
      <alignment horizontal="center" vertical="center"/>
    </xf>
    <xf numFmtId="0" fontId="29" fillId="0" borderId="58" xfId="6" applyFont="1" applyBorder="1" applyAlignment="1" applyProtection="1">
      <alignment horizontal="center" vertical="center"/>
    </xf>
    <xf numFmtId="49" fontId="22" fillId="0" borderId="18" xfId="3" applyNumberFormat="1" applyFont="1" applyFill="1" applyBorder="1" applyAlignment="1" applyProtection="1">
      <alignment vertical="center"/>
    </xf>
    <xf numFmtId="0" fontId="29" fillId="0" borderId="58" xfId="6" applyFont="1" applyBorder="1" applyAlignment="1" applyProtection="1">
      <alignment horizontal="centerContinuous" vertical="center"/>
    </xf>
    <xf numFmtId="0" fontId="29" fillId="0" borderId="60" xfId="6" applyFont="1" applyBorder="1" applyAlignment="1" applyProtection="1">
      <alignment horizontal="centerContinuous" vertical="center"/>
    </xf>
    <xf numFmtId="0" fontId="33" fillId="0" borderId="0" xfId="3" applyFont="1" applyBorder="1" applyAlignment="1">
      <alignment vertical="center"/>
    </xf>
    <xf numFmtId="0" fontId="29" fillId="0" borderId="54" xfId="6" applyFont="1" applyBorder="1" applyAlignment="1" applyProtection="1">
      <alignment horizontal="centerContinuous" vertical="center"/>
    </xf>
    <xf numFmtId="0" fontId="34" fillId="0" borderId="54" xfId="6" applyFont="1" applyBorder="1" applyAlignment="1" applyProtection="1">
      <alignment horizontal="centerContinuous" vertical="center"/>
    </xf>
    <xf numFmtId="0" fontId="37" fillId="0" borderId="54" xfId="3" applyFont="1" applyBorder="1" applyAlignment="1">
      <alignment vertical="center"/>
    </xf>
    <xf numFmtId="49" fontId="27" fillId="0" borderId="33" xfId="3" applyNumberFormat="1" applyFont="1" applyFill="1" applyBorder="1" applyAlignment="1" applyProtection="1">
      <alignment vertical="center"/>
    </xf>
    <xf numFmtId="0" fontId="28" fillId="0" borderId="53" xfId="3" applyFont="1" applyBorder="1" applyAlignment="1">
      <alignment vertical="center"/>
    </xf>
    <xf numFmtId="0" fontId="29" fillId="0" borderId="47" xfId="6" applyFont="1" applyBorder="1" applyAlignment="1" applyProtection="1">
      <alignment horizontal="center" vertical="center"/>
    </xf>
    <xf numFmtId="0" fontId="29" fillId="0" borderId="48" xfId="6" applyFont="1" applyBorder="1" applyAlignment="1" applyProtection="1">
      <alignment horizontal="center" vertical="center"/>
    </xf>
    <xf numFmtId="1" fontId="29" fillId="0" borderId="47" xfId="6" applyNumberFormat="1" applyFont="1" applyFill="1" applyBorder="1" applyAlignment="1" applyProtection="1">
      <alignment horizontal="center" vertical="center"/>
    </xf>
    <xf numFmtId="1" fontId="29" fillId="0" borderId="6" xfId="6" applyNumberFormat="1" applyFont="1" applyFill="1" applyBorder="1" applyProtection="1"/>
    <xf numFmtId="0" fontId="30" fillId="0" borderId="9" xfId="6" applyFont="1" applyBorder="1" applyAlignment="1" applyProtection="1">
      <alignment horizontal="center"/>
    </xf>
    <xf numFmtId="0" fontId="41" fillId="0" borderId="0" xfId="6" applyFont="1" applyBorder="1"/>
    <xf numFmtId="0" fontId="42" fillId="0" borderId="0" xfId="6" applyFont="1" applyBorder="1"/>
    <xf numFmtId="0" fontId="42" fillId="0" borderId="0" xfId="6" applyFont="1" applyBorder="1" applyAlignment="1">
      <alignment horizontal="left"/>
    </xf>
    <xf numFmtId="0" fontId="38" fillId="0" borderId="9" xfId="6" applyFont="1" applyBorder="1" applyProtection="1"/>
    <xf numFmtId="0" fontId="12" fillId="0" borderId="6" xfId="3" applyFont="1" applyBorder="1" applyAlignment="1">
      <alignment horizontal="left"/>
    </xf>
    <xf numFmtId="0" fontId="28" fillId="0" borderId="6" xfId="3" applyFont="1" applyBorder="1" applyAlignment="1">
      <alignment vertical="center"/>
    </xf>
    <xf numFmtId="0" fontId="28" fillId="0" borderId="22" xfId="3" applyFont="1" applyBorder="1" applyAlignment="1">
      <alignment vertical="center"/>
    </xf>
    <xf numFmtId="0" fontId="28" fillId="0" borderId="23" xfId="3" applyFont="1" applyBorder="1" applyAlignment="1">
      <alignment vertical="center"/>
    </xf>
    <xf numFmtId="0" fontId="29" fillId="0" borderId="23" xfId="7" applyFont="1" applyBorder="1" applyAlignment="1" applyProtection="1">
      <alignment horizontal="left"/>
    </xf>
    <xf numFmtId="0" fontId="29" fillId="0" borderId="23" xfId="7" applyFont="1" applyBorder="1" applyAlignment="1" applyProtection="1">
      <alignment horizontal="left"/>
      <protection locked="0"/>
    </xf>
    <xf numFmtId="0" fontId="29" fillId="0" borderId="23" xfId="7" applyFont="1" applyBorder="1" applyAlignment="1" applyProtection="1">
      <alignment horizontal="centerContinuous"/>
    </xf>
    <xf numFmtId="0" fontId="38" fillId="0" borderId="23" xfId="7" applyFont="1" applyFill="1" applyBorder="1" applyProtection="1"/>
    <xf numFmtId="49" fontId="18" fillId="0" borderId="6" xfId="3" applyNumberFormat="1" applyFont="1" applyFill="1" applyBorder="1" applyAlignment="1" applyProtection="1">
      <alignment vertical="center"/>
    </xf>
    <xf numFmtId="0" fontId="24" fillId="0" borderId="6" xfId="3" applyFont="1" applyBorder="1" applyAlignment="1">
      <alignment vertical="center"/>
    </xf>
    <xf numFmtId="0" fontId="24" fillId="0" borderId="6" xfId="3" applyFont="1" applyFill="1" applyBorder="1" applyAlignment="1">
      <alignment horizontal="left" vertical="top" wrapText="1"/>
    </xf>
    <xf numFmtId="49" fontId="15" fillId="0" borderId="46" xfId="1" applyNumberFormat="1" applyFont="1" applyFill="1" applyBorder="1" applyAlignment="1" applyProtection="1">
      <alignment horizontal="center" vertical="center" wrapText="1"/>
    </xf>
    <xf numFmtId="49" fontId="25" fillId="0" borderId="22" xfId="3" applyNumberFormat="1" applyFont="1" applyFill="1" applyBorder="1" applyAlignment="1" applyProtection="1">
      <alignment horizontal="center" vertical="center"/>
    </xf>
    <xf numFmtId="3" fontId="11" fillId="0" borderId="0" xfId="3" applyNumberFormat="1" applyFont="1" applyBorder="1" applyAlignment="1">
      <alignment horizontal="center" vertical="center"/>
    </xf>
    <xf numFmtId="49" fontId="11" fillId="0" borderId="0" xfId="3" applyNumberFormat="1" applyFont="1" applyBorder="1" applyAlignment="1">
      <alignment horizontal="center" vertical="center"/>
    </xf>
    <xf numFmtId="49" fontId="25" fillId="0" borderId="6" xfId="3" applyNumberFormat="1" applyFont="1" applyFill="1" applyBorder="1" applyAlignment="1" applyProtection="1">
      <alignment horizontal="center" vertical="center"/>
    </xf>
    <xf numFmtId="49" fontId="11" fillId="0" borderId="23" xfId="3" applyNumberFormat="1" applyFont="1" applyBorder="1" applyAlignment="1">
      <alignment horizontal="center" vertical="center"/>
    </xf>
    <xf numFmtId="49" fontId="25" fillId="0" borderId="6" xfId="3" applyNumberFormat="1" applyFont="1" applyFill="1" applyBorder="1" applyAlignment="1" applyProtection="1">
      <alignment horizontal="center" vertical="center"/>
    </xf>
    <xf numFmtId="0" fontId="12" fillId="0" borderId="0" xfId="1" applyFont="1" applyAlignment="1">
      <alignment horizontal="left" wrapText="1"/>
    </xf>
    <xf numFmtId="49" fontId="11" fillId="0" borderId="0" xfId="3" applyNumberFormat="1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center" vertical="center"/>
    </xf>
    <xf numFmtId="0" fontId="49" fillId="5" borderId="68" xfId="13" applyFont="1" applyFill="1" applyBorder="1" applyAlignment="1">
      <alignment horizontal="left" vertical="top"/>
    </xf>
    <xf numFmtId="0" fontId="49" fillId="5" borderId="46" xfId="13" applyFont="1" applyFill="1" applyBorder="1" applyAlignment="1">
      <alignment horizontal="center" vertical="center" wrapText="1"/>
    </xf>
    <xf numFmtId="0" fontId="49" fillId="0" borderId="46" xfId="13" applyFont="1" applyBorder="1" applyAlignment="1">
      <alignment horizontal="center" vertical="center"/>
    </xf>
    <xf numFmtId="0" fontId="51" fillId="0" borderId="46" xfId="13" applyFont="1" applyBorder="1" applyAlignment="1">
      <alignment horizontal="center" vertical="center"/>
    </xf>
    <xf numFmtId="4" fontId="49" fillId="0" borderId="46" xfId="13" applyNumberFormat="1" applyFont="1" applyBorder="1" applyAlignment="1">
      <alignment horizontal="center" vertical="center"/>
    </xf>
    <xf numFmtId="0" fontId="49" fillId="0" borderId="69" xfId="13" applyFont="1" applyBorder="1" applyAlignment="1">
      <alignment horizontal="center" vertical="center"/>
    </xf>
    <xf numFmtId="0" fontId="49" fillId="0" borderId="0" xfId="13" applyFont="1" applyAlignment="1">
      <alignment horizontal="center" vertical="center"/>
    </xf>
    <xf numFmtId="3" fontId="49" fillId="0" borderId="0" xfId="13" applyNumberFormat="1" applyFont="1" applyAlignment="1">
      <alignment horizontal="center" vertical="center"/>
    </xf>
    <xf numFmtId="4" fontId="49" fillId="0" borderId="0" xfId="13" applyNumberFormat="1" applyFont="1" applyAlignment="1">
      <alignment horizontal="center" vertical="center"/>
    </xf>
    <xf numFmtId="0" fontId="52" fillId="0" borderId="0" xfId="13" applyFont="1" applyAlignment="1">
      <alignment horizontal="center" vertical="center"/>
    </xf>
    <xf numFmtId="0" fontId="53" fillId="0" borderId="0" xfId="13" applyFont="1" applyAlignment="1">
      <alignment horizontal="center" vertical="center"/>
    </xf>
    <xf numFmtId="0" fontId="51" fillId="0" borderId="0" xfId="13" applyFont="1" applyAlignment="1">
      <alignment horizontal="center" vertical="center"/>
    </xf>
    <xf numFmtId="0" fontId="0" fillId="5" borderId="68" xfId="13" applyFont="1" applyFill="1" applyBorder="1" applyAlignment="1">
      <alignment horizontal="left" vertical="top"/>
    </xf>
    <xf numFmtId="0" fontId="11" fillId="0" borderId="16" xfId="3" applyNumberFormat="1" applyFont="1" applyBorder="1" applyAlignment="1">
      <alignment vertical="center"/>
    </xf>
    <xf numFmtId="3" fontId="11" fillId="0" borderId="16" xfId="3" applyNumberFormat="1" applyFont="1" applyBorder="1" applyAlignment="1">
      <alignment vertical="center"/>
    </xf>
    <xf numFmtId="43" fontId="48" fillId="0" borderId="21" xfId="12" applyFont="1" applyBorder="1" applyAlignment="1">
      <alignment wrapText="1"/>
    </xf>
    <xf numFmtId="49" fontId="10" fillId="0" borderId="21" xfId="3" applyNumberFormat="1" applyFont="1" applyBorder="1" applyAlignment="1">
      <alignment vertical="center" wrapText="1"/>
    </xf>
    <xf numFmtId="49" fontId="10" fillId="0" borderId="21" xfId="3" applyNumberFormat="1" applyFont="1" applyBorder="1" applyAlignment="1">
      <alignment vertical="center"/>
    </xf>
    <xf numFmtId="49" fontId="45" fillId="0" borderId="1" xfId="3" applyNumberFormat="1" applyFont="1" applyFill="1" applyBorder="1" applyAlignment="1" applyProtection="1">
      <alignment vertical="center"/>
    </xf>
    <xf numFmtId="49" fontId="5" fillId="4" borderId="3" xfId="3" applyNumberFormat="1" applyFont="1" applyFill="1" applyBorder="1" applyAlignment="1">
      <alignment vertical="center" wrapText="1"/>
    </xf>
    <xf numFmtId="49" fontId="5" fillId="4" borderId="2" xfId="3" applyNumberFormat="1" applyFont="1" applyFill="1" applyBorder="1" applyAlignment="1">
      <alignment vertical="center" wrapText="1"/>
    </xf>
    <xf numFmtId="0" fontId="47" fillId="0" borderId="21" xfId="11" applyFont="1" applyBorder="1" applyAlignment="1">
      <alignment wrapText="1"/>
    </xf>
    <xf numFmtId="3" fontId="47" fillId="0" borderId="21" xfId="11" applyNumberFormat="1" applyFont="1" applyBorder="1" applyAlignment="1">
      <alignment wrapText="1"/>
    </xf>
    <xf numFmtId="4" fontId="47" fillId="0" borderId="21" xfId="11" applyNumberFormat="1" applyFont="1" applyBorder="1" applyAlignment="1">
      <alignment wrapText="1"/>
    </xf>
    <xf numFmtId="49" fontId="23" fillId="4" borderId="1" xfId="3" applyNumberFormat="1" applyFont="1" applyFill="1" applyBorder="1" applyAlignment="1" applyProtection="1">
      <alignment vertical="center" wrapText="1"/>
    </xf>
    <xf numFmtId="49" fontId="24" fillId="0" borderId="0" xfId="3" applyNumberFormat="1" applyFont="1" applyBorder="1" applyAlignment="1">
      <alignment vertical="center" wrapText="1"/>
    </xf>
    <xf numFmtId="49" fontId="17" fillId="0" borderId="13" xfId="3" applyNumberFormat="1" applyFont="1" applyFill="1" applyBorder="1" applyAlignment="1" applyProtection="1">
      <alignment vertical="center" wrapText="1"/>
    </xf>
    <xf numFmtId="0" fontId="11" fillId="0" borderId="16" xfId="3" applyNumberFormat="1" applyFont="1" applyBorder="1" applyAlignment="1">
      <alignment vertical="center" wrapText="1"/>
    </xf>
    <xf numFmtId="49" fontId="11" fillId="0" borderId="0" xfId="3" applyNumberFormat="1" applyFont="1" applyBorder="1" applyAlignment="1">
      <alignment horizontal="center" vertical="center" wrapText="1"/>
    </xf>
    <xf numFmtId="3" fontId="12" fillId="0" borderId="0" xfId="1" applyNumberFormat="1" applyFont="1" applyAlignment="1">
      <alignment horizontal="left" wrapText="1"/>
    </xf>
    <xf numFmtId="4" fontId="12" fillId="0" borderId="0" xfId="1" applyNumberFormat="1" applyFont="1" applyAlignment="1">
      <alignment horizontal="left" wrapText="1"/>
    </xf>
    <xf numFmtId="43" fontId="47" fillId="0" borderId="21" xfId="12" applyFont="1" applyBorder="1" applyAlignment="1">
      <alignment wrapText="1"/>
    </xf>
    <xf numFmtId="49" fontId="11" fillId="0" borderId="0" xfId="3" applyNumberFormat="1" applyFont="1" applyBorder="1" applyAlignment="1">
      <alignment horizontal="center" vertical="center"/>
    </xf>
    <xf numFmtId="3" fontId="11" fillId="0" borderId="0" xfId="3" applyNumberFormat="1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center" vertical="center"/>
    </xf>
    <xf numFmtId="49" fontId="55" fillId="0" borderId="1" xfId="3" applyNumberFormat="1" applyFont="1" applyFill="1" applyBorder="1" applyAlignment="1" applyProtection="1">
      <alignment vertical="center"/>
    </xf>
    <xf numFmtId="49" fontId="55" fillId="0" borderId="2" xfId="3" applyNumberFormat="1" applyFont="1" applyFill="1" applyBorder="1" applyAlignment="1" applyProtection="1">
      <alignment vertical="center"/>
    </xf>
    <xf numFmtId="0" fontId="56" fillId="0" borderId="0" xfId="1" applyFont="1" applyAlignment="1">
      <alignment horizontal="left"/>
    </xf>
    <xf numFmtId="43" fontId="56" fillId="0" borderId="0" xfId="12" applyFont="1" applyAlignment="1">
      <alignment horizontal="left"/>
    </xf>
    <xf numFmtId="49" fontId="55" fillId="0" borderId="0" xfId="3" applyNumberFormat="1" applyFont="1" applyFill="1" applyBorder="1" applyAlignment="1" applyProtection="1">
      <alignment vertical="center"/>
    </xf>
    <xf numFmtId="49" fontId="56" fillId="0" borderId="0" xfId="3" applyNumberFormat="1" applyFont="1" applyBorder="1" applyAlignment="1">
      <alignment vertical="center"/>
    </xf>
    <xf numFmtId="0" fontId="56" fillId="0" borderId="21" xfId="11" applyFont="1" applyBorder="1" applyAlignment="1">
      <alignment wrapText="1"/>
    </xf>
    <xf numFmtId="49" fontId="55" fillId="4" borderId="1" xfId="3" applyNumberFormat="1" applyFont="1" applyFill="1" applyBorder="1" applyAlignment="1" applyProtection="1">
      <alignment vertical="center" wrapText="1"/>
    </xf>
    <xf numFmtId="49" fontId="57" fillId="4" borderId="3" xfId="3" applyNumberFormat="1" applyFont="1" applyFill="1" applyBorder="1" applyAlignment="1">
      <alignment vertical="center"/>
    </xf>
    <xf numFmtId="49" fontId="57" fillId="4" borderId="3" xfId="3" applyNumberFormat="1" applyFont="1" applyFill="1" applyBorder="1" applyAlignment="1">
      <alignment vertical="center" wrapText="1"/>
    </xf>
    <xf numFmtId="49" fontId="57" fillId="4" borderId="2" xfId="3" applyNumberFormat="1" applyFont="1" applyFill="1" applyBorder="1" applyAlignment="1">
      <alignment vertical="center" wrapText="1"/>
    </xf>
    <xf numFmtId="3" fontId="56" fillId="0" borderId="21" xfId="11" applyNumberFormat="1" applyFont="1" applyBorder="1" applyAlignment="1">
      <alignment wrapText="1"/>
    </xf>
    <xf numFmtId="4" fontId="56" fillId="0" borderId="21" xfId="11" applyNumberFormat="1" applyFont="1" applyBorder="1" applyAlignment="1">
      <alignment wrapText="1"/>
    </xf>
    <xf numFmtId="43" fontId="56" fillId="0" borderId="21" xfId="12" applyFont="1" applyBorder="1" applyAlignment="1">
      <alignment wrapText="1"/>
    </xf>
    <xf numFmtId="0" fontId="56" fillId="0" borderId="0" xfId="1" applyFont="1" applyAlignment="1">
      <alignment horizontal="left" wrapText="1"/>
    </xf>
    <xf numFmtId="49" fontId="55" fillId="0" borderId="13" xfId="3" applyNumberFormat="1" applyFont="1" applyFill="1" applyBorder="1" applyAlignment="1" applyProtection="1">
      <alignment vertical="center"/>
    </xf>
    <xf numFmtId="0" fontId="56" fillId="0" borderId="16" xfId="3" applyNumberFormat="1" applyFont="1" applyBorder="1" applyAlignment="1">
      <alignment vertical="center"/>
    </xf>
    <xf numFmtId="3" fontId="56" fillId="0" borderId="16" xfId="3" applyNumberFormat="1" applyFont="1" applyBorder="1" applyAlignment="1">
      <alignment vertical="center"/>
    </xf>
    <xf numFmtId="14" fontId="56" fillId="0" borderId="21" xfId="12" applyNumberFormat="1" applyFont="1" applyBorder="1" applyAlignment="1">
      <alignment wrapText="1"/>
    </xf>
    <xf numFmtId="49" fontId="58" fillId="0" borderId="6" xfId="3" applyNumberFormat="1" applyFont="1" applyFill="1" applyBorder="1" applyAlignment="1" applyProtection="1">
      <alignment horizontal="center" vertical="center"/>
    </xf>
    <xf numFmtId="49" fontId="56" fillId="0" borderId="0" xfId="3" applyNumberFormat="1" applyFont="1" applyBorder="1" applyAlignment="1">
      <alignment horizontal="center" vertical="center"/>
    </xf>
    <xf numFmtId="49" fontId="55" fillId="0" borderId="6" xfId="3" applyNumberFormat="1" applyFont="1" applyFill="1" applyBorder="1" applyAlignment="1" applyProtection="1">
      <alignment horizontal="center" vertical="center"/>
    </xf>
    <xf numFmtId="0" fontId="56" fillId="0" borderId="0" xfId="3" applyNumberFormat="1" applyFont="1" applyBorder="1" applyAlignment="1">
      <alignment horizontal="center" vertical="center"/>
    </xf>
    <xf numFmtId="3" fontId="56" fillId="0" borderId="0" xfId="3" applyNumberFormat="1" applyFont="1" applyBorder="1" applyAlignment="1">
      <alignment horizontal="center" vertical="center"/>
    </xf>
    <xf numFmtId="49" fontId="58" fillId="0" borderId="22" xfId="3" applyNumberFormat="1" applyFont="1" applyFill="1" applyBorder="1" applyAlignment="1" applyProtection="1">
      <alignment horizontal="center" vertical="center"/>
    </xf>
    <xf numFmtId="49" fontId="56" fillId="0" borderId="23" xfId="3" applyNumberFormat="1" applyFont="1" applyBorder="1" applyAlignment="1">
      <alignment horizontal="center" vertical="center"/>
    </xf>
    <xf numFmtId="49" fontId="56" fillId="0" borderId="0" xfId="3" applyNumberFormat="1" applyFont="1" applyBorder="1" applyAlignment="1">
      <alignment vertical="center" wrapText="1"/>
    </xf>
    <xf numFmtId="49" fontId="56" fillId="0" borderId="0" xfId="3" applyNumberFormat="1" applyFont="1" applyBorder="1" applyAlignment="1">
      <alignment horizontal="center" vertical="center" wrapText="1"/>
    </xf>
    <xf numFmtId="0" fontId="48" fillId="0" borderId="65" xfId="1" applyFont="1" applyBorder="1" applyAlignment="1">
      <alignment vertical="center"/>
    </xf>
    <xf numFmtId="14" fontId="48" fillId="0" borderId="65" xfId="1" applyNumberFormat="1" applyFont="1" applyBorder="1" applyAlignment="1">
      <alignment vertical="center"/>
    </xf>
    <xf numFmtId="49" fontId="10" fillId="0" borderId="64" xfId="3" applyNumberFormat="1" applyFont="1" applyBorder="1" applyAlignment="1">
      <alignment vertical="center" wrapText="1"/>
    </xf>
    <xf numFmtId="49" fontId="57" fillId="0" borderId="21" xfId="3" applyNumberFormat="1" applyFont="1" applyBorder="1" applyAlignment="1">
      <alignment vertical="center" wrapText="1"/>
    </xf>
    <xf numFmtId="49" fontId="57" fillId="0" borderId="21" xfId="3" applyNumberFormat="1" applyFont="1" applyBorder="1" applyAlignment="1">
      <alignment vertical="center"/>
    </xf>
    <xf numFmtId="3" fontId="56" fillId="0" borderId="0" xfId="3" applyNumberFormat="1" applyFont="1" applyBorder="1" applyAlignment="1">
      <alignment vertical="center"/>
    </xf>
    <xf numFmtId="49" fontId="56" fillId="0" borderId="16" xfId="3" applyNumberFormat="1" applyFont="1" applyBorder="1" applyAlignment="1">
      <alignment vertical="center" wrapText="1"/>
    </xf>
    <xf numFmtId="0" fontId="48" fillId="0" borderId="64" xfId="1" applyFont="1" applyBorder="1" applyAlignment="1">
      <alignment wrapText="1"/>
    </xf>
    <xf numFmtId="4" fontId="48" fillId="0" borderId="64" xfId="1" applyNumberFormat="1" applyFont="1" applyBorder="1" applyAlignment="1"/>
    <xf numFmtId="0" fontId="48" fillId="0" borderId="64" xfId="1" applyFont="1" applyBorder="1" applyAlignment="1"/>
    <xf numFmtId="14" fontId="48" fillId="0" borderId="64" xfId="1" applyNumberFormat="1" applyFont="1" applyBorder="1" applyAlignment="1"/>
    <xf numFmtId="0" fontId="56" fillId="0" borderId="27" xfId="11" applyFont="1" applyBorder="1" applyAlignment="1">
      <alignment wrapText="1"/>
    </xf>
    <xf numFmtId="0" fontId="56" fillId="0" borderId="28" xfId="11" applyFont="1" applyBorder="1" applyAlignment="1">
      <alignment wrapText="1"/>
    </xf>
    <xf numFmtId="0" fontId="56" fillId="0" borderId="66" xfId="11" applyFont="1" applyBorder="1" applyAlignment="1">
      <alignment wrapText="1"/>
    </xf>
    <xf numFmtId="0" fontId="56" fillId="0" borderId="30" xfId="11" applyFont="1" applyBorder="1" applyAlignment="1">
      <alignment wrapText="1"/>
    </xf>
    <xf numFmtId="0" fontId="56" fillId="0" borderId="19" xfId="11" applyFont="1" applyBorder="1" applyAlignment="1">
      <alignment wrapText="1"/>
    </xf>
    <xf numFmtId="0" fontId="56" fillId="0" borderId="67" xfId="11" applyFont="1" applyBorder="1" applyAlignment="1">
      <alignment vertical="center" wrapText="1"/>
    </xf>
    <xf numFmtId="3" fontId="56" fillId="0" borderId="67" xfId="11" applyNumberFormat="1" applyFont="1" applyBorder="1" applyAlignment="1">
      <alignment vertical="center"/>
    </xf>
    <xf numFmtId="14" fontId="56" fillId="0" borderId="67" xfId="11" applyNumberFormat="1" applyFont="1" applyBorder="1" applyAlignment="1">
      <alignment vertical="center"/>
    </xf>
    <xf numFmtId="3" fontId="56" fillId="0" borderId="67" xfId="11" applyNumberFormat="1" applyFont="1" applyBorder="1" applyAlignment="1">
      <alignment horizontal="center" vertical="center"/>
    </xf>
    <xf numFmtId="0" fontId="56" fillId="0" borderId="65" xfId="11" applyFont="1" applyBorder="1" applyAlignment="1">
      <alignment vertical="center" wrapText="1"/>
    </xf>
    <xf numFmtId="3" fontId="56" fillId="0" borderId="65" xfId="11" applyNumberFormat="1" applyFont="1" applyBorder="1" applyAlignment="1">
      <alignment vertical="center"/>
    </xf>
    <xf numFmtId="14" fontId="56" fillId="0" borderId="65" xfId="11" applyNumberFormat="1" applyFont="1" applyBorder="1" applyAlignment="1">
      <alignment vertical="center"/>
    </xf>
    <xf numFmtId="3" fontId="56" fillId="0" borderId="65" xfId="11" applyNumberFormat="1" applyFont="1" applyBorder="1" applyAlignment="1">
      <alignment horizontal="center" vertical="center"/>
    </xf>
    <xf numFmtId="0" fontId="56" fillId="0" borderId="21" xfId="1" applyFont="1" applyBorder="1" applyAlignment="1">
      <alignment wrapText="1"/>
    </xf>
    <xf numFmtId="4" fontId="56" fillId="0" borderId="21" xfId="1" applyNumberFormat="1" applyFont="1" applyBorder="1" applyAlignment="1"/>
    <xf numFmtId="49" fontId="55" fillId="0" borderId="13" xfId="3" applyNumberFormat="1" applyFont="1" applyFill="1" applyBorder="1" applyAlignment="1" applyProtection="1">
      <alignment vertical="center" wrapText="1"/>
    </xf>
    <xf numFmtId="49" fontId="57" fillId="0" borderId="64" xfId="3" applyNumberFormat="1" applyFont="1" applyBorder="1" applyAlignment="1">
      <alignment vertical="center" wrapText="1"/>
    </xf>
    <xf numFmtId="49" fontId="58" fillId="0" borderId="0" xfId="3" applyNumberFormat="1" applyFont="1" applyFill="1" applyBorder="1" applyAlignment="1" applyProtection="1">
      <alignment horizontal="center" vertical="center"/>
    </xf>
    <xf numFmtId="49" fontId="57" fillId="0" borderId="0" xfId="3" applyNumberFormat="1" applyFont="1" applyBorder="1" applyAlignment="1">
      <alignment horizontal="center" vertical="center"/>
    </xf>
    <xf numFmtId="3" fontId="57" fillId="0" borderId="0" xfId="3" applyNumberFormat="1" applyFont="1" applyBorder="1" applyAlignment="1">
      <alignment horizontal="center" vertical="center"/>
    </xf>
    <xf numFmtId="49" fontId="55" fillId="0" borderId="0" xfId="3" applyNumberFormat="1" applyFont="1" applyFill="1" applyBorder="1" applyAlignment="1" applyProtection="1">
      <alignment horizontal="center" vertical="center"/>
    </xf>
    <xf numFmtId="49" fontId="58" fillId="0" borderId="23" xfId="3" applyNumberFormat="1" applyFont="1" applyFill="1" applyBorder="1" applyAlignment="1" applyProtection="1">
      <alignment horizontal="center" vertical="center"/>
    </xf>
    <xf numFmtId="3" fontId="56" fillId="0" borderId="0" xfId="1" applyNumberFormat="1" applyFont="1" applyAlignment="1">
      <alignment horizontal="left"/>
    </xf>
    <xf numFmtId="4" fontId="56" fillId="0" borderId="0" xfId="1" applyNumberFormat="1" applyFont="1" applyAlignment="1">
      <alignment horizontal="left"/>
    </xf>
    <xf numFmtId="3" fontId="56" fillId="0" borderId="21" xfId="1" applyNumberFormat="1" applyFont="1" applyBorder="1" applyAlignment="1"/>
    <xf numFmtId="0" fontId="56" fillId="0" borderId="21" xfId="1" applyFont="1" applyBorder="1" applyAlignment="1"/>
    <xf numFmtId="14" fontId="56" fillId="0" borderId="21" xfId="1" applyNumberFormat="1" applyFont="1" applyBorder="1" applyAlignment="1"/>
    <xf numFmtId="49" fontId="56" fillId="0" borderId="0" xfId="3" applyNumberFormat="1" applyFont="1" applyBorder="1" applyAlignment="1">
      <alignment horizontal="left" vertical="center"/>
    </xf>
    <xf numFmtId="3" fontId="56" fillId="0" borderId="16" xfId="3" applyNumberFormat="1" applyFont="1" applyFill="1" applyBorder="1" applyAlignment="1">
      <alignment vertical="center"/>
    </xf>
    <xf numFmtId="4" fontId="56" fillId="0" borderId="21" xfId="1" applyNumberFormat="1" applyFont="1" applyBorder="1" applyAlignment="1">
      <alignment wrapText="1"/>
    </xf>
    <xf numFmtId="14" fontId="56" fillId="0" borderId="21" xfId="1" applyNumberFormat="1" applyFont="1" applyBorder="1" applyAlignment="1">
      <alignment wrapText="1"/>
    </xf>
    <xf numFmtId="4" fontId="56" fillId="0" borderId="65" xfId="1" applyNumberFormat="1" applyFont="1" applyBorder="1" applyAlignment="1">
      <alignment wrapText="1"/>
    </xf>
    <xf numFmtId="0" fontId="56" fillId="0" borderId="0" xfId="1" applyFont="1" applyFill="1" applyAlignment="1">
      <alignment horizontal="left"/>
    </xf>
    <xf numFmtId="14" fontId="56" fillId="0" borderId="65" xfId="1" applyNumberFormat="1" applyFont="1" applyBorder="1" applyAlignment="1">
      <alignment wrapText="1"/>
    </xf>
    <xf numFmtId="0" fontId="56" fillId="0" borderId="21" xfId="1" applyFont="1" applyFill="1" applyBorder="1" applyAlignment="1"/>
    <xf numFmtId="4" fontId="56" fillId="0" borderId="21" xfId="1" applyNumberFormat="1" applyFont="1" applyFill="1" applyBorder="1" applyAlignment="1"/>
    <xf numFmtId="14" fontId="56" fillId="0" borderId="21" xfId="1" applyNumberFormat="1" applyFont="1" applyFill="1" applyBorder="1" applyAlignment="1"/>
    <xf numFmtId="0" fontId="56" fillId="0" borderId="21" xfId="1" applyFont="1" applyFill="1" applyBorder="1" applyAlignment="1">
      <alignment wrapText="1"/>
    </xf>
    <xf numFmtId="3" fontId="56" fillId="0" borderId="7" xfId="3" applyNumberFormat="1" applyFont="1" applyFill="1" applyBorder="1" applyAlignment="1">
      <alignment vertical="center"/>
    </xf>
    <xf numFmtId="14" fontId="56" fillId="0" borderId="0" xfId="1" applyNumberFormat="1" applyFont="1" applyAlignment="1">
      <alignment horizontal="left"/>
    </xf>
    <xf numFmtId="49" fontId="55" fillId="0" borderId="1" xfId="3" applyNumberFormat="1" applyFont="1" applyFill="1" applyBorder="1" applyAlignment="1" applyProtection="1">
      <alignment vertical="center" wrapText="1"/>
    </xf>
    <xf numFmtId="0" fontId="56" fillId="0" borderId="65" xfId="1" applyFont="1" applyBorder="1" applyAlignment="1">
      <alignment wrapText="1"/>
    </xf>
    <xf numFmtId="3" fontId="56" fillId="0" borderId="16" xfId="3" applyNumberFormat="1" applyFont="1" applyBorder="1" applyAlignment="1">
      <alignment vertical="center" wrapText="1"/>
    </xf>
    <xf numFmtId="49" fontId="11" fillId="0" borderId="16" xfId="3" applyNumberFormat="1" applyFont="1" applyBorder="1" applyAlignment="1">
      <alignment vertical="center" wrapText="1"/>
    </xf>
    <xf numFmtId="49" fontId="11" fillId="0" borderId="16" xfId="3" applyNumberFormat="1" applyFont="1" applyFill="1" applyBorder="1" applyAlignment="1">
      <alignment vertical="center" wrapText="1"/>
    </xf>
    <xf numFmtId="3" fontId="56" fillId="0" borderId="21" xfId="1" applyNumberFormat="1" applyFont="1" applyBorder="1" applyAlignment="1">
      <alignment wrapText="1"/>
    </xf>
    <xf numFmtId="3" fontId="56" fillId="0" borderId="0" xfId="1" applyNumberFormat="1" applyFont="1" applyAlignment="1">
      <alignment horizontal="left" wrapText="1"/>
    </xf>
    <xf numFmtId="4" fontId="56" fillId="0" borderId="0" xfId="1" applyNumberFormat="1" applyFont="1" applyAlignment="1">
      <alignment horizontal="left" wrapText="1"/>
    </xf>
    <xf numFmtId="49" fontId="55" fillId="0" borderId="6" xfId="3" applyNumberFormat="1" applyFont="1" applyFill="1" applyBorder="1" applyAlignment="1" applyProtection="1">
      <alignment horizontal="center" vertical="center" wrapText="1"/>
    </xf>
    <xf numFmtId="49" fontId="58" fillId="0" borderId="22" xfId="3" applyNumberFormat="1" applyFont="1" applyFill="1" applyBorder="1" applyAlignment="1" applyProtection="1">
      <alignment horizontal="center" vertical="center" wrapText="1"/>
    </xf>
    <xf numFmtId="0" fontId="56" fillId="0" borderId="21" xfId="1" applyFont="1" applyBorder="1" applyAlignment="1">
      <alignment vertical="center"/>
    </xf>
    <xf numFmtId="43" fontId="56" fillId="0" borderId="21" xfId="12" applyFont="1" applyBorder="1" applyAlignment="1">
      <alignment vertical="center"/>
    </xf>
    <xf numFmtId="14" fontId="56" fillId="0" borderId="21" xfId="1" applyNumberFormat="1" applyFont="1" applyBorder="1" applyAlignment="1">
      <alignment vertical="center"/>
    </xf>
    <xf numFmtId="0" fontId="57" fillId="0" borderId="27" xfId="11" applyFont="1" applyBorder="1" applyAlignment="1">
      <alignment horizontal="center" wrapText="1"/>
    </xf>
    <xf numFmtId="0" fontId="57" fillId="0" borderId="28" xfId="11" applyFont="1" applyBorder="1" applyAlignment="1">
      <alignment horizontal="center" wrapText="1"/>
    </xf>
    <xf numFmtId="171" fontId="56" fillId="0" borderId="30" xfId="12" applyNumberFormat="1" applyFont="1" applyBorder="1" applyAlignment="1">
      <alignment horizontal="center" vertical="center"/>
    </xf>
    <xf numFmtId="171" fontId="56" fillId="0" borderId="20" xfId="12" applyNumberFormat="1" applyFont="1" applyBorder="1" applyAlignment="1">
      <alignment horizontal="center" vertical="center"/>
    </xf>
    <xf numFmtId="0" fontId="59" fillId="0" borderId="28" xfId="11" applyFont="1" applyBorder="1" applyAlignment="1">
      <alignment horizontal="center" wrapText="1"/>
    </xf>
    <xf numFmtId="43" fontId="53" fillId="0" borderId="21" xfId="12" applyFont="1" applyBorder="1" applyAlignment="1">
      <alignment horizontal="center" vertical="center"/>
    </xf>
    <xf numFmtId="0" fontId="60" fillId="0" borderId="28" xfId="11" applyFont="1" applyBorder="1" applyAlignment="1">
      <alignment horizontal="center" wrapText="1"/>
    </xf>
    <xf numFmtId="0" fontId="60" fillId="0" borderId="29" xfId="11" applyFont="1" applyBorder="1" applyAlignment="1">
      <alignment horizontal="center" wrapText="1"/>
    </xf>
    <xf numFmtId="3" fontId="52" fillId="0" borderId="21" xfId="11" applyNumberFormat="1" applyFont="1" applyBorder="1" applyAlignment="1">
      <alignment horizontal="center" vertical="center"/>
    </xf>
    <xf numFmtId="172" fontId="52" fillId="0" borderId="31" xfId="11" applyNumberFormat="1" applyFont="1" applyBorder="1" applyAlignment="1">
      <alignment vertical="center"/>
    </xf>
    <xf numFmtId="0" fontId="57" fillId="7" borderId="1" xfId="11" applyFont="1" applyFill="1" applyBorder="1" applyAlignment="1">
      <alignment horizontal="center" wrapText="1"/>
    </xf>
    <xf numFmtId="173" fontId="57" fillId="7" borderId="61" xfId="11" applyNumberFormat="1" applyFont="1" applyFill="1" applyBorder="1" applyAlignment="1">
      <alignment horizontal="center" wrapText="1"/>
    </xf>
    <xf numFmtId="0" fontId="57" fillId="7" borderId="61" xfId="11" applyFont="1" applyFill="1" applyBorder="1" applyAlignment="1">
      <alignment horizontal="center" wrapText="1"/>
    </xf>
    <xf numFmtId="0" fontId="57" fillId="7" borderId="71" xfId="11" applyFont="1" applyFill="1" applyBorder="1" applyAlignment="1">
      <alignment horizontal="center" wrapText="1"/>
    </xf>
    <xf numFmtId="3" fontId="56" fillId="0" borderId="21" xfId="11" applyNumberFormat="1" applyFont="1" applyFill="1" applyBorder="1" applyAlignment="1">
      <alignment horizontal="right" vertical="center" readingOrder="2"/>
    </xf>
    <xf numFmtId="174" fontId="56" fillId="0" borderId="21" xfId="11" applyNumberFormat="1" applyFont="1" applyFill="1" applyBorder="1" applyAlignment="1">
      <alignment horizontal="right" vertical="center" readingOrder="2"/>
    </xf>
    <xf numFmtId="3" fontId="56" fillId="0" borderId="21" xfId="12" applyNumberFormat="1" applyFont="1" applyFill="1" applyBorder="1" applyAlignment="1">
      <alignment vertical="center" readingOrder="2"/>
    </xf>
    <xf numFmtId="172" fontId="56" fillId="0" borderId="31" xfId="11" applyNumberFormat="1" applyFont="1" applyFill="1" applyBorder="1" applyAlignment="1">
      <alignment vertical="center" readingOrder="2"/>
    </xf>
    <xf numFmtId="0" fontId="49" fillId="0" borderId="0" xfId="13" applyFont="1"/>
    <xf numFmtId="0" fontId="56" fillId="0" borderId="0" xfId="11" applyFont="1" applyFill="1" applyBorder="1" applyAlignment="1">
      <alignment horizontal="right" wrapText="1" readingOrder="2"/>
    </xf>
    <xf numFmtId="3" fontId="61" fillId="0" borderId="0" xfId="0" applyNumberFormat="1" applyFont="1" applyBorder="1" applyAlignment="1">
      <alignment horizontal="center" vertical="center"/>
    </xf>
    <xf numFmtId="3" fontId="61" fillId="0" borderId="8" xfId="0" applyNumberFormat="1" applyFont="1" applyBorder="1" applyAlignment="1">
      <alignment horizontal="center" vertical="center"/>
    </xf>
    <xf numFmtId="175" fontId="61" fillId="0" borderId="64" xfId="13" applyNumberFormat="1" applyFont="1" applyBorder="1" applyAlignment="1">
      <alignment horizontal="center" vertical="center"/>
    </xf>
    <xf numFmtId="172" fontId="61" fillId="0" borderId="64" xfId="13" applyNumberFormat="1" applyFont="1" applyBorder="1" applyAlignment="1">
      <alignment horizontal="center" vertical="center"/>
    </xf>
    <xf numFmtId="0" fontId="50" fillId="0" borderId="0" xfId="13"/>
    <xf numFmtId="0" fontId="56" fillId="0" borderId="0" xfId="11" applyFont="1" applyAlignment="1">
      <alignment horizontal="right" readingOrder="2"/>
    </xf>
    <xf numFmtId="0" fontId="56" fillId="0" borderId="0" xfId="11" applyFont="1"/>
    <xf numFmtId="9" fontId="56" fillId="0" borderId="0" xfId="11" applyNumberFormat="1" applyFont="1"/>
    <xf numFmtId="0" fontId="57" fillId="0" borderId="0" xfId="11" applyFont="1" applyAlignment="1">
      <alignment horizontal="right" wrapText="1" readingOrder="2"/>
    </xf>
    <xf numFmtId="175" fontId="54" fillId="6" borderId="70" xfId="14" applyNumberFormat="1" applyFont="1"/>
    <xf numFmtId="172" fontId="54" fillId="6" borderId="70" xfId="14" applyNumberFormat="1" applyFont="1"/>
    <xf numFmtId="0" fontId="53" fillId="0" borderId="0" xfId="13" applyFont="1"/>
    <xf numFmtId="0" fontId="57" fillId="0" borderId="29" xfId="11" applyFont="1" applyBorder="1" applyAlignment="1">
      <alignment horizontal="center" wrapText="1"/>
    </xf>
    <xf numFmtId="0" fontId="56" fillId="0" borderId="21" xfId="11" applyFont="1" applyBorder="1" applyAlignment="1">
      <alignment horizontal="center" vertical="center"/>
    </xf>
    <xf numFmtId="3" fontId="56" fillId="0" borderId="21" xfId="11" applyNumberFormat="1" applyFont="1" applyBorder="1" applyAlignment="1">
      <alignment horizontal="center" vertical="center"/>
    </xf>
    <xf numFmtId="172" fontId="56" fillId="0" borderId="31" xfId="11" applyNumberFormat="1" applyFont="1" applyBorder="1" applyAlignment="1">
      <alignment vertical="center"/>
    </xf>
    <xf numFmtId="175" fontId="49" fillId="0" borderId="21" xfId="13" applyNumberFormat="1" applyFont="1" applyBorder="1" applyAlignment="1">
      <alignment horizontal="center" vertical="center"/>
    </xf>
    <xf numFmtId="172" fontId="55" fillId="0" borderId="21" xfId="3" applyNumberFormat="1" applyFont="1" applyFill="1" applyBorder="1" applyAlignment="1" applyProtection="1">
      <alignment vertical="center"/>
    </xf>
    <xf numFmtId="49" fontId="55" fillId="4" borderId="21" xfId="3" applyNumberFormat="1" applyFont="1" applyFill="1" applyBorder="1" applyAlignment="1" applyProtection="1">
      <alignment vertical="center"/>
    </xf>
    <xf numFmtId="49" fontId="57" fillId="4" borderId="21" xfId="3" applyNumberFormat="1" applyFont="1" applyFill="1" applyBorder="1" applyAlignment="1">
      <alignment vertical="center" wrapText="1"/>
    </xf>
    <xf numFmtId="49" fontId="58" fillId="0" borderId="21" xfId="3" applyNumberFormat="1" applyFont="1" applyFill="1" applyBorder="1" applyAlignment="1" applyProtection="1">
      <alignment vertical="center"/>
    </xf>
    <xf numFmtId="49" fontId="55" fillId="0" borderId="21" xfId="3" applyNumberFormat="1" applyFont="1" applyFill="1" applyBorder="1" applyAlignment="1" applyProtection="1">
      <alignment vertical="center"/>
    </xf>
    <xf numFmtId="172" fontId="58" fillId="0" borderId="21" xfId="3" applyNumberFormat="1" applyFont="1" applyFill="1" applyBorder="1" applyAlignment="1" applyProtection="1">
      <alignment vertical="center"/>
    </xf>
    <xf numFmtId="0" fontId="62" fillId="0" borderId="27" xfId="11" applyFont="1" applyBorder="1" applyAlignment="1">
      <alignment horizontal="center" wrapText="1"/>
    </xf>
    <xf numFmtId="0" fontId="62" fillId="0" borderId="28" xfId="11" applyFont="1" applyBorder="1" applyAlignment="1">
      <alignment horizontal="center" wrapText="1"/>
    </xf>
    <xf numFmtId="43" fontId="48" fillId="0" borderId="65" xfId="12" applyFont="1" applyBorder="1" applyAlignment="1">
      <alignment vertical="center"/>
    </xf>
    <xf numFmtId="0" fontId="56" fillId="0" borderId="21" xfId="1" applyFont="1" applyBorder="1" applyAlignment="1">
      <alignment vertical="center" wrapText="1"/>
    </xf>
    <xf numFmtId="175" fontId="56" fillId="0" borderId="0" xfId="1" applyNumberFormat="1" applyFont="1" applyAlignment="1">
      <alignment horizontal="left"/>
    </xf>
    <xf numFmtId="172" fontId="56" fillId="0" borderId="0" xfId="1" applyNumberFormat="1" applyFont="1" applyAlignment="1">
      <alignment horizontal="left"/>
    </xf>
    <xf numFmtId="0" fontId="56" fillId="0" borderId="20" xfId="11" applyFont="1" applyBorder="1" applyAlignment="1">
      <alignment wrapText="1"/>
    </xf>
    <xf numFmtId="0" fontId="56" fillId="0" borderId="20" xfId="1" applyFont="1" applyBorder="1" applyAlignment="1">
      <alignment wrapText="1"/>
    </xf>
    <xf numFmtId="0" fontId="56" fillId="0" borderId="20" xfId="1" applyFont="1" applyFill="1" applyBorder="1" applyAlignment="1">
      <alignment wrapText="1"/>
    </xf>
    <xf numFmtId="49" fontId="55" fillId="4" borderId="21" xfId="3" applyNumberFormat="1" applyFont="1" applyFill="1" applyBorder="1" applyAlignment="1" applyProtection="1">
      <alignment vertical="center" wrapText="1"/>
    </xf>
    <xf numFmtId="49" fontId="57" fillId="4" borderId="21" xfId="3" applyNumberFormat="1" applyFont="1" applyFill="1" applyBorder="1" applyAlignment="1">
      <alignment horizontal="left" vertical="center"/>
    </xf>
    <xf numFmtId="0" fontId="57" fillId="7" borderId="21" xfId="11" applyFont="1" applyFill="1" applyBorder="1" applyAlignment="1">
      <alignment horizontal="center" wrapText="1"/>
    </xf>
    <xf numFmtId="173" fontId="57" fillId="7" borderId="21" xfId="11" applyNumberFormat="1" applyFont="1" applyFill="1" applyBorder="1" applyAlignment="1">
      <alignment horizontal="center" wrapText="1"/>
    </xf>
    <xf numFmtId="49" fontId="55" fillId="0" borderId="21" xfId="3" applyNumberFormat="1" applyFont="1" applyFill="1" applyBorder="1" applyAlignment="1" applyProtection="1">
      <alignment vertical="center" wrapText="1"/>
    </xf>
    <xf numFmtId="49" fontId="57" fillId="0" borderId="21" xfId="3" applyNumberFormat="1" applyFont="1" applyFill="1" applyBorder="1" applyAlignment="1">
      <alignment horizontal="left" vertical="center" wrapText="1"/>
    </xf>
    <xf numFmtId="0" fontId="56" fillId="0" borderId="21" xfId="3" applyNumberFormat="1" applyFont="1" applyFill="1" applyBorder="1" applyAlignment="1">
      <alignment vertical="center"/>
    </xf>
    <xf numFmtId="172" fontId="56" fillId="0" borderId="21" xfId="11" applyNumberFormat="1" applyFont="1" applyFill="1" applyBorder="1" applyAlignment="1">
      <alignment vertical="center" readingOrder="2"/>
    </xf>
    <xf numFmtId="49" fontId="56" fillId="0" borderId="21" xfId="3" applyNumberFormat="1" applyFont="1" applyFill="1" applyBorder="1" applyAlignment="1">
      <alignment horizontal="left" vertical="center" wrapText="1"/>
    </xf>
    <xf numFmtId="43" fontId="56" fillId="0" borderId="20" xfId="12" applyFont="1" applyBorder="1" applyAlignment="1">
      <alignment wrapText="1"/>
    </xf>
    <xf numFmtId="49" fontId="56" fillId="0" borderId="21" xfId="3" applyNumberFormat="1" applyFont="1" applyBorder="1" applyAlignment="1">
      <alignment vertical="center" wrapText="1"/>
    </xf>
    <xf numFmtId="0" fontId="56" fillId="0" borderId="21" xfId="3" applyNumberFormat="1" applyFont="1" applyBorder="1" applyAlignment="1">
      <alignment vertical="center"/>
    </xf>
    <xf numFmtId="49" fontId="56" fillId="4" borderId="21" xfId="3" applyNumberFormat="1" applyFont="1" applyFill="1" applyBorder="1" applyAlignment="1">
      <alignment vertical="center"/>
    </xf>
    <xf numFmtId="0" fontId="47" fillId="0" borderId="20" xfId="11" applyFont="1" applyBorder="1" applyAlignment="1">
      <alignment wrapText="1"/>
    </xf>
    <xf numFmtId="49" fontId="57" fillId="4" borderId="21" xfId="3" applyNumberFormat="1" applyFont="1" applyFill="1" applyBorder="1" applyAlignment="1">
      <alignment vertical="center"/>
    </xf>
    <xf numFmtId="49" fontId="5" fillId="4" borderId="21" xfId="3" applyNumberFormat="1" applyFont="1" applyFill="1" applyBorder="1" applyAlignment="1">
      <alignment vertical="center" wrapText="1"/>
    </xf>
    <xf numFmtId="0" fontId="11" fillId="0" borderId="21" xfId="3" applyNumberFormat="1" applyFont="1" applyBorder="1" applyAlignment="1">
      <alignment vertical="center"/>
    </xf>
    <xf numFmtId="0" fontId="48" fillId="0" borderId="12" xfId="1" applyFont="1" applyBorder="1" applyAlignment="1">
      <alignment wrapText="1"/>
    </xf>
    <xf numFmtId="0" fontId="12" fillId="0" borderId="0" xfId="15" applyFont="1" applyAlignment="1">
      <alignment horizontal="left"/>
    </xf>
    <xf numFmtId="0" fontId="47" fillId="0" borderId="21" xfId="11" applyFont="1" applyBorder="1" applyAlignment="1">
      <alignment vertical="center" wrapText="1"/>
    </xf>
    <xf numFmtId="3" fontId="47" fillId="0" borderId="21" xfId="11" applyNumberFormat="1" applyFont="1" applyBorder="1" applyAlignment="1">
      <alignment vertical="center"/>
    </xf>
    <xf numFmtId="14" fontId="47" fillId="0" borderId="21" xfId="11" applyNumberFormat="1" applyFont="1" applyBorder="1" applyAlignment="1">
      <alignment vertical="center"/>
    </xf>
    <xf numFmtId="0" fontId="47" fillId="0" borderId="21" xfId="11" applyFont="1" applyBorder="1" applyAlignment="1">
      <alignment vertical="center"/>
    </xf>
    <xf numFmtId="0" fontId="57" fillId="7" borderId="19" xfId="11" applyFont="1" applyFill="1" applyBorder="1" applyAlignment="1">
      <alignment horizontal="center" wrapText="1"/>
    </xf>
    <xf numFmtId="172" fontId="56" fillId="0" borderId="19" xfId="11" applyNumberFormat="1" applyFont="1" applyFill="1" applyBorder="1" applyAlignment="1">
      <alignment vertical="center" readingOrder="2"/>
    </xf>
    <xf numFmtId="0" fontId="56" fillId="0" borderId="21" xfId="11" applyFont="1" applyBorder="1" applyAlignment="1">
      <alignment vertical="center" wrapText="1"/>
    </xf>
    <xf numFmtId="3" fontId="56" fillId="0" borderId="21" xfId="11" applyNumberFormat="1" applyFont="1" applyBorder="1" applyAlignment="1">
      <alignment vertical="center"/>
    </xf>
    <xf numFmtId="14" fontId="56" fillId="0" borderId="21" xfId="11" applyNumberFormat="1" applyFont="1" applyBorder="1" applyAlignment="1">
      <alignment vertical="center"/>
    </xf>
    <xf numFmtId="0" fontId="56" fillId="0" borderId="21" xfId="11" applyFont="1" applyBorder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63" fillId="0" borderId="73" xfId="16"/>
    <xf numFmtId="0" fontId="64" fillId="0" borderId="74" xfId="17"/>
    <xf numFmtId="0" fontId="65" fillId="0" borderId="75" xfId="18" applyAlignment="1">
      <alignment wrapText="1"/>
    </xf>
    <xf numFmtId="172" fontId="0" fillId="0" borderId="0" xfId="0" applyNumberFormat="1"/>
    <xf numFmtId="0" fontId="67" fillId="0" borderId="0" xfId="1" applyFont="1" applyAlignment="1">
      <alignment horizontal="left" wrapText="1"/>
    </xf>
    <xf numFmtId="0" fontId="68" fillId="0" borderId="75" xfId="18" applyFont="1" applyAlignment="1">
      <alignment wrapText="1"/>
    </xf>
    <xf numFmtId="0" fontId="65" fillId="0" borderId="0" xfId="18" applyBorder="1" applyAlignment="1">
      <alignment wrapText="1"/>
    </xf>
    <xf numFmtId="175" fontId="49" fillId="0" borderId="0" xfId="13" applyNumberFormat="1" applyFont="1" applyBorder="1" applyAlignment="1">
      <alignment horizontal="center" vertical="center"/>
    </xf>
    <xf numFmtId="175" fontId="0" fillId="0" borderId="0" xfId="0" applyNumberFormat="1" applyBorder="1"/>
    <xf numFmtId="172" fontId="0" fillId="0" borderId="0" xfId="0" applyNumberFormat="1" applyBorder="1"/>
    <xf numFmtId="0" fontId="0" fillId="0" borderId="0" xfId="0" applyBorder="1"/>
    <xf numFmtId="0" fontId="56" fillId="5" borderId="0" xfId="10" applyFont="1" applyFill="1" applyAlignment="1">
      <alignment horizontal="center" vertical="center"/>
    </xf>
    <xf numFmtId="0" fontId="56" fillId="0" borderId="0" xfId="10" applyFont="1" applyFill="1" applyAlignment="1">
      <alignment horizontal="center" vertical="center"/>
    </xf>
    <xf numFmtId="0" fontId="56" fillId="0" borderId="0" xfId="10" applyFont="1" applyFill="1" applyAlignment="1"/>
    <xf numFmtId="0" fontId="56" fillId="0" borderId="0" xfId="10" applyFont="1" applyFill="1"/>
    <xf numFmtId="0" fontId="56" fillId="0" borderId="0" xfId="10" applyFont="1" applyFill="1" applyAlignment="1">
      <alignment horizontal="center" vertical="center" wrapText="1"/>
    </xf>
    <xf numFmtId="0" fontId="56" fillId="5" borderId="0" xfId="10" applyFont="1" applyFill="1" applyAlignment="1">
      <alignment wrapText="1"/>
    </xf>
    <xf numFmtId="49" fontId="56" fillId="0" borderId="0" xfId="10" applyNumberFormat="1" applyFont="1" applyFill="1" applyAlignment="1">
      <alignment vertical="center"/>
    </xf>
    <xf numFmtId="0" fontId="56" fillId="0" borderId="21" xfId="10" applyFont="1" applyFill="1" applyBorder="1" applyAlignment="1">
      <alignment horizontal="center" vertical="center" wrapText="1"/>
    </xf>
    <xf numFmtId="0" fontId="56" fillId="0" borderId="21" xfId="10" applyFont="1" applyFill="1" applyBorder="1" applyAlignment="1"/>
    <xf numFmtId="1" fontId="56" fillId="0" borderId="21" xfId="10" applyNumberFormat="1" applyFont="1" applyFill="1" applyBorder="1" applyAlignment="1"/>
    <xf numFmtId="0" fontId="56" fillId="0" borderId="21" xfId="10" applyFont="1" applyFill="1" applyBorder="1" applyAlignment="1">
      <alignment wrapText="1"/>
    </xf>
    <xf numFmtId="0" fontId="56" fillId="0" borderId="21" xfId="10" applyFont="1" applyFill="1" applyBorder="1" applyAlignment="1">
      <alignment horizontal="center" wrapText="1"/>
    </xf>
    <xf numFmtId="0" fontId="47" fillId="0" borderId="21" xfId="10" applyFont="1" applyFill="1" applyBorder="1" applyAlignment="1">
      <alignment wrapText="1"/>
    </xf>
    <xf numFmtId="43" fontId="56" fillId="0" borderId="21" xfId="12" applyFont="1" applyFill="1" applyBorder="1" applyAlignment="1"/>
    <xf numFmtId="178" fontId="56" fillId="0" borderId="21" xfId="10" applyNumberFormat="1" applyFont="1" applyFill="1" applyBorder="1" applyAlignment="1"/>
    <xf numFmtId="178" fontId="56" fillId="0" borderId="21" xfId="12" applyNumberFormat="1" applyFont="1" applyFill="1" applyBorder="1" applyAlignment="1"/>
    <xf numFmtId="172" fontId="56" fillId="0" borderId="21" xfId="10" applyNumberFormat="1" applyFont="1" applyFill="1" applyBorder="1" applyAlignment="1"/>
    <xf numFmtId="0" fontId="56" fillId="0" borderId="21" xfId="11" applyFont="1" applyFill="1" applyBorder="1" applyAlignment="1">
      <alignment horizontal="right" wrapText="1" readingOrder="2"/>
    </xf>
    <xf numFmtId="175" fontId="61" fillId="0" borderId="21" xfId="13" applyNumberFormat="1" applyFont="1" applyBorder="1" applyAlignment="1">
      <alignment horizontal="center" vertical="center"/>
    </xf>
    <xf numFmtId="0" fontId="56" fillId="0" borderId="21" xfId="11" applyFont="1" applyBorder="1" applyAlignment="1">
      <alignment horizontal="right" readingOrder="2"/>
    </xf>
    <xf numFmtId="0" fontId="56" fillId="0" borderId="21" xfId="11" applyFont="1" applyBorder="1"/>
    <xf numFmtId="9" fontId="56" fillId="0" borderId="21" xfId="11" applyNumberFormat="1" applyFont="1" applyBorder="1"/>
    <xf numFmtId="0" fontId="57" fillId="0" borderId="21" xfId="11" applyFont="1" applyBorder="1" applyAlignment="1">
      <alignment horizontal="right" wrapText="1" readingOrder="2"/>
    </xf>
    <xf numFmtId="175" fontId="54" fillId="6" borderId="21" xfId="14" applyNumberFormat="1" applyFont="1" applyBorder="1"/>
    <xf numFmtId="0" fontId="66" fillId="8" borderId="21" xfId="19" applyFont="1" applyFill="1" applyBorder="1" applyAlignment="1">
      <alignment horizontal="center" vertical="center" wrapText="1"/>
    </xf>
    <xf numFmtId="177" fontId="66" fillId="8" borderId="21" xfId="0" applyNumberFormat="1" applyFont="1" applyFill="1" applyBorder="1" applyAlignment="1">
      <alignment horizontal="center" vertical="center" wrapText="1"/>
    </xf>
    <xf numFmtId="0" fontId="57" fillId="8" borderId="21" xfId="1" applyFont="1" applyFill="1" applyBorder="1" applyAlignment="1">
      <alignment horizontal="center" vertical="center" wrapText="1"/>
    </xf>
    <xf numFmtId="49" fontId="66" fillId="8" borderId="21" xfId="0" applyNumberFormat="1" applyFont="1" applyFill="1" applyBorder="1" applyAlignment="1">
      <alignment horizontal="center" vertical="center" wrapText="1"/>
    </xf>
    <xf numFmtId="2" fontId="66" fillId="8" borderId="21" xfId="0" applyNumberFormat="1" applyFont="1" applyFill="1" applyBorder="1" applyAlignment="1">
      <alignment horizontal="center" vertical="center" wrapText="1"/>
    </xf>
    <xf numFmtId="0" fontId="66" fillId="8" borderId="21" xfId="0" applyFont="1" applyFill="1" applyBorder="1" applyAlignment="1">
      <alignment horizontal="center" vertical="center" wrapText="1"/>
    </xf>
    <xf numFmtId="0" fontId="49" fillId="0" borderId="21" xfId="19" applyFont="1" applyFill="1" applyBorder="1" applyAlignment="1">
      <alignment vertical="center" wrapText="1"/>
    </xf>
    <xf numFmtId="0" fontId="66" fillId="5" borderId="21" xfId="19" applyFont="1" applyFill="1" applyBorder="1" applyAlignment="1">
      <alignment horizontal="left" vertical="center"/>
    </xf>
    <xf numFmtId="1" fontId="66" fillId="0" borderId="21" xfId="19" applyNumberFormat="1" applyFont="1" applyFill="1" applyBorder="1" applyAlignment="1">
      <alignment horizontal="center" vertical="center" wrapText="1"/>
    </xf>
    <xf numFmtId="1" fontId="66" fillId="0" borderId="21" xfId="0" applyNumberFormat="1" applyFont="1" applyFill="1" applyBorder="1" applyAlignment="1">
      <alignment horizontal="center" vertical="center" wrapText="1"/>
    </xf>
    <xf numFmtId="1" fontId="57" fillId="0" borderId="21" xfId="1" applyNumberFormat="1" applyFont="1" applyFill="1" applyBorder="1" applyAlignment="1">
      <alignment horizontal="center" vertical="center" wrapText="1"/>
    </xf>
    <xf numFmtId="49" fontId="66" fillId="0" borderId="21" xfId="0" applyNumberFormat="1" applyFont="1" applyFill="1" applyBorder="1" applyAlignment="1">
      <alignment horizontal="center" vertical="center" wrapText="1"/>
    </xf>
    <xf numFmtId="2" fontId="66" fillId="0" borderId="21" xfId="0" applyNumberFormat="1" applyFont="1" applyFill="1" applyBorder="1" applyAlignment="1">
      <alignment horizontal="center" vertical="center" wrapText="1"/>
    </xf>
    <xf numFmtId="0" fontId="66" fillId="0" borderId="21" xfId="0" applyFont="1" applyFill="1" applyBorder="1" applyAlignment="1">
      <alignment horizontal="center" vertical="center" wrapText="1"/>
    </xf>
    <xf numFmtId="176" fontId="66" fillId="0" borderId="21" xfId="19" applyNumberFormat="1" applyFont="1" applyFill="1" applyBorder="1" applyAlignment="1">
      <alignment horizontal="center" vertical="center" wrapText="1"/>
    </xf>
    <xf numFmtId="2" fontId="57" fillId="0" borderId="21" xfId="0" applyNumberFormat="1" applyFont="1" applyFill="1" applyBorder="1" applyAlignment="1">
      <alignment horizontal="center" vertical="center" wrapText="1"/>
    </xf>
    <xf numFmtId="0" fontId="57" fillId="0" borderId="21" xfId="0" applyFont="1" applyFill="1" applyBorder="1" applyAlignment="1">
      <alignment horizontal="center" vertical="center" wrapText="1"/>
    </xf>
    <xf numFmtId="2" fontId="66" fillId="0" borderId="21" xfId="19" applyNumberFormat="1" applyFont="1" applyFill="1" applyBorder="1" applyAlignment="1">
      <alignment horizontal="center" vertical="center" wrapText="1"/>
    </xf>
    <xf numFmtId="0" fontId="57" fillId="0" borderId="21" xfId="19" applyFont="1" applyFill="1" applyBorder="1" applyAlignment="1">
      <alignment horizontal="left" vertical="center"/>
    </xf>
    <xf numFmtId="176" fontId="66" fillId="0" borderId="21" xfId="0" applyNumberFormat="1" applyFont="1" applyFill="1" applyBorder="1" applyAlignment="1">
      <alignment horizontal="center" vertical="center" wrapText="1"/>
    </xf>
    <xf numFmtId="0" fontId="66" fillId="5" borderId="21" xfId="19" applyFont="1" applyFill="1" applyBorder="1" applyAlignment="1">
      <alignment horizontal="center" vertical="center" wrapText="1"/>
    </xf>
    <xf numFmtId="164" fontId="66" fillId="0" borderId="21" xfId="19" applyNumberFormat="1" applyFont="1" applyFill="1" applyBorder="1" applyAlignment="1">
      <alignment horizontal="center" vertical="center" wrapText="1"/>
    </xf>
    <xf numFmtId="0" fontId="66" fillId="0" borderId="21" xfId="19" applyFont="1" applyFill="1" applyBorder="1" applyAlignment="1">
      <alignment horizontal="center" vertical="center" wrapText="1"/>
    </xf>
    <xf numFmtId="179" fontId="56" fillId="0" borderId="0" xfId="20" applyNumberFormat="1" applyFont="1" applyFill="1" applyAlignment="1"/>
    <xf numFmtId="49" fontId="15" fillId="0" borderId="1" xfId="1" applyNumberFormat="1" applyFont="1" applyFill="1" applyBorder="1" applyAlignment="1" applyProtection="1">
      <alignment horizontal="center" vertical="center" wrapText="1"/>
    </xf>
    <xf numFmtId="49" fontId="15" fillId="0" borderId="2" xfId="1" applyNumberFormat="1" applyFont="1" applyFill="1" applyBorder="1" applyAlignment="1" applyProtection="1">
      <alignment horizontal="center" vertical="center"/>
    </xf>
    <xf numFmtId="49" fontId="15" fillId="0" borderId="5" xfId="1" applyNumberFormat="1" applyFont="1" applyFill="1" applyBorder="1" applyAlignment="1" applyProtection="1">
      <alignment horizontal="center" vertical="center"/>
    </xf>
    <xf numFmtId="49" fontId="15" fillId="0" borderId="6" xfId="1" applyNumberFormat="1" applyFont="1" applyFill="1" applyBorder="1" applyAlignment="1" applyProtection="1">
      <alignment horizontal="center" vertical="center"/>
    </xf>
    <xf numFmtId="49" fontId="15" fillId="0" borderId="0" xfId="1" applyNumberFormat="1" applyFont="1" applyFill="1" applyBorder="1" applyAlignment="1" applyProtection="1">
      <alignment horizontal="center" vertical="center"/>
    </xf>
    <xf numFmtId="49" fontId="15" fillId="0" borderId="9" xfId="1" applyNumberFormat="1" applyFont="1" applyFill="1" applyBorder="1" applyAlignment="1" applyProtection="1">
      <alignment horizontal="center" vertical="center"/>
    </xf>
    <xf numFmtId="49" fontId="15" fillId="0" borderId="22" xfId="1" applyNumberFormat="1" applyFont="1" applyFill="1" applyBorder="1" applyAlignment="1" applyProtection="1">
      <alignment horizontal="center" vertical="center"/>
    </xf>
    <xf numFmtId="49" fontId="15" fillId="0" borderId="23" xfId="1" applyNumberFormat="1" applyFont="1" applyFill="1" applyBorder="1" applyAlignment="1" applyProtection="1">
      <alignment horizontal="center" vertical="center"/>
    </xf>
    <xf numFmtId="49" fontId="15" fillId="0" borderId="26" xfId="1" applyNumberFormat="1" applyFont="1" applyFill="1" applyBorder="1" applyAlignment="1" applyProtection="1">
      <alignment horizontal="center" vertical="center"/>
    </xf>
    <xf numFmtId="49" fontId="18" fillId="0" borderId="22" xfId="1" applyNumberFormat="1" applyFont="1" applyFill="1" applyBorder="1" applyAlignment="1" applyProtection="1">
      <alignment horizontal="center"/>
    </xf>
    <xf numFmtId="49" fontId="18" fillId="0" borderId="23" xfId="1" applyNumberFormat="1" applyFont="1" applyFill="1" applyBorder="1" applyAlignment="1" applyProtection="1">
      <alignment horizontal="center"/>
    </xf>
    <xf numFmtId="49" fontId="18" fillId="0" borderId="24" xfId="1" applyNumberFormat="1" applyFont="1" applyFill="1" applyBorder="1" applyAlignment="1" applyProtection="1">
      <alignment horizontal="center"/>
    </xf>
    <xf numFmtId="49" fontId="18" fillId="0" borderId="34" xfId="1" applyNumberFormat="1" applyFont="1" applyFill="1" applyBorder="1" applyAlignment="1" applyProtection="1">
      <alignment horizontal="center" vertical="center"/>
    </xf>
    <xf numFmtId="49" fontId="18" fillId="0" borderId="21" xfId="1" applyNumberFormat="1" applyFont="1" applyFill="1" applyBorder="1" applyAlignment="1" applyProtection="1">
      <alignment horizontal="center" vertical="center"/>
    </xf>
    <xf numFmtId="49" fontId="18" fillId="0" borderId="31" xfId="1" applyNumberFormat="1" applyFont="1" applyFill="1" applyBorder="1" applyAlignment="1" applyProtection="1">
      <alignment horizontal="center" vertical="center"/>
    </xf>
    <xf numFmtId="49" fontId="18" fillId="0" borderId="47" xfId="1" applyNumberFormat="1" applyFont="1" applyFill="1" applyBorder="1" applyAlignment="1" applyProtection="1">
      <alignment horizontal="center"/>
    </xf>
    <xf numFmtId="49" fontId="18" fillId="0" borderId="39" xfId="1" applyNumberFormat="1" applyFont="1" applyFill="1" applyBorder="1" applyAlignment="1" applyProtection="1">
      <alignment horizontal="center"/>
    </xf>
    <xf numFmtId="49" fontId="18" fillId="0" borderId="20" xfId="1" applyNumberFormat="1" applyFont="1" applyFill="1" applyBorder="1" applyAlignment="1" applyProtection="1">
      <alignment horizontal="center"/>
    </xf>
    <xf numFmtId="49" fontId="18" fillId="0" borderId="28" xfId="1" applyNumberFormat="1" applyFont="1" applyFill="1" applyBorder="1" applyAlignment="1" applyProtection="1">
      <alignment horizontal="center" vertical="center"/>
    </xf>
    <xf numFmtId="49" fontId="18" fillId="0" borderId="29" xfId="1" applyNumberFormat="1" applyFont="1" applyFill="1" applyBorder="1" applyAlignment="1" applyProtection="1">
      <alignment horizontal="center" vertical="center"/>
    </xf>
    <xf numFmtId="49" fontId="17" fillId="0" borderId="34" xfId="1" applyNumberFormat="1" applyFont="1" applyFill="1" applyBorder="1" applyAlignment="1" applyProtection="1">
      <alignment horizontal="center" vertical="center"/>
    </xf>
    <xf numFmtId="49" fontId="17" fillId="0" borderId="33" xfId="1" applyNumberFormat="1" applyFont="1" applyFill="1" applyBorder="1" applyAlignment="1" applyProtection="1">
      <alignment horizontal="center" vertical="center"/>
    </xf>
    <xf numFmtId="49" fontId="17" fillId="0" borderId="35" xfId="1" applyNumberFormat="1" applyFont="1" applyFill="1" applyBorder="1" applyAlignment="1" applyProtection="1">
      <alignment horizontal="center" vertical="center"/>
    </xf>
    <xf numFmtId="49" fontId="18" fillId="0" borderId="25" xfId="1" applyNumberFormat="1" applyFont="1" applyFill="1" applyBorder="1" applyAlignment="1" applyProtection="1">
      <alignment horizontal="center" vertical="center"/>
    </xf>
    <xf numFmtId="49" fontId="18" fillId="0" borderId="32" xfId="1" applyNumberFormat="1" applyFont="1" applyFill="1" applyBorder="1" applyAlignment="1" applyProtection="1">
      <alignment horizontal="center" vertical="center"/>
    </xf>
    <xf numFmtId="49" fontId="18" fillId="0" borderId="27" xfId="1" applyNumberFormat="1" applyFont="1" applyFill="1" applyBorder="1" applyAlignment="1" applyProtection="1">
      <alignment horizontal="center" vertical="center"/>
    </xf>
    <xf numFmtId="0" fontId="11" fillId="0" borderId="19" xfId="1" applyFont="1" applyBorder="1" applyAlignment="1" applyProtection="1">
      <alignment horizontal="center" vertical="center"/>
      <protection hidden="1"/>
    </xf>
    <xf numFmtId="0" fontId="11" fillId="0" borderId="39" xfId="1" applyFont="1" applyBorder="1" applyAlignment="1" applyProtection="1">
      <alignment horizontal="center" vertical="center"/>
      <protection hidden="1"/>
    </xf>
    <xf numFmtId="0" fontId="11" fillId="0" borderId="20" xfId="1" applyFont="1" applyBorder="1" applyAlignment="1" applyProtection="1">
      <alignment horizontal="center" vertical="center"/>
      <protection hidden="1"/>
    </xf>
    <xf numFmtId="0" fontId="10" fillId="0" borderId="19" xfId="1" applyFont="1" applyBorder="1" applyAlignment="1">
      <alignment horizontal="center" wrapText="1" readingOrder="2"/>
    </xf>
    <xf numFmtId="0" fontId="10" fillId="0" borderId="20" xfId="1" applyFont="1" applyBorder="1" applyAlignment="1">
      <alignment horizontal="center" wrapText="1" readingOrder="2"/>
    </xf>
    <xf numFmtId="0" fontId="11" fillId="0" borderId="21" xfId="1" applyFont="1" applyBorder="1" applyAlignment="1" applyProtection="1">
      <alignment horizontal="center" vertical="center"/>
      <protection hidden="1"/>
    </xf>
    <xf numFmtId="0" fontId="11" fillId="0" borderId="21" xfId="1" applyFont="1" applyBorder="1"/>
    <xf numFmtId="0" fontId="10" fillId="0" borderId="21" xfId="1" applyFont="1" applyBorder="1" applyAlignment="1">
      <alignment horizontal="center" wrapText="1" readingOrder="2"/>
    </xf>
    <xf numFmtId="0" fontId="1" fillId="0" borderId="21" xfId="1" applyBorder="1"/>
    <xf numFmtId="0" fontId="10" fillId="0" borderId="21" xfId="1" applyFont="1" applyBorder="1" applyAlignment="1" applyProtection="1">
      <alignment horizontal="center" vertical="center"/>
      <protection hidden="1"/>
    </xf>
    <xf numFmtId="0" fontId="1" fillId="0" borderId="21" xfId="1" applyBorder="1" applyAlignment="1">
      <alignment vertical="center"/>
    </xf>
    <xf numFmtId="0" fontId="5" fillId="0" borderId="0" xfId="1" applyFont="1" applyBorder="1" applyAlignment="1" applyProtection="1">
      <alignment horizontal="center" vertical="center"/>
      <protection hidden="1"/>
    </xf>
    <xf numFmtId="0" fontId="10" fillId="0" borderId="19" xfId="1" applyFont="1" applyBorder="1" applyAlignment="1">
      <alignment horizontal="center" vertical="center" wrapText="1" readingOrder="2"/>
    </xf>
    <xf numFmtId="0" fontId="10" fillId="0" borderId="20" xfId="1" applyFont="1" applyBorder="1" applyAlignment="1">
      <alignment horizontal="center" vertical="center" wrapText="1" readingOrder="2"/>
    </xf>
    <xf numFmtId="0" fontId="10" fillId="0" borderId="19" xfId="1" applyFont="1" applyBorder="1" applyAlignment="1" applyProtection="1">
      <alignment horizontal="center" vertical="center"/>
      <protection hidden="1"/>
    </xf>
    <xf numFmtId="0" fontId="10" fillId="0" borderId="39" xfId="1" applyFont="1" applyBorder="1" applyAlignment="1" applyProtection="1">
      <alignment horizontal="center" vertical="center"/>
      <protection hidden="1"/>
    </xf>
    <xf numFmtId="0" fontId="10" fillId="0" borderId="20" xfId="1" applyFont="1" applyBorder="1" applyAlignment="1" applyProtection="1">
      <alignment horizontal="center" vertical="center"/>
      <protection hidden="1"/>
    </xf>
    <xf numFmtId="0" fontId="10" fillId="0" borderId="21" xfId="1" applyFont="1" applyBorder="1" applyAlignment="1">
      <alignment horizontal="center" vertical="center" wrapText="1" readingOrder="2"/>
    </xf>
    <xf numFmtId="49" fontId="46" fillId="0" borderId="1" xfId="10" applyNumberFormat="1" applyFont="1" applyFill="1" applyBorder="1" applyAlignment="1" applyProtection="1">
      <alignment horizontal="center" vertical="center" wrapText="1"/>
    </xf>
    <xf numFmtId="49" fontId="46" fillId="0" borderId="2" xfId="10" applyNumberFormat="1" applyFont="1" applyFill="1" applyBorder="1" applyAlignment="1" applyProtection="1">
      <alignment horizontal="center" vertical="center"/>
    </xf>
    <xf numFmtId="49" fontId="46" fillId="0" borderId="5" xfId="10" applyNumberFormat="1" applyFont="1" applyFill="1" applyBorder="1" applyAlignment="1" applyProtection="1">
      <alignment horizontal="center" vertical="center"/>
    </xf>
    <xf numFmtId="49" fontId="46" fillId="0" borderId="6" xfId="10" applyNumberFormat="1" applyFont="1" applyFill="1" applyBorder="1" applyAlignment="1" applyProtection="1">
      <alignment horizontal="center" vertical="center"/>
    </xf>
    <xf numFmtId="49" fontId="46" fillId="0" borderId="0" xfId="10" applyNumberFormat="1" applyFont="1" applyFill="1" applyBorder="1" applyAlignment="1" applyProtection="1">
      <alignment horizontal="center" vertical="center"/>
    </xf>
    <xf numFmtId="49" fontId="46" fillId="0" borderId="9" xfId="10" applyNumberFormat="1" applyFont="1" applyFill="1" applyBorder="1" applyAlignment="1" applyProtection="1">
      <alignment horizontal="center" vertical="center"/>
    </xf>
    <xf numFmtId="49" fontId="46" fillId="0" borderId="22" xfId="10" applyNumberFormat="1" applyFont="1" applyFill="1" applyBorder="1" applyAlignment="1" applyProtection="1">
      <alignment horizontal="center" vertical="center"/>
    </xf>
    <xf numFmtId="49" fontId="46" fillId="0" borderId="23" xfId="10" applyNumberFormat="1" applyFont="1" applyFill="1" applyBorder="1" applyAlignment="1" applyProtection="1">
      <alignment horizontal="center" vertical="center"/>
    </xf>
    <xf numFmtId="49" fontId="46" fillId="0" borderId="26" xfId="10" applyNumberFormat="1" applyFont="1" applyFill="1" applyBorder="1" applyAlignment="1" applyProtection="1">
      <alignment horizontal="center" vertical="center"/>
    </xf>
    <xf numFmtId="0" fontId="56" fillId="0" borderId="21" xfId="11" applyFont="1" applyBorder="1" applyAlignment="1">
      <alignment horizontal="center" wrapText="1"/>
    </xf>
    <xf numFmtId="0" fontId="56" fillId="0" borderId="19" xfId="11" applyFont="1" applyBorder="1" applyAlignment="1">
      <alignment horizontal="center" wrapText="1"/>
    </xf>
    <xf numFmtId="0" fontId="56" fillId="0" borderId="39" xfId="11" applyFont="1" applyBorder="1" applyAlignment="1">
      <alignment horizontal="center" wrapText="1"/>
    </xf>
    <xf numFmtId="0" fontId="56" fillId="0" borderId="20" xfId="11" applyFont="1" applyBorder="1" applyAlignment="1">
      <alignment horizontal="center" wrapText="1"/>
    </xf>
    <xf numFmtId="0" fontId="47" fillId="0" borderId="21" xfId="11" applyFont="1" applyBorder="1" applyAlignment="1">
      <alignment horizontal="center" wrapText="1"/>
    </xf>
    <xf numFmtId="49" fontId="57" fillId="0" borderId="21" xfId="3" applyNumberFormat="1" applyFont="1" applyBorder="1" applyAlignment="1">
      <alignment horizontal="center" vertical="center" wrapText="1"/>
    </xf>
    <xf numFmtId="49" fontId="57" fillId="0" borderId="21" xfId="3" applyNumberFormat="1" applyFont="1" applyBorder="1" applyAlignment="1">
      <alignment horizontal="center" vertical="center"/>
    </xf>
    <xf numFmtId="0" fontId="47" fillId="0" borderId="61" xfId="11" applyFont="1" applyBorder="1" applyAlignment="1">
      <alignment horizontal="center" wrapText="1"/>
    </xf>
    <xf numFmtId="0" fontId="47" fillId="0" borderId="62" xfId="11" applyFont="1" applyBorder="1" applyAlignment="1">
      <alignment horizontal="center" wrapText="1"/>
    </xf>
    <xf numFmtId="0" fontId="47" fillId="0" borderId="63" xfId="11" applyFont="1" applyBorder="1" applyAlignment="1">
      <alignment horizontal="center" wrapText="1"/>
    </xf>
    <xf numFmtId="0" fontId="47" fillId="0" borderId="72" xfId="11" applyFont="1" applyBorder="1" applyAlignment="1">
      <alignment horizontal="center" wrapText="1"/>
    </xf>
    <xf numFmtId="0" fontId="47" fillId="0" borderId="11" xfId="11" applyFont="1" applyBorder="1" applyAlignment="1">
      <alignment horizontal="center" wrapText="1"/>
    </xf>
    <xf numFmtId="0" fontId="49" fillId="0" borderId="21" xfId="19" applyFont="1" applyFill="1" applyBorder="1" applyAlignment="1">
      <alignment horizontal="left" vertical="center" wrapText="1"/>
    </xf>
    <xf numFmtId="0" fontId="66" fillId="8" borderId="21" xfId="19" applyFont="1" applyFill="1" applyBorder="1" applyAlignment="1">
      <alignment vertical="center" wrapText="1"/>
    </xf>
    <xf numFmtId="0" fontId="66" fillId="8" borderId="21" xfId="19" applyFont="1" applyFill="1" applyBorder="1" applyAlignment="1">
      <alignment horizontal="center" vertical="center" wrapText="1"/>
    </xf>
    <xf numFmtId="49" fontId="66" fillId="8" borderId="21" xfId="0" applyNumberFormat="1" applyFont="1" applyFill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 wrapText="1"/>
    </xf>
    <xf numFmtId="0" fontId="12" fillId="0" borderId="3" xfId="3" applyFont="1" applyFill="1" applyBorder="1" applyAlignment="1" applyProtection="1">
      <alignment horizontal="center"/>
    </xf>
    <xf numFmtId="0" fontId="12" fillId="0" borderId="2" xfId="3" applyFont="1" applyFill="1" applyBorder="1" applyAlignment="1" applyProtection="1">
      <alignment horizontal="center"/>
    </xf>
    <xf numFmtId="0" fontId="12" fillId="0" borderId="5" xfId="3" applyFont="1" applyFill="1" applyBorder="1" applyAlignment="1" applyProtection="1">
      <alignment horizontal="center"/>
    </xf>
    <xf numFmtId="0" fontId="12" fillId="0" borderId="7" xfId="3" applyFont="1" applyFill="1" applyBorder="1" applyAlignment="1" applyProtection="1">
      <alignment horizontal="center"/>
    </xf>
    <xf numFmtId="0" fontId="12" fillId="0" borderId="0" xfId="3" applyFont="1" applyFill="1" applyBorder="1" applyAlignment="1" applyProtection="1">
      <alignment horizontal="center"/>
    </xf>
    <xf numFmtId="0" fontId="12" fillId="0" borderId="9" xfId="3" applyFont="1" applyFill="1" applyBorder="1" applyAlignment="1" applyProtection="1">
      <alignment horizontal="center"/>
    </xf>
    <xf numFmtId="0" fontId="5" fillId="0" borderId="6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3" fillId="0" borderId="0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3" fillId="0" borderId="18" xfId="3" applyFont="1" applyBorder="1" applyAlignment="1">
      <alignment horizontal="center" vertical="center" wrapText="1"/>
    </xf>
    <xf numFmtId="0" fontId="10" fillId="0" borderId="13" xfId="3" applyFont="1" applyBorder="1" applyAlignment="1">
      <alignment horizontal="center" vertical="center" readingOrder="1"/>
    </xf>
    <xf numFmtId="0" fontId="10" fillId="0" borderId="14" xfId="3" applyFont="1" applyBorder="1" applyAlignment="1">
      <alignment horizontal="center" vertical="center" readingOrder="1"/>
    </xf>
    <xf numFmtId="0" fontId="10" fillId="0" borderId="15" xfId="3" applyFont="1" applyBorder="1" applyAlignment="1">
      <alignment horizontal="center" vertical="center" readingOrder="1"/>
    </xf>
    <xf numFmtId="0" fontId="10" fillId="0" borderId="6" xfId="3" applyFont="1" applyBorder="1" applyAlignment="1">
      <alignment horizontal="center" vertical="center" readingOrder="1"/>
    </xf>
    <xf numFmtId="0" fontId="10" fillId="0" borderId="0" xfId="3" applyFont="1" applyBorder="1" applyAlignment="1">
      <alignment horizontal="center" vertical="center" readingOrder="1"/>
    </xf>
    <xf numFmtId="0" fontId="10" fillId="0" borderId="8" xfId="3" applyFont="1" applyBorder="1" applyAlignment="1">
      <alignment horizontal="center" vertical="center" readingOrder="1"/>
    </xf>
    <xf numFmtId="0" fontId="4" fillId="0" borderId="16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 wrapText="1"/>
    </xf>
    <xf numFmtId="0" fontId="4" fillId="0" borderId="10" xfId="3" applyFont="1" applyBorder="1" applyAlignment="1">
      <alignment horizontal="center" vertical="center" wrapText="1"/>
    </xf>
    <xf numFmtId="0" fontId="4" fillId="0" borderId="11" xfId="3" applyFont="1" applyBorder="1" applyAlignment="1">
      <alignment horizontal="center" vertical="center" wrapText="1"/>
    </xf>
    <xf numFmtId="0" fontId="10" fillId="0" borderId="16" xfId="3" applyFont="1" applyBorder="1" applyAlignment="1">
      <alignment horizontal="center" vertical="center" readingOrder="1"/>
    </xf>
    <xf numFmtId="0" fontId="10" fillId="0" borderId="17" xfId="3" applyFont="1" applyBorder="1" applyAlignment="1">
      <alignment horizontal="center" vertical="center" readingOrder="1"/>
    </xf>
    <xf numFmtId="0" fontId="10" fillId="0" borderId="7" xfId="3" applyFont="1" applyBorder="1" applyAlignment="1">
      <alignment horizontal="center" vertical="center" readingOrder="1"/>
    </xf>
    <xf numFmtId="0" fontId="10" fillId="0" borderId="9" xfId="3" applyFont="1" applyBorder="1" applyAlignment="1">
      <alignment horizontal="center" vertical="center" readingOrder="1"/>
    </xf>
    <xf numFmtId="0" fontId="10" fillId="0" borderId="10" xfId="3" applyFont="1" applyBorder="1" applyAlignment="1">
      <alignment horizontal="center" vertical="center" readingOrder="1"/>
    </xf>
    <xf numFmtId="0" fontId="10" fillId="0" borderId="11" xfId="3" applyFont="1" applyBorder="1" applyAlignment="1">
      <alignment horizontal="center" vertical="center" readingOrder="1"/>
    </xf>
    <xf numFmtId="0" fontId="10" fillId="0" borderId="18" xfId="3" applyFont="1" applyBorder="1" applyAlignment="1">
      <alignment horizontal="center" vertical="center" readingOrder="1"/>
    </xf>
    <xf numFmtId="0" fontId="29" fillId="0" borderId="37" xfId="6" applyNumberFormat="1" applyFont="1" applyFill="1" applyBorder="1" applyAlignment="1" applyProtection="1">
      <alignment horizontal="center" vertical="center"/>
    </xf>
    <xf numFmtId="0" fontId="29" fillId="0" borderId="43" xfId="6" applyNumberFormat="1" applyFont="1" applyFill="1" applyBorder="1" applyAlignment="1" applyProtection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 readingOrder="1"/>
    </xf>
    <xf numFmtId="0" fontId="4" fillId="0" borderId="17" xfId="3" applyFont="1" applyBorder="1" applyAlignment="1">
      <alignment horizontal="center" vertical="center" readingOrder="1"/>
    </xf>
    <xf numFmtId="0" fontId="4" fillId="0" borderId="23" xfId="3" applyFont="1" applyBorder="1" applyAlignment="1">
      <alignment horizontal="center" vertical="center" readingOrder="1"/>
    </xf>
    <xf numFmtId="0" fontId="4" fillId="0" borderId="26" xfId="3" applyFont="1" applyBorder="1" applyAlignment="1">
      <alignment horizontal="center" vertical="center" readingOrder="1"/>
    </xf>
    <xf numFmtId="0" fontId="8" fillId="0" borderId="25" xfId="3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 wrapText="1"/>
    </xf>
    <xf numFmtId="0" fontId="10" fillId="0" borderId="23" xfId="3" applyFont="1" applyBorder="1" applyAlignment="1">
      <alignment horizontal="center" vertical="center" wrapText="1"/>
    </xf>
    <xf numFmtId="0" fontId="10" fillId="0" borderId="24" xfId="3" applyFont="1" applyBorder="1" applyAlignment="1">
      <alignment horizontal="center" vertical="center" wrapText="1"/>
    </xf>
    <xf numFmtId="0" fontId="44" fillId="0" borderId="1" xfId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44" fillId="0" borderId="5" xfId="1" applyFont="1" applyBorder="1" applyAlignment="1">
      <alignment horizontal="center" vertical="center"/>
    </xf>
    <xf numFmtId="49" fontId="15" fillId="0" borderId="22" xfId="1" applyNumberFormat="1" applyFont="1" applyFill="1" applyBorder="1" applyAlignment="1" applyProtection="1">
      <alignment horizontal="center" vertical="center" wrapText="1"/>
    </xf>
    <xf numFmtId="49" fontId="15" fillId="0" borderId="23" xfId="1" applyNumberFormat="1" applyFont="1" applyFill="1" applyBorder="1" applyAlignment="1" applyProtection="1">
      <alignment horizontal="center" vertical="center" wrapText="1"/>
    </xf>
    <xf numFmtId="49" fontId="15" fillId="0" borderId="26" xfId="1" applyNumberFormat="1" applyFont="1" applyFill="1" applyBorder="1" applyAlignment="1" applyProtection="1">
      <alignment horizontal="center" vertical="center" wrapText="1"/>
    </xf>
    <xf numFmtId="49" fontId="22" fillId="0" borderId="19" xfId="3" applyNumberFormat="1" applyFont="1" applyFill="1" applyBorder="1" applyAlignment="1" applyProtection="1">
      <alignment horizontal="center" vertical="center"/>
    </xf>
    <xf numFmtId="49" fontId="22" fillId="0" borderId="39" xfId="3" applyNumberFormat="1" applyFont="1" applyFill="1" applyBorder="1" applyAlignment="1" applyProtection="1">
      <alignment horizontal="center" vertical="center"/>
    </xf>
    <xf numFmtId="49" fontId="22" fillId="0" borderId="48" xfId="3" applyNumberFormat="1" applyFont="1" applyFill="1" applyBorder="1" applyAlignment="1" applyProtection="1">
      <alignment horizontal="center" vertical="center"/>
    </xf>
    <xf numFmtId="0" fontId="29" fillId="3" borderId="40" xfId="6" applyNumberFormat="1" applyFont="1" applyFill="1" applyBorder="1" applyAlignment="1" applyProtection="1">
      <alignment horizontal="center" vertical="center"/>
    </xf>
    <xf numFmtId="0" fontId="29" fillId="3" borderId="41" xfId="6" applyNumberFormat="1" applyFont="1" applyFill="1" applyBorder="1" applyAlignment="1" applyProtection="1">
      <alignment horizontal="center" vertical="center"/>
    </xf>
    <xf numFmtId="0" fontId="29" fillId="3" borderId="37" xfId="6" applyNumberFormat="1" applyFont="1" applyFill="1" applyBorder="1" applyAlignment="1" applyProtection="1">
      <alignment horizontal="center" vertical="center"/>
    </xf>
    <xf numFmtId="0" fontId="29" fillId="3" borderId="43" xfId="6" applyNumberFormat="1" applyFont="1" applyFill="1" applyBorder="1" applyAlignment="1" applyProtection="1">
      <alignment horizontal="center" vertical="center"/>
    </xf>
    <xf numFmtId="167" fontId="29" fillId="3" borderId="37" xfId="6" applyNumberFormat="1" applyFont="1" applyFill="1" applyBorder="1" applyAlignment="1" applyProtection="1">
      <alignment horizontal="center" vertical="center"/>
    </xf>
    <xf numFmtId="167" fontId="29" fillId="3" borderId="43" xfId="6" applyNumberFormat="1" applyFont="1" applyFill="1" applyBorder="1" applyAlignment="1" applyProtection="1">
      <alignment horizontal="center" vertical="center"/>
    </xf>
    <xf numFmtId="166" fontId="29" fillId="0" borderId="37" xfId="6" applyNumberFormat="1" applyFont="1" applyBorder="1" applyAlignment="1" applyProtection="1">
      <alignment horizontal="center" vertical="center"/>
    </xf>
    <xf numFmtId="166" fontId="29" fillId="0" borderId="43" xfId="6" applyNumberFormat="1" applyFont="1" applyBorder="1" applyAlignment="1" applyProtection="1">
      <alignment horizontal="center" vertical="center"/>
    </xf>
    <xf numFmtId="166" fontId="29" fillId="0" borderId="44" xfId="6" applyNumberFormat="1" applyFont="1" applyBorder="1" applyAlignment="1" applyProtection="1">
      <alignment horizontal="center" vertical="center"/>
    </xf>
    <xf numFmtId="166" fontId="29" fillId="0" borderId="45" xfId="6" applyNumberFormat="1" applyFont="1" applyBorder="1" applyAlignment="1" applyProtection="1">
      <alignment horizontal="center" vertical="center"/>
    </xf>
    <xf numFmtId="49" fontId="29" fillId="3" borderId="40" xfId="6" applyNumberFormat="1" applyFont="1" applyFill="1" applyBorder="1" applyAlignment="1" applyProtection="1">
      <alignment horizontal="center" vertical="center"/>
    </xf>
    <xf numFmtId="49" fontId="29" fillId="3" borderId="41" xfId="6" applyNumberFormat="1" applyFont="1" applyFill="1" applyBorder="1" applyAlignment="1" applyProtection="1">
      <alignment horizontal="center" vertical="center"/>
    </xf>
    <xf numFmtId="4" fontId="28" fillId="3" borderId="37" xfId="6" applyNumberFormat="1" applyFont="1" applyFill="1" applyBorder="1" applyAlignment="1" applyProtection="1">
      <alignment horizontal="center" vertical="center"/>
    </xf>
    <xf numFmtId="4" fontId="28" fillId="3" borderId="43" xfId="6" applyNumberFormat="1" applyFont="1" applyFill="1" applyBorder="1" applyAlignment="1" applyProtection="1">
      <alignment horizontal="center" vertical="center"/>
    </xf>
    <xf numFmtId="4" fontId="29" fillId="3" borderId="37" xfId="6" applyNumberFormat="1" applyFont="1" applyFill="1" applyBorder="1" applyAlignment="1" applyProtection="1">
      <alignment horizontal="center" vertical="center"/>
    </xf>
    <xf numFmtId="4" fontId="29" fillId="3" borderId="43" xfId="6" applyNumberFormat="1" applyFont="1" applyFill="1" applyBorder="1" applyAlignment="1" applyProtection="1">
      <alignment horizontal="center" vertical="center"/>
    </xf>
    <xf numFmtId="4" fontId="28" fillId="0" borderId="37" xfId="6" applyNumberFormat="1" applyFont="1" applyBorder="1" applyAlignment="1" applyProtection="1">
      <alignment horizontal="center" vertical="center"/>
    </xf>
    <xf numFmtId="4" fontId="28" fillId="0" borderId="43" xfId="6" applyNumberFormat="1" applyFont="1" applyBorder="1" applyAlignment="1" applyProtection="1">
      <alignment horizontal="center" vertical="center"/>
    </xf>
    <xf numFmtId="3" fontId="28" fillId="0" borderId="37" xfId="6" applyNumberFormat="1" applyFont="1" applyFill="1" applyBorder="1" applyAlignment="1" applyProtection="1">
      <alignment horizontal="center" vertical="center"/>
    </xf>
    <xf numFmtId="3" fontId="28" fillId="0" borderId="43" xfId="6" applyNumberFormat="1" applyFont="1" applyFill="1" applyBorder="1" applyAlignment="1" applyProtection="1">
      <alignment horizontal="center" vertical="center"/>
    </xf>
    <xf numFmtId="3" fontId="32" fillId="0" borderId="37" xfId="6" applyNumberFormat="1" applyFont="1" applyBorder="1" applyAlignment="1" applyProtection="1">
      <alignment horizontal="center" vertical="center"/>
    </xf>
    <xf numFmtId="3" fontId="32" fillId="0" borderId="43" xfId="6" applyNumberFormat="1" applyFont="1" applyBorder="1" applyAlignment="1" applyProtection="1">
      <alignment horizontal="center" vertical="center"/>
    </xf>
    <xf numFmtId="0" fontId="29" fillId="3" borderId="37" xfId="6" applyFont="1" applyFill="1" applyBorder="1" applyAlignment="1" applyProtection="1">
      <alignment horizontal="center" vertical="center"/>
    </xf>
    <xf numFmtId="0" fontId="29" fillId="3" borderId="43" xfId="6" applyFont="1" applyFill="1" applyBorder="1" applyAlignment="1" applyProtection="1">
      <alignment horizontal="center" vertical="center"/>
    </xf>
    <xf numFmtId="167" fontId="29" fillId="0" borderId="37" xfId="6" applyNumberFormat="1" applyFont="1" applyBorder="1" applyAlignment="1" applyProtection="1">
      <alignment horizontal="center" vertical="center"/>
    </xf>
    <xf numFmtId="167" fontId="29" fillId="0" borderId="43" xfId="6" applyNumberFormat="1" applyFont="1" applyBorder="1" applyAlignment="1" applyProtection="1">
      <alignment horizontal="center" vertical="center"/>
    </xf>
    <xf numFmtId="0" fontId="29" fillId="3" borderId="44" xfId="6" applyNumberFormat="1" applyFont="1" applyFill="1" applyBorder="1" applyAlignment="1" applyProtection="1">
      <alignment horizontal="center" vertical="center"/>
    </xf>
    <xf numFmtId="0" fontId="29" fillId="3" borderId="45" xfId="6" applyNumberFormat="1" applyFont="1" applyFill="1" applyBorder="1" applyAlignment="1" applyProtection="1">
      <alignment horizontal="center" vertical="center"/>
    </xf>
    <xf numFmtId="0" fontId="29" fillId="3" borderId="40" xfId="6" applyFont="1" applyFill="1" applyBorder="1" applyAlignment="1" applyProtection="1">
      <alignment horizontal="center" vertical="center"/>
    </xf>
    <xf numFmtId="0" fontId="29" fillId="3" borderId="41" xfId="6" applyFont="1" applyFill="1" applyBorder="1" applyAlignment="1" applyProtection="1">
      <alignment horizontal="center" vertical="center"/>
    </xf>
    <xf numFmtId="0" fontId="29" fillId="0" borderId="37" xfId="6" applyFont="1" applyFill="1" applyBorder="1" applyAlignment="1" applyProtection="1">
      <alignment horizontal="center" vertical="center"/>
    </xf>
    <xf numFmtId="0" fontId="29" fillId="0" borderId="43" xfId="6" applyFont="1" applyFill="1" applyBorder="1" applyAlignment="1" applyProtection="1">
      <alignment horizontal="center" vertical="center"/>
    </xf>
    <xf numFmtId="0" fontId="29" fillId="3" borderId="44" xfId="6" applyFont="1" applyFill="1" applyBorder="1" applyAlignment="1" applyProtection="1">
      <alignment horizontal="center" vertical="center"/>
    </xf>
    <xf numFmtId="0" fontId="29" fillId="3" borderId="45" xfId="6" applyFont="1" applyFill="1" applyBorder="1" applyAlignment="1" applyProtection="1">
      <alignment horizontal="center" vertical="center"/>
    </xf>
    <xf numFmtId="0" fontId="29" fillId="3" borderId="55" xfId="6" applyFont="1" applyFill="1" applyBorder="1" applyAlignment="1" applyProtection="1">
      <alignment horizontal="center" vertical="center"/>
    </xf>
    <xf numFmtId="0" fontId="29" fillId="3" borderId="54" xfId="6" applyFont="1" applyFill="1" applyBorder="1" applyAlignment="1" applyProtection="1">
      <alignment horizontal="center" vertical="center"/>
    </xf>
    <xf numFmtId="0" fontId="29" fillId="3" borderId="14" xfId="6" applyFont="1" applyFill="1" applyBorder="1" applyAlignment="1" applyProtection="1">
      <alignment horizontal="center" vertical="center"/>
    </xf>
    <xf numFmtId="0" fontId="29" fillId="3" borderId="36" xfId="6" applyFont="1" applyFill="1" applyBorder="1" applyAlignment="1" applyProtection="1">
      <alignment horizontal="center" vertical="center"/>
    </xf>
    <xf numFmtId="0" fontId="29" fillId="0" borderId="37" xfId="6" applyFont="1" applyBorder="1" applyAlignment="1" applyProtection="1">
      <alignment horizontal="center" vertical="center"/>
    </xf>
    <xf numFmtId="0" fontId="29" fillId="0" borderId="54" xfId="6" applyFont="1" applyBorder="1" applyAlignment="1" applyProtection="1">
      <alignment horizontal="center" vertical="center"/>
    </xf>
    <xf numFmtId="9" fontId="29" fillId="3" borderId="37" xfId="6" applyNumberFormat="1" applyFont="1" applyFill="1" applyBorder="1" applyAlignment="1" applyProtection="1">
      <alignment horizontal="center" vertical="center"/>
    </xf>
    <xf numFmtId="0" fontId="29" fillId="3" borderId="38" xfId="6" applyFont="1" applyFill="1" applyBorder="1" applyAlignment="1" applyProtection="1">
      <alignment horizontal="center" vertical="center"/>
    </xf>
    <xf numFmtId="0" fontId="29" fillId="3" borderId="50" xfId="6" applyFont="1" applyFill="1" applyBorder="1" applyAlignment="1" applyProtection="1">
      <alignment horizontal="center" vertical="center"/>
    </xf>
    <xf numFmtId="49" fontId="9" fillId="0" borderId="61" xfId="3" applyNumberFormat="1" applyFont="1" applyFill="1" applyBorder="1" applyAlignment="1" applyProtection="1">
      <alignment horizontal="center"/>
    </xf>
    <xf numFmtId="49" fontId="9" fillId="0" borderId="62" xfId="3" applyNumberFormat="1" applyFont="1" applyFill="1" applyBorder="1" applyAlignment="1" applyProtection="1">
      <alignment horizontal="center"/>
    </xf>
    <xf numFmtId="49" fontId="9" fillId="0" borderId="63" xfId="3" applyNumberFormat="1" applyFont="1" applyFill="1" applyBorder="1" applyAlignment="1" applyProtection="1">
      <alignment horizontal="center"/>
    </xf>
    <xf numFmtId="0" fontId="40" fillId="0" borderId="61" xfId="6" applyFont="1" applyBorder="1" applyAlignment="1" applyProtection="1">
      <alignment horizontal="center" vertical="center"/>
    </xf>
    <xf numFmtId="0" fontId="40" fillId="0" borderId="62" xfId="6" applyFont="1" applyBorder="1" applyAlignment="1" applyProtection="1">
      <alignment horizontal="center" vertical="center"/>
    </xf>
    <xf numFmtId="0" fontId="40" fillId="0" borderId="63" xfId="6" applyFont="1" applyBorder="1" applyAlignment="1" applyProtection="1">
      <alignment horizontal="center" vertical="center"/>
    </xf>
    <xf numFmtId="49" fontId="58" fillId="0" borderId="21" xfId="10" applyNumberFormat="1" applyFont="1" applyFill="1" applyBorder="1" applyAlignment="1" applyProtection="1">
      <alignment vertical="center"/>
    </xf>
    <xf numFmtId="49" fontId="55" fillId="0" borderId="21" xfId="10" applyNumberFormat="1" applyFont="1" applyFill="1" applyBorder="1" applyAlignment="1" applyProtection="1">
      <alignment vertical="center"/>
    </xf>
    <xf numFmtId="9" fontId="49" fillId="0" borderId="21" xfId="20" applyFont="1" applyBorder="1" applyAlignment="1">
      <alignment horizontal="center" vertical="center"/>
    </xf>
    <xf numFmtId="175" fontId="66" fillId="0" borderId="21" xfId="13" applyNumberFormat="1" applyFont="1" applyBorder="1" applyAlignment="1">
      <alignment horizontal="center" vertical="center"/>
    </xf>
    <xf numFmtId="0" fontId="69" fillId="0" borderId="0" xfId="0" applyFont="1"/>
    <xf numFmtId="175" fontId="0" fillId="0" borderId="21" xfId="0" applyNumberFormat="1" applyBorder="1"/>
    <xf numFmtId="172" fontId="0" fillId="0" borderId="21" xfId="0" applyNumberFormat="1" applyBorder="1"/>
    <xf numFmtId="49" fontId="55" fillId="4" borderId="21" xfId="10" applyNumberFormat="1" applyFont="1" applyFill="1" applyBorder="1" applyAlignment="1" applyProtection="1">
      <alignment horizontal="center" vertical="center"/>
    </xf>
    <xf numFmtId="49" fontId="57" fillId="4" borderId="21" xfId="3" applyNumberFormat="1" applyFont="1" applyFill="1" applyBorder="1" applyAlignment="1">
      <alignment horizontal="center" vertical="center" wrapText="1"/>
    </xf>
    <xf numFmtId="49" fontId="57" fillId="4" borderId="21" xfId="1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55" fillId="0" borderId="0" xfId="10" applyNumberFormat="1" applyFont="1" applyFill="1" applyBorder="1" applyAlignment="1" applyProtection="1">
      <alignment vertical="center"/>
    </xf>
  </cellXfs>
  <cellStyles count="21">
    <cellStyle name="Comma" xfId="12" builtinId="3"/>
    <cellStyle name="Comma 2" xfId="9"/>
    <cellStyle name="FORM_39-00-PF-M54-00001 Rev 02E, Crude Desalting Package A-1201" xfId="8"/>
    <cellStyle name="Heading 1" xfId="16" builtinId="16"/>
    <cellStyle name="Heading 2" xfId="17" builtinId="17"/>
    <cellStyle name="Heading 3" xfId="18" builtinId="18"/>
    <cellStyle name="Normal" xfId="0" builtinId="0"/>
    <cellStyle name="Normal 2" xfId="1"/>
    <cellStyle name="Normal 2 2" xfId="15"/>
    <cellStyle name="Normal 3" xfId="3"/>
    <cellStyle name="Normal 3 2" xfId="10"/>
    <cellStyle name="Normal 4" xfId="13"/>
    <cellStyle name="Normal 5 2" xfId="11"/>
    <cellStyle name="Normal_API610" xfId="2"/>
    <cellStyle name="Normal_Api610siCentrifugalPump" xfId="5"/>
    <cellStyle name="Normal_BlankShell&amp;TubeExch-Shapkino" xfId="4"/>
    <cellStyle name="Normal_Detail  KERMANSHA R.1" xfId="19"/>
    <cellStyle name="Normal_PressureVesselDS" xfId="6"/>
    <cellStyle name="Normal_PressureVesselDS_Ref Vessel" xfId="7"/>
    <cellStyle name="Output" xfId="14" builtinId="21"/>
    <cellStyle name="Percent" xfId="20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29527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65</xdr:row>
      <xdr:rowOff>0</xdr:rowOff>
    </xdr:from>
    <xdr:to>
      <xdr:col>18</xdr:col>
      <xdr:colOff>114300</xdr:colOff>
      <xdr:row>65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30289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38100</xdr:colOff>
      <xdr:row>65</xdr:row>
      <xdr:rowOff>0</xdr:rowOff>
    </xdr:from>
    <xdr:to>
      <xdr:col>28</xdr:col>
      <xdr:colOff>38100</xdr:colOff>
      <xdr:row>65</xdr:row>
      <xdr:rowOff>0</xdr:rowOff>
    </xdr:to>
    <xdr:sp macro="" textlink="">
      <xdr:nvSpPr>
        <xdr:cNvPr id="6" name="Line 3"/>
        <xdr:cNvSpPr>
          <a:spLocks noChangeShapeType="1"/>
        </xdr:cNvSpPr>
      </xdr:nvSpPr>
      <xdr:spPr bwMode="auto">
        <a:xfrm>
          <a:off x="45720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009650" y="1181100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8" name="Line 5"/>
        <xdr:cNvSpPr>
          <a:spLocks noChangeShapeType="1"/>
        </xdr:cNvSpPr>
      </xdr:nvSpPr>
      <xdr:spPr bwMode="auto">
        <a:xfrm>
          <a:off x="29908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85725</xdr:colOff>
      <xdr:row>65</xdr:row>
      <xdr:rowOff>0</xdr:rowOff>
    </xdr:from>
    <xdr:to>
      <xdr:col>28</xdr:col>
      <xdr:colOff>85725</xdr:colOff>
      <xdr:row>65</xdr:row>
      <xdr:rowOff>0</xdr:rowOff>
    </xdr:to>
    <xdr:sp macro="" textlink="">
      <xdr:nvSpPr>
        <xdr:cNvPr id="9" name="Line 6"/>
        <xdr:cNvSpPr>
          <a:spLocks noChangeShapeType="1"/>
        </xdr:cNvSpPr>
      </xdr:nvSpPr>
      <xdr:spPr bwMode="auto">
        <a:xfrm>
          <a:off x="4619625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10" name="Line 7"/>
        <xdr:cNvSpPr>
          <a:spLocks noChangeShapeType="1"/>
        </xdr:cNvSpPr>
      </xdr:nvSpPr>
      <xdr:spPr bwMode="auto">
        <a:xfrm>
          <a:off x="29908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19050</xdr:colOff>
      <xdr:row>65</xdr:row>
      <xdr:rowOff>0</xdr:rowOff>
    </xdr:from>
    <xdr:to>
      <xdr:col>31</xdr:col>
      <xdr:colOff>76200</xdr:colOff>
      <xdr:row>65</xdr:row>
      <xdr:rowOff>0</xdr:rowOff>
    </xdr:to>
    <xdr:sp macro="" textlink="">
      <xdr:nvSpPr>
        <xdr:cNvPr id="11" name="Text Box 8"/>
        <xdr:cNvSpPr txBox="1">
          <a:spLocks noChangeArrowheads="1"/>
        </xdr:cNvSpPr>
      </xdr:nvSpPr>
      <xdr:spPr bwMode="auto">
        <a:xfrm>
          <a:off x="4714875" y="11811000"/>
          <a:ext cx="381000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PLAN</a:t>
          </a:r>
        </a:p>
      </xdr:txBody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12" name="Line 9"/>
        <xdr:cNvSpPr>
          <a:spLocks noChangeShapeType="1"/>
        </xdr:cNvSpPr>
      </xdr:nvSpPr>
      <xdr:spPr bwMode="auto">
        <a:xfrm>
          <a:off x="1009650" y="1181100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65</xdr:row>
      <xdr:rowOff>0</xdr:rowOff>
    </xdr:from>
    <xdr:to>
      <xdr:col>36</xdr:col>
      <xdr:colOff>733</xdr:colOff>
      <xdr:row>65</xdr:row>
      <xdr:rowOff>0</xdr:rowOff>
    </xdr:to>
    <xdr:sp macro="" textlink="">
      <xdr:nvSpPr>
        <xdr:cNvPr id="13" name="Text Box 10"/>
        <xdr:cNvSpPr txBox="1">
          <a:spLocks noChangeArrowheads="1"/>
        </xdr:cNvSpPr>
      </xdr:nvSpPr>
      <xdr:spPr bwMode="auto">
        <a:xfrm>
          <a:off x="4924425" y="11811000"/>
          <a:ext cx="905608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ELEVATION</a:t>
          </a:r>
        </a:p>
      </xdr:txBody>
    </xdr:sp>
    <xdr:clientData/>
  </xdr:twoCellAnchor>
  <xdr:twoCellAnchor>
    <xdr:from>
      <xdr:col>15</xdr:col>
      <xdr:colOff>9525</xdr:colOff>
      <xdr:row>65</xdr:row>
      <xdr:rowOff>0</xdr:rowOff>
    </xdr:from>
    <xdr:to>
      <xdr:col>15</xdr:col>
      <xdr:colOff>9525</xdr:colOff>
      <xdr:row>65</xdr:row>
      <xdr:rowOff>0</xdr:rowOff>
    </xdr:to>
    <xdr:sp macro="" textlink="">
      <xdr:nvSpPr>
        <xdr:cNvPr id="14" name="Line 11"/>
        <xdr:cNvSpPr>
          <a:spLocks noChangeShapeType="1"/>
        </xdr:cNvSpPr>
      </xdr:nvSpPr>
      <xdr:spPr bwMode="auto">
        <a:xfrm rot="5400000" flipH="1" flipV="1">
          <a:off x="24384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65</xdr:row>
      <xdr:rowOff>0</xdr:rowOff>
    </xdr:from>
    <xdr:to>
      <xdr:col>22</xdr:col>
      <xdr:colOff>0</xdr:colOff>
      <xdr:row>65</xdr:row>
      <xdr:rowOff>0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rot="5400000" flipH="1" flipV="1">
          <a:off x="35623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152400</xdr:colOff>
      <xdr:row>65</xdr:row>
      <xdr:rowOff>0</xdr:rowOff>
    </xdr:from>
    <xdr:to>
      <xdr:col>21</xdr:col>
      <xdr:colOff>152400</xdr:colOff>
      <xdr:row>65</xdr:row>
      <xdr:rowOff>0</xdr:rowOff>
    </xdr:to>
    <xdr:sp macro="" textlink="">
      <xdr:nvSpPr>
        <xdr:cNvPr id="16" name="Line 13"/>
        <xdr:cNvSpPr>
          <a:spLocks noChangeShapeType="1"/>
        </xdr:cNvSpPr>
      </xdr:nvSpPr>
      <xdr:spPr bwMode="auto">
        <a:xfrm rot="10800000" flipV="1">
          <a:off x="3552825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17" name="Line 14"/>
        <xdr:cNvSpPr>
          <a:spLocks noChangeShapeType="1"/>
        </xdr:cNvSpPr>
      </xdr:nvSpPr>
      <xdr:spPr bwMode="auto">
        <a:xfrm rot="16200000" flipV="1">
          <a:off x="29527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65</xdr:row>
      <xdr:rowOff>0</xdr:rowOff>
    </xdr:from>
    <xdr:to>
      <xdr:col>16</xdr:col>
      <xdr:colOff>0</xdr:colOff>
      <xdr:row>65</xdr:row>
      <xdr:rowOff>0</xdr:rowOff>
    </xdr:to>
    <xdr:sp macro="" textlink="">
      <xdr:nvSpPr>
        <xdr:cNvPr id="18" name="Line 15"/>
        <xdr:cNvSpPr>
          <a:spLocks noChangeShapeType="1"/>
        </xdr:cNvSpPr>
      </xdr:nvSpPr>
      <xdr:spPr bwMode="auto">
        <a:xfrm rot="16200000" flipH="1">
          <a:off x="25908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114300</xdr:colOff>
      <xdr:row>65</xdr:row>
      <xdr:rowOff>0</xdr:rowOff>
    </xdr:from>
    <xdr:to>
      <xdr:col>20</xdr:col>
      <xdr:colOff>114300</xdr:colOff>
      <xdr:row>65</xdr:row>
      <xdr:rowOff>0</xdr:rowOff>
    </xdr:to>
    <xdr:sp macro="" textlink="">
      <xdr:nvSpPr>
        <xdr:cNvPr id="19" name="Line 16"/>
        <xdr:cNvSpPr>
          <a:spLocks noChangeShapeType="1"/>
        </xdr:cNvSpPr>
      </xdr:nvSpPr>
      <xdr:spPr bwMode="auto">
        <a:xfrm rot="16200000" flipH="1">
          <a:off x="33528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2133600" y="7477125"/>
          <a:ext cx="1562100" cy="38100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60</xdr:row>
      <xdr:rowOff>19050</xdr:rowOff>
    </xdr:from>
    <xdr:to>
      <xdr:col>22</xdr:col>
      <xdr:colOff>152400</xdr:colOff>
      <xdr:row>63</xdr:row>
      <xdr:rowOff>180975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2095500" y="9646627"/>
          <a:ext cx="1603131" cy="626452"/>
          <a:chOff x="493" y="463"/>
          <a:chExt cx="180" cy="76"/>
        </a:xfrm>
      </xdr:grpSpPr>
      <xdr:sp macro="" textlink="">
        <xdr:nvSpPr>
          <xdr:cNvPr id="6" name="Oval 8"/>
          <xdr:cNvSpPr>
            <a:spLocks noChangeArrowheads="1"/>
          </xdr:cNvSpPr>
        </xdr:nvSpPr>
        <xdr:spPr bwMode="auto">
          <a:xfrm flipV="1">
            <a:off x="497" y="465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Rectangle 9"/>
          <xdr:cNvSpPr>
            <a:spLocks noChangeArrowheads="1"/>
          </xdr:cNvSpPr>
        </xdr:nvSpPr>
        <xdr:spPr bwMode="auto">
          <a:xfrm>
            <a:off x="493" y="463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13</xdr:col>
      <xdr:colOff>0</xdr:colOff>
      <xdr:row>40</xdr:row>
      <xdr:rowOff>0</xdr:rowOff>
    </xdr:from>
    <xdr:to>
      <xdr:col>23</xdr:col>
      <xdr:colOff>0</xdr:colOff>
      <xdr:row>44</xdr:row>
      <xdr:rowOff>123825</xdr:rowOff>
    </xdr:to>
    <xdr:grpSp>
      <xdr:nvGrpSpPr>
        <xdr:cNvPr id="8" name="Group 10"/>
        <xdr:cNvGrpSpPr>
          <a:grpSpLocks/>
        </xdr:cNvGrpSpPr>
      </xdr:nvGrpSpPr>
      <xdr:grpSpPr bwMode="auto">
        <a:xfrm>
          <a:off x="2095500" y="6403731"/>
          <a:ext cx="1611923" cy="768594"/>
          <a:chOff x="496" y="480"/>
          <a:chExt cx="180" cy="77"/>
        </a:xfrm>
      </xdr:grpSpPr>
      <xdr:sp macro="" textlink="">
        <xdr:nvSpPr>
          <xdr:cNvPr id="9" name="Oval 11"/>
          <xdr:cNvSpPr>
            <a:spLocks noChangeArrowheads="1"/>
          </xdr:cNvSpPr>
        </xdr:nvSpPr>
        <xdr:spPr bwMode="auto">
          <a:xfrm flipV="1">
            <a:off x="499" y="480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Rectangle 12"/>
          <xdr:cNvSpPr>
            <a:spLocks noChangeArrowheads="1"/>
          </xdr:cNvSpPr>
        </xdr:nvSpPr>
        <xdr:spPr bwMode="auto">
          <a:xfrm>
            <a:off x="496" y="519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133350</xdr:colOff>
      <xdr:row>59</xdr:row>
      <xdr:rowOff>123825</xdr:rowOff>
    </xdr:from>
    <xdr:to>
      <xdr:col>9</xdr:col>
      <xdr:colOff>28575</xdr:colOff>
      <xdr:row>61</xdr:row>
      <xdr:rowOff>9525</xdr:rowOff>
    </xdr:to>
    <xdr:sp macro="" textlink="">
      <xdr:nvSpPr>
        <xdr:cNvPr id="11" name="Oval 13"/>
        <xdr:cNvSpPr>
          <a:spLocks noChangeArrowheads="1"/>
        </xdr:cNvSpPr>
      </xdr:nvSpPr>
      <xdr:spPr bwMode="auto">
        <a:xfrm>
          <a:off x="1266825" y="10839450"/>
          <a:ext cx="2190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12" name="Rectangle 14"/>
        <xdr:cNvSpPr>
          <a:spLocks noChangeArrowheads="1"/>
        </xdr:cNvSpPr>
      </xdr:nvSpPr>
      <xdr:spPr bwMode="auto">
        <a:xfrm>
          <a:off x="2133600" y="7477125"/>
          <a:ext cx="1562100" cy="38100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95250</xdr:colOff>
      <xdr:row>57</xdr:row>
      <xdr:rowOff>38100</xdr:rowOff>
    </xdr:from>
    <xdr:to>
      <xdr:col>26</xdr:col>
      <xdr:colOff>104775</xdr:colOff>
      <xdr:row>60</xdr:row>
      <xdr:rowOff>161925</xdr:rowOff>
    </xdr:to>
    <xdr:grpSp>
      <xdr:nvGrpSpPr>
        <xdr:cNvPr id="13" name="Group 15"/>
        <xdr:cNvGrpSpPr>
          <a:grpSpLocks/>
        </xdr:cNvGrpSpPr>
      </xdr:nvGrpSpPr>
      <xdr:grpSpPr bwMode="auto">
        <a:xfrm>
          <a:off x="3319096" y="9182100"/>
          <a:ext cx="976679" cy="607402"/>
          <a:chOff x="560" y="776"/>
          <a:chExt cx="109" cy="44"/>
        </a:xfrm>
      </xdr:grpSpPr>
      <xdr:sp macro="" textlink="">
        <xdr:nvSpPr>
          <xdr:cNvPr id="14" name="Rectangle 16"/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17"/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18"/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Line 19"/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117258</xdr:colOff>
      <xdr:row>66</xdr:row>
      <xdr:rowOff>112102</xdr:rowOff>
    </xdr:from>
    <xdr:to>
      <xdr:col>18</xdr:col>
      <xdr:colOff>101798</xdr:colOff>
      <xdr:row>68</xdr:row>
      <xdr:rowOff>93052</xdr:rowOff>
    </xdr:to>
    <xdr:grpSp>
      <xdr:nvGrpSpPr>
        <xdr:cNvPr id="18" name="Group 20"/>
        <xdr:cNvGrpSpPr>
          <a:grpSpLocks/>
        </xdr:cNvGrpSpPr>
      </xdr:nvGrpSpPr>
      <xdr:grpSpPr bwMode="auto">
        <a:xfrm>
          <a:off x="2857527" y="10706833"/>
          <a:ext cx="145733" cy="303334"/>
          <a:chOff x="903" y="909"/>
          <a:chExt cx="17" cy="38"/>
        </a:xfrm>
      </xdr:grpSpPr>
      <xdr:sp macro="" textlink="">
        <xdr:nvSpPr>
          <xdr:cNvPr id="19" name="Line 21"/>
          <xdr:cNvSpPr>
            <a:spLocks noChangeShapeType="1"/>
          </xdr:cNvSpPr>
        </xdr:nvSpPr>
        <xdr:spPr bwMode="auto">
          <a:xfrm>
            <a:off x="920" y="909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stealth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Text Box 22"/>
          <xdr:cNvSpPr txBox="1">
            <a:spLocks noChangeArrowheads="1"/>
          </xdr:cNvSpPr>
        </xdr:nvSpPr>
        <xdr:spPr bwMode="auto">
          <a:xfrm>
            <a:off x="903" y="930"/>
            <a:ext cx="16" cy="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="vert270" wrap="none" lIns="18288" tIns="22860" rIns="0" bIns="0" anchor="t" upright="1">
            <a:spAutoFit/>
          </a:bodyPr>
          <a:lstStyle/>
          <a:p>
            <a:pPr algn="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twoCellAnchor>
  <xdr:twoCellAnchor>
    <xdr:from>
      <xdr:col>13</xdr:col>
      <xdr:colOff>28575</xdr:colOff>
      <xdr:row>23</xdr:row>
      <xdr:rowOff>28575</xdr:rowOff>
    </xdr:from>
    <xdr:to>
      <xdr:col>25</xdr:col>
      <xdr:colOff>85725</xdr:colOff>
      <xdr:row>33</xdr:row>
      <xdr:rowOff>0</xdr:rowOff>
    </xdr:to>
    <xdr:grpSp>
      <xdr:nvGrpSpPr>
        <xdr:cNvPr id="21" name="Group 23"/>
        <xdr:cNvGrpSpPr>
          <a:grpSpLocks/>
        </xdr:cNvGrpSpPr>
      </xdr:nvGrpSpPr>
      <xdr:grpSpPr bwMode="auto">
        <a:xfrm>
          <a:off x="2124075" y="3692037"/>
          <a:ext cx="1991458" cy="1583348"/>
          <a:chOff x="255" y="251"/>
          <a:chExt cx="223" cy="187"/>
        </a:xfrm>
      </xdr:grpSpPr>
      <xdr:grpSp>
        <xdr:nvGrpSpPr>
          <xdr:cNvPr id="22" name="Group 24"/>
          <xdr:cNvGrpSpPr>
            <a:grpSpLocks/>
          </xdr:cNvGrpSpPr>
        </xdr:nvGrpSpPr>
        <xdr:grpSpPr bwMode="auto">
          <a:xfrm>
            <a:off x="396" y="265"/>
            <a:ext cx="82" cy="160"/>
            <a:chOff x="974" y="235"/>
            <a:chExt cx="82" cy="160"/>
          </a:xfrm>
        </xdr:grpSpPr>
        <xdr:sp macro="" textlink="">
          <xdr:nvSpPr>
            <xdr:cNvPr id="24" name="Rectangle 25"/>
            <xdr:cNvSpPr>
              <a:spLocks noChangeArrowheads="1"/>
            </xdr:cNvSpPr>
          </xdr:nvSpPr>
          <xdr:spPr bwMode="auto">
            <a:xfrm>
              <a:off x="974" y="248"/>
              <a:ext cx="78" cy="1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5" name="Rectangle 26"/>
            <xdr:cNvSpPr>
              <a:spLocks noChangeArrowheads="1"/>
            </xdr:cNvSpPr>
          </xdr:nvSpPr>
          <xdr:spPr bwMode="auto">
            <a:xfrm>
              <a:off x="1050" y="235"/>
              <a:ext cx="6" cy="16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23" name="Oval 27"/>
          <xdr:cNvSpPr>
            <a:spLocks noChangeArrowheads="1"/>
          </xdr:cNvSpPr>
        </xdr:nvSpPr>
        <xdr:spPr bwMode="auto">
          <a:xfrm flipV="1">
            <a:off x="255" y="251"/>
            <a:ext cx="174" cy="187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66675</xdr:colOff>
      <xdr:row>28</xdr:row>
      <xdr:rowOff>28575</xdr:rowOff>
    </xdr:from>
    <xdr:to>
      <xdr:col>22</xdr:col>
      <xdr:colOff>95250</xdr:colOff>
      <xdr:row>28</xdr:row>
      <xdr:rowOff>38100</xdr:rowOff>
    </xdr:to>
    <xdr:sp macro="" textlink="">
      <xdr:nvSpPr>
        <xdr:cNvPr id="26" name="Line 28"/>
        <xdr:cNvSpPr>
          <a:spLocks noChangeShapeType="1"/>
        </xdr:cNvSpPr>
      </xdr:nvSpPr>
      <xdr:spPr bwMode="auto">
        <a:xfrm>
          <a:off x="2009775" y="4838700"/>
          <a:ext cx="1647825" cy="952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23</xdr:row>
      <xdr:rowOff>38100</xdr:rowOff>
    </xdr:from>
    <xdr:to>
      <xdr:col>18</xdr:col>
      <xdr:colOff>95250</xdr:colOff>
      <xdr:row>33</xdr:row>
      <xdr:rowOff>123825</xdr:rowOff>
    </xdr:to>
    <xdr:sp macro="" textlink="">
      <xdr:nvSpPr>
        <xdr:cNvPr id="27" name="Line 29"/>
        <xdr:cNvSpPr>
          <a:spLocks noChangeShapeType="1"/>
        </xdr:cNvSpPr>
      </xdr:nvSpPr>
      <xdr:spPr bwMode="auto">
        <a:xfrm>
          <a:off x="3009900" y="3895725"/>
          <a:ext cx="0" cy="199072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42</xdr:row>
      <xdr:rowOff>0</xdr:rowOff>
    </xdr:from>
    <xdr:to>
      <xdr:col>12</xdr:col>
      <xdr:colOff>161925</xdr:colOff>
      <xdr:row>42</xdr:row>
      <xdr:rowOff>0</xdr:rowOff>
    </xdr:to>
    <xdr:sp macro="" textlink="">
      <xdr:nvSpPr>
        <xdr:cNvPr id="28" name="Line 30"/>
        <xdr:cNvSpPr>
          <a:spLocks noChangeShapeType="1"/>
        </xdr:cNvSpPr>
      </xdr:nvSpPr>
      <xdr:spPr bwMode="auto">
        <a:xfrm flipH="1">
          <a:off x="866775" y="7477125"/>
          <a:ext cx="1238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95250</xdr:colOff>
      <xdr:row>44</xdr:row>
      <xdr:rowOff>133350</xdr:rowOff>
    </xdr:from>
    <xdr:to>
      <xdr:col>26</xdr:col>
      <xdr:colOff>104775</xdr:colOff>
      <xdr:row>47</xdr:row>
      <xdr:rowOff>171450</xdr:rowOff>
    </xdr:to>
    <xdr:grpSp>
      <xdr:nvGrpSpPr>
        <xdr:cNvPr id="29" name="Group 31"/>
        <xdr:cNvGrpSpPr>
          <a:grpSpLocks/>
        </xdr:cNvGrpSpPr>
      </xdr:nvGrpSpPr>
      <xdr:grpSpPr bwMode="auto">
        <a:xfrm>
          <a:off x="3319096" y="7181850"/>
          <a:ext cx="976679" cy="512152"/>
          <a:chOff x="560" y="776"/>
          <a:chExt cx="109" cy="44"/>
        </a:xfrm>
      </xdr:grpSpPr>
      <xdr:sp macro="" textlink="">
        <xdr:nvSpPr>
          <xdr:cNvPr id="30" name="Rectangle 32"/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1" name="Rectangle 33"/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2" name="Rectangle 34"/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" name="Line 35"/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61</xdr:row>
      <xdr:rowOff>190500</xdr:rowOff>
    </xdr:from>
    <xdr:to>
      <xdr:col>13</xdr:col>
      <xdr:colOff>57150</xdr:colOff>
      <xdr:row>61</xdr:row>
      <xdr:rowOff>190500</xdr:rowOff>
    </xdr:to>
    <xdr:sp macro="" textlink="">
      <xdr:nvSpPr>
        <xdr:cNvPr id="34" name="Line 36"/>
        <xdr:cNvSpPr>
          <a:spLocks noChangeShapeType="1"/>
        </xdr:cNvSpPr>
      </xdr:nvSpPr>
      <xdr:spPr bwMode="auto">
        <a:xfrm flipH="1">
          <a:off x="809625" y="11287125"/>
          <a:ext cx="1352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27</xdr:row>
      <xdr:rowOff>142875</xdr:rowOff>
    </xdr:from>
    <xdr:to>
      <xdr:col>23</xdr:col>
      <xdr:colOff>76200</xdr:colOff>
      <xdr:row>28</xdr:row>
      <xdr:rowOff>142875</xdr:rowOff>
    </xdr:to>
    <xdr:grpSp>
      <xdr:nvGrpSpPr>
        <xdr:cNvPr id="35" name="Group 37"/>
        <xdr:cNvGrpSpPr>
          <a:grpSpLocks/>
        </xdr:cNvGrpSpPr>
      </xdr:nvGrpSpPr>
      <xdr:grpSpPr bwMode="auto">
        <a:xfrm rot="5400000">
          <a:off x="3631956" y="4460631"/>
          <a:ext cx="161192" cy="142142"/>
          <a:chOff x="910" y="469"/>
          <a:chExt cx="20" cy="16"/>
        </a:xfrm>
      </xdr:grpSpPr>
      <xdr:sp macro="" textlink="">
        <xdr:nvSpPr>
          <xdr:cNvPr id="36" name="Line 38"/>
          <xdr:cNvSpPr>
            <a:spLocks noChangeShapeType="1"/>
          </xdr:cNvSpPr>
        </xdr:nvSpPr>
        <xdr:spPr bwMode="auto">
          <a:xfrm flipV="1">
            <a:off x="920" y="469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/>
          <xdr:cNvSpPr>
            <a:spLocks noChangeShapeType="1"/>
          </xdr:cNvSpPr>
        </xdr:nvSpPr>
        <xdr:spPr bwMode="auto">
          <a:xfrm>
            <a:off x="910" y="469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26</xdr:col>
      <xdr:colOff>114300</xdr:colOff>
      <xdr:row>25</xdr:row>
      <xdr:rowOff>161925</xdr:rowOff>
    </xdr:from>
    <xdr:ext cx="121700" cy="900183"/>
    <xdr:sp macro="" textlink="">
      <xdr:nvSpPr>
        <xdr:cNvPr id="38" name="Text Box 40"/>
        <xdr:cNvSpPr txBox="1">
          <a:spLocks noChangeArrowheads="1"/>
        </xdr:cNvSpPr>
      </xdr:nvSpPr>
      <xdr:spPr bwMode="auto">
        <a:xfrm>
          <a:off x="4324350" y="4400550"/>
          <a:ext cx="121700" cy="900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VIEW ON ARROW 'A'</a:t>
          </a:r>
        </a:p>
      </xdr:txBody>
    </xdr:sp>
    <xdr:clientData/>
  </xdr:oneCellAnchor>
  <xdr:twoCellAnchor>
    <xdr:from>
      <xdr:col>23</xdr:col>
      <xdr:colOff>114300</xdr:colOff>
      <xdr:row>28</xdr:row>
      <xdr:rowOff>38100</xdr:rowOff>
    </xdr:from>
    <xdr:to>
      <xdr:col>24</xdr:col>
      <xdr:colOff>85725</xdr:colOff>
      <xdr:row>28</xdr:row>
      <xdr:rowOff>38100</xdr:rowOff>
    </xdr:to>
    <xdr:sp macro="" textlink="">
      <xdr:nvSpPr>
        <xdr:cNvPr id="39" name="Line 41"/>
        <xdr:cNvSpPr>
          <a:spLocks noChangeShapeType="1"/>
        </xdr:cNvSpPr>
      </xdr:nvSpPr>
      <xdr:spPr bwMode="auto">
        <a:xfrm>
          <a:off x="3838575" y="484822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85725</xdr:colOff>
      <xdr:row>22</xdr:row>
      <xdr:rowOff>76200</xdr:rowOff>
    </xdr:from>
    <xdr:to>
      <xdr:col>24</xdr:col>
      <xdr:colOff>85725</xdr:colOff>
      <xdr:row>28</xdr:row>
      <xdr:rowOff>28575</xdr:rowOff>
    </xdr:to>
    <xdr:sp macro="" textlink="">
      <xdr:nvSpPr>
        <xdr:cNvPr id="40" name="Line 42"/>
        <xdr:cNvSpPr>
          <a:spLocks noChangeShapeType="1"/>
        </xdr:cNvSpPr>
      </xdr:nvSpPr>
      <xdr:spPr bwMode="auto">
        <a:xfrm flipV="1">
          <a:off x="3971925" y="3743325"/>
          <a:ext cx="0" cy="10953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55</xdr:row>
      <xdr:rowOff>142875</xdr:rowOff>
    </xdr:from>
    <xdr:to>
      <xdr:col>13</xdr:col>
      <xdr:colOff>57150</xdr:colOff>
      <xdr:row>57</xdr:row>
      <xdr:rowOff>95250</xdr:rowOff>
    </xdr:to>
    <xdr:sp macro="" textlink="">
      <xdr:nvSpPr>
        <xdr:cNvPr id="41" name="Line 43"/>
        <xdr:cNvSpPr>
          <a:spLocks noChangeShapeType="1"/>
        </xdr:cNvSpPr>
      </xdr:nvSpPr>
      <xdr:spPr bwMode="auto">
        <a:xfrm>
          <a:off x="2162175" y="10096500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55</xdr:row>
      <xdr:rowOff>76200</xdr:rowOff>
    </xdr:from>
    <xdr:to>
      <xdr:col>22</xdr:col>
      <xdr:colOff>85725</xdr:colOff>
      <xdr:row>57</xdr:row>
      <xdr:rowOff>28575</xdr:rowOff>
    </xdr:to>
    <xdr:sp macro="" textlink="">
      <xdr:nvSpPr>
        <xdr:cNvPr id="42" name="Line 44"/>
        <xdr:cNvSpPr>
          <a:spLocks noChangeShapeType="1"/>
        </xdr:cNvSpPr>
      </xdr:nvSpPr>
      <xdr:spPr bwMode="auto">
        <a:xfrm>
          <a:off x="3648075" y="10029825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56</xdr:row>
      <xdr:rowOff>114300</xdr:rowOff>
    </xdr:from>
    <xdr:to>
      <xdr:col>22</xdr:col>
      <xdr:colOff>76200</xdr:colOff>
      <xdr:row>56</xdr:row>
      <xdr:rowOff>114300</xdr:rowOff>
    </xdr:to>
    <xdr:sp macro="" textlink="">
      <xdr:nvSpPr>
        <xdr:cNvPr id="43" name="Line 45"/>
        <xdr:cNvSpPr>
          <a:spLocks noChangeShapeType="1"/>
        </xdr:cNvSpPr>
      </xdr:nvSpPr>
      <xdr:spPr bwMode="auto">
        <a:xfrm>
          <a:off x="2162175" y="10258425"/>
          <a:ext cx="14763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42</xdr:row>
      <xdr:rowOff>0</xdr:rowOff>
    </xdr:from>
    <xdr:to>
      <xdr:col>5</xdr:col>
      <xdr:colOff>114300</xdr:colOff>
      <xdr:row>61</xdr:row>
      <xdr:rowOff>190500</xdr:rowOff>
    </xdr:to>
    <xdr:sp macro="" textlink="">
      <xdr:nvSpPr>
        <xdr:cNvPr id="44" name="Line 46"/>
        <xdr:cNvSpPr>
          <a:spLocks noChangeShapeType="1"/>
        </xdr:cNvSpPr>
      </xdr:nvSpPr>
      <xdr:spPr bwMode="auto">
        <a:xfrm>
          <a:off x="923925" y="7477125"/>
          <a:ext cx="0" cy="38100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28</xdr:row>
      <xdr:rowOff>28575</xdr:rowOff>
    </xdr:from>
    <xdr:to>
      <xdr:col>12</xdr:col>
      <xdr:colOff>19050</xdr:colOff>
      <xdr:row>28</xdr:row>
      <xdr:rowOff>28575</xdr:rowOff>
    </xdr:to>
    <xdr:sp macro="" textlink="">
      <xdr:nvSpPr>
        <xdr:cNvPr id="45" name="Line 47"/>
        <xdr:cNvSpPr>
          <a:spLocks noChangeShapeType="1"/>
        </xdr:cNvSpPr>
      </xdr:nvSpPr>
      <xdr:spPr bwMode="auto">
        <a:xfrm flipH="1">
          <a:off x="1495425" y="48387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39</xdr:row>
      <xdr:rowOff>38100</xdr:rowOff>
    </xdr:from>
    <xdr:to>
      <xdr:col>18</xdr:col>
      <xdr:colOff>104775</xdr:colOff>
      <xdr:row>65</xdr:row>
      <xdr:rowOff>180975</xdr:rowOff>
    </xdr:to>
    <xdr:sp macro="" textlink="">
      <xdr:nvSpPr>
        <xdr:cNvPr id="46" name="Line 48"/>
        <xdr:cNvSpPr>
          <a:spLocks noChangeShapeType="1"/>
        </xdr:cNvSpPr>
      </xdr:nvSpPr>
      <xdr:spPr bwMode="auto">
        <a:xfrm flipH="1">
          <a:off x="3009900" y="6943725"/>
          <a:ext cx="9525" cy="50958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59</xdr:row>
      <xdr:rowOff>9525</xdr:rowOff>
    </xdr:from>
    <xdr:to>
      <xdr:col>25</xdr:col>
      <xdr:colOff>66675</xdr:colOff>
      <xdr:row>68</xdr:row>
      <xdr:rowOff>9525</xdr:rowOff>
    </xdr:to>
    <xdr:sp macro="" textlink="">
      <xdr:nvSpPr>
        <xdr:cNvPr id="47" name="Line 49"/>
        <xdr:cNvSpPr>
          <a:spLocks noChangeShapeType="1"/>
        </xdr:cNvSpPr>
      </xdr:nvSpPr>
      <xdr:spPr bwMode="auto">
        <a:xfrm>
          <a:off x="4114800" y="10725150"/>
          <a:ext cx="0" cy="1714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67</xdr:row>
      <xdr:rowOff>123825</xdr:rowOff>
    </xdr:from>
    <xdr:to>
      <xdr:col>25</xdr:col>
      <xdr:colOff>85725</xdr:colOff>
      <xdr:row>67</xdr:row>
      <xdr:rowOff>123825</xdr:rowOff>
    </xdr:to>
    <xdr:sp macro="" textlink="">
      <xdr:nvSpPr>
        <xdr:cNvPr id="48" name="Line 50"/>
        <xdr:cNvSpPr>
          <a:spLocks noChangeShapeType="1"/>
        </xdr:cNvSpPr>
      </xdr:nvSpPr>
      <xdr:spPr bwMode="auto">
        <a:xfrm>
          <a:off x="2990850" y="12363450"/>
          <a:ext cx="114300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152400</xdr:colOff>
      <xdr:row>42</xdr:row>
      <xdr:rowOff>0</xdr:rowOff>
    </xdr:from>
    <xdr:to>
      <xdr:col>30</xdr:col>
      <xdr:colOff>0</xdr:colOff>
      <xdr:row>42</xdr:row>
      <xdr:rowOff>0</xdr:rowOff>
    </xdr:to>
    <xdr:sp macro="" textlink="">
      <xdr:nvSpPr>
        <xdr:cNvPr id="49" name="Line 51"/>
        <xdr:cNvSpPr>
          <a:spLocks noChangeShapeType="1"/>
        </xdr:cNvSpPr>
      </xdr:nvSpPr>
      <xdr:spPr bwMode="auto">
        <a:xfrm>
          <a:off x="3714750" y="7477125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46</xdr:row>
      <xdr:rowOff>76200</xdr:rowOff>
    </xdr:from>
    <xdr:to>
      <xdr:col>30</xdr:col>
      <xdr:colOff>0</xdr:colOff>
      <xdr:row>46</xdr:row>
      <xdr:rowOff>76200</xdr:rowOff>
    </xdr:to>
    <xdr:sp macro="" textlink="">
      <xdr:nvSpPr>
        <xdr:cNvPr id="50" name="Line 52"/>
        <xdr:cNvSpPr>
          <a:spLocks noChangeShapeType="1"/>
        </xdr:cNvSpPr>
      </xdr:nvSpPr>
      <xdr:spPr bwMode="auto">
        <a:xfrm>
          <a:off x="4343400" y="8315325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59</xdr:row>
      <xdr:rowOff>19050</xdr:rowOff>
    </xdr:from>
    <xdr:to>
      <xdr:col>30</xdr:col>
      <xdr:colOff>0</xdr:colOff>
      <xdr:row>59</xdr:row>
      <xdr:rowOff>19050</xdr:rowOff>
    </xdr:to>
    <xdr:sp macro="" textlink="">
      <xdr:nvSpPr>
        <xdr:cNvPr id="51" name="Line 53"/>
        <xdr:cNvSpPr>
          <a:spLocks noChangeShapeType="1"/>
        </xdr:cNvSpPr>
      </xdr:nvSpPr>
      <xdr:spPr bwMode="auto">
        <a:xfrm>
          <a:off x="4343400" y="10734675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95250</xdr:colOff>
      <xdr:row>46</xdr:row>
      <xdr:rowOff>76200</xdr:rowOff>
    </xdr:from>
    <xdr:to>
      <xdr:col>29</xdr:col>
      <xdr:colOff>95250</xdr:colOff>
      <xdr:row>59</xdr:row>
      <xdr:rowOff>28575</xdr:rowOff>
    </xdr:to>
    <xdr:sp macro="" textlink="">
      <xdr:nvSpPr>
        <xdr:cNvPr id="52" name="Line 54"/>
        <xdr:cNvSpPr>
          <a:spLocks noChangeShapeType="1"/>
        </xdr:cNvSpPr>
      </xdr:nvSpPr>
      <xdr:spPr bwMode="auto">
        <a:xfrm flipV="1">
          <a:off x="4791075" y="8315325"/>
          <a:ext cx="0" cy="2428875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104775</xdr:colOff>
      <xdr:row>41</xdr:row>
      <xdr:rowOff>190500</xdr:rowOff>
    </xdr:from>
    <xdr:to>
      <xdr:col>29</xdr:col>
      <xdr:colOff>114300</xdr:colOff>
      <xdr:row>46</xdr:row>
      <xdr:rowOff>76200</xdr:rowOff>
    </xdr:to>
    <xdr:sp macro="" textlink="">
      <xdr:nvSpPr>
        <xdr:cNvPr id="53" name="Line 55"/>
        <xdr:cNvSpPr>
          <a:spLocks noChangeShapeType="1"/>
        </xdr:cNvSpPr>
      </xdr:nvSpPr>
      <xdr:spPr bwMode="auto">
        <a:xfrm flipV="1">
          <a:off x="4800600" y="7477125"/>
          <a:ext cx="9525" cy="8382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34</xdr:col>
      <xdr:colOff>0</xdr:colOff>
      <xdr:row>43</xdr:row>
      <xdr:rowOff>123825</xdr:rowOff>
    </xdr:from>
    <xdr:to>
      <xdr:col>34</xdr:col>
      <xdr:colOff>57150</xdr:colOff>
      <xdr:row>44</xdr:row>
      <xdr:rowOff>133350</xdr:rowOff>
    </xdr:to>
    <xdr:sp macro="" textlink="">
      <xdr:nvSpPr>
        <xdr:cNvPr id="54" name="Text Box 56"/>
        <xdr:cNvSpPr txBox="1">
          <a:spLocks noChangeArrowheads="1"/>
        </xdr:cNvSpPr>
      </xdr:nvSpPr>
      <xdr:spPr bwMode="auto">
        <a:xfrm>
          <a:off x="5505450" y="7791450"/>
          <a:ext cx="571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114300</xdr:colOff>
      <xdr:row>64</xdr:row>
      <xdr:rowOff>0</xdr:rowOff>
    </xdr:from>
    <xdr:to>
      <xdr:col>19</xdr:col>
      <xdr:colOff>9525</xdr:colOff>
      <xdr:row>65</xdr:row>
      <xdr:rowOff>0</xdr:rowOff>
    </xdr:to>
    <xdr:grpSp>
      <xdr:nvGrpSpPr>
        <xdr:cNvPr id="55" name="Group 57"/>
        <xdr:cNvGrpSpPr>
          <a:grpSpLocks/>
        </xdr:cNvGrpSpPr>
      </xdr:nvGrpSpPr>
      <xdr:grpSpPr bwMode="auto">
        <a:xfrm rot="5400000">
          <a:off x="2882778" y="10244137"/>
          <a:ext cx="161192" cy="217610"/>
          <a:chOff x="429" y="839"/>
          <a:chExt cx="19" cy="32"/>
        </a:xfrm>
      </xdr:grpSpPr>
      <xdr:sp macro="" textlink="">
        <xdr:nvSpPr>
          <xdr:cNvPr id="56" name="Line 58"/>
          <xdr:cNvSpPr>
            <a:spLocks noChangeShapeType="1"/>
          </xdr:cNvSpPr>
        </xdr:nvSpPr>
        <xdr:spPr bwMode="auto">
          <a:xfrm rot="5400000" flipV="1">
            <a:off x="437" y="83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9"/>
          <xdr:cNvSpPr>
            <a:spLocks noChangeShapeType="1"/>
          </xdr:cNvSpPr>
        </xdr:nvSpPr>
        <xdr:spPr bwMode="auto">
          <a:xfrm rot="5400000">
            <a:off x="429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60"/>
          <xdr:cNvSpPr>
            <a:spLocks noChangeShapeType="1"/>
          </xdr:cNvSpPr>
        </xdr:nvSpPr>
        <xdr:spPr bwMode="auto">
          <a:xfrm rot="5400000" flipV="1">
            <a:off x="437" y="858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61"/>
          <xdr:cNvSpPr>
            <a:spLocks noChangeShapeType="1"/>
          </xdr:cNvSpPr>
        </xdr:nvSpPr>
        <xdr:spPr bwMode="auto">
          <a:xfrm rot="5400000">
            <a:off x="432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57</xdr:row>
      <xdr:rowOff>142875</xdr:rowOff>
    </xdr:from>
    <xdr:to>
      <xdr:col>13</xdr:col>
      <xdr:colOff>9525</xdr:colOff>
      <xdr:row>59</xdr:row>
      <xdr:rowOff>9525</xdr:rowOff>
    </xdr:to>
    <xdr:grpSp>
      <xdr:nvGrpSpPr>
        <xdr:cNvPr id="60" name="Group 62"/>
        <xdr:cNvGrpSpPr>
          <a:grpSpLocks/>
        </xdr:cNvGrpSpPr>
      </xdr:nvGrpSpPr>
      <xdr:grpSpPr bwMode="auto">
        <a:xfrm rot="10800000">
          <a:off x="1962883" y="9286875"/>
          <a:ext cx="142142" cy="189035"/>
          <a:chOff x="1007" y="715"/>
          <a:chExt cx="16" cy="20"/>
        </a:xfrm>
      </xdr:grpSpPr>
      <xdr:sp macro="" textlink="">
        <xdr:nvSpPr>
          <xdr:cNvPr id="61" name="Line 63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64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59</xdr:row>
      <xdr:rowOff>152400</xdr:rowOff>
    </xdr:from>
    <xdr:to>
      <xdr:col>13</xdr:col>
      <xdr:colOff>9525</xdr:colOff>
      <xdr:row>61</xdr:row>
      <xdr:rowOff>0</xdr:rowOff>
    </xdr:to>
    <xdr:grpSp>
      <xdr:nvGrpSpPr>
        <xdr:cNvPr id="63" name="Group 65"/>
        <xdr:cNvGrpSpPr>
          <a:grpSpLocks/>
        </xdr:cNvGrpSpPr>
      </xdr:nvGrpSpPr>
      <xdr:grpSpPr bwMode="auto">
        <a:xfrm rot="10800000">
          <a:off x="1962883" y="9618785"/>
          <a:ext cx="142142" cy="169984"/>
          <a:chOff x="1007" y="715"/>
          <a:chExt cx="16" cy="20"/>
        </a:xfrm>
      </xdr:grpSpPr>
      <xdr:sp macro="" textlink="">
        <xdr:nvSpPr>
          <xdr:cNvPr id="64" name="Line 66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67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19050</xdr:colOff>
      <xdr:row>60</xdr:row>
      <xdr:rowOff>85725</xdr:rowOff>
    </xdr:from>
    <xdr:to>
      <xdr:col>11</xdr:col>
      <xdr:colOff>161925</xdr:colOff>
      <xdr:row>60</xdr:row>
      <xdr:rowOff>85725</xdr:rowOff>
    </xdr:to>
    <xdr:sp macro="" textlink="">
      <xdr:nvSpPr>
        <xdr:cNvPr id="66" name="Line 68"/>
        <xdr:cNvSpPr>
          <a:spLocks noChangeShapeType="1"/>
        </xdr:cNvSpPr>
      </xdr:nvSpPr>
      <xdr:spPr bwMode="auto">
        <a:xfrm flipH="1">
          <a:off x="1476375" y="1099185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142875</xdr:rowOff>
    </xdr:from>
    <xdr:to>
      <xdr:col>9</xdr:col>
      <xdr:colOff>9525</xdr:colOff>
      <xdr:row>61</xdr:row>
      <xdr:rowOff>38100</xdr:rowOff>
    </xdr:to>
    <xdr:sp macro="" textlink="">
      <xdr:nvSpPr>
        <xdr:cNvPr id="67" name="Text Box 69"/>
        <xdr:cNvSpPr txBox="1">
          <a:spLocks noChangeArrowheads="1"/>
        </xdr:cNvSpPr>
      </xdr:nvSpPr>
      <xdr:spPr bwMode="auto">
        <a:xfrm>
          <a:off x="1295400" y="10858500"/>
          <a:ext cx="171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N9B</a:t>
          </a:r>
        </a:p>
      </xdr:txBody>
    </xdr:sp>
    <xdr:clientData/>
  </xdr:twoCellAnchor>
  <xdr:twoCellAnchor>
    <xdr:from>
      <xdr:col>28</xdr:col>
      <xdr:colOff>142875</xdr:colOff>
      <xdr:row>43</xdr:row>
      <xdr:rowOff>161925</xdr:rowOff>
    </xdr:from>
    <xdr:to>
      <xdr:col>29</xdr:col>
      <xdr:colOff>123825</xdr:colOff>
      <xdr:row>44</xdr:row>
      <xdr:rowOff>133350</xdr:rowOff>
    </xdr:to>
    <xdr:sp macro="" textlink="">
      <xdr:nvSpPr>
        <xdr:cNvPr id="68" name="Text Box 70"/>
        <xdr:cNvSpPr txBox="1">
          <a:spLocks noChangeArrowheads="1"/>
        </xdr:cNvSpPr>
      </xdr:nvSpPr>
      <xdr:spPr bwMode="auto">
        <a:xfrm>
          <a:off x="4676775" y="7829550"/>
          <a:ext cx="1428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21</xdr:col>
      <xdr:colOff>0</xdr:colOff>
      <xdr:row>66</xdr:row>
      <xdr:rowOff>180975</xdr:rowOff>
    </xdr:from>
    <xdr:to>
      <xdr:col>21</xdr:col>
      <xdr:colOff>161925</xdr:colOff>
      <xdr:row>67</xdr:row>
      <xdr:rowOff>152400</xdr:rowOff>
    </xdr:to>
    <xdr:sp macro="" textlink="">
      <xdr:nvSpPr>
        <xdr:cNvPr id="69" name="Text Box 71"/>
        <xdr:cNvSpPr txBox="1">
          <a:spLocks noChangeArrowheads="1"/>
        </xdr:cNvSpPr>
      </xdr:nvSpPr>
      <xdr:spPr bwMode="auto">
        <a:xfrm>
          <a:off x="3400425" y="12230100"/>
          <a:ext cx="1619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0" name="Text Box 72"/>
        <xdr:cNvSpPr txBox="1">
          <a:spLocks noChangeArrowheads="1"/>
        </xdr:cNvSpPr>
      </xdr:nvSpPr>
      <xdr:spPr bwMode="auto">
        <a:xfrm>
          <a:off x="4676775" y="9382125"/>
          <a:ext cx="1524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26</xdr:col>
      <xdr:colOff>104775</xdr:colOff>
      <xdr:row>51</xdr:row>
      <xdr:rowOff>0</xdr:rowOff>
    </xdr:from>
    <xdr:to>
      <xdr:col>28</xdr:col>
      <xdr:colOff>47625</xdr:colOff>
      <xdr:row>52</xdr:row>
      <xdr:rowOff>123825</xdr:rowOff>
    </xdr:to>
    <xdr:grpSp>
      <xdr:nvGrpSpPr>
        <xdr:cNvPr id="71" name="Group 73"/>
        <xdr:cNvGrpSpPr>
          <a:grpSpLocks/>
        </xdr:cNvGrpSpPr>
      </xdr:nvGrpSpPr>
      <xdr:grpSpPr bwMode="auto">
        <a:xfrm>
          <a:off x="4295775" y="8176846"/>
          <a:ext cx="265235" cy="285017"/>
          <a:chOff x="276" y="1034"/>
          <a:chExt cx="32" cy="31"/>
        </a:xfrm>
      </xdr:grpSpPr>
      <xdr:sp macro="" textlink="">
        <xdr:nvSpPr>
          <xdr:cNvPr id="72" name="Oval 74"/>
          <xdr:cNvSpPr>
            <a:spLocks noChangeArrowheads="1"/>
          </xdr:cNvSpPr>
        </xdr:nvSpPr>
        <xdr:spPr bwMode="auto">
          <a:xfrm>
            <a:off x="276" y="103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Text Box 75"/>
          <xdr:cNvSpPr txBox="1">
            <a:spLocks noChangeArrowheads="1"/>
          </xdr:cNvSpPr>
        </xdr:nvSpPr>
        <xdr:spPr bwMode="auto">
          <a:xfrm>
            <a:off x="281" y="1039"/>
            <a:ext cx="27" cy="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36576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rebuchet MS"/>
              </a:rPr>
              <a:t>N2</a:t>
            </a: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r" rtl="0">
              <a:defRPr sz="1000"/>
            </a:pP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12</xdr:col>
      <xdr:colOff>28575</xdr:colOff>
      <xdr:row>50</xdr:row>
      <xdr:rowOff>114300</xdr:rowOff>
    </xdr:from>
    <xdr:to>
      <xdr:col>13</xdr:col>
      <xdr:colOff>9525</xdr:colOff>
      <xdr:row>51</xdr:row>
      <xdr:rowOff>104775</xdr:rowOff>
    </xdr:to>
    <xdr:grpSp>
      <xdr:nvGrpSpPr>
        <xdr:cNvPr id="74" name="Group 76"/>
        <xdr:cNvGrpSpPr>
          <a:grpSpLocks/>
        </xdr:cNvGrpSpPr>
      </xdr:nvGrpSpPr>
      <xdr:grpSpPr bwMode="auto">
        <a:xfrm rot="10800000">
          <a:off x="1962883" y="8129954"/>
          <a:ext cx="142142" cy="151667"/>
          <a:chOff x="1007" y="715"/>
          <a:chExt cx="16" cy="20"/>
        </a:xfrm>
      </xdr:grpSpPr>
      <xdr:sp macro="" textlink="">
        <xdr:nvSpPr>
          <xdr:cNvPr id="75" name="Line 77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78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57</xdr:row>
      <xdr:rowOff>123825</xdr:rowOff>
    </xdr:from>
    <xdr:to>
      <xdr:col>9</xdr:col>
      <xdr:colOff>38100</xdr:colOff>
      <xdr:row>59</xdr:row>
      <xdr:rowOff>38100</xdr:rowOff>
    </xdr:to>
    <xdr:sp macro="" textlink="">
      <xdr:nvSpPr>
        <xdr:cNvPr id="77" name="Oval 79"/>
        <xdr:cNvSpPr>
          <a:spLocks noChangeArrowheads="1"/>
        </xdr:cNvSpPr>
      </xdr:nvSpPr>
      <xdr:spPr bwMode="auto">
        <a:xfrm>
          <a:off x="1276350" y="10458450"/>
          <a:ext cx="219075" cy="2952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58</xdr:row>
      <xdr:rowOff>76200</xdr:rowOff>
    </xdr:from>
    <xdr:to>
      <xdr:col>12</xdr:col>
      <xdr:colOff>0</xdr:colOff>
      <xdr:row>58</xdr:row>
      <xdr:rowOff>76200</xdr:rowOff>
    </xdr:to>
    <xdr:sp macro="" textlink="">
      <xdr:nvSpPr>
        <xdr:cNvPr id="78" name="Line 80"/>
        <xdr:cNvSpPr>
          <a:spLocks noChangeShapeType="1"/>
        </xdr:cNvSpPr>
      </xdr:nvSpPr>
      <xdr:spPr bwMode="auto">
        <a:xfrm flipH="1">
          <a:off x="1485900" y="106013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57</xdr:row>
      <xdr:rowOff>114300</xdr:rowOff>
    </xdr:from>
    <xdr:to>
      <xdr:col>9</xdr:col>
      <xdr:colOff>19050</xdr:colOff>
      <xdr:row>59</xdr:row>
      <xdr:rowOff>133350</xdr:rowOff>
    </xdr:to>
    <xdr:sp macro="" textlink="">
      <xdr:nvSpPr>
        <xdr:cNvPr id="79" name="Text Box 81"/>
        <xdr:cNvSpPr txBox="1">
          <a:spLocks noChangeArrowheads="1"/>
        </xdr:cNvSpPr>
      </xdr:nvSpPr>
      <xdr:spPr bwMode="auto">
        <a:xfrm>
          <a:off x="1304925" y="10448925"/>
          <a:ext cx="17145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7</xdr:col>
      <xdr:colOff>142875</xdr:colOff>
      <xdr:row>50</xdr:row>
      <xdr:rowOff>85725</xdr:rowOff>
    </xdr:from>
    <xdr:to>
      <xdr:col>12</xdr:col>
      <xdr:colOff>0</xdr:colOff>
      <xdr:row>52</xdr:row>
      <xdr:rowOff>19050</xdr:rowOff>
    </xdr:to>
    <xdr:grpSp>
      <xdr:nvGrpSpPr>
        <xdr:cNvPr id="80" name="Group 82"/>
        <xdr:cNvGrpSpPr>
          <a:grpSpLocks/>
        </xdr:cNvGrpSpPr>
      </xdr:nvGrpSpPr>
      <xdr:grpSpPr bwMode="auto">
        <a:xfrm>
          <a:off x="1271221" y="8101379"/>
          <a:ext cx="663087" cy="255709"/>
          <a:chOff x="181" y="884"/>
          <a:chExt cx="75" cy="30"/>
        </a:xfrm>
      </xdr:grpSpPr>
      <xdr:sp macro="" textlink="">
        <xdr:nvSpPr>
          <xdr:cNvPr id="81" name="Oval 83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82" name="Group 84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83" name="Line 85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4" name="Text Box 86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</a:t>
              </a:r>
            </a:p>
          </xdr:txBody>
        </xdr:sp>
      </xdr:grpSp>
    </xdr:grpSp>
    <xdr:clientData/>
  </xdr:twoCellAnchor>
  <xdr:twoCellAnchor>
    <xdr:from>
      <xdr:col>16</xdr:col>
      <xdr:colOff>38100</xdr:colOff>
      <xdr:row>42</xdr:row>
      <xdr:rowOff>123825</xdr:rowOff>
    </xdr:from>
    <xdr:to>
      <xdr:col>17</xdr:col>
      <xdr:colOff>104775</xdr:colOff>
      <xdr:row>43</xdr:row>
      <xdr:rowOff>171450</xdr:rowOff>
    </xdr:to>
    <xdr:sp macro="" textlink="">
      <xdr:nvSpPr>
        <xdr:cNvPr id="85" name="Oval 87"/>
        <xdr:cNvSpPr>
          <a:spLocks noChangeArrowheads="1"/>
        </xdr:cNvSpPr>
      </xdr:nvSpPr>
      <xdr:spPr bwMode="auto">
        <a:xfrm>
          <a:off x="2628900" y="760095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66675</xdr:colOff>
      <xdr:row>42</xdr:row>
      <xdr:rowOff>133350</xdr:rowOff>
    </xdr:from>
    <xdr:to>
      <xdr:col>17</xdr:col>
      <xdr:colOff>104775</xdr:colOff>
      <xdr:row>45</xdr:row>
      <xdr:rowOff>9525</xdr:rowOff>
    </xdr:to>
    <xdr:sp macro="" textlink="">
      <xdr:nvSpPr>
        <xdr:cNvPr id="86" name="Text Box 88"/>
        <xdr:cNvSpPr txBox="1">
          <a:spLocks noChangeArrowheads="1"/>
        </xdr:cNvSpPr>
      </xdr:nvSpPr>
      <xdr:spPr bwMode="auto">
        <a:xfrm>
          <a:off x="2657475" y="7610475"/>
          <a:ext cx="2000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66675</xdr:colOff>
      <xdr:row>60</xdr:row>
      <xdr:rowOff>28575</xdr:rowOff>
    </xdr:from>
    <xdr:to>
      <xdr:col>14</xdr:col>
      <xdr:colOff>152400</xdr:colOff>
      <xdr:row>60</xdr:row>
      <xdr:rowOff>114300</xdr:rowOff>
    </xdr:to>
    <xdr:sp macro="" textlink="">
      <xdr:nvSpPr>
        <xdr:cNvPr id="87" name="Oval 89"/>
        <xdr:cNvSpPr>
          <a:spLocks noChangeArrowheads="1"/>
        </xdr:cNvSpPr>
      </xdr:nvSpPr>
      <xdr:spPr bwMode="auto">
        <a:xfrm>
          <a:off x="2333625" y="10934700"/>
          <a:ext cx="85725" cy="85725"/>
        </a:xfrm>
        <a:prstGeom prst="ellipse">
          <a:avLst/>
        </a:prstGeom>
        <a:solidFill>
          <a:srgbClr val="FFFFFF"/>
        </a:solidFill>
        <a:ln w="38100" cmpd="dbl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133350</xdr:colOff>
      <xdr:row>60</xdr:row>
      <xdr:rowOff>152400</xdr:rowOff>
    </xdr:from>
    <xdr:to>
      <xdr:col>23</xdr:col>
      <xdr:colOff>114300</xdr:colOff>
      <xdr:row>61</xdr:row>
      <xdr:rowOff>152400</xdr:rowOff>
    </xdr:to>
    <xdr:grpSp>
      <xdr:nvGrpSpPr>
        <xdr:cNvPr id="88" name="Group 90"/>
        <xdr:cNvGrpSpPr>
          <a:grpSpLocks/>
        </xdr:cNvGrpSpPr>
      </xdr:nvGrpSpPr>
      <xdr:grpSpPr bwMode="auto">
        <a:xfrm>
          <a:off x="3679581" y="9779977"/>
          <a:ext cx="142142" cy="161192"/>
          <a:chOff x="1007" y="715"/>
          <a:chExt cx="16" cy="20"/>
        </a:xfrm>
      </xdr:grpSpPr>
      <xdr:sp macro="" textlink="">
        <xdr:nvSpPr>
          <xdr:cNvPr id="89" name="Line 91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92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61</xdr:row>
      <xdr:rowOff>47625</xdr:rowOff>
    </xdr:from>
    <xdr:to>
      <xdr:col>26</xdr:col>
      <xdr:colOff>104775</xdr:colOff>
      <xdr:row>61</xdr:row>
      <xdr:rowOff>47625</xdr:rowOff>
    </xdr:to>
    <xdr:sp macro="" textlink="">
      <xdr:nvSpPr>
        <xdr:cNvPr id="91" name="Line 93"/>
        <xdr:cNvSpPr>
          <a:spLocks noChangeShapeType="1"/>
        </xdr:cNvSpPr>
      </xdr:nvSpPr>
      <xdr:spPr bwMode="auto">
        <a:xfrm flipH="1">
          <a:off x="3857625" y="111442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60</xdr:row>
      <xdr:rowOff>133350</xdr:rowOff>
    </xdr:from>
    <xdr:to>
      <xdr:col>28</xdr:col>
      <xdr:colOff>9525</xdr:colOff>
      <xdr:row>61</xdr:row>
      <xdr:rowOff>180975</xdr:rowOff>
    </xdr:to>
    <xdr:sp macro="" textlink="">
      <xdr:nvSpPr>
        <xdr:cNvPr id="92" name="Oval 94"/>
        <xdr:cNvSpPr>
          <a:spLocks noChangeArrowheads="1"/>
        </xdr:cNvSpPr>
      </xdr:nvSpPr>
      <xdr:spPr bwMode="auto">
        <a:xfrm>
          <a:off x="4324350" y="11039475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93" name="Text Box 95"/>
        <xdr:cNvSpPr txBox="1">
          <a:spLocks noChangeArrowheads="1"/>
        </xdr:cNvSpPr>
      </xdr:nvSpPr>
      <xdr:spPr bwMode="auto">
        <a:xfrm>
          <a:off x="4362450" y="11077575"/>
          <a:ext cx="1619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22</xdr:col>
      <xdr:colOff>142875</xdr:colOff>
      <xdr:row>48</xdr:row>
      <xdr:rowOff>123825</xdr:rowOff>
    </xdr:from>
    <xdr:to>
      <xdr:col>23</xdr:col>
      <xdr:colOff>123825</xdr:colOff>
      <xdr:row>49</xdr:row>
      <xdr:rowOff>123825</xdr:rowOff>
    </xdr:to>
    <xdr:grpSp>
      <xdr:nvGrpSpPr>
        <xdr:cNvPr id="94" name="Group 96"/>
        <xdr:cNvGrpSpPr>
          <a:grpSpLocks/>
        </xdr:cNvGrpSpPr>
      </xdr:nvGrpSpPr>
      <xdr:grpSpPr bwMode="auto">
        <a:xfrm>
          <a:off x="3689106" y="7817094"/>
          <a:ext cx="142142" cy="161193"/>
          <a:chOff x="1007" y="715"/>
          <a:chExt cx="16" cy="20"/>
        </a:xfrm>
      </xdr:grpSpPr>
      <xdr:sp macro="" textlink="">
        <xdr:nvSpPr>
          <xdr:cNvPr id="95" name="Line 97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98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49</xdr:row>
      <xdr:rowOff>9525</xdr:rowOff>
    </xdr:from>
    <xdr:to>
      <xdr:col>26</xdr:col>
      <xdr:colOff>104775</xdr:colOff>
      <xdr:row>49</xdr:row>
      <xdr:rowOff>9525</xdr:rowOff>
    </xdr:to>
    <xdr:sp macro="" textlink="">
      <xdr:nvSpPr>
        <xdr:cNvPr id="97" name="Line 99"/>
        <xdr:cNvSpPr>
          <a:spLocks noChangeShapeType="1"/>
        </xdr:cNvSpPr>
      </xdr:nvSpPr>
      <xdr:spPr bwMode="auto">
        <a:xfrm flipH="1">
          <a:off x="3857625" y="88201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48</xdr:row>
      <xdr:rowOff>57150</xdr:rowOff>
    </xdr:from>
    <xdr:to>
      <xdr:col>28</xdr:col>
      <xdr:colOff>0</xdr:colOff>
      <xdr:row>49</xdr:row>
      <xdr:rowOff>114300</xdr:rowOff>
    </xdr:to>
    <xdr:sp macro="" textlink="">
      <xdr:nvSpPr>
        <xdr:cNvPr id="98" name="Oval 100"/>
        <xdr:cNvSpPr>
          <a:spLocks noChangeArrowheads="1"/>
        </xdr:cNvSpPr>
      </xdr:nvSpPr>
      <xdr:spPr bwMode="auto">
        <a:xfrm>
          <a:off x="4314825" y="8677275"/>
          <a:ext cx="2190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133350</xdr:colOff>
      <xdr:row>48</xdr:row>
      <xdr:rowOff>85725</xdr:rowOff>
    </xdr:from>
    <xdr:to>
      <xdr:col>27</xdr:col>
      <xdr:colOff>152400</xdr:colOff>
      <xdr:row>49</xdr:row>
      <xdr:rowOff>171450</xdr:rowOff>
    </xdr:to>
    <xdr:sp macro="" textlink="">
      <xdr:nvSpPr>
        <xdr:cNvPr id="99" name="Text Box 101"/>
        <xdr:cNvSpPr txBox="1">
          <a:spLocks noChangeArrowheads="1"/>
        </xdr:cNvSpPr>
      </xdr:nvSpPr>
      <xdr:spPr bwMode="auto">
        <a:xfrm>
          <a:off x="4343400" y="8705850"/>
          <a:ext cx="1809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22</xdr:col>
      <xdr:colOff>123825</xdr:colOff>
      <xdr:row>43</xdr:row>
      <xdr:rowOff>57150</xdr:rowOff>
    </xdr:from>
    <xdr:to>
      <xdr:col>23</xdr:col>
      <xdr:colOff>104775</xdr:colOff>
      <xdr:row>44</xdr:row>
      <xdr:rowOff>57150</xdr:rowOff>
    </xdr:to>
    <xdr:grpSp>
      <xdr:nvGrpSpPr>
        <xdr:cNvPr id="100" name="Group 102"/>
        <xdr:cNvGrpSpPr>
          <a:grpSpLocks/>
        </xdr:cNvGrpSpPr>
      </xdr:nvGrpSpPr>
      <xdr:grpSpPr bwMode="auto">
        <a:xfrm>
          <a:off x="3670056" y="6944458"/>
          <a:ext cx="142142" cy="161192"/>
          <a:chOff x="1007" y="715"/>
          <a:chExt cx="16" cy="20"/>
        </a:xfrm>
      </xdr:grpSpPr>
      <xdr:sp macro="" textlink="">
        <xdr:nvSpPr>
          <xdr:cNvPr id="101" name="Line 103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04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85725</xdr:colOff>
      <xdr:row>43</xdr:row>
      <xdr:rowOff>161925</xdr:rowOff>
    </xdr:from>
    <xdr:to>
      <xdr:col>26</xdr:col>
      <xdr:colOff>57150</xdr:colOff>
      <xdr:row>43</xdr:row>
      <xdr:rowOff>161925</xdr:rowOff>
    </xdr:to>
    <xdr:sp macro="" textlink="">
      <xdr:nvSpPr>
        <xdr:cNvPr id="103" name="Line 105"/>
        <xdr:cNvSpPr>
          <a:spLocks noChangeShapeType="1"/>
        </xdr:cNvSpPr>
      </xdr:nvSpPr>
      <xdr:spPr bwMode="auto">
        <a:xfrm flipH="1">
          <a:off x="3810000" y="78295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104" name="Oval 106"/>
        <xdr:cNvSpPr>
          <a:spLocks noChangeArrowheads="1"/>
        </xdr:cNvSpPr>
      </xdr:nvSpPr>
      <xdr:spPr bwMode="auto">
        <a:xfrm>
          <a:off x="4286250" y="76962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105" name="Text Box 107"/>
        <xdr:cNvSpPr txBox="1">
          <a:spLocks noChangeArrowheads="1"/>
        </xdr:cNvSpPr>
      </xdr:nvSpPr>
      <xdr:spPr bwMode="auto">
        <a:xfrm>
          <a:off x="4333875" y="7743825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180975</xdr:colOff>
      <xdr:row>28</xdr:row>
      <xdr:rowOff>0</xdr:rowOff>
    </xdr:from>
    <xdr:to>
      <xdr:col>20</xdr:col>
      <xdr:colOff>161925</xdr:colOff>
      <xdr:row>28</xdr:row>
      <xdr:rowOff>85725</xdr:rowOff>
    </xdr:to>
    <xdr:sp macro="" textlink="">
      <xdr:nvSpPr>
        <xdr:cNvPr id="106" name="Oval 108"/>
        <xdr:cNvSpPr>
          <a:spLocks noChangeArrowheads="1"/>
        </xdr:cNvSpPr>
      </xdr:nvSpPr>
      <xdr:spPr bwMode="auto">
        <a:xfrm>
          <a:off x="3400425" y="4810125"/>
          <a:ext cx="0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46</xdr:row>
      <xdr:rowOff>142875</xdr:rowOff>
    </xdr:from>
    <xdr:to>
      <xdr:col>20</xdr:col>
      <xdr:colOff>9525</xdr:colOff>
      <xdr:row>47</xdr:row>
      <xdr:rowOff>66675</xdr:rowOff>
    </xdr:to>
    <xdr:sp macro="" textlink="">
      <xdr:nvSpPr>
        <xdr:cNvPr id="107" name="Text Box 109"/>
        <xdr:cNvSpPr txBox="1">
          <a:spLocks noChangeArrowheads="1"/>
        </xdr:cNvSpPr>
      </xdr:nvSpPr>
      <xdr:spPr bwMode="auto">
        <a:xfrm>
          <a:off x="3076575" y="8382000"/>
          <a:ext cx="1714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08" name="Text Box 110"/>
        <xdr:cNvSpPr txBox="1">
          <a:spLocks noChangeArrowheads="1"/>
        </xdr:cNvSpPr>
      </xdr:nvSpPr>
      <xdr:spPr bwMode="auto">
        <a:xfrm>
          <a:off x="2705100" y="9972675"/>
          <a:ext cx="76200" cy="161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152400</xdr:colOff>
      <xdr:row>65</xdr:row>
      <xdr:rowOff>114300</xdr:rowOff>
    </xdr:from>
    <xdr:to>
      <xdr:col>18</xdr:col>
      <xdr:colOff>219075</xdr:colOff>
      <xdr:row>66</xdr:row>
      <xdr:rowOff>161925</xdr:rowOff>
    </xdr:to>
    <xdr:sp macro="" textlink="">
      <xdr:nvSpPr>
        <xdr:cNvPr id="109" name="Oval 111"/>
        <xdr:cNvSpPr>
          <a:spLocks noChangeArrowheads="1"/>
        </xdr:cNvSpPr>
      </xdr:nvSpPr>
      <xdr:spPr bwMode="auto">
        <a:xfrm>
          <a:off x="2905125" y="11972925"/>
          <a:ext cx="17145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152400</xdr:colOff>
      <xdr:row>65</xdr:row>
      <xdr:rowOff>123825</xdr:rowOff>
    </xdr:from>
    <xdr:to>
      <xdr:col>19</xdr:col>
      <xdr:colOff>19050</xdr:colOff>
      <xdr:row>67</xdr:row>
      <xdr:rowOff>104775</xdr:rowOff>
    </xdr:to>
    <xdr:sp macro="" textlink="">
      <xdr:nvSpPr>
        <xdr:cNvPr id="110" name="Text Box 112"/>
        <xdr:cNvSpPr txBox="1">
          <a:spLocks noChangeArrowheads="1"/>
        </xdr:cNvSpPr>
      </xdr:nvSpPr>
      <xdr:spPr bwMode="auto">
        <a:xfrm>
          <a:off x="2905125" y="11982450"/>
          <a:ext cx="1905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12</xdr:col>
      <xdr:colOff>38100</xdr:colOff>
      <xdr:row>44</xdr:row>
      <xdr:rowOff>95250</xdr:rowOff>
    </xdr:from>
    <xdr:to>
      <xdr:col>13</xdr:col>
      <xdr:colOff>19050</xdr:colOff>
      <xdr:row>45</xdr:row>
      <xdr:rowOff>133350</xdr:rowOff>
    </xdr:to>
    <xdr:grpSp>
      <xdr:nvGrpSpPr>
        <xdr:cNvPr id="111" name="Group 113"/>
        <xdr:cNvGrpSpPr>
          <a:grpSpLocks/>
        </xdr:cNvGrpSpPr>
      </xdr:nvGrpSpPr>
      <xdr:grpSpPr bwMode="auto">
        <a:xfrm rot="10800000">
          <a:off x="1972408" y="7143750"/>
          <a:ext cx="142142" cy="199292"/>
          <a:chOff x="1007" y="715"/>
          <a:chExt cx="16" cy="20"/>
        </a:xfrm>
      </xdr:grpSpPr>
      <xdr:sp macro="" textlink="">
        <xdr:nvSpPr>
          <xdr:cNvPr id="112" name="Line 114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15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38100</xdr:colOff>
      <xdr:row>54</xdr:row>
      <xdr:rowOff>95250</xdr:rowOff>
    </xdr:from>
    <xdr:to>
      <xdr:col>13</xdr:col>
      <xdr:colOff>19050</xdr:colOff>
      <xdr:row>55</xdr:row>
      <xdr:rowOff>123825</xdr:rowOff>
    </xdr:to>
    <xdr:grpSp>
      <xdr:nvGrpSpPr>
        <xdr:cNvPr id="114" name="Group 116"/>
        <xdr:cNvGrpSpPr>
          <a:grpSpLocks/>
        </xdr:cNvGrpSpPr>
      </xdr:nvGrpSpPr>
      <xdr:grpSpPr bwMode="auto">
        <a:xfrm rot="10800000">
          <a:off x="1972408" y="8755673"/>
          <a:ext cx="142142" cy="189767"/>
          <a:chOff x="1007" y="715"/>
          <a:chExt cx="16" cy="20"/>
        </a:xfrm>
      </xdr:grpSpPr>
      <xdr:sp macro="" textlink="">
        <xdr:nvSpPr>
          <xdr:cNvPr id="115" name="Line 117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18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54</xdr:row>
      <xdr:rowOff>76200</xdr:rowOff>
    </xdr:from>
    <xdr:to>
      <xdr:col>12</xdr:col>
      <xdr:colOff>9525</xdr:colOff>
      <xdr:row>56</xdr:row>
      <xdr:rowOff>38100</xdr:rowOff>
    </xdr:to>
    <xdr:grpSp>
      <xdr:nvGrpSpPr>
        <xdr:cNvPr id="117" name="Group 119"/>
        <xdr:cNvGrpSpPr>
          <a:grpSpLocks/>
        </xdr:cNvGrpSpPr>
      </xdr:nvGrpSpPr>
      <xdr:grpSpPr bwMode="auto">
        <a:xfrm>
          <a:off x="1280746" y="8736623"/>
          <a:ext cx="663087" cy="284285"/>
          <a:chOff x="181" y="884"/>
          <a:chExt cx="75" cy="30"/>
        </a:xfrm>
      </xdr:grpSpPr>
      <xdr:sp macro="" textlink="">
        <xdr:nvSpPr>
          <xdr:cNvPr id="118" name="Oval 120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19" name="Group 121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20" name="Line 122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Text Box 123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N8</a:t>
              </a:r>
            </a:p>
          </xdr:txBody>
        </xdr:sp>
      </xdr:grpSp>
    </xdr:grpSp>
    <xdr:clientData/>
  </xdr:twoCellAnchor>
  <xdr:twoCellAnchor>
    <xdr:from>
      <xdr:col>20</xdr:col>
      <xdr:colOff>66675</xdr:colOff>
      <xdr:row>39</xdr:row>
      <xdr:rowOff>114300</xdr:rowOff>
    </xdr:from>
    <xdr:to>
      <xdr:col>21</xdr:col>
      <xdr:colOff>0</xdr:colOff>
      <xdr:row>40</xdr:row>
      <xdr:rowOff>66675</xdr:rowOff>
    </xdr:to>
    <xdr:grpSp>
      <xdr:nvGrpSpPr>
        <xdr:cNvPr id="122" name="Group 124"/>
        <xdr:cNvGrpSpPr>
          <a:grpSpLocks/>
        </xdr:cNvGrpSpPr>
      </xdr:nvGrpSpPr>
      <xdr:grpSpPr bwMode="auto">
        <a:xfrm rot="-5400000">
          <a:off x="3280996" y="6366363"/>
          <a:ext cx="113568" cy="94517"/>
          <a:chOff x="1007" y="715"/>
          <a:chExt cx="16" cy="20"/>
        </a:xfrm>
      </xdr:grpSpPr>
      <xdr:sp macro="" textlink="">
        <xdr:nvSpPr>
          <xdr:cNvPr id="123" name="Line 125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126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104775</xdr:colOff>
      <xdr:row>39</xdr:row>
      <xdr:rowOff>133350</xdr:rowOff>
    </xdr:from>
    <xdr:to>
      <xdr:col>15</xdr:col>
      <xdr:colOff>123825</xdr:colOff>
      <xdr:row>40</xdr:row>
      <xdr:rowOff>85725</xdr:rowOff>
    </xdr:to>
    <xdr:grpSp>
      <xdr:nvGrpSpPr>
        <xdr:cNvPr id="125" name="Group 127"/>
        <xdr:cNvGrpSpPr>
          <a:grpSpLocks/>
        </xdr:cNvGrpSpPr>
      </xdr:nvGrpSpPr>
      <xdr:grpSpPr bwMode="auto">
        <a:xfrm rot="-5400000">
          <a:off x="2394805" y="6342550"/>
          <a:ext cx="113568" cy="180243"/>
          <a:chOff x="1007" y="715"/>
          <a:chExt cx="16" cy="20"/>
        </a:xfrm>
      </xdr:grpSpPr>
      <xdr:sp macro="" textlink="">
        <xdr:nvSpPr>
          <xdr:cNvPr id="126" name="Line 128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129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85725</xdr:colOff>
      <xdr:row>31</xdr:row>
      <xdr:rowOff>171450</xdr:rowOff>
    </xdr:from>
    <xdr:to>
      <xdr:col>35</xdr:col>
      <xdr:colOff>85725</xdr:colOff>
      <xdr:row>35</xdr:row>
      <xdr:rowOff>38100</xdr:rowOff>
    </xdr:to>
    <xdr:sp macro="" textlink="">
      <xdr:nvSpPr>
        <xdr:cNvPr id="128" name="Text Box 130"/>
        <xdr:cNvSpPr txBox="1">
          <a:spLocks noChangeArrowheads="1"/>
        </xdr:cNvSpPr>
      </xdr:nvSpPr>
      <xdr:spPr bwMode="auto">
        <a:xfrm>
          <a:off x="5591175" y="5553075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28575</xdr:colOff>
      <xdr:row>37</xdr:row>
      <xdr:rowOff>57150</xdr:rowOff>
    </xdr:from>
    <xdr:to>
      <xdr:col>15</xdr:col>
      <xdr:colOff>28575</xdr:colOff>
      <xdr:row>39</xdr:row>
      <xdr:rowOff>114300</xdr:rowOff>
    </xdr:to>
    <xdr:sp macro="" textlink="">
      <xdr:nvSpPr>
        <xdr:cNvPr id="129" name="Line 131"/>
        <xdr:cNvSpPr>
          <a:spLocks noChangeShapeType="1"/>
        </xdr:cNvSpPr>
      </xdr:nvSpPr>
      <xdr:spPr bwMode="auto">
        <a:xfrm flipV="1">
          <a:off x="2457450" y="6581775"/>
          <a:ext cx="0" cy="43815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161925</xdr:colOff>
      <xdr:row>37</xdr:row>
      <xdr:rowOff>47625</xdr:rowOff>
    </xdr:from>
    <xdr:to>
      <xdr:col>20</xdr:col>
      <xdr:colOff>161925</xdr:colOff>
      <xdr:row>39</xdr:row>
      <xdr:rowOff>104775</xdr:rowOff>
    </xdr:to>
    <xdr:sp macro="" textlink="">
      <xdr:nvSpPr>
        <xdr:cNvPr id="130" name="Line 132"/>
        <xdr:cNvSpPr>
          <a:spLocks noChangeShapeType="1"/>
        </xdr:cNvSpPr>
      </xdr:nvSpPr>
      <xdr:spPr bwMode="auto">
        <a:xfrm flipV="1">
          <a:off x="3400425" y="6572250"/>
          <a:ext cx="0" cy="43815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44</xdr:row>
      <xdr:rowOff>76200</xdr:rowOff>
    </xdr:from>
    <xdr:to>
      <xdr:col>12</xdr:col>
      <xdr:colOff>19050</xdr:colOff>
      <xdr:row>46</xdr:row>
      <xdr:rowOff>9525</xdr:rowOff>
    </xdr:to>
    <xdr:grpSp>
      <xdr:nvGrpSpPr>
        <xdr:cNvPr id="131" name="Group 133"/>
        <xdr:cNvGrpSpPr>
          <a:grpSpLocks/>
        </xdr:cNvGrpSpPr>
      </xdr:nvGrpSpPr>
      <xdr:grpSpPr bwMode="auto">
        <a:xfrm>
          <a:off x="1289538" y="7124700"/>
          <a:ext cx="663820" cy="255710"/>
          <a:chOff x="181" y="884"/>
          <a:chExt cx="75" cy="30"/>
        </a:xfrm>
      </xdr:grpSpPr>
      <xdr:sp macro="" textlink="">
        <xdr:nvSpPr>
          <xdr:cNvPr id="132" name="Oval 134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33" name="Group 135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34" name="Line 136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Text Box 137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N3</a:t>
              </a:r>
            </a:p>
          </xdr:txBody>
        </xdr:sp>
      </xdr:grpSp>
    </xdr:grpSp>
    <xdr:clientData/>
  </xdr:twoCellAnchor>
  <xdr:twoCellAnchor>
    <xdr:from>
      <xdr:col>20</xdr:col>
      <xdr:colOff>76200</xdr:colOff>
      <xdr:row>63</xdr:row>
      <xdr:rowOff>133350</xdr:rowOff>
    </xdr:from>
    <xdr:to>
      <xdr:col>21</xdr:col>
      <xdr:colOff>0</xdr:colOff>
      <xdr:row>64</xdr:row>
      <xdr:rowOff>85725</xdr:rowOff>
    </xdr:to>
    <xdr:grpSp>
      <xdr:nvGrpSpPr>
        <xdr:cNvPr id="136" name="Group 138"/>
        <xdr:cNvGrpSpPr>
          <a:grpSpLocks/>
        </xdr:cNvGrpSpPr>
      </xdr:nvGrpSpPr>
      <xdr:grpSpPr bwMode="auto">
        <a:xfrm rot="5400000">
          <a:off x="3285758" y="10258792"/>
          <a:ext cx="113567" cy="84992"/>
          <a:chOff x="1007" y="715"/>
          <a:chExt cx="16" cy="20"/>
        </a:xfrm>
      </xdr:grpSpPr>
      <xdr:sp macro="" textlink="">
        <xdr:nvSpPr>
          <xdr:cNvPr id="137" name="Line 139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140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57150</xdr:colOff>
      <xdr:row>65</xdr:row>
      <xdr:rowOff>57150</xdr:rowOff>
    </xdr:from>
    <xdr:to>
      <xdr:col>21</xdr:col>
      <xdr:colOff>19050</xdr:colOff>
      <xdr:row>66</xdr:row>
      <xdr:rowOff>114300</xdr:rowOff>
    </xdr:to>
    <xdr:sp macro="" textlink="">
      <xdr:nvSpPr>
        <xdr:cNvPr id="139" name="Oval 141"/>
        <xdr:cNvSpPr>
          <a:spLocks noChangeArrowheads="1"/>
        </xdr:cNvSpPr>
      </xdr:nvSpPr>
      <xdr:spPr bwMode="auto">
        <a:xfrm>
          <a:off x="3295650" y="11915775"/>
          <a:ext cx="1238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95250</xdr:colOff>
      <xdr:row>65</xdr:row>
      <xdr:rowOff>76200</xdr:rowOff>
    </xdr:from>
    <xdr:to>
      <xdr:col>21</xdr:col>
      <xdr:colOff>0</xdr:colOff>
      <xdr:row>66</xdr:row>
      <xdr:rowOff>190500</xdr:rowOff>
    </xdr:to>
    <xdr:sp macro="" textlink="">
      <xdr:nvSpPr>
        <xdr:cNvPr id="140" name="Text Box 142"/>
        <xdr:cNvSpPr txBox="1">
          <a:spLocks noChangeArrowheads="1"/>
        </xdr:cNvSpPr>
      </xdr:nvSpPr>
      <xdr:spPr bwMode="auto">
        <a:xfrm>
          <a:off x="3333750" y="11934825"/>
          <a:ext cx="666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20</xdr:col>
      <xdr:colOff>171450</xdr:colOff>
      <xdr:row>64</xdr:row>
      <xdr:rowOff>85725</xdr:rowOff>
    </xdr:from>
    <xdr:to>
      <xdr:col>20</xdr:col>
      <xdr:colOff>171450</xdr:colOff>
      <xdr:row>65</xdr:row>
      <xdr:rowOff>104775</xdr:rowOff>
    </xdr:to>
    <xdr:sp macro="" textlink="">
      <xdr:nvSpPr>
        <xdr:cNvPr id="141" name="Line 143"/>
        <xdr:cNvSpPr>
          <a:spLocks noChangeShapeType="1"/>
        </xdr:cNvSpPr>
      </xdr:nvSpPr>
      <xdr:spPr bwMode="auto">
        <a:xfrm>
          <a:off x="3400425" y="1175385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59</xdr:row>
      <xdr:rowOff>142875</xdr:rowOff>
    </xdr:from>
    <xdr:to>
      <xdr:col>7</xdr:col>
      <xdr:colOff>114300</xdr:colOff>
      <xdr:row>61</xdr:row>
      <xdr:rowOff>28575</xdr:rowOff>
    </xdr:to>
    <xdr:sp macro="" textlink="">
      <xdr:nvSpPr>
        <xdr:cNvPr id="142" name="Oval 144"/>
        <xdr:cNvSpPr>
          <a:spLocks noChangeArrowheads="1"/>
        </xdr:cNvSpPr>
      </xdr:nvSpPr>
      <xdr:spPr bwMode="auto">
        <a:xfrm>
          <a:off x="1019175" y="10858500"/>
          <a:ext cx="2286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57150</xdr:colOff>
      <xdr:row>57</xdr:row>
      <xdr:rowOff>123825</xdr:rowOff>
    </xdr:from>
    <xdr:to>
      <xdr:col>7</xdr:col>
      <xdr:colOff>123825</xdr:colOff>
      <xdr:row>59</xdr:row>
      <xdr:rowOff>38100</xdr:rowOff>
    </xdr:to>
    <xdr:sp macro="" textlink="">
      <xdr:nvSpPr>
        <xdr:cNvPr id="143" name="Oval 145"/>
        <xdr:cNvSpPr>
          <a:spLocks noChangeArrowheads="1"/>
        </xdr:cNvSpPr>
      </xdr:nvSpPr>
      <xdr:spPr bwMode="auto">
        <a:xfrm>
          <a:off x="1028700" y="10458450"/>
          <a:ext cx="228600" cy="2952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57</xdr:row>
      <xdr:rowOff>114300</xdr:rowOff>
    </xdr:from>
    <xdr:to>
      <xdr:col>7</xdr:col>
      <xdr:colOff>85725</xdr:colOff>
      <xdr:row>59</xdr:row>
      <xdr:rowOff>85725</xdr:rowOff>
    </xdr:to>
    <xdr:sp macro="" textlink="">
      <xdr:nvSpPr>
        <xdr:cNvPr id="144" name="Text Box 146"/>
        <xdr:cNvSpPr txBox="1">
          <a:spLocks noChangeArrowheads="1"/>
        </xdr:cNvSpPr>
      </xdr:nvSpPr>
      <xdr:spPr bwMode="auto">
        <a:xfrm>
          <a:off x="1066800" y="10448925"/>
          <a:ext cx="1524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7</xdr:col>
      <xdr:colOff>142875</xdr:colOff>
      <xdr:row>48</xdr:row>
      <xdr:rowOff>142875</xdr:rowOff>
    </xdr:from>
    <xdr:to>
      <xdr:col>9</xdr:col>
      <xdr:colOff>38100</xdr:colOff>
      <xdr:row>49</xdr:row>
      <xdr:rowOff>190500</xdr:rowOff>
    </xdr:to>
    <xdr:sp macro="" textlink="">
      <xdr:nvSpPr>
        <xdr:cNvPr id="145" name="Oval 147"/>
        <xdr:cNvSpPr>
          <a:spLocks noChangeArrowheads="1"/>
        </xdr:cNvSpPr>
      </xdr:nvSpPr>
      <xdr:spPr bwMode="auto">
        <a:xfrm>
          <a:off x="1276350" y="8763000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50</xdr:row>
      <xdr:rowOff>180975</xdr:rowOff>
    </xdr:from>
    <xdr:to>
      <xdr:col>22</xdr:col>
      <xdr:colOff>47625</xdr:colOff>
      <xdr:row>52</xdr:row>
      <xdr:rowOff>114300</xdr:rowOff>
    </xdr:to>
    <xdr:sp macro="" textlink="">
      <xdr:nvSpPr>
        <xdr:cNvPr id="146" name="Text Box 148"/>
        <xdr:cNvSpPr txBox="1">
          <a:spLocks noChangeArrowheads="1"/>
        </xdr:cNvSpPr>
      </xdr:nvSpPr>
      <xdr:spPr bwMode="auto">
        <a:xfrm>
          <a:off x="3438525" y="9182100"/>
          <a:ext cx="1714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57150</xdr:colOff>
      <xdr:row>22</xdr:row>
      <xdr:rowOff>19050</xdr:rowOff>
    </xdr:from>
    <xdr:to>
      <xdr:col>19</xdr:col>
      <xdr:colOff>47625</xdr:colOff>
      <xdr:row>23</xdr:row>
      <xdr:rowOff>9525</xdr:rowOff>
    </xdr:to>
    <xdr:grpSp>
      <xdr:nvGrpSpPr>
        <xdr:cNvPr id="147" name="Group 149"/>
        <xdr:cNvGrpSpPr>
          <a:grpSpLocks/>
        </xdr:cNvGrpSpPr>
      </xdr:nvGrpSpPr>
      <xdr:grpSpPr bwMode="auto">
        <a:xfrm rot="5400000">
          <a:off x="2878015" y="3440723"/>
          <a:ext cx="151668" cy="312860"/>
          <a:chOff x="258" y="385"/>
          <a:chExt cx="19" cy="41"/>
        </a:xfrm>
      </xdr:grpSpPr>
      <xdr:grpSp>
        <xdr:nvGrpSpPr>
          <xdr:cNvPr id="148" name="Group 150"/>
          <xdr:cNvGrpSpPr>
            <a:grpSpLocks/>
          </xdr:cNvGrpSpPr>
        </xdr:nvGrpSpPr>
        <xdr:grpSpPr bwMode="auto">
          <a:xfrm rot="10800000">
            <a:off x="261" y="385"/>
            <a:ext cx="16" cy="20"/>
            <a:chOff x="1007" y="715"/>
            <a:chExt cx="16" cy="20"/>
          </a:xfrm>
        </xdr:grpSpPr>
        <xdr:sp macro="" textlink="">
          <xdr:nvSpPr>
            <xdr:cNvPr id="153" name="Line 151"/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4" name="Line 152"/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9" name="Group 153"/>
          <xdr:cNvGrpSpPr>
            <a:grpSpLocks/>
          </xdr:cNvGrpSpPr>
        </xdr:nvGrpSpPr>
        <xdr:grpSpPr bwMode="auto">
          <a:xfrm rot="10800000">
            <a:off x="261" y="406"/>
            <a:ext cx="16" cy="20"/>
            <a:chOff x="1007" y="715"/>
            <a:chExt cx="16" cy="20"/>
          </a:xfrm>
        </xdr:grpSpPr>
        <xdr:sp macro="" textlink="">
          <xdr:nvSpPr>
            <xdr:cNvPr id="151" name="Line 154"/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2" name="Line 155"/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0" name="Line 156"/>
          <xdr:cNvSpPr>
            <a:spLocks noChangeShapeType="1"/>
          </xdr:cNvSpPr>
        </xdr:nvSpPr>
        <xdr:spPr bwMode="auto">
          <a:xfrm>
            <a:off x="258" y="38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95250</xdr:colOff>
      <xdr:row>26</xdr:row>
      <xdr:rowOff>114300</xdr:rowOff>
    </xdr:from>
    <xdr:to>
      <xdr:col>7</xdr:col>
      <xdr:colOff>161925</xdr:colOff>
      <xdr:row>28</xdr:row>
      <xdr:rowOff>0</xdr:rowOff>
    </xdr:to>
    <xdr:sp macro="" textlink="">
      <xdr:nvSpPr>
        <xdr:cNvPr id="155" name="Oval 157"/>
        <xdr:cNvSpPr>
          <a:spLocks noChangeArrowheads="1"/>
        </xdr:cNvSpPr>
      </xdr:nvSpPr>
      <xdr:spPr bwMode="auto">
        <a:xfrm>
          <a:off x="1066800" y="4543425"/>
          <a:ext cx="2286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26</xdr:row>
      <xdr:rowOff>104775</xdr:rowOff>
    </xdr:from>
    <xdr:to>
      <xdr:col>9</xdr:col>
      <xdr:colOff>76200</xdr:colOff>
      <xdr:row>27</xdr:row>
      <xdr:rowOff>190500</xdr:rowOff>
    </xdr:to>
    <xdr:sp macro="" textlink="">
      <xdr:nvSpPr>
        <xdr:cNvPr id="156" name="Oval 158"/>
        <xdr:cNvSpPr>
          <a:spLocks noChangeArrowheads="1"/>
        </xdr:cNvSpPr>
      </xdr:nvSpPr>
      <xdr:spPr bwMode="auto">
        <a:xfrm>
          <a:off x="1304925" y="4533900"/>
          <a:ext cx="228600" cy="2762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28</xdr:row>
      <xdr:rowOff>28575</xdr:rowOff>
    </xdr:from>
    <xdr:to>
      <xdr:col>8</xdr:col>
      <xdr:colOff>0</xdr:colOff>
      <xdr:row>29</xdr:row>
      <xdr:rowOff>76200</xdr:rowOff>
    </xdr:to>
    <xdr:sp macro="" textlink="">
      <xdr:nvSpPr>
        <xdr:cNvPr id="157" name="Oval 159"/>
        <xdr:cNvSpPr>
          <a:spLocks noChangeArrowheads="1"/>
        </xdr:cNvSpPr>
      </xdr:nvSpPr>
      <xdr:spPr bwMode="auto">
        <a:xfrm>
          <a:off x="1076325" y="4838700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28</xdr:row>
      <xdr:rowOff>28575</xdr:rowOff>
    </xdr:from>
    <xdr:to>
      <xdr:col>9</xdr:col>
      <xdr:colOff>76200</xdr:colOff>
      <xdr:row>29</xdr:row>
      <xdr:rowOff>76200</xdr:rowOff>
    </xdr:to>
    <xdr:sp macro="" textlink="">
      <xdr:nvSpPr>
        <xdr:cNvPr id="158" name="Oval 160"/>
        <xdr:cNvSpPr>
          <a:spLocks noChangeArrowheads="1"/>
        </xdr:cNvSpPr>
      </xdr:nvSpPr>
      <xdr:spPr bwMode="auto">
        <a:xfrm>
          <a:off x="1304925" y="48387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26</xdr:row>
      <xdr:rowOff>142875</xdr:rowOff>
    </xdr:from>
    <xdr:to>
      <xdr:col>7</xdr:col>
      <xdr:colOff>142875</xdr:colOff>
      <xdr:row>28</xdr:row>
      <xdr:rowOff>66675</xdr:rowOff>
    </xdr:to>
    <xdr:sp macro="" textlink="">
      <xdr:nvSpPr>
        <xdr:cNvPr id="159" name="Text Box 161"/>
        <xdr:cNvSpPr txBox="1">
          <a:spLocks noChangeArrowheads="1"/>
        </xdr:cNvSpPr>
      </xdr:nvSpPr>
      <xdr:spPr bwMode="auto">
        <a:xfrm>
          <a:off x="1104900" y="4572000"/>
          <a:ext cx="17145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</a:t>
          </a:r>
        </a:p>
      </xdr:txBody>
    </xdr:sp>
    <xdr:clientData/>
  </xdr:twoCellAnchor>
  <xdr:twoCellAnchor>
    <xdr:from>
      <xdr:col>8</xdr:col>
      <xdr:colOff>47625</xdr:colOff>
      <xdr:row>26</xdr:row>
      <xdr:rowOff>152400</xdr:rowOff>
    </xdr:from>
    <xdr:to>
      <xdr:col>9</xdr:col>
      <xdr:colOff>57150</xdr:colOff>
      <xdr:row>28</xdr:row>
      <xdr:rowOff>0</xdr:rowOff>
    </xdr:to>
    <xdr:sp macro="" textlink="">
      <xdr:nvSpPr>
        <xdr:cNvPr id="160" name="Text Box 162"/>
        <xdr:cNvSpPr txBox="1">
          <a:spLocks noChangeArrowheads="1"/>
        </xdr:cNvSpPr>
      </xdr:nvSpPr>
      <xdr:spPr bwMode="auto">
        <a:xfrm>
          <a:off x="1343025" y="4581525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N3</a:t>
          </a:r>
        </a:p>
      </xdr:txBody>
    </xdr:sp>
    <xdr:clientData/>
  </xdr:twoCellAnchor>
  <xdr:twoCellAnchor>
    <xdr:from>
      <xdr:col>6</xdr:col>
      <xdr:colOff>142875</xdr:colOff>
      <xdr:row>29</xdr:row>
      <xdr:rowOff>133350</xdr:rowOff>
    </xdr:from>
    <xdr:to>
      <xdr:col>7</xdr:col>
      <xdr:colOff>152400</xdr:colOff>
      <xdr:row>31</xdr:row>
      <xdr:rowOff>19050</xdr:rowOff>
    </xdr:to>
    <xdr:sp macro="" textlink="">
      <xdr:nvSpPr>
        <xdr:cNvPr id="161" name="Text Box 163"/>
        <xdr:cNvSpPr txBox="1">
          <a:spLocks noChangeArrowheads="1"/>
        </xdr:cNvSpPr>
      </xdr:nvSpPr>
      <xdr:spPr bwMode="auto">
        <a:xfrm>
          <a:off x="1114425" y="5133975"/>
          <a:ext cx="171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6</xdr:col>
      <xdr:colOff>142875</xdr:colOff>
      <xdr:row>28</xdr:row>
      <xdr:rowOff>19050</xdr:rowOff>
    </xdr:from>
    <xdr:to>
      <xdr:col>7</xdr:col>
      <xdr:colOff>152400</xdr:colOff>
      <xdr:row>29</xdr:row>
      <xdr:rowOff>190500</xdr:rowOff>
    </xdr:to>
    <xdr:sp macro="" textlink="">
      <xdr:nvSpPr>
        <xdr:cNvPr id="162" name="Text Box 164"/>
        <xdr:cNvSpPr txBox="1">
          <a:spLocks noChangeArrowheads="1"/>
        </xdr:cNvSpPr>
      </xdr:nvSpPr>
      <xdr:spPr bwMode="auto">
        <a:xfrm>
          <a:off x="1114425" y="4829175"/>
          <a:ext cx="1714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8</xdr:col>
      <xdr:colOff>47625</xdr:colOff>
      <xdr:row>28</xdr:row>
      <xdr:rowOff>57150</xdr:rowOff>
    </xdr:from>
    <xdr:to>
      <xdr:col>9</xdr:col>
      <xdr:colOff>57150</xdr:colOff>
      <xdr:row>29</xdr:row>
      <xdr:rowOff>152400</xdr:rowOff>
    </xdr:to>
    <xdr:sp macro="" textlink="">
      <xdr:nvSpPr>
        <xdr:cNvPr id="163" name="Text Box 165"/>
        <xdr:cNvSpPr txBox="1">
          <a:spLocks noChangeArrowheads="1"/>
        </xdr:cNvSpPr>
      </xdr:nvSpPr>
      <xdr:spPr bwMode="auto">
        <a:xfrm>
          <a:off x="1343025" y="4867275"/>
          <a:ext cx="1714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N12</a:t>
          </a:r>
        </a:p>
      </xdr:txBody>
    </xdr:sp>
    <xdr:clientData/>
  </xdr:twoCellAnchor>
  <xdr:twoCellAnchor>
    <xdr:from>
      <xdr:col>14</xdr:col>
      <xdr:colOff>152400</xdr:colOff>
      <xdr:row>27</xdr:row>
      <xdr:rowOff>190500</xdr:rowOff>
    </xdr:from>
    <xdr:to>
      <xdr:col>15</xdr:col>
      <xdr:colOff>66675</xdr:colOff>
      <xdr:row>28</xdr:row>
      <xdr:rowOff>76200</xdr:rowOff>
    </xdr:to>
    <xdr:sp macro="" textlink="">
      <xdr:nvSpPr>
        <xdr:cNvPr id="164" name="Oval 166"/>
        <xdr:cNvSpPr>
          <a:spLocks noChangeArrowheads="1"/>
        </xdr:cNvSpPr>
      </xdr:nvSpPr>
      <xdr:spPr bwMode="auto">
        <a:xfrm>
          <a:off x="2419350" y="4810125"/>
          <a:ext cx="76200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152400</xdr:colOff>
      <xdr:row>27</xdr:row>
      <xdr:rowOff>123825</xdr:rowOff>
    </xdr:from>
    <xdr:to>
      <xdr:col>18</xdr:col>
      <xdr:colOff>209550</xdr:colOff>
      <xdr:row>28</xdr:row>
      <xdr:rowOff>152400</xdr:rowOff>
    </xdr:to>
    <xdr:sp macro="" textlink="">
      <xdr:nvSpPr>
        <xdr:cNvPr id="165" name="Oval 167"/>
        <xdr:cNvSpPr>
          <a:spLocks noChangeArrowheads="1"/>
        </xdr:cNvSpPr>
      </xdr:nvSpPr>
      <xdr:spPr bwMode="auto">
        <a:xfrm>
          <a:off x="2905125" y="4743450"/>
          <a:ext cx="171450" cy="21907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57150</xdr:colOff>
      <xdr:row>24</xdr:row>
      <xdr:rowOff>133350</xdr:rowOff>
    </xdr:from>
    <xdr:to>
      <xdr:col>14</xdr:col>
      <xdr:colOff>76200</xdr:colOff>
      <xdr:row>25</xdr:row>
      <xdr:rowOff>133350</xdr:rowOff>
    </xdr:to>
    <xdr:grpSp>
      <xdr:nvGrpSpPr>
        <xdr:cNvPr id="166" name="Group 168"/>
        <xdr:cNvGrpSpPr>
          <a:grpSpLocks/>
        </xdr:cNvGrpSpPr>
      </xdr:nvGrpSpPr>
      <xdr:grpSpPr bwMode="auto">
        <a:xfrm rot="-5400000">
          <a:off x="2162175" y="3948479"/>
          <a:ext cx="161192" cy="180242"/>
          <a:chOff x="1007" y="715"/>
          <a:chExt cx="16" cy="20"/>
        </a:xfrm>
      </xdr:grpSpPr>
      <xdr:sp macro="" textlink="">
        <xdr:nvSpPr>
          <xdr:cNvPr id="167" name="Line 169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170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28575</xdr:rowOff>
    </xdr:from>
    <xdr:to>
      <xdr:col>14</xdr:col>
      <xdr:colOff>76200</xdr:colOff>
      <xdr:row>22</xdr:row>
      <xdr:rowOff>142875</xdr:rowOff>
    </xdr:to>
    <xdr:grpSp>
      <xdr:nvGrpSpPr>
        <xdr:cNvPr id="169" name="Group 171"/>
        <xdr:cNvGrpSpPr>
          <a:grpSpLocks/>
        </xdr:cNvGrpSpPr>
      </xdr:nvGrpSpPr>
      <xdr:grpSpPr bwMode="auto">
        <a:xfrm>
          <a:off x="2105025" y="3369652"/>
          <a:ext cx="227867" cy="275492"/>
          <a:chOff x="276" y="271"/>
          <a:chExt cx="25" cy="29"/>
        </a:xfrm>
      </xdr:grpSpPr>
      <xdr:sp macro="" textlink="">
        <xdr:nvSpPr>
          <xdr:cNvPr id="170" name="Oval 172"/>
          <xdr:cNvSpPr>
            <a:spLocks noChangeArrowheads="1"/>
          </xdr:cNvSpPr>
        </xdr:nvSpPr>
        <xdr:spPr bwMode="auto">
          <a:xfrm>
            <a:off x="276" y="271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1" name="Text Box 173"/>
          <xdr:cNvSpPr txBox="1">
            <a:spLocks noChangeArrowheads="1"/>
          </xdr:cNvSpPr>
        </xdr:nvSpPr>
        <xdr:spPr bwMode="auto">
          <a:xfrm>
            <a:off x="280" y="271"/>
            <a:ext cx="19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N9B</a:t>
            </a:r>
          </a:p>
        </xdr:txBody>
      </xdr:sp>
    </xdr:grpSp>
    <xdr:clientData/>
  </xdr:twoCellAnchor>
  <xdr:twoCellAnchor>
    <xdr:from>
      <xdr:col>15</xdr:col>
      <xdr:colOff>0</xdr:colOff>
      <xdr:row>23</xdr:row>
      <xdr:rowOff>57150</xdr:rowOff>
    </xdr:from>
    <xdr:to>
      <xdr:col>16</xdr:col>
      <xdr:colOff>9525</xdr:colOff>
      <xdr:row>24</xdr:row>
      <xdr:rowOff>19050</xdr:rowOff>
    </xdr:to>
    <xdr:grpSp>
      <xdr:nvGrpSpPr>
        <xdr:cNvPr id="172" name="Group 174"/>
        <xdr:cNvGrpSpPr>
          <a:grpSpLocks/>
        </xdr:cNvGrpSpPr>
      </xdr:nvGrpSpPr>
      <xdr:grpSpPr bwMode="auto">
        <a:xfrm rot="-5400000">
          <a:off x="2441698" y="3696799"/>
          <a:ext cx="123092" cy="170717"/>
          <a:chOff x="1007" y="715"/>
          <a:chExt cx="16" cy="20"/>
        </a:xfrm>
      </xdr:grpSpPr>
      <xdr:sp macro="" textlink="">
        <xdr:nvSpPr>
          <xdr:cNvPr id="173" name="Line 175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176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123825</xdr:colOff>
      <xdr:row>20</xdr:row>
      <xdr:rowOff>133350</xdr:rowOff>
    </xdr:from>
    <xdr:to>
      <xdr:col>16</xdr:col>
      <xdr:colOff>19050</xdr:colOff>
      <xdr:row>22</xdr:row>
      <xdr:rowOff>19050</xdr:rowOff>
    </xdr:to>
    <xdr:sp macro="" textlink="">
      <xdr:nvSpPr>
        <xdr:cNvPr id="175" name="Oval 177"/>
        <xdr:cNvSpPr>
          <a:spLocks noChangeArrowheads="1"/>
        </xdr:cNvSpPr>
      </xdr:nvSpPr>
      <xdr:spPr bwMode="auto">
        <a:xfrm>
          <a:off x="2390775" y="3419475"/>
          <a:ext cx="2190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152400</xdr:colOff>
      <xdr:row>20</xdr:row>
      <xdr:rowOff>123825</xdr:rowOff>
    </xdr:from>
    <xdr:to>
      <xdr:col>15</xdr:col>
      <xdr:colOff>161925</xdr:colOff>
      <xdr:row>22</xdr:row>
      <xdr:rowOff>76200</xdr:rowOff>
    </xdr:to>
    <xdr:sp macro="" textlink="">
      <xdr:nvSpPr>
        <xdr:cNvPr id="176" name="Text Box 178"/>
        <xdr:cNvSpPr txBox="1">
          <a:spLocks noChangeArrowheads="1"/>
        </xdr:cNvSpPr>
      </xdr:nvSpPr>
      <xdr:spPr bwMode="auto">
        <a:xfrm>
          <a:off x="2419350" y="3409950"/>
          <a:ext cx="17145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13</xdr:col>
      <xdr:colOff>152400</xdr:colOff>
      <xdr:row>22</xdr:row>
      <xdr:rowOff>104775</xdr:rowOff>
    </xdr:from>
    <xdr:to>
      <xdr:col>13</xdr:col>
      <xdr:colOff>152400</xdr:colOff>
      <xdr:row>25</xdr:row>
      <xdr:rowOff>19050</xdr:rowOff>
    </xdr:to>
    <xdr:sp macro="" textlink="">
      <xdr:nvSpPr>
        <xdr:cNvPr id="177" name="Line 179"/>
        <xdr:cNvSpPr>
          <a:spLocks noChangeShapeType="1"/>
        </xdr:cNvSpPr>
      </xdr:nvSpPr>
      <xdr:spPr bwMode="auto">
        <a:xfrm flipV="1">
          <a:off x="2257425" y="377190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22</xdr:row>
      <xdr:rowOff>85725</xdr:rowOff>
    </xdr:from>
    <xdr:to>
      <xdr:col>15</xdr:col>
      <xdr:colOff>85725</xdr:colOff>
      <xdr:row>23</xdr:row>
      <xdr:rowOff>76200</xdr:rowOff>
    </xdr:to>
    <xdr:sp macro="" textlink="">
      <xdr:nvSpPr>
        <xdr:cNvPr id="178" name="Line 180"/>
        <xdr:cNvSpPr>
          <a:spLocks noChangeShapeType="1"/>
        </xdr:cNvSpPr>
      </xdr:nvSpPr>
      <xdr:spPr bwMode="auto">
        <a:xfrm flipV="1">
          <a:off x="2514600" y="37528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123825</xdr:colOff>
      <xdr:row>21</xdr:row>
      <xdr:rowOff>161925</xdr:rowOff>
    </xdr:from>
    <xdr:to>
      <xdr:col>25</xdr:col>
      <xdr:colOff>19050</xdr:colOff>
      <xdr:row>23</xdr:row>
      <xdr:rowOff>9525</xdr:rowOff>
    </xdr:to>
    <xdr:sp macro="" textlink="">
      <xdr:nvSpPr>
        <xdr:cNvPr id="179" name="Oval 181"/>
        <xdr:cNvSpPr>
          <a:spLocks noChangeArrowheads="1"/>
        </xdr:cNvSpPr>
      </xdr:nvSpPr>
      <xdr:spPr bwMode="auto">
        <a:xfrm>
          <a:off x="3848100" y="3638550"/>
          <a:ext cx="219075" cy="2286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22</xdr:row>
      <xdr:rowOff>19050</xdr:rowOff>
    </xdr:from>
    <xdr:to>
      <xdr:col>24</xdr:col>
      <xdr:colOff>161925</xdr:colOff>
      <xdr:row>23</xdr:row>
      <xdr:rowOff>19050</xdr:rowOff>
    </xdr:to>
    <xdr:sp macro="" textlink="">
      <xdr:nvSpPr>
        <xdr:cNvPr id="180" name="Text Box 182"/>
        <xdr:cNvSpPr txBox="1">
          <a:spLocks noChangeArrowheads="1"/>
        </xdr:cNvSpPr>
      </xdr:nvSpPr>
      <xdr:spPr bwMode="auto">
        <a:xfrm>
          <a:off x="3886200" y="3686175"/>
          <a:ext cx="161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N2</a:t>
          </a:r>
        </a:p>
      </xdr:txBody>
    </xdr:sp>
    <xdr:clientData/>
  </xdr:twoCellAnchor>
  <xdr:twoCellAnchor>
    <xdr:from>
      <xdr:col>23</xdr:col>
      <xdr:colOff>123825</xdr:colOff>
      <xdr:row>20</xdr:row>
      <xdr:rowOff>76200</xdr:rowOff>
    </xdr:from>
    <xdr:to>
      <xdr:col>25</xdr:col>
      <xdr:colOff>19050</xdr:colOff>
      <xdr:row>21</xdr:row>
      <xdr:rowOff>161925</xdr:rowOff>
    </xdr:to>
    <xdr:sp macro="" textlink="">
      <xdr:nvSpPr>
        <xdr:cNvPr id="181" name="Oval 183"/>
        <xdr:cNvSpPr>
          <a:spLocks noChangeArrowheads="1"/>
        </xdr:cNvSpPr>
      </xdr:nvSpPr>
      <xdr:spPr bwMode="auto">
        <a:xfrm>
          <a:off x="3848100" y="3362325"/>
          <a:ext cx="219075" cy="2762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20</xdr:row>
      <xdr:rowOff>57150</xdr:rowOff>
    </xdr:from>
    <xdr:to>
      <xdr:col>25</xdr:col>
      <xdr:colOff>38100</xdr:colOff>
      <xdr:row>21</xdr:row>
      <xdr:rowOff>180975</xdr:rowOff>
    </xdr:to>
    <xdr:sp macro="" textlink="">
      <xdr:nvSpPr>
        <xdr:cNvPr id="182" name="Text Box 184"/>
        <xdr:cNvSpPr txBox="1">
          <a:spLocks noChangeArrowheads="1"/>
        </xdr:cNvSpPr>
      </xdr:nvSpPr>
      <xdr:spPr bwMode="auto">
        <a:xfrm>
          <a:off x="3867150" y="3343275"/>
          <a:ext cx="2190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23</xdr:col>
      <xdr:colOff>123825</xdr:colOff>
      <xdr:row>18</xdr:row>
      <xdr:rowOff>190500</xdr:rowOff>
    </xdr:from>
    <xdr:to>
      <xdr:col>25</xdr:col>
      <xdr:colOff>19050</xdr:colOff>
      <xdr:row>20</xdr:row>
      <xdr:rowOff>66675</xdr:rowOff>
    </xdr:to>
    <xdr:sp macro="" textlink="">
      <xdr:nvSpPr>
        <xdr:cNvPr id="183" name="Oval 185"/>
        <xdr:cNvSpPr>
          <a:spLocks noChangeArrowheads="1"/>
        </xdr:cNvSpPr>
      </xdr:nvSpPr>
      <xdr:spPr bwMode="auto">
        <a:xfrm>
          <a:off x="3848100" y="3095625"/>
          <a:ext cx="219075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19</xdr:row>
      <xdr:rowOff>19050</xdr:rowOff>
    </xdr:from>
    <xdr:to>
      <xdr:col>25</xdr:col>
      <xdr:colOff>0</xdr:colOff>
      <xdr:row>20</xdr:row>
      <xdr:rowOff>95250</xdr:rowOff>
    </xdr:to>
    <xdr:sp macro="" textlink="">
      <xdr:nvSpPr>
        <xdr:cNvPr id="184" name="Text Box 186"/>
        <xdr:cNvSpPr txBox="1">
          <a:spLocks noChangeArrowheads="1"/>
        </xdr:cNvSpPr>
      </xdr:nvSpPr>
      <xdr:spPr bwMode="auto">
        <a:xfrm>
          <a:off x="3886200" y="3114675"/>
          <a:ext cx="161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114300</xdr:colOff>
      <xdr:row>28</xdr:row>
      <xdr:rowOff>133350</xdr:rowOff>
    </xdr:from>
    <xdr:to>
      <xdr:col>21</xdr:col>
      <xdr:colOff>76200</xdr:colOff>
      <xdr:row>29</xdr:row>
      <xdr:rowOff>180975</xdr:rowOff>
    </xdr:to>
    <xdr:sp macro="" textlink="">
      <xdr:nvSpPr>
        <xdr:cNvPr id="185" name="Oval 187"/>
        <xdr:cNvSpPr>
          <a:spLocks noChangeArrowheads="1"/>
        </xdr:cNvSpPr>
      </xdr:nvSpPr>
      <xdr:spPr bwMode="auto">
        <a:xfrm>
          <a:off x="3352800" y="4943475"/>
          <a:ext cx="12382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28</xdr:row>
      <xdr:rowOff>152400</xdr:rowOff>
    </xdr:from>
    <xdr:to>
      <xdr:col>21</xdr:col>
      <xdr:colOff>38100</xdr:colOff>
      <xdr:row>29</xdr:row>
      <xdr:rowOff>190500</xdr:rowOff>
    </xdr:to>
    <xdr:sp macro="" textlink="">
      <xdr:nvSpPr>
        <xdr:cNvPr id="186" name="Text Box 188"/>
        <xdr:cNvSpPr txBox="1">
          <a:spLocks noChangeArrowheads="1"/>
        </xdr:cNvSpPr>
      </xdr:nvSpPr>
      <xdr:spPr bwMode="auto">
        <a:xfrm>
          <a:off x="3400425" y="4962525"/>
          <a:ext cx="381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17</xdr:col>
      <xdr:colOff>0</xdr:colOff>
      <xdr:row>29</xdr:row>
      <xdr:rowOff>9525</xdr:rowOff>
    </xdr:from>
    <xdr:to>
      <xdr:col>18</xdr:col>
      <xdr:colOff>66675</xdr:colOff>
      <xdr:row>30</xdr:row>
      <xdr:rowOff>57150</xdr:rowOff>
    </xdr:to>
    <xdr:sp macro="" textlink="">
      <xdr:nvSpPr>
        <xdr:cNvPr id="187" name="Oval 189"/>
        <xdr:cNvSpPr>
          <a:spLocks noChangeArrowheads="1"/>
        </xdr:cNvSpPr>
      </xdr:nvSpPr>
      <xdr:spPr bwMode="auto">
        <a:xfrm>
          <a:off x="2752725" y="501015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95250</xdr:colOff>
      <xdr:row>30</xdr:row>
      <xdr:rowOff>142875</xdr:rowOff>
    </xdr:to>
    <xdr:sp macro="" textlink="">
      <xdr:nvSpPr>
        <xdr:cNvPr id="188" name="Text Box 190"/>
        <xdr:cNvSpPr txBox="1">
          <a:spLocks noChangeArrowheads="1"/>
        </xdr:cNvSpPr>
      </xdr:nvSpPr>
      <xdr:spPr bwMode="auto">
        <a:xfrm>
          <a:off x="2752725" y="5000625"/>
          <a:ext cx="2571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14</xdr:col>
      <xdr:colOff>28575</xdr:colOff>
      <xdr:row>25</xdr:row>
      <xdr:rowOff>152400</xdr:rowOff>
    </xdr:from>
    <xdr:to>
      <xdr:col>16</xdr:col>
      <xdr:colOff>38100</xdr:colOff>
      <xdr:row>27</xdr:row>
      <xdr:rowOff>171450</xdr:rowOff>
    </xdr:to>
    <xdr:grpSp>
      <xdr:nvGrpSpPr>
        <xdr:cNvPr id="189" name="Group 191"/>
        <xdr:cNvGrpSpPr>
          <a:grpSpLocks/>
        </xdr:cNvGrpSpPr>
      </xdr:nvGrpSpPr>
      <xdr:grpSpPr bwMode="auto">
        <a:xfrm>
          <a:off x="2285267" y="4138246"/>
          <a:ext cx="331910" cy="331910"/>
          <a:chOff x="295" y="516"/>
          <a:chExt cx="37" cy="39"/>
        </a:xfrm>
      </xdr:grpSpPr>
      <xdr:sp macro="" textlink="">
        <xdr:nvSpPr>
          <xdr:cNvPr id="190" name="Text Box 192"/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N13A</a:t>
            </a:r>
          </a:p>
        </xdr:txBody>
      </xdr:sp>
      <xdr:sp macro="" textlink="">
        <xdr:nvSpPr>
          <xdr:cNvPr id="191" name="Oval 193"/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20</xdr:col>
      <xdr:colOff>66675</xdr:colOff>
      <xdr:row>27</xdr:row>
      <xdr:rowOff>190500</xdr:rowOff>
    </xdr:from>
    <xdr:to>
      <xdr:col>20</xdr:col>
      <xdr:colOff>152400</xdr:colOff>
      <xdr:row>28</xdr:row>
      <xdr:rowOff>76200</xdr:rowOff>
    </xdr:to>
    <xdr:sp macro="" textlink="">
      <xdr:nvSpPr>
        <xdr:cNvPr id="192" name="Oval 194"/>
        <xdr:cNvSpPr>
          <a:spLocks noChangeArrowheads="1"/>
        </xdr:cNvSpPr>
      </xdr:nvSpPr>
      <xdr:spPr bwMode="auto">
        <a:xfrm>
          <a:off x="3305175" y="4810125"/>
          <a:ext cx="85725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152400</xdr:rowOff>
    </xdr:from>
    <xdr:to>
      <xdr:col>21</xdr:col>
      <xdr:colOff>19050</xdr:colOff>
      <xdr:row>27</xdr:row>
      <xdr:rowOff>171450</xdr:rowOff>
    </xdr:to>
    <xdr:grpSp>
      <xdr:nvGrpSpPr>
        <xdr:cNvPr id="193" name="Group 195"/>
        <xdr:cNvGrpSpPr>
          <a:grpSpLocks/>
        </xdr:cNvGrpSpPr>
      </xdr:nvGrpSpPr>
      <xdr:grpSpPr bwMode="auto">
        <a:xfrm>
          <a:off x="3223846" y="4138246"/>
          <a:ext cx="180242" cy="331910"/>
          <a:chOff x="295" y="516"/>
          <a:chExt cx="37" cy="39"/>
        </a:xfrm>
      </xdr:grpSpPr>
      <xdr:sp macro="" textlink="">
        <xdr:nvSpPr>
          <xdr:cNvPr id="194" name="Text Box 196"/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N13B</a:t>
            </a:r>
          </a:p>
        </xdr:txBody>
      </xdr:sp>
      <xdr:sp macro="" textlink="">
        <xdr:nvSpPr>
          <xdr:cNvPr id="195" name="Oval 197"/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95250</xdr:colOff>
      <xdr:row>45</xdr:row>
      <xdr:rowOff>152400</xdr:rowOff>
    </xdr:from>
    <xdr:to>
      <xdr:col>5</xdr:col>
      <xdr:colOff>133350</xdr:colOff>
      <xdr:row>54</xdr:row>
      <xdr:rowOff>85725</xdr:rowOff>
    </xdr:to>
    <xdr:sp macro="" textlink="">
      <xdr:nvSpPr>
        <xdr:cNvPr id="196" name="Text Box 198"/>
        <xdr:cNvSpPr txBox="1">
          <a:spLocks noChangeArrowheads="1"/>
        </xdr:cNvSpPr>
      </xdr:nvSpPr>
      <xdr:spPr bwMode="auto">
        <a:xfrm>
          <a:off x="742950" y="8201025"/>
          <a:ext cx="200025" cy="164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0" rIns="27432" bIns="32004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 (*)    TAN/TAN</a:t>
          </a:r>
        </a:p>
      </xdr:txBody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97" name="Text Box 199"/>
        <xdr:cNvSpPr txBox="1">
          <a:spLocks noChangeArrowheads="1"/>
        </xdr:cNvSpPr>
      </xdr:nvSpPr>
      <xdr:spPr bwMode="auto">
        <a:xfrm>
          <a:off x="2638425" y="9982200"/>
          <a:ext cx="171450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vert="vert270" wrap="square" lIns="27432" tIns="32004" rIns="0" bIns="0" anchor="t" upright="1"/>
        <a:lstStyle/>
        <a:p>
          <a:pPr algn="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ID  (*)</a:t>
          </a:r>
        </a:p>
      </xdr:txBody>
    </xdr:sp>
    <xdr:clientData/>
  </xdr:twoCellAnchor>
  <xdr:twoCellAnchor>
    <xdr:from>
      <xdr:col>22</xdr:col>
      <xdr:colOff>142875</xdr:colOff>
      <xdr:row>51</xdr:row>
      <xdr:rowOff>28575</xdr:rowOff>
    </xdr:from>
    <xdr:to>
      <xdr:col>23</xdr:col>
      <xdr:colOff>123825</xdr:colOff>
      <xdr:row>52</xdr:row>
      <xdr:rowOff>57150</xdr:rowOff>
    </xdr:to>
    <xdr:grpSp>
      <xdr:nvGrpSpPr>
        <xdr:cNvPr id="198" name="Group 200"/>
        <xdr:cNvGrpSpPr>
          <a:grpSpLocks/>
        </xdr:cNvGrpSpPr>
      </xdr:nvGrpSpPr>
      <xdr:grpSpPr bwMode="auto">
        <a:xfrm>
          <a:off x="3689106" y="8205421"/>
          <a:ext cx="142142" cy="189767"/>
          <a:chOff x="1007" y="715"/>
          <a:chExt cx="16" cy="20"/>
        </a:xfrm>
      </xdr:grpSpPr>
      <xdr:sp macro="" textlink="">
        <xdr:nvSpPr>
          <xdr:cNvPr id="199" name="Line 201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202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104775</xdr:colOff>
      <xdr:row>51</xdr:row>
      <xdr:rowOff>123825</xdr:rowOff>
    </xdr:from>
    <xdr:to>
      <xdr:col>26</xdr:col>
      <xdr:colOff>76200</xdr:colOff>
      <xdr:row>51</xdr:row>
      <xdr:rowOff>123825</xdr:rowOff>
    </xdr:to>
    <xdr:sp macro="" textlink="">
      <xdr:nvSpPr>
        <xdr:cNvPr id="201" name="Line 203"/>
        <xdr:cNvSpPr>
          <a:spLocks noChangeShapeType="1"/>
        </xdr:cNvSpPr>
      </xdr:nvSpPr>
      <xdr:spPr bwMode="auto">
        <a:xfrm flipH="1">
          <a:off x="3829050" y="93154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28575</xdr:colOff>
      <xdr:row>47</xdr:row>
      <xdr:rowOff>9525</xdr:rowOff>
    </xdr:from>
    <xdr:to>
      <xdr:col>13</xdr:col>
      <xdr:colOff>9525</xdr:colOff>
      <xdr:row>48</xdr:row>
      <xdr:rowOff>9525</xdr:rowOff>
    </xdr:to>
    <xdr:grpSp>
      <xdr:nvGrpSpPr>
        <xdr:cNvPr id="202" name="Group 204"/>
        <xdr:cNvGrpSpPr>
          <a:grpSpLocks/>
        </xdr:cNvGrpSpPr>
      </xdr:nvGrpSpPr>
      <xdr:grpSpPr bwMode="auto">
        <a:xfrm rot="10800000">
          <a:off x="1962883" y="7541602"/>
          <a:ext cx="142142" cy="161192"/>
          <a:chOff x="1007" y="715"/>
          <a:chExt cx="16" cy="20"/>
        </a:xfrm>
      </xdr:grpSpPr>
      <xdr:sp macro="" textlink="">
        <xdr:nvSpPr>
          <xdr:cNvPr id="203" name="Line 205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06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47</xdr:row>
      <xdr:rowOff>0</xdr:rowOff>
    </xdr:from>
    <xdr:to>
      <xdr:col>12</xdr:col>
      <xdr:colOff>0</xdr:colOff>
      <xdr:row>48</xdr:row>
      <xdr:rowOff>85725</xdr:rowOff>
    </xdr:to>
    <xdr:grpSp>
      <xdr:nvGrpSpPr>
        <xdr:cNvPr id="205" name="Group 207"/>
        <xdr:cNvGrpSpPr>
          <a:grpSpLocks/>
        </xdr:cNvGrpSpPr>
      </xdr:nvGrpSpPr>
      <xdr:grpSpPr bwMode="auto">
        <a:xfrm>
          <a:off x="1271221" y="7532077"/>
          <a:ext cx="663087" cy="246917"/>
          <a:chOff x="181" y="884"/>
          <a:chExt cx="75" cy="30"/>
        </a:xfrm>
      </xdr:grpSpPr>
      <xdr:sp macro="" textlink="">
        <xdr:nvSpPr>
          <xdr:cNvPr id="206" name="Oval 208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07" name="Group 209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08" name="Line 210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9" name="Text Box 211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N12</a:t>
              </a:r>
            </a:p>
          </xdr:txBody>
        </xdr:sp>
      </xdr:grpSp>
    </xdr:grpSp>
    <xdr:clientData/>
  </xdr:twoCellAnchor>
  <xdr:twoCellAnchor>
    <xdr:from>
      <xdr:col>16</xdr:col>
      <xdr:colOff>19050</xdr:colOff>
      <xdr:row>58</xdr:row>
      <xdr:rowOff>38100</xdr:rowOff>
    </xdr:from>
    <xdr:to>
      <xdr:col>16</xdr:col>
      <xdr:colOff>104775</xdr:colOff>
      <xdr:row>58</xdr:row>
      <xdr:rowOff>123825</xdr:rowOff>
    </xdr:to>
    <xdr:sp macro="" textlink="">
      <xdr:nvSpPr>
        <xdr:cNvPr id="210" name="Oval 212"/>
        <xdr:cNvSpPr>
          <a:spLocks noChangeArrowheads="1"/>
        </xdr:cNvSpPr>
      </xdr:nvSpPr>
      <xdr:spPr bwMode="auto">
        <a:xfrm>
          <a:off x="2609850" y="10563225"/>
          <a:ext cx="85725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211" name="Oval 213"/>
        <xdr:cNvSpPr>
          <a:spLocks noChangeArrowheads="1"/>
        </xdr:cNvSpPr>
      </xdr:nvSpPr>
      <xdr:spPr bwMode="auto">
        <a:xfrm>
          <a:off x="4286250" y="76962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212" name="Text Box 214"/>
        <xdr:cNvSpPr txBox="1">
          <a:spLocks noChangeArrowheads="1"/>
        </xdr:cNvSpPr>
      </xdr:nvSpPr>
      <xdr:spPr bwMode="auto">
        <a:xfrm>
          <a:off x="4333875" y="7743825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20</xdr:col>
      <xdr:colOff>38100</xdr:colOff>
      <xdr:row>36</xdr:row>
      <xdr:rowOff>19050</xdr:rowOff>
    </xdr:from>
    <xdr:to>
      <xdr:col>21</xdr:col>
      <xdr:colOff>0</xdr:colOff>
      <xdr:row>37</xdr:row>
      <xdr:rowOff>66675</xdr:rowOff>
    </xdr:to>
    <xdr:sp macro="" textlink="">
      <xdr:nvSpPr>
        <xdr:cNvPr id="213" name="Oval 215"/>
        <xdr:cNvSpPr>
          <a:spLocks noChangeArrowheads="1"/>
        </xdr:cNvSpPr>
      </xdr:nvSpPr>
      <xdr:spPr bwMode="auto">
        <a:xfrm>
          <a:off x="3276600" y="6353175"/>
          <a:ext cx="12382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76200</xdr:colOff>
      <xdr:row>36</xdr:row>
      <xdr:rowOff>9525</xdr:rowOff>
    </xdr:from>
    <xdr:to>
      <xdr:col>20</xdr:col>
      <xdr:colOff>257175</xdr:colOff>
      <xdr:row>38</xdr:row>
      <xdr:rowOff>28575</xdr:rowOff>
    </xdr:to>
    <xdr:sp macro="" textlink="">
      <xdr:nvSpPr>
        <xdr:cNvPr id="214" name="Text Box 216"/>
        <xdr:cNvSpPr txBox="1">
          <a:spLocks noChangeArrowheads="1"/>
        </xdr:cNvSpPr>
      </xdr:nvSpPr>
      <xdr:spPr bwMode="auto">
        <a:xfrm>
          <a:off x="3314700" y="6343650"/>
          <a:ext cx="857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N13B</a:t>
          </a:r>
        </a:p>
      </xdr:txBody>
    </xdr:sp>
    <xdr:clientData/>
  </xdr:twoCellAnchor>
  <xdr:twoCellAnchor>
    <xdr:from>
      <xdr:col>17</xdr:col>
      <xdr:colOff>123825</xdr:colOff>
      <xdr:row>20</xdr:row>
      <xdr:rowOff>38100</xdr:rowOff>
    </xdr:from>
    <xdr:to>
      <xdr:col>18</xdr:col>
      <xdr:colOff>190500</xdr:colOff>
      <xdr:row>21</xdr:row>
      <xdr:rowOff>123825</xdr:rowOff>
    </xdr:to>
    <xdr:sp macro="" textlink="">
      <xdr:nvSpPr>
        <xdr:cNvPr id="215" name="Oval 217"/>
        <xdr:cNvSpPr>
          <a:spLocks noChangeArrowheads="1"/>
        </xdr:cNvSpPr>
      </xdr:nvSpPr>
      <xdr:spPr bwMode="auto">
        <a:xfrm>
          <a:off x="2876550" y="3324225"/>
          <a:ext cx="200025" cy="2762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161925</xdr:colOff>
      <xdr:row>20</xdr:row>
      <xdr:rowOff>38100</xdr:rowOff>
    </xdr:from>
    <xdr:to>
      <xdr:col>18</xdr:col>
      <xdr:colOff>180975</xdr:colOff>
      <xdr:row>22</xdr:row>
      <xdr:rowOff>19050</xdr:rowOff>
    </xdr:to>
    <xdr:sp macro="" textlink="">
      <xdr:nvSpPr>
        <xdr:cNvPr id="216" name="Text Box 218"/>
        <xdr:cNvSpPr txBox="1">
          <a:spLocks noChangeArrowheads="1"/>
        </xdr:cNvSpPr>
      </xdr:nvSpPr>
      <xdr:spPr bwMode="auto">
        <a:xfrm>
          <a:off x="2914650" y="3324225"/>
          <a:ext cx="1619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95250</xdr:colOff>
      <xdr:row>36</xdr:row>
      <xdr:rowOff>38100</xdr:rowOff>
    </xdr:from>
    <xdr:to>
      <xdr:col>15</xdr:col>
      <xdr:colOff>161925</xdr:colOff>
      <xdr:row>38</xdr:row>
      <xdr:rowOff>0</xdr:rowOff>
    </xdr:to>
    <xdr:sp macro="" textlink="">
      <xdr:nvSpPr>
        <xdr:cNvPr id="217" name="Oval 219"/>
        <xdr:cNvSpPr>
          <a:spLocks noChangeArrowheads="1"/>
        </xdr:cNvSpPr>
      </xdr:nvSpPr>
      <xdr:spPr bwMode="auto">
        <a:xfrm>
          <a:off x="2362200" y="6372225"/>
          <a:ext cx="228600" cy="3429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133350</xdr:colOff>
      <xdr:row>36</xdr:row>
      <xdr:rowOff>28575</xdr:rowOff>
    </xdr:from>
    <xdr:to>
      <xdr:col>15</xdr:col>
      <xdr:colOff>142875</xdr:colOff>
      <xdr:row>39</xdr:row>
      <xdr:rowOff>85725</xdr:rowOff>
    </xdr:to>
    <xdr:sp macro="" textlink="">
      <xdr:nvSpPr>
        <xdr:cNvPr id="218" name="Text Box 220"/>
        <xdr:cNvSpPr txBox="1">
          <a:spLocks noChangeArrowheads="1"/>
        </xdr:cNvSpPr>
      </xdr:nvSpPr>
      <xdr:spPr bwMode="auto">
        <a:xfrm>
          <a:off x="2400300" y="6362700"/>
          <a:ext cx="1714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N13A</a:t>
          </a:r>
        </a:p>
      </xdr:txBody>
    </xdr:sp>
    <xdr:clientData/>
  </xdr:twoCellAnchor>
  <xdr:twoCellAnchor>
    <xdr:from>
      <xdr:col>17</xdr:col>
      <xdr:colOff>161925</xdr:colOff>
      <xdr:row>43</xdr:row>
      <xdr:rowOff>133350</xdr:rowOff>
    </xdr:from>
    <xdr:to>
      <xdr:col>18</xdr:col>
      <xdr:colOff>219075</xdr:colOff>
      <xdr:row>44</xdr:row>
      <xdr:rowOff>152400</xdr:rowOff>
    </xdr:to>
    <xdr:sp macro="" textlink="">
      <xdr:nvSpPr>
        <xdr:cNvPr id="219" name="Oval 221"/>
        <xdr:cNvSpPr>
          <a:spLocks noChangeArrowheads="1"/>
        </xdr:cNvSpPr>
      </xdr:nvSpPr>
      <xdr:spPr bwMode="auto">
        <a:xfrm>
          <a:off x="2914650" y="7800975"/>
          <a:ext cx="161925" cy="209550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25</xdr:row>
      <xdr:rowOff>38100</xdr:rowOff>
    </xdr:from>
    <xdr:to>
      <xdr:col>7</xdr:col>
      <xdr:colOff>161925</xdr:colOff>
      <xdr:row>26</xdr:row>
      <xdr:rowOff>85725</xdr:rowOff>
    </xdr:to>
    <xdr:sp macro="" textlink="">
      <xdr:nvSpPr>
        <xdr:cNvPr id="220" name="Oval 222"/>
        <xdr:cNvSpPr>
          <a:spLocks noChangeArrowheads="1"/>
        </xdr:cNvSpPr>
      </xdr:nvSpPr>
      <xdr:spPr bwMode="auto">
        <a:xfrm>
          <a:off x="1066800" y="4276725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29</xdr:row>
      <xdr:rowOff>104775</xdr:rowOff>
    </xdr:from>
    <xdr:to>
      <xdr:col>7</xdr:col>
      <xdr:colOff>161925</xdr:colOff>
      <xdr:row>30</xdr:row>
      <xdr:rowOff>152400</xdr:rowOff>
    </xdr:to>
    <xdr:sp macro="" textlink="">
      <xdr:nvSpPr>
        <xdr:cNvPr id="221" name="Oval 223"/>
        <xdr:cNvSpPr>
          <a:spLocks noChangeArrowheads="1"/>
        </xdr:cNvSpPr>
      </xdr:nvSpPr>
      <xdr:spPr bwMode="auto">
        <a:xfrm>
          <a:off x="1066800" y="51054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29</xdr:row>
      <xdr:rowOff>123825</xdr:rowOff>
    </xdr:from>
    <xdr:to>
      <xdr:col>7</xdr:col>
      <xdr:colOff>133350</xdr:colOff>
      <xdr:row>31</xdr:row>
      <xdr:rowOff>85725</xdr:rowOff>
    </xdr:to>
    <xdr:sp macro="" textlink="">
      <xdr:nvSpPr>
        <xdr:cNvPr id="222" name="Text Box 224"/>
        <xdr:cNvSpPr txBox="1">
          <a:spLocks noChangeArrowheads="1"/>
        </xdr:cNvSpPr>
      </xdr:nvSpPr>
      <xdr:spPr bwMode="auto">
        <a:xfrm>
          <a:off x="1104900" y="5124450"/>
          <a:ext cx="1619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6</xdr:col>
      <xdr:colOff>133350</xdr:colOff>
      <xdr:row>25</xdr:row>
      <xdr:rowOff>57150</xdr:rowOff>
    </xdr:from>
    <xdr:to>
      <xdr:col>7</xdr:col>
      <xdr:colOff>152400</xdr:colOff>
      <xdr:row>26</xdr:row>
      <xdr:rowOff>114300</xdr:rowOff>
    </xdr:to>
    <xdr:sp macro="" textlink="">
      <xdr:nvSpPr>
        <xdr:cNvPr id="223" name="Text Box 225"/>
        <xdr:cNvSpPr txBox="1">
          <a:spLocks noChangeArrowheads="1"/>
        </xdr:cNvSpPr>
      </xdr:nvSpPr>
      <xdr:spPr bwMode="auto">
        <a:xfrm>
          <a:off x="1104900" y="4295775"/>
          <a:ext cx="18097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23</xdr:col>
      <xdr:colOff>114300</xdr:colOff>
      <xdr:row>17</xdr:row>
      <xdr:rowOff>133350</xdr:rowOff>
    </xdr:from>
    <xdr:to>
      <xdr:col>25</xdr:col>
      <xdr:colOff>9525</xdr:colOff>
      <xdr:row>18</xdr:row>
      <xdr:rowOff>180975</xdr:rowOff>
    </xdr:to>
    <xdr:sp macro="" textlink="">
      <xdr:nvSpPr>
        <xdr:cNvPr id="224" name="Oval 226"/>
        <xdr:cNvSpPr>
          <a:spLocks noChangeArrowheads="1"/>
        </xdr:cNvSpPr>
      </xdr:nvSpPr>
      <xdr:spPr bwMode="auto">
        <a:xfrm>
          <a:off x="3838575" y="2847975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17</xdr:row>
      <xdr:rowOff>180975</xdr:rowOff>
    </xdr:from>
    <xdr:to>
      <xdr:col>24</xdr:col>
      <xdr:colOff>152400</xdr:colOff>
      <xdr:row>19</xdr:row>
      <xdr:rowOff>0</xdr:rowOff>
    </xdr:to>
    <xdr:sp macro="" textlink="">
      <xdr:nvSpPr>
        <xdr:cNvPr id="225" name="Text Box 227"/>
        <xdr:cNvSpPr txBox="1">
          <a:spLocks noChangeArrowheads="1"/>
        </xdr:cNvSpPr>
      </xdr:nvSpPr>
      <xdr:spPr bwMode="auto">
        <a:xfrm>
          <a:off x="3867150" y="2895600"/>
          <a:ext cx="1714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12</xdr:col>
      <xdr:colOff>28575</xdr:colOff>
      <xdr:row>27</xdr:row>
      <xdr:rowOff>133350</xdr:rowOff>
    </xdr:from>
    <xdr:to>
      <xdr:col>13</xdr:col>
      <xdr:colOff>9525</xdr:colOff>
      <xdr:row>28</xdr:row>
      <xdr:rowOff>133350</xdr:rowOff>
    </xdr:to>
    <xdr:grpSp>
      <xdr:nvGrpSpPr>
        <xdr:cNvPr id="226" name="Group 228"/>
        <xdr:cNvGrpSpPr>
          <a:grpSpLocks/>
        </xdr:cNvGrpSpPr>
      </xdr:nvGrpSpPr>
      <xdr:grpSpPr bwMode="auto">
        <a:xfrm rot="10800000">
          <a:off x="1962883" y="4441581"/>
          <a:ext cx="142142" cy="161192"/>
          <a:chOff x="1007" y="715"/>
          <a:chExt cx="16" cy="20"/>
        </a:xfrm>
      </xdr:grpSpPr>
      <xdr:sp macro="" textlink="">
        <xdr:nvSpPr>
          <xdr:cNvPr id="227" name="Line 229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230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85725</xdr:colOff>
      <xdr:row>59</xdr:row>
      <xdr:rowOff>152400</xdr:rowOff>
    </xdr:from>
    <xdr:to>
      <xdr:col>7</xdr:col>
      <xdr:colOff>76200</xdr:colOff>
      <xdr:row>61</xdr:row>
      <xdr:rowOff>180975</xdr:rowOff>
    </xdr:to>
    <xdr:sp macro="" textlink="">
      <xdr:nvSpPr>
        <xdr:cNvPr id="229" name="Text Box 231"/>
        <xdr:cNvSpPr txBox="1">
          <a:spLocks noChangeArrowheads="1"/>
        </xdr:cNvSpPr>
      </xdr:nvSpPr>
      <xdr:spPr bwMode="auto">
        <a:xfrm>
          <a:off x="1057275" y="10868025"/>
          <a:ext cx="152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7</xdr:col>
      <xdr:colOff>161925</xdr:colOff>
      <xdr:row>48</xdr:row>
      <xdr:rowOff>152400</xdr:rowOff>
    </xdr:from>
    <xdr:to>
      <xdr:col>9</xdr:col>
      <xdr:colOff>28575</xdr:colOff>
      <xdr:row>50</xdr:row>
      <xdr:rowOff>47625</xdr:rowOff>
    </xdr:to>
    <xdr:sp macro="" textlink="">
      <xdr:nvSpPr>
        <xdr:cNvPr id="230" name="Text Box 232"/>
        <xdr:cNvSpPr txBox="1">
          <a:spLocks noChangeArrowheads="1"/>
        </xdr:cNvSpPr>
      </xdr:nvSpPr>
      <xdr:spPr bwMode="auto">
        <a:xfrm>
          <a:off x="1295400" y="8772525"/>
          <a:ext cx="1905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12</xdr:col>
      <xdr:colOff>28575</xdr:colOff>
      <xdr:row>48</xdr:row>
      <xdr:rowOff>161925</xdr:rowOff>
    </xdr:from>
    <xdr:to>
      <xdr:col>13</xdr:col>
      <xdr:colOff>9525</xdr:colOff>
      <xdr:row>49</xdr:row>
      <xdr:rowOff>161925</xdr:rowOff>
    </xdr:to>
    <xdr:grpSp>
      <xdr:nvGrpSpPr>
        <xdr:cNvPr id="231" name="Group 233"/>
        <xdr:cNvGrpSpPr>
          <a:grpSpLocks/>
        </xdr:cNvGrpSpPr>
      </xdr:nvGrpSpPr>
      <xdr:grpSpPr bwMode="auto">
        <a:xfrm rot="10800000">
          <a:off x="1962883" y="7855194"/>
          <a:ext cx="142142" cy="161193"/>
          <a:chOff x="1007" y="715"/>
          <a:chExt cx="16" cy="20"/>
        </a:xfrm>
      </xdr:grpSpPr>
      <xdr:sp macro="" textlink="">
        <xdr:nvSpPr>
          <xdr:cNvPr id="232" name="Line 234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Line 235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38100</xdr:colOff>
      <xdr:row>49</xdr:row>
      <xdr:rowOff>57150</xdr:rowOff>
    </xdr:from>
    <xdr:to>
      <xdr:col>12</xdr:col>
      <xdr:colOff>9525</xdr:colOff>
      <xdr:row>49</xdr:row>
      <xdr:rowOff>57150</xdr:rowOff>
    </xdr:to>
    <xdr:sp macro="" textlink="">
      <xdr:nvSpPr>
        <xdr:cNvPr id="234" name="Line 236"/>
        <xdr:cNvSpPr>
          <a:spLocks noChangeShapeType="1"/>
        </xdr:cNvSpPr>
      </xdr:nvSpPr>
      <xdr:spPr bwMode="auto">
        <a:xfrm flipH="1">
          <a:off x="1495425" y="886777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42</xdr:row>
      <xdr:rowOff>171450</xdr:rowOff>
    </xdr:from>
    <xdr:to>
      <xdr:col>13</xdr:col>
      <xdr:colOff>19050</xdr:colOff>
      <xdr:row>43</xdr:row>
      <xdr:rowOff>171450</xdr:rowOff>
    </xdr:to>
    <xdr:grpSp>
      <xdr:nvGrpSpPr>
        <xdr:cNvPr id="235" name="Group 237"/>
        <xdr:cNvGrpSpPr>
          <a:grpSpLocks/>
        </xdr:cNvGrpSpPr>
      </xdr:nvGrpSpPr>
      <xdr:grpSpPr bwMode="auto">
        <a:xfrm rot="10800000">
          <a:off x="1972408" y="6888040"/>
          <a:ext cx="142142" cy="161193"/>
          <a:chOff x="1007" y="715"/>
          <a:chExt cx="16" cy="20"/>
        </a:xfrm>
      </xdr:grpSpPr>
      <xdr:sp macro="" textlink="">
        <xdr:nvSpPr>
          <xdr:cNvPr id="236" name="Line 238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39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42</xdr:row>
      <xdr:rowOff>152400</xdr:rowOff>
    </xdr:from>
    <xdr:to>
      <xdr:col>12</xdr:col>
      <xdr:colOff>19050</xdr:colOff>
      <xdr:row>44</xdr:row>
      <xdr:rowOff>47625</xdr:rowOff>
    </xdr:to>
    <xdr:grpSp>
      <xdr:nvGrpSpPr>
        <xdr:cNvPr id="238" name="Group 240"/>
        <xdr:cNvGrpSpPr>
          <a:grpSpLocks/>
        </xdr:cNvGrpSpPr>
      </xdr:nvGrpSpPr>
      <xdr:grpSpPr bwMode="auto">
        <a:xfrm>
          <a:off x="1289538" y="6878515"/>
          <a:ext cx="663820" cy="217610"/>
          <a:chOff x="181" y="884"/>
          <a:chExt cx="75" cy="30"/>
        </a:xfrm>
      </xdr:grpSpPr>
      <xdr:sp macro="" textlink="">
        <xdr:nvSpPr>
          <xdr:cNvPr id="239" name="Oval 241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40" name="Group 242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41" name="Line 243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2" name="Text Box 244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N14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25</xdr:row>
      <xdr:rowOff>38100</xdr:rowOff>
    </xdr:from>
    <xdr:to>
      <xdr:col>9</xdr:col>
      <xdr:colOff>95250</xdr:colOff>
      <xdr:row>26</xdr:row>
      <xdr:rowOff>85725</xdr:rowOff>
    </xdr:to>
    <xdr:sp macro="" textlink="">
      <xdr:nvSpPr>
        <xdr:cNvPr id="243" name="Oval 245"/>
        <xdr:cNvSpPr>
          <a:spLocks noChangeArrowheads="1"/>
        </xdr:cNvSpPr>
      </xdr:nvSpPr>
      <xdr:spPr bwMode="auto">
        <a:xfrm>
          <a:off x="1323975" y="4276725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29</xdr:row>
      <xdr:rowOff>123825</xdr:rowOff>
    </xdr:from>
    <xdr:to>
      <xdr:col>9</xdr:col>
      <xdr:colOff>76200</xdr:colOff>
      <xdr:row>30</xdr:row>
      <xdr:rowOff>171450</xdr:rowOff>
    </xdr:to>
    <xdr:sp macro="" textlink="">
      <xdr:nvSpPr>
        <xdr:cNvPr id="244" name="Oval 246"/>
        <xdr:cNvSpPr>
          <a:spLocks noChangeArrowheads="1"/>
        </xdr:cNvSpPr>
      </xdr:nvSpPr>
      <xdr:spPr bwMode="auto">
        <a:xfrm>
          <a:off x="1304925" y="512445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66675</xdr:colOff>
      <xdr:row>25</xdr:row>
      <xdr:rowOff>57150</xdr:rowOff>
    </xdr:from>
    <xdr:to>
      <xdr:col>9</xdr:col>
      <xdr:colOff>66675</xdr:colOff>
      <xdr:row>27</xdr:row>
      <xdr:rowOff>57150</xdr:rowOff>
    </xdr:to>
    <xdr:sp macro="" textlink="">
      <xdr:nvSpPr>
        <xdr:cNvPr id="245" name="Text Box 247"/>
        <xdr:cNvSpPr txBox="1">
          <a:spLocks noChangeArrowheads="1"/>
        </xdr:cNvSpPr>
      </xdr:nvSpPr>
      <xdr:spPr bwMode="auto">
        <a:xfrm>
          <a:off x="1362075" y="4295775"/>
          <a:ext cx="1619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N14</a:t>
          </a:r>
        </a:p>
      </xdr:txBody>
    </xdr:sp>
    <xdr:clientData/>
  </xdr:twoCellAnchor>
  <xdr:twoCellAnchor>
    <xdr:from>
      <xdr:col>8</xdr:col>
      <xdr:colOff>47625</xdr:colOff>
      <xdr:row>29</xdr:row>
      <xdr:rowOff>171450</xdr:rowOff>
    </xdr:from>
    <xdr:to>
      <xdr:col>9</xdr:col>
      <xdr:colOff>47625</xdr:colOff>
      <xdr:row>31</xdr:row>
      <xdr:rowOff>142875</xdr:rowOff>
    </xdr:to>
    <xdr:sp macro="" textlink="">
      <xdr:nvSpPr>
        <xdr:cNvPr id="246" name="Text Box 248"/>
        <xdr:cNvSpPr txBox="1">
          <a:spLocks noChangeArrowheads="1"/>
        </xdr:cNvSpPr>
      </xdr:nvSpPr>
      <xdr:spPr bwMode="auto">
        <a:xfrm>
          <a:off x="1343025" y="5172075"/>
          <a:ext cx="1619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114300</xdr:colOff>
      <xdr:row>24</xdr:row>
      <xdr:rowOff>161925</xdr:rowOff>
    </xdr:from>
    <xdr:to>
      <xdr:col>26</xdr:col>
      <xdr:colOff>133350</xdr:colOff>
      <xdr:row>25</xdr:row>
      <xdr:rowOff>114300</xdr:rowOff>
    </xdr:to>
    <xdr:sp macro="" textlink="">
      <xdr:nvSpPr>
        <xdr:cNvPr id="4" name="Text Box 40"/>
        <xdr:cNvSpPr txBox="1">
          <a:spLocks noChangeArrowheads="1"/>
        </xdr:cNvSpPr>
      </xdr:nvSpPr>
      <xdr:spPr bwMode="auto">
        <a:xfrm>
          <a:off x="4324350" y="4210050"/>
          <a:ext cx="190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42</xdr:row>
      <xdr:rowOff>123825</xdr:rowOff>
    </xdr:from>
    <xdr:to>
      <xdr:col>34</xdr:col>
      <xdr:colOff>57150</xdr:colOff>
      <xdr:row>43</xdr:row>
      <xdr:rowOff>133349</xdr:rowOff>
    </xdr:to>
    <xdr:sp macro="" textlink="">
      <xdr:nvSpPr>
        <xdr:cNvPr id="5" name="Text Box 56"/>
        <xdr:cNvSpPr txBox="1">
          <a:spLocks noChangeArrowheads="1"/>
        </xdr:cNvSpPr>
      </xdr:nvSpPr>
      <xdr:spPr bwMode="auto">
        <a:xfrm>
          <a:off x="5505450" y="7600950"/>
          <a:ext cx="571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42</xdr:row>
      <xdr:rowOff>161925</xdr:rowOff>
    </xdr:from>
    <xdr:to>
      <xdr:col>29</xdr:col>
      <xdr:colOff>123825</xdr:colOff>
      <xdr:row>43</xdr:row>
      <xdr:rowOff>133350</xdr:rowOff>
    </xdr:to>
    <xdr:sp macro="" textlink="">
      <xdr:nvSpPr>
        <xdr:cNvPr id="6" name="Text Box 70"/>
        <xdr:cNvSpPr txBox="1">
          <a:spLocks noChangeArrowheads="1"/>
        </xdr:cNvSpPr>
      </xdr:nvSpPr>
      <xdr:spPr bwMode="auto">
        <a:xfrm>
          <a:off x="4676775" y="7639050"/>
          <a:ext cx="1428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" name="Text Box 72"/>
        <xdr:cNvSpPr txBox="1">
          <a:spLocks noChangeArrowheads="1"/>
        </xdr:cNvSpPr>
      </xdr:nvSpPr>
      <xdr:spPr bwMode="auto">
        <a:xfrm>
          <a:off x="4676775" y="9382125"/>
          <a:ext cx="152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8" name="Text Box 95"/>
        <xdr:cNvSpPr txBox="1">
          <a:spLocks noChangeArrowheads="1"/>
        </xdr:cNvSpPr>
      </xdr:nvSpPr>
      <xdr:spPr bwMode="auto">
        <a:xfrm>
          <a:off x="4362450" y="11077575"/>
          <a:ext cx="1619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9" name="Text Box 107"/>
        <xdr:cNvSpPr txBox="1">
          <a:spLocks noChangeArrowheads="1"/>
        </xdr:cNvSpPr>
      </xdr:nvSpPr>
      <xdr:spPr bwMode="auto">
        <a:xfrm>
          <a:off x="4333875" y="7553325"/>
          <a:ext cx="171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45</xdr:row>
      <xdr:rowOff>142875</xdr:rowOff>
    </xdr:from>
    <xdr:to>
      <xdr:col>20</xdr:col>
      <xdr:colOff>9525</xdr:colOff>
      <xdr:row>46</xdr:row>
      <xdr:rowOff>66675</xdr:rowOff>
    </xdr:to>
    <xdr:sp macro="" textlink="">
      <xdr:nvSpPr>
        <xdr:cNvPr id="10" name="Text Box 109"/>
        <xdr:cNvSpPr txBox="1">
          <a:spLocks noChangeArrowheads="1"/>
        </xdr:cNvSpPr>
      </xdr:nvSpPr>
      <xdr:spPr bwMode="auto">
        <a:xfrm>
          <a:off x="3076575" y="8191500"/>
          <a:ext cx="1714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1" name="Text Box 110"/>
        <xdr:cNvSpPr txBox="1">
          <a:spLocks noChangeArrowheads="1"/>
        </xdr:cNvSpPr>
      </xdr:nvSpPr>
      <xdr:spPr bwMode="auto">
        <a:xfrm>
          <a:off x="2705100" y="9972675"/>
          <a:ext cx="76200" cy="161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85725</xdr:colOff>
      <xdr:row>30</xdr:row>
      <xdr:rowOff>171450</xdr:rowOff>
    </xdr:from>
    <xdr:to>
      <xdr:col>35</xdr:col>
      <xdr:colOff>85725</xdr:colOff>
      <xdr:row>34</xdr:row>
      <xdr:rowOff>38100</xdr:rowOff>
    </xdr:to>
    <xdr:sp macro="" textlink="">
      <xdr:nvSpPr>
        <xdr:cNvPr id="12" name="Text Box 130"/>
        <xdr:cNvSpPr txBox="1">
          <a:spLocks noChangeArrowheads="1"/>
        </xdr:cNvSpPr>
      </xdr:nvSpPr>
      <xdr:spPr bwMode="auto">
        <a:xfrm>
          <a:off x="5591175" y="5362575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38100</xdr:colOff>
      <xdr:row>49</xdr:row>
      <xdr:rowOff>180975</xdr:rowOff>
    </xdr:from>
    <xdr:to>
      <xdr:col>21</xdr:col>
      <xdr:colOff>47625</xdr:colOff>
      <xdr:row>51</xdr:row>
      <xdr:rowOff>114300</xdr:rowOff>
    </xdr:to>
    <xdr:sp macro="" textlink="">
      <xdr:nvSpPr>
        <xdr:cNvPr id="13" name="Text Box 148"/>
        <xdr:cNvSpPr txBox="1">
          <a:spLocks noChangeArrowheads="1"/>
        </xdr:cNvSpPr>
      </xdr:nvSpPr>
      <xdr:spPr bwMode="auto">
        <a:xfrm>
          <a:off x="3276600" y="8991600"/>
          <a:ext cx="1714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25</xdr:row>
      <xdr:rowOff>152400</xdr:rowOff>
    </xdr:from>
    <xdr:to>
      <xdr:col>9</xdr:col>
      <xdr:colOff>57150</xdr:colOff>
      <xdr:row>27</xdr:row>
      <xdr:rowOff>0</xdr:rowOff>
    </xdr:to>
    <xdr:sp macro="" textlink="">
      <xdr:nvSpPr>
        <xdr:cNvPr id="14" name="Text Box 162"/>
        <xdr:cNvSpPr txBox="1">
          <a:spLocks noChangeArrowheads="1"/>
        </xdr:cNvSpPr>
      </xdr:nvSpPr>
      <xdr:spPr bwMode="auto">
        <a:xfrm>
          <a:off x="1343025" y="4391025"/>
          <a:ext cx="171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142875</xdr:colOff>
      <xdr:row>28</xdr:row>
      <xdr:rowOff>133350</xdr:rowOff>
    </xdr:from>
    <xdr:to>
      <xdr:col>7</xdr:col>
      <xdr:colOff>152400</xdr:colOff>
      <xdr:row>30</xdr:row>
      <xdr:rowOff>19050</xdr:rowOff>
    </xdr:to>
    <xdr:sp macro="" textlink="">
      <xdr:nvSpPr>
        <xdr:cNvPr id="15" name="Text Box 163"/>
        <xdr:cNvSpPr txBox="1">
          <a:spLocks noChangeArrowheads="1"/>
        </xdr:cNvSpPr>
      </xdr:nvSpPr>
      <xdr:spPr bwMode="auto">
        <a:xfrm>
          <a:off x="1114425" y="4943475"/>
          <a:ext cx="171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27</xdr:row>
      <xdr:rowOff>57150</xdr:rowOff>
    </xdr:from>
    <xdr:to>
      <xdr:col>9</xdr:col>
      <xdr:colOff>57150</xdr:colOff>
      <xdr:row>28</xdr:row>
      <xdr:rowOff>152400</xdr:rowOff>
    </xdr:to>
    <xdr:sp macro="" textlink="">
      <xdr:nvSpPr>
        <xdr:cNvPr id="16" name="Text Box 165"/>
        <xdr:cNvSpPr txBox="1">
          <a:spLocks noChangeArrowheads="1"/>
        </xdr:cNvSpPr>
      </xdr:nvSpPr>
      <xdr:spPr bwMode="auto">
        <a:xfrm>
          <a:off x="1343025" y="4676775"/>
          <a:ext cx="1714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152400</xdr:colOff>
      <xdr:row>19</xdr:row>
      <xdr:rowOff>123825</xdr:rowOff>
    </xdr:from>
    <xdr:to>
      <xdr:col>15</xdr:col>
      <xdr:colOff>161925</xdr:colOff>
      <xdr:row>21</xdr:row>
      <xdr:rowOff>76200</xdr:rowOff>
    </xdr:to>
    <xdr:sp macro="" textlink="">
      <xdr:nvSpPr>
        <xdr:cNvPr id="17" name="Text Box 178"/>
        <xdr:cNvSpPr txBox="1">
          <a:spLocks noChangeArrowheads="1"/>
        </xdr:cNvSpPr>
      </xdr:nvSpPr>
      <xdr:spPr bwMode="auto">
        <a:xfrm>
          <a:off x="2419350" y="3219450"/>
          <a:ext cx="171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8" name="Text Box 199"/>
        <xdr:cNvSpPr txBox="1">
          <a:spLocks noChangeArrowheads="1"/>
        </xdr:cNvSpPr>
      </xdr:nvSpPr>
      <xdr:spPr bwMode="auto">
        <a:xfrm>
          <a:off x="2638425" y="9982200"/>
          <a:ext cx="171450" cy="542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19" name="Text Box 214"/>
        <xdr:cNvSpPr txBox="1">
          <a:spLocks noChangeArrowheads="1"/>
        </xdr:cNvSpPr>
      </xdr:nvSpPr>
      <xdr:spPr bwMode="auto">
        <a:xfrm>
          <a:off x="4333875" y="7553325"/>
          <a:ext cx="171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28</xdr:row>
      <xdr:rowOff>123825</xdr:rowOff>
    </xdr:from>
    <xdr:to>
      <xdr:col>7</xdr:col>
      <xdr:colOff>133350</xdr:colOff>
      <xdr:row>30</xdr:row>
      <xdr:rowOff>85725</xdr:rowOff>
    </xdr:to>
    <xdr:sp macro="" textlink="">
      <xdr:nvSpPr>
        <xdr:cNvPr id="20" name="Text Box 224"/>
        <xdr:cNvSpPr txBox="1">
          <a:spLocks noChangeArrowheads="1"/>
        </xdr:cNvSpPr>
      </xdr:nvSpPr>
      <xdr:spPr bwMode="auto">
        <a:xfrm>
          <a:off x="1104900" y="4933950"/>
          <a:ext cx="1619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24</xdr:row>
      <xdr:rowOff>57150</xdr:rowOff>
    </xdr:from>
    <xdr:to>
      <xdr:col>7</xdr:col>
      <xdr:colOff>152400</xdr:colOff>
      <xdr:row>25</xdr:row>
      <xdr:rowOff>114300</xdr:rowOff>
    </xdr:to>
    <xdr:sp macro="" textlink="">
      <xdr:nvSpPr>
        <xdr:cNvPr id="21" name="Text Box 225"/>
        <xdr:cNvSpPr txBox="1">
          <a:spLocks noChangeArrowheads="1"/>
        </xdr:cNvSpPr>
      </xdr:nvSpPr>
      <xdr:spPr bwMode="auto">
        <a:xfrm>
          <a:off x="1104900" y="4105275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104775</xdr:colOff>
      <xdr:row>28</xdr:row>
      <xdr:rowOff>9525</xdr:rowOff>
    </xdr:from>
    <xdr:to>
      <xdr:col>25</xdr:col>
      <xdr:colOff>114300</xdr:colOff>
      <xdr:row>29</xdr:row>
      <xdr:rowOff>19050</xdr:rowOff>
    </xdr:to>
    <xdr:sp macro="" textlink="">
      <xdr:nvSpPr>
        <xdr:cNvPr id="22" name="Text Box 227"/>
        <xdr:cNvSpPr txBox="1">
          <a:spLocks noChangeArrowheads="1"/>
        </xdr:cNvSpPr>
      </xdr:nvSpPr>
      <xdr:spPr bwMode="auto">
        <a:xfrm>
          <a:off x="3990975" y="4819650"/>
          <a:ext cx="1714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66675</xdr:colOff>
      <xdr:row>24</xdr:row>
      <xdr:rowOff>57150</xdr:rowOff>
    </xdr:from>
    <xdr:to>
      <xdr:col>9</xdr:col>
      <xdr:colOff>66675</xdr:colOff>
      <xdr:row>26</xdr:row>
      <xdr:rowOff>57150</xdr:rowOff>
    </xdr:to>
    <xdr:sp macro="" textlink="">
      <xdr:nvSpPr>
        <xdr:cNvPr id="23" name="Text Box 247"/>
        <xdr:cNvSpPr txBox="1">
          <a:spLocks noChangeArrowheads="1"/>
        </xdr:cNvSpPr>
      </xdr:nvSpPr>
      <xdr:spPr bwMode="auto">
        <a:xfrm>
          <a:off x="1362075" y="4105275"/>
          <a:ext cx="1619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28</xdr:row>
      <xdr:rowOff>171450</xdr:rowOff>
    </xdr:from>
    <xdr:to>
      <xdr:col>9</xdr:col>
      <xdr:colOff>47625</xdr:colOff>
      <xdr:row>30</xdr:row>
      <xdr:rowOff>142875</xdr:rowOff>
    </xdr:to>
    <xdr:sp macro="" textlink="">
      <xdr:nvSpPr>
        <xdr:cNvPr id="24" name="Text Box 248"/>
        <xdr:cNvSpPr txBox="1">
          <a:spLocks noChangeArrowheads="1"/>
        </xdr:cNvSpPr>
      </xdr:nvSpPr>
      <xdr:spPr bwMode="auto">
        <a:xfrm>
          <a:off x="1343025" y="4981575"/>
          <a:ext cx="1619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29527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65</xdr:row>
      <xdr:rowOff>0</xdr:rowOff>
    </xdr:from>
    <xdr:to>
      <xdr:col>18</xdr:col>
      <xdr:colOff>114300</xdr:colOff>
      <xdr:row>65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30289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38100</xdr:colOff>
      <xdr:row>65</xdr:row>
      <xdr:rowOff>0</xdr:rowOff>
    </xdr:from>
    <xdr:to>
      <xdr:col>28</xdr:col>
      <xdr:colOff>38100</xdr:colOff>
      <xdr:row>65</xdr:row>
      <xdr:rowOff>0</xdr:rowOff>
    </xdr:to>
    <xdr:sp macro="" textlink="">
      <xdr:nvSpPr>
        <xdr:cNvPr id="6" name="Line 3"/>
        <xdr:cNvSpPr>
          <a:spLocks noChangeShapeType="1"/>
        </xdr:cNvSpPr>
      </xdr:nvSpPr>
      <xdr:spPr bwMode="auto">
        <a:xfrm>
          <a:off x="45720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009650" y="103822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8" name="Line 5"/>
        <xdr:cNvSpPr>
          <a:spLocks noChangeShapeType="1"/>
        </xdr:cNvSpPr>
      </xdr:nvSpPr>
      <xdr:spPr bwMode="auto">
        <a:xfrm>
          <a:off x="29908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85725</xdr:colOff>
      <xdr:row>65</xdr:row>
      <xdr:rowOff>0</xdr:rowOff>
    </xdr:from>
    <xdr:to>
      <xdr:col>28</xdr:col>
      <xdr:colOff>85725</xdr:colOff>
      <xdr:row>65</xdr:row>
      <xdr:rowOff>0</xdr:rowOff>
    </xdr:to>
    <xdr:sp macro="" textlink="">
      <xdr:nvSpPr>
        <xdr:cNvPr id="9" name="Line 6"/>
        <xdr:cNvSpPr>
          <a:spLocks noChangeShapeType="1"/>
        </xdr:cNvSpPr>
      </xdr:nvSpPr>
      <xdr:spPr bwMode="auto">
        <a:xfrm>
          <a:off x="4619625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10" name="Line 7"/>
        <xdr:cNvSpPr>
          <a:spLocks noChangeShapeType="1"/>
        </xdr:cNvSpPr>
      </xdr:nvSpPr>
      <xdr:spPr bwMode="auto">
        <a:xfrm>
          <a:off x="29908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19050</xdr:colOff>
      <xdr:row>65</xdr:row>
      <xdr:rowOff>0</xdr:rowOff>
    </xdr:from>
    <xdr:to>
      <xdr:col>31</xdr:col>
      <xdr:colOff>76200</xdr:colOff>
      <xdr:row>65</xdr:row>
      <xdr:rowOff>0</xdr:rowOff>
    </xdr:to>
    <xdr:sp macro="" textlink="">
      <xdr:nvSpPr>
        <xdr:cNvPr id="11" name="Text Box 8"/>
        <xdr:cNvSpPr txBox="1">
          <a:spLocks noChangeArrowheads="1"/>
        </xdr:cNvSpPr>
      </xdr:nvSpPr>
      <xdr:spPr bwMode="auto">
        <a:xfrm>
          <a:off x="4714875" y="10382250"/>
          <a:ext cx="381000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PLAN</a:t>
          </a:r>
        </a:p>
      </xdr:txBody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12" name="Line 9"/>
        <xdr:cNvSpPr>
          <a:spLocks noChangeShapeType="1"/>
        </xdr:cNvSpPr>
      </xdr:nvSpPr>
      <xdr:spPr bwMode="auto">
        <a:xfrm>
          <a:off x="1009650" y="103822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65</xdr:row>
      <xdr:rowOff>0</xdr:rowOff>
    </xdr:from>
    <xdr:to>
      <xdr:col>36</xdr:col>
      <xdr:colOff>733</xdr:colOff>
      <xdr:row>65</xdr:row>
      <xdr:rowOff>0</xdr:rowOff>
    </xdr:to>
    <xdr:sp macro="" textlink="">
      <xdr:nvSpPr>
        <xdr:cNvPr id="13" name="Text Box 10"/>
        <xdr:cNvSpPr txBox="1">
          <a:spLocks noChangeArrowheads="1"/>
        </xdr:cNvSpPr>
      </xdr:nvSpPr>
      <xdr:spPr bwMode="auto">
        <a:xfrm>
          <a:off x="4924425" y="10382250"/>
          <a:ext cx="905608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ELEVATION</a:t>
          </a:r>
        </a:p>
      </xdr:txBody>
    </xdr:sp>
    <xdr:clientData/>
  </xdr:twoCellAnchor>
  <xdr:twoCellAnchor>
    <xdr:from>
      <xdr:col>15</xdr:col>
      <xdr:colOff>9525</xdr:colOff>
      <xdr:row>65</xdr:row>
      <xdr:rowOff>0</xdr:rowOff>
    </xdr:from>
    <xdr:to>
      <xdr:col>15</xdr:col>
      <xdr:colOff>9525</xdr:colOff>
      <xdr:row>65</xdr:row>
      <xdr:rowOff>0</xdr:rowOff>
    </xdr:to>
    <xdr:sp macro="" textlink="">
      <xdr:nvSpPr>
        <xdr:cNvPr id="14" name="Line 11"/>
        <xdr:cNvSpPr>
          <a:spLocks noChangeShapeType="1"/>
        </xdr:cNvSpPr>
      </xdr:nvSpPr>
      <xdr:spPr bwMode="auto">
        <a:xfrm rot="5400000" flipH="1" flipV="1">
          <a:off x="24384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65</xdr:row>
      <xdr:rowOff>0</xdr:rowOff>
    </xdr:from>
    <xdr:to>
      <xdr:col>22</xdr:col>
      <xdr:colOff>0</xdr:colOff>
      <xdr:row>65</xdr:row>
      <xdr:rowOff>0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rot="5400000" flipH="1" flipV="1">
          <a:off x="35623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152400</xdr:colOff>
      <xdr:row>65</xdr:row>
      <xdr:rowOff>0</xdr:rowOff>
    </xdr:from>
    <xdr:to>
      <xdr:col>21</xdr:col>
      <xdr:colOff>152400</xdr:colOff>
      <xdr:row>65</xdr:row>
      <xdr:rowOff>0</xdr:rowOff>
    </xdr:to>
    <xdr:sp macro="" textlink="">
      <xdr:nvSpPr>
        <xdr:cNvPr id="16" name="Line 13"/>
        <xdr:cNvSpPr>
          <a:spLocks noChangeShapeType="1"/>
        </xdr:cNvSpPr>
      </xdr:nvSpPr>
      <xdr:spPr bwMode="auto">
        <a:xfrm rot="10800000" flipV="1">
          <a:off x="3552825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17" name="Line 14"/>
        <xdr:cNvSpPr>
          <a:spLocks noChangeShapeType="1"/>
        </xdr:cNvSpPr>
      </xdr:nvSpPr>
      <xdr:spPr bwMode="auto">
        <a:xfrm rot="16200000" flipV="1">
          <a:off x="29527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65</xdr:row>
      <xdr:rowOff>0</xdr:rowOff>
    </xdr:from>
    <xdr:to>
      <xdr:col>16</xdr:col>
      <xdr:colOff>0</xdr:colOff>
      <xdr:row>65</xdr:row>
      <xdr:rowOff>0</xdr:rowOff>
    </xdr:to>
    <xdr:sp macro="" textlink="">
      <xdr:nvSpPr>
        <xdr:cNvPr id="18" name="Line 15"/>
        <xdr:cNvSpPr>
          <a:spLocks noChangeShapeType="1"/>
        </xdr:cNvSpPr>
      </xdr:nvSpPr>
      <xdr:spPr bwMode="auto">
        <a:xfrm rot="16200000" flipH="1">
          <a:off x="25908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114300</xdr:colOff>
      <xdr:row>65</xdr:row>
      <xdr:rowOff>0</xdr:rowOff>
    </xdr:from>
    <xdr:to>
      <xdr:col>20</xdr:col>
      <xdr:colOff>114300</xdr:colOff>
      <xdr:row>65</xdr:row>
      <xdr:rowOff>0</xdr:rowOff>
    </xdr:to>
    <xdr:sp macro="" textlink="">
      <xdr:nvSpPr>
        <xdr:cNvPr id="19" name="Line 16"/>
        <xdr:cNvSpPr>
          <a:spLocks noChangeShapeType="1"/>
        </xdr:cNvSpPr>
      </xdr:nvSpPr>
      <xdr:spPr bwMode="auto">
        <a:xfrm rot="16200000" flipH="1">
          <a:off x="33528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2133600" y="6705600"/>
          <a:ext cx="1562100" cy="3238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60</xdr:row>
      <xdr:rowOff>19050</xdr:rowOff>
    </xdr:from>
    <xdr:to>
      <xdr:col>22</xdr:col>
      <xdr:colOff>152400</xdr:colOff>
      <xdr:row>64</xdr:row>
      <xdr:rowOff>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2095500" y="9646627"/>
          <a:ext cx="1603131" cy="625719"/>
          <a:chOff x="493" y="463"/>
          <a:chExt cx="180" cy="76"/>
        </a:xfrm>
      </xdr:grpSpPr>
      <xdr:sp macro="" textlink="">
        <xdr:nvSpPr>
          <xdr:cNvPr id="6" name="Oval 8"/>
          <xdr:cNvSpPr>
            <a:spLocks noChangeArrowheads="1"/>
          </xdr:cNvSpPr>
        </xdr:nvSpPr>
        <xdr:spPr bwMode="auto">
          <a:xfrm flipV="1">
            <a:off x="497" y="465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Rectangle 9"/>
          <xdr:cNvSpPr>
            <a:spLocks noChangeArrowheads="1"/>
          </xdr:cNvSpPr>
        </xdr:nvSpPr>
        <xdr:spPr bwMode="auto">
          <a:xfrm>
            <a:off x="493" y="463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13</xdr:col>
      <xdr:colOff>0</xdr:colOff>
      <xdr:row>40</xdr:row>
      <xdr:rowOff>0</xdr:rowOff>
    </xdr:from>
    <xdr:to>
      <xdr:col>23</xdr:col>
      <xdr:colOff>0</xdr:colOff>
      <xdr:row>44</xdr:row>
      <xdr:rowOff>123825</xdr:rowOff>
    </xdr:to>
    <xdr:grpSp>
      <xdr:nvGrpSpPr>
        <xdr:cNvPr id="8" name="Group 10"/>
        <xdr:cNvGrpSpPr>
          <a:grpSpLocks/>
        </xdr:cNvGrpSpPr>
      </xdr:nvGrpSpPr>
      <xdr:grpSpPr bwMode="auto">
        <a:xfrm>
          <a:off x="2095500" y="6403731"/>
          <a:ext cx="1611923" cy="768594"/>
          <a:chOff x="496" y="480"/>
          <a:chExt cx="180" cy="77"/>
        </a:xfrm>
      </xdr:grpSpPr>
      <xdr:sp macro="" textlink="">
        <xdr:nvSpPr>
          <xdr:cNvPr id="9" name="Oval 11"/>
          <xdr:cNvSpPr>
            <a:spLocks noChangeArrowheads="1"/>
          </xdr:cNvSpPr>
        </xdr:nvSpPr>
        <xdr:spPr bwMode="auto">
          <a:xfrm flipV="1">
            <a:off x="499" y="480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Rectangle 12"/>
          <xdr:cNvSpPr>
            <a:spLocks noChangeArrowheads="1"/>
          </xdr:cNvSpPr>
        </xdr:nvSpPr>
        <xdr:spPr bwMode="auto">
          <a:xfrm>
            <a:off x="496" y="519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133350</xdr:colOff>
      <xdr:row>59</xdr:row>
      <xdr:rowOff>123825</xdr:rowOff>
    </xdr:from>
    <xdr:to>
      <xdr:col>9</xdr:col>
      <xdr:colOff>28575</xdr:colOff>
      <xdr:row>61</xdr:row>
      <xdr:rowOff>9525</xdr:rowOff>
    </xdr:to>
    <xdr:sp macro="" textlink="">
      <xdr:nvSpPr>
        <xdr:cNvPr id="11" name="Oval 13"/>
        <xdr:cNvSpPr>
          <a:spLocks noChangeArrowheads="1"/>
        </xdr:cNvSpPr>
      </xdr:nvSpPr>
      <xdr:spPr bwMode="auto">
        <a:xfrm>
          <a:off x="1266825" y="9582150"/>
          <a:ext cx="21907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12" name="Rectangle 14"/>
        <xdr:cNvSpPr>
          <a:spLocks noChangeArrowheads="1"/>
        </xdr:cNvSpPr>
      </xdr:nvSpPr>
      <xdr:spPr bwMode="auto">
        <a:xfrm>
          <a:off x="2133600" y="6705600"/>
          <a:ext cx="1562100" cy="3238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95250</xdr:colOff>
      <xdr:row>57</xdr:row>
      <xdr:rowOff>38100</xdr:rowOff>
    </xdr:from>
    <xdr:to>
      <xdr:col>26</xdr:col>
      <xdr:colOff>104775</xdr:colOff>
      <xdr:row>61</xdr:row>
      <xdr:rowOff>0</xdr:rowOff>
    </xdr:to>
    <xdr:grpSp>
      <xdr:nvGrpSpPr>
        <xdr:cNvPr id="13" name="Group 15"/>
        <xdr:cNvGrpSpPr>
          <a:grpSpLocks/>
        </xdr:cNvGrpSpPr>
      </xdr:nvGrpSpPr>
      <xdr:grpSpPr bwMode="auto">
        <a:xfrm>
          <a:off x="3319096" y="9182100"/>
          <a:ext cx="976679" cy="606669"/>
          <a:chOff x="560" y="776"/>
          <a:chExt cx="109" cy="44"/>
        </a:xfrm>
      </xdr:grpSpPr>
      <xdr:sp macro="" textlink="">
        <xdr:nvSpPr>
          <xdr:cNvPr id="14" name="Rectangle 16"/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17"/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18"/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Line 19"/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117258</xdr:colOff>
      <xdr:row>66</xdr:row>
      <xdr:rowOff>112102</xdr:rowOff>
    </xdr:from>
    <xdr:to>
      <xdr:col>18</xdr:col>
      <xdr:colOff>101798</xdr:colOff>
      <xdr:row>68</xdr:row>
      <xdr:rowOff>93052</xdr:rowOff>
    </xdr:to>
    <xdr:grpSp>
      <xdr:nvGrpSpPr>
        <xdr:cNvPr id="18" name="Group 20"/>
        <xdr:cNvGrpSpPr>
          <a:grpSpLocks/>
        </xdr:cNvGrpSpPr>
      </xdr:nvGrpSpPr>
      <xdr:grpSpPr bwMode="auto">
        <a:xfrm>
          <a:off x="2857527" y="10706833"/>
          <a:ext cx="145733" cy="303334"/>
          <a:chOff x="903" y="909"/>
          <a:chExt cx="17" cy="38"/>
        </a:xfrm>
      </xdr:grpSpPr>
      <xdr:sp macro="" textlink="">
        <xdr:nvSpPr>
          <xdr:cNvPr id="19" name="Line 21"/>
          <xdr:cNvSpPr>
            <a:spLocks noChangeShapeType="1"/>
          </xdr:cNvSpPr>
        </xdr:nvSpPr>
        <xdr:spPr bwMode="auto">
          <a:xfrm>
            <a:off x="920" y="909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stealth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Text Box 22"/>
          <xdr:cNvSpPr txBox="1">
            <a:spLocks noChangeArrowheads="1"/>
          </xdr:cNvSpPr>
        </xdr:nvSpPr>
        <xdr:spPr bwMode="auto">
          <a:xfrm>
            <a:off x="903" y="930"/>
            <a:ext cx="16" cy="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="vert270" wrap="none" lIns="18288" tIns="22860" rIns="0" bIns="0" anchor="t" upright="1">
            <a:spAutoFit/>
          </a:bodyPr>
          <a:lstStyle/>
          <a:p>
            <a:pPr algn="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twoCellAnchor>
  <xdr:twoCellAnchor>
    <xdr:from>
      <xdr:col>13</xdr:col>
      <xdr:colOff>28575</xdr:colOff>
      <xdr:row>23</xdr:row>
      <xdr:rowOff>28575</xdr:rowOff>
    </xdr:from>
    <xdr:to>
      <xdr:col>25</xdr:col>
      <xdr:colOff>85725</xdr:colOff>
      <xdr:row>33</xdr:row>
      <xdr:rowOff>0</xdr:rowOff>
    </xdr:to>
    <xdr:grpSp>
      <xdr:nvGrpSpPr>
        <xdr:cNvPr id="21" name="Group 23"/>
        <xdr:cNvGrpSpPr>
          <a:grpSpLocks/>
        </xdr:cNvGrpSpPr>
      </xdr:nvGrpSpPr>
      <xdr:grpSpPr bwMode="auto">
        <a:xfrm>
          <a:off x="2124075" y="3692037"/>
          <a:ext cx="1991458" cy="1583348"/>
          <a:chOff x="255" y="251"/>
          <a:chExt cx="223" cy="187"/>
        </a:xfrm>
      </xdr:grpSpPr>
      <xdr:grpSp>
        <xdr:nvGrpSpPr>
          <xdr:cNvPr id="22" name="Group 24"/>
          <xdr:cNvGrpSpPr>
            <a:grpSpLocks/>
          </xdr:cNvGrpSpPr>
        </xdr:nvGrpSpPr>
        <xdr:grpSpPr bwMode="auto">
          <a:xfrm>
            <a:off x="396" y="265"/>
            <a:ext cx="82" cy="160"/>
            <a:chOff x="974" y="235"/>
            <a:chExt cx="82" cy="160"/>
          </a:xfrm>
        </xdr:grpSpPr>
        <xdr:sp macro="" textlink="">
          <xdr:nvSpPr>
            <xdr:cNvPr id="24" name="Rectangle 25"/>
            <xdr:cNvSpPr>
              <a:spLocks noChangeArrowheads="1"/>
            </xdr:cNvSpPr>
          </xdr:nvSpPr>
          <xdr:spPr bwMode="auto">
            <a:xfrm>
              <a:off x="974" y="248"/>
              <a:ext cx="78" cy="1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5" name="Rectangle 26"/>
            <xdr:cNvSpPr>
              <a:spLocks noChangeArrowheads="1"/>
            </xdr:cNvSpPr>
          </xdr:nvSpPr>
          <xdr:spPr bwMode="auto">
            <a:xfrm>
              <a:off x="1050" y="235"/>
              <a:ext cx="6" cy="16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23" name="Oval 27"/>
          <xdr:cNvSpPr>
            <a:spLocks noChangeArrowheads="1"/>
          </xdr:cNvSpPr>
        </xdr:nvSpPr>
        <xdr:spPr bwMode="auto">
          <a:xfrm flipV="1">
            <a:off x="255" y="251"/>
            <a:ext cx="174" cy="187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66675</xdr:colOff>
      <xdr:row>28</xdr:row>
      <xdr:rowOff>28575</xdr:rowOff>
    </xdr:from>
    <xdr:to>
      <xdr:col>22</xdr:col>
      <xdr:colOff>95250</xdr:colOff>
      <xdr:row>28</xdr:row>
      <xdr:rowOff>38100</xdr:rowOff>
    </xdr:to>
    <xdr:sp macro="" textlink="">
      <xdr:nvSpPr>
        <xdr:cNvPr id="26" name="Line 28"/>
        <xdr:cNvSpPr>
          <a:spLocks noChangeShapeType="1"/>
        </xdr:cNvSpPr>
      </xdr:nvSpPr>
      <xdr:spPr bwMode="auto">
        <a:xfrm>
          <a:off x="2009775" y="4467225"/>
          <a:ext cx="1647825" cy="952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23</xdr:row>
      <xdr:rowOff>38100</xdr:rowOff>
    </xdr:from>
    <xdr:to>
      <xdr:col>18</xdr:col>
      <xdr:colOff>95250</xdr:colOff>
      <xdr:row>33</xdr:row>
      <xdr:rowOff>123825</xdr:rowOff>
    </xdr:to>
    <xdr:sp macro="" textlink="">
      <xdr:nvSpPr>
        <xdr:cNvPr id="27" name="Line 29"/>
        <xdr:cNvSpPr>
          <a:spLocks noChangeShapeType="1"/>
        </xdr:cNvSpPr>
      </xdr:nvSpPr>
      <xdr:spPr bwMode="auto">
        <a:xfrm>
          <a:off x="3009900" y="3667125"/>
          <a:ext cx="0" cy="17049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42</xdr:row>
      <xdr:rowOff>0</xdr:rowOff>
    </xdr:from>
    <xdr:to>
      <xdr:col>12</xdr:col>
      <xdr:colOff>161925</xdr:colOff>
      <xdr:row>42</xdr:row>
      <xdr:rowOff>0</xdr:rowOff>
    </xdr:to>
    <xdr:sp macro="" textlink="">
      <xdr:nvSpPr>
        <xdr:cNvPr id="28" name="Line 30"/>
        <xdr:cNvSpPr>
          <a:spLocks noChangeShapeType="1"/>
        </xdr:cNvSpPr>
      </xdr:nvSpPr>
      <xdr:spPr bwMode="auto">
        <a:xfrm flipH="1">
          <a:off x="866775" y="6705600"/>
          <a:ext cx="1238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95250</xdr:colOff>
      <xdr:row>44</xdr:row>
      <xdr:rowOff>133350</xdr:rowOff>
    </xdr:from>
    <xdr:to>
      <xdr:col>26</xdr:col>
      <xdr:colOff>104775</xdr:colOff>
      <xdr:row>48</xdr:row>
      <xdr:rowOff>0</xdr:rowOff>
    </xdr:to>
    <xdr:grpSp>
      <xdr:nvGrpSpPr>
        <xdr:cNvPr id="29" name="Group 31"/>
        <xdr:cNvGrpSpPr>
          <a:grpSpLocks/>
        </xdr:cNvGrpSpPr>
      </xdr:nvGrpSpPr>
      <xdr:grpSpPr bwMode="auto">
        <a:xfrm>
          <a:off x="3319096" y="7181850"/>
          <a:ext cx="976679" cy="511419"/>
          <a:chOff x="560" y="776"/>
          <a:chExt cx="109" cy="44"/>
        </a:xfrm>
      </xdr:grpSpPr>
      <xdr:sp macro="" textlink="">
        <xdr:nvSpPr>
          <xdr:cNvPr id="30" name="Rectangle 32"/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1" name="Rectangle 33"/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2" name="Rectangle 34"/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" name="Line 35"/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61</xdr:row>
      <xdr:rowOff>190500</xdr:rowOff>
    </xdr:from>
    <xdr:to>
      <xdr:col>13</xdr:col>
      <xdr:colOff>57150</xdr:colOff>
      <xdr:row>61</xdr:row>
      <xdr:rowOff>190500</xdr:rowOff>
    </xdr:to>
    <xdr:sp macro="" textlink="">
      <xdr:nvSpPr>
        <xdr:cNvPr id="34" name="Line 36"/>
        <xdr:cNvSpPr>
          <a:spLocks noChangeShapeType="1"/>
        </xdr:cNvSpPr>
      </xdr:nvSpPr>
      <xdr:spPr bwMode="auto">
        <a:xfrm flipH="1">
          <a:off x="809625" y="9944100"/>
          <a:ext cx="1352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27</xdr:row>
      <xdr:rowOff>142875</xdr:rowOff>
    </xdr:from>
    <xdr:to>
      <xdr:col>23</xdr:col>
      <xdr:colOff>76200</xdr:colOff>
      <xdr:row>28</xdr:row>
      <xdr:rowOff>142875</xdr:rowOff>
    </xdr:to>
    <xdr:grpSp>
      <xdr:nvGrpSpPr>
        <xdr:cNvPr id="35" name="Group 37"/>
        <xdr:cNvGrpSpPr>
          <a:grpSpLocks/>
        </xdr:cNvGrpSpPr>
      </xdr:nvGrpSpPr>
      <xdr:grpSpPr bwMode="auto">
        <a:xfrm rot="5400000">
          <a:off x="3631956" y="4460631"/>
          <a:ext cx="161192" cy="142142"/>
          <a:chOff x="910" y="469"/>
          <a:chExt cx="20" cy="16"/>
        </a:xfrm>
      </xdr:grpSpPr>
      <xdr:sp macro="" textlink="">
        <xdr:nvSpPr>
          <xdr:cNvPr id="36" name="Line 38"/>
          <xdr:cNvSpPr>
            <a:spLocks noChangeShapeType="1"/>
          </xdr:cNvSpPr>
        </xdr:nvSpPr>
        <xdr:spPr bwMode="auto">
          <a:xfrm flipV="1">
            <a:off x="920" y="469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/>
          <xdr:cNvSpPr>
            <a:spLocks noChangeShapeType="1"/>
          </xdr:cNvSpPr>
        </xdr:nvSpPr>
        <xdr:spPr bwMode="auto">
          <a:xfrm>
            <a:off x="910" y="469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26</xdr:col>
      <xdr:colOff>114300</xdr:colOff>
      <xdr:row>25</xdr:row>
      <xdr:rowOff>161925</xdr:rowOff>
    </xdr:from>
    <xdr:ext cx="121700" cy="900183"/>
    <xdr:sp macro="" textlink="">
      <xdr:nvSpPr>
        <xdr:cNvPr id="38" name="Text Box 40"/>
        <xdr:cNvSpPr txBox="1">
          <a:spLocks noChangeArrowheads="1"/>
        </xdr:cNvSpPr>
      </xdr:nvSpPr>
      <xdr:spPr bwMode="auto">
        <a:xfrm>
          <a:off x="4324350" y="4114800"/>
          <a:ext cx="121700" cy="900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VIEW ON ARROW 'A'</a:t>
          </a:r>
        </a:p>
      </xdr:txBody>
    </xdr:sp>
    <xdr:clientData/>
  </xdr:oneCellAnchor>
  <xdr:twoCellAnchor>
    <xdr:from>
      <xdr:col>23</xdr:col>
      <xdr:colOff>114300</xdr:colOff>
      <xdr:row>28</xdr:row>
      <xdr:rowOff>38100</xdr:rowOff>
    </xdr:from>
    <xdr:to>
      <xdr:col>24</xdr:col>
      <xdr:colOff>85725</xdr:colOff>
      <xdr:row>28</xdr:row>
      <xdr:rowOff>38100</xdr:rowOff>
    </xdr:to>
    <xdr:sp macro="" textlink="">
      <xdr:nvSpPr>
        <xdr:cNvPr id="39" name="Line 41"/>
        <xdr:cNvSpPr>
          <a:spLocks noChangeShapeType="1"/>
        </xdr:cNvSpPr>
      </xdr:nvSpPr>
      <xdr:spPr bwMode="auto">
        <a:xfrm>
          <a:off x="3838575" y="4476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85725</xdr:colOff>
      <xdr:row>22</xdr:row>
      <xdr:rowOff>76200</xdr:rowOff>
    </xdr:from>
    <xdr:to>
      <xdr:col>24</xdr:col>
      <xdr:colOff>85725</xdr:colOff>
      <xdr:row>28</xdr:row>
      <xdr:rowOff>28575</xdr:rowOff>
    </xdr:to>
    <xdr:sp macro="" textlink="">
      <xdr:nvSpPr>
        <xdr:cNvPr id="40" name="Line 42"/>
        <xdr:cNvSpPr>
          <a:spLocks noChangeShapeType="1"/>
        </xdr:cNvSpPr>
      </xdr:nvSpPr>
      <xdr:spPr bwMode="auto">
        <a:xfrm flipV="1">
          <a:off x="3971925" y="3543300"/>
          <a:ext cx="0" cy="9239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55</xdr:row>
      <xdr:rowOff>142875</xdr:rowOff>
    </xdr:from>
    <xdr:to>
      <xdr:col>13</xdr:col>
      <xdr:colOff>57150</xdr:colOff>
      <xdr:row>57</xdr:row>
      <xdr:rowOff>95250</xdr:rowOff>
    </xdr:to>
    <xdr:sp macro="" textlink="">
      <xdr:nvSpPr>
        <xdr:cNvPr id="41" name="Line 43"/>
        <xdr:cNvSpPr>
          <a:spLocks noChangeShapeType="1"/>
        </xdr:cNvSpPr>
      </xdr:nvSpPr>
      <xdr:spPr bwMode="auto">
        <a:xfrm>
          <a:off x="2162175" y="8953500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55</xdr:row>
      <xdr:rowOff>76200</xdr:rowOff>
    </xdr:from>
    <xdr:to>
      <xdr:col>22</xdr:col>
      <xdr:colOff>85725</xdr:colOff>
      <xdr:row>57</xdr:row>
      <xdr:rowOff>28575</xdr:rowOff>
    </xdr:to>
    <xdr:sp macro="" textlink="">
      <xdr:nvSpPr>
        <xdr:cNvPr id="42" name="Line 44"/>
        <xdr:cNvSpPr>
          <a:spLocks noChangeShapeType="1"/>
        </xdr:cNvSpPr>
      </xdr:nvSpPr>
      <xdr:spPr bwMode="auto">
        <a:xfrm>
          <a:off x="3648075" y="888682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56</xdr:row>
      <xdr:rowOff>114300</xdr:rowOff>
    </xdr:from>
    <xdr:to>
      <xdr:col>22</xdr:col>
      <xdr:colOff>76200</xdr:colOff>
      <xdr:row>56</xdr:row>
      <xdr:rowOff>114300</xdr:rowOff>
    </xdr:to>
    <xdr:sp macro="" textlink="">
      <xdr:nvSpPr>
        <xdr:cNvPr id="43" name="Line 45"/>
        <xdr:cNvSpPr>
          <a:spLocks noChangeShapeType="1"/>
        </xdr:cNvSpPr>
      </xdr:nvSpPr>
      <xdr:spPr bwMode="auto">
        <a:xfrm>
          <a:off x="2162175" y="9086850"/>
          <a:ext cx="14763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42</xdr:row>
      <xdr:rowOff>0</xdr:rowOff>
    </xdr:from>
    <xdr:to>
      <xdr:col>5</xdr:col>
      <xdr:colOff>114300</xdr:colOff>
      <xdr:row>61</xdr:row>
      <xdr:rowOff>190500</xdr:rowOff>
    </xdr:to>
    <xdr:sp macro="" textlink="">
      <xdr:nvSpPr>
        <xdr:cNvPr id="44" name="Line 46"/>
        <xdr:cNvSpPr>
          <a:spLocks noChangeShapeType="1"/>
        </xdr:cNvSpPr>
      </xdr:nvSpPr>
      <xdr:spPr bwMode="auto">
        <a:xfrm>
          <a:off x="923925" y="6705600"/>
          <a:ext cx="0" cy="32385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28</xdr:row>
      <xdr:rowOff>28575</xdr:rowOff>
    </xdr:from>
    <xdr:to>
      <xdr:col>12</xdr:col>
      <xdr:colOff>19050</xdr:colOff>
      <xdr:row>28</xdr:row>
      <xdr:rowOff>28575</xdr:rowOff>
    </xdr:to>
    <xdr:sp macro="" textlink="">
      <xdr:nvSpPr>
        <xdr:cNvPr id="45" name="Line 47"/>
        <xdr:cNvSpPr>
          <a:spLocks noChangeShapeType="1"/>
        </xdr:cNvSpPr>
      </xdr:nvSpPr>
      <xdr:spPr bwMode="auto">
        <a:xfrm flipH="1">
          <a:off x="1495425" y="44672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39</xdr:row>
      <xdr:rowOff>38100</xdr:rowOff>
    </xdr:from>
    <xdr:to>
      <xdr:col>18</xdr:col>
      <xdr:colOff>104775</xdr:colOff>
      <xdr:row>65</xdr:row>
      <xdr:rowOff>180975</xdr:rowOff>
    </xdr:to>
    <xdr:sp macro="" textlink="">
      <xdr:nvSpPr>
        <xdr:cNvPr id="46" name="Line 48"/>
        <xdr:cNvSpPr>
          <a:spLocks noChangeShapeType="1"/>
        </xdr:cNvSpPr>
      </xdr:nvSpPr>
      <xdr:spPr bwMode="auto">
        <a:xfrm flipH="1">
          <a:off x="3009900" y="6257925"/>
          <a:ext cx="9525" cy="43338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59</xdr:row>
      <xdr:rowOff>9525</xdr:rowOff>
    </xdr:from>
    <xdr:to>
      <xdr:col>25</xdr:col>
      <xdr:colOff>66675</xdr:colOff>
      <xdr:row>68</xdr:row>
      <xdr:rowOff>9525</xdr:rowOff>
    </xdr:to>
    <xdr:sp macro="" textlink="">
      <xdr:nvSpPr>
        <xdr:cNvPr id="47" name="Line 49"/>
        <xdr:cNvSpPr>
          <a:spLocks noChangeShapeType="1"/>
        </xdr:cNvSpPr>
      </xdr:nvSpPr>
      <xdr:spPr bwMode="auto">
        <a:xfrm>
          <a:off x="4114800" y="9467850"/>
          <a:ext cx="0" cy="1457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67</xdr:row>
      <xdr:rowOff>123825</xdr:rowOff>
    </xdr:from>
    <xdr:to>
      <xdr:col>25</xdr:col>
      <xdr:colOff>85725</xdr:colOff>
      <xdr:row>67</xdr:row>
      <xdr:rowOff>123825</xdr:rowOff>
    </xdr:to>
    <xdr:sp macro="" textlink="">
      <xdr:nvSpPr>
        <xdr:cNvPr id="48" name="Line 50"/>
        <xdr:cNvSpPr>
          <a:spLocks noChangeShapeType="1"/>
        </xdr:cNvSpPr>
      </xdr:nvSpPr>
      <xdr:spPr bwMode="auto">
        <a:xfrm>
          <a:off x="2990850" y="10877550"/>
          <a:ext cx="114300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152400</xdr:colOff>
      <xdr:row>42</xdr:row>
      <xdr:rowOff>0</xdr:rowOff>
    </xdr:from>
    <xdr:to>
      <xdr:col>30</xdr:col>
      <xdr:colOff>0</xdr:colOff>
      <xdr:row>42</xdr:row>
      <xdr:rowOff>0</xdr:rowOff>
    </xdr:to>
    <xdr:sp macro="" textlink="">
      <xdr:nvSpPr>
        <xdr:cNvPr id="49" name="Line 51"/>
        <xdr:cNvSpPr>
          <a:spLocks noChangeShapeType="1"/>
        </xdr:cNvSpPr>
      </xdr:nvSpPr>
      <xdr:spPr bwMode="auto">
        <a:xfrm>
          <a:off x="3714750" y="670560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46</xdr:row>
      <xdr:rowOff>76200</xdr:rowOff>
    </xdr:from>
    <xdr:to>
      <xdr:col>30</xdr:col>
      <xdr:colOff>0</xdr:colOff>
      <xdr:row>46</xdr:row>
      <xdr:rowOff>76200</xdr:rowOff>
    </xdr:to>
    <xdr:sp macro="" textlink="">
      <xdr:nvSpPr>
        <xdr:cNvPr id="50" name="Line 52"/>
        <xdr:cNvSpPr>
          <a:spLocks noChangeShapeType="1"/>
        </xdr:cNvSpPr>
      </xdr:nvSpPr>
      <xdr:spPr bwMode="auto">
        <a:xfrm>
          <a:off x="4343400" y="7429500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59</xdr:row>
      <xdr:rowOff>19050</xdr:rowOff>
    </xdr:from>
    <xdr:to>
      <xdr:col>30</xdr:col>
      <xdr:colOff>0</xdr:colOff>
      <xdr:row>59</xdr:row>
      <xdr:rowOff>19050</xdr:rowOff>
    </xdr:to>
    <xdr:sp macro="" textlink="">
      <xdr:nvSpPr>
        <xdr:cNvPr id="51" name="Line 53"/>
        <xdr:cNvSpPr>
          <a:spLocks noChangeShapeType="1"/>
        </xdr:cNvSpPr>
      </xdr:nvSpPr>
      <xdr:spPr bwMode="auto">
        <a:xfrm>
          <a:off x="4343400" y="9477375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95250</xdr:colOff>
      <xdr:row>46</xdr:row>
      <xdr:rowOff>76200</xdr:rowOff>
    </xdr:from>
    <xdr:to>
      <xdr:col>29</xdr:col>
      <xdr:colOff>95250</xdr:colOff>
      <xdr:row>59</xdr:row>
      <xdr:rowOff>28575</xdr:rowOff>
    </xdr:to>
    <xdr:sp macro="" textlink="">
      <xdr:nvSpPr>
        <xdr:cNvPr id="52" name="Line 54"/>
        <xdr:cNvSpPr>
          <a:spLocks noChangeShapeType="1"/>
        </xdr:cNvSpPr>
      </xdr:nvSpPr>
      <xdr:spPr bwMode="auto">
        <a:xfrm flipV="1">
          <a:off x="4791075" y="7429500"/>
          <a:ext cx="0" cy="20574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104775</xdr:colOff>
      <xdr:row>41</xdr:row>
      <xdr:rowOff>190500</xdr:rowOff>
    </xdr:from>
    <xdr:to>
      <xdr:col>29</xdr:col>
      <xdr:colOff>114300</xdr:colOff>
      <xdr:row>46</xdr:row>
      <xdr:rowOff>76200</xdr:rowOff>
    </xdr:to>
    <xdr:sp macro="" textlink="">
      <xdr:nvSpPr>
        <xdr:cNvPr id="53" name="Line 55"/>
        <xdr:cNvSpPr>
          <a:spLocks noChangeShapeType="1"/>
        </xdr:cNvSpPr>
      </xdr:nvSpPr>
      <xdr:spPr bwMode="auto">
        <a:xfrm flipV="1">
          <a:off x="4800600" y="6705600"/>
          <a:ext cx="9525" cy="7239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34</xdr:col>
      <xdr:colOff>0</xdr:colOff>
      <xdr:row>43</xdr:row>
      <xdr:rowOff>123825</xdr:rowOff>
    </xdr:from>
    <xdr:to>
      <xdr:col>34</xdr:col>
      <xdr:colOff>57150</xdr:colOff>
      <xdr:row>44</xdr:row>
      <xdr:rowOff>133350</xdr:rowOff>
    </xdr:to>
    <xdr:sp macro="" textlink="">
      <xdr:nvSpPr>
        <xdr:cNvPr id="54" name="Text Box 56"/>
        <xdr:cNvSpPr txBox="1">
          <a:spLocks noChangeArrowheads="1"/>
        </xdr:cNvSpPr>
      </xdr:nvSpPr>
      <xdr:spPr bwMode="auto">
        <a:xfrm>
          <a:off x="5505450" y="6991350"/>
          <a:ext cx="571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114300</xdr:colOff>
      <xdr:row>64</xdr:row>
      <xdr:rowOff>0</xdr:rowOff>
    </xdr:from>
    <xdr:to>
      <xdr:col>19</xdr:col>
      <xdr:colOff>9525</xdr:colOff>
      <xdr:row>65</xdr:row>
      <xdr:rowOff>0</xdr:rowOff>
    </xdr:to>
    <xdr:grpSp>
      <xdr:nvGrpSpPr>
        <xdr:cNvPr id="55" name="Group 57"/>
        <xdr:cNvGrpSpPr>
          <a:grpSpLocks/>
        </xdr:cNvGrpSpPr>
      </xdr:nvGrpSpPr>
      <xdr:grpSpPr bwMode="auto">
        <a:xfrm rot="5400000">
          <a:off x="2882778" y="10244137"/>
          <a:ext cx="161192" cy="217610"/>
          <a:chOff x="429" y="839"/>
          <a:chExt cx="19" cy="32"/>
        </a:xfrm>
      </xdr:grpSpPr>
      <xdr:sp macro="" textlink="">
        <xdr:nvSpPr>
          <xdr:cNvPr id="56" name="Line 58"/>
          <xdr:cNvSpPr>
            <a:spLocks noChangeShapeType="1"/>
          </xdr:cNvSpPr>
        </xdr:nvSpPr>
        <xdr:spPr bwMode="auto">
          <a:xfrm rot="5400000" flipV="1">
            <a:off x="437" y="83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9"/>
          <xdr:cNvSpPr>
            <a:spLocks noChangeShapeType="1"/>
          </xdr:cNvSpPr>
        </xdr:nvSpPr>
        <xdr:spPr bwMode="auto">
          <a:xfrm rot="5400000">
            <a:off x="429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60"/>
          <xdr:cNvSpPr>
            <a:spLocks noChangeShapeType="1"/>
          </xdr:cNvSpPr>
        </xdr:nvSpPr>
        <xdr:spPr bwMode="auto">
          <a:xfrm rot="5400000" flipV="1">
            <a:off x="437" y="858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61"/>
          <xdr:cNvSpPr>
            <a:spLocks noChangeShapeType="1"/>
          </xdr:cNvSpPr>
        </xdr:nvSpPr>
        <xdr:spPr bwMode="auto">
          <a:xfrm rot="5400000">
            <a:off x="432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57</xdr:row>
      <xdr:rowOff>142875</xdr:rowOff>
    </xdr:from>
    <xdr:to>
      <xdr:col>13</xdr:col>
      <xdr:colOff>9525</xdr:colOff>
      <xdr:row>59</xdr:row>
      <xdr:rowOff>9525</xdr:rowOff>
    </xdr:to>
    <xdr:grpSp>
      <xdr:nvGrpSpPr>
        <xdr:cNvPr id="60" name="Group 62"/>
        <xdr:cNvGrpSpPr>
          <a:grpSpLocks/>
        </xdr:cNvGrpSpPr>
      </xdr:nvGrpSpPr>
      <xdr:grpSpPr bwMode="auto">
        <a:xfrm rot="10800000">
          <a:off x="1962883" y="9286875"/>
          <a:ext cx="142142" cy="189035"/>
          <a:chOff x="1007" y="715"/>
          <a:chExt cx="16" cy="20"/>
        </a:xfrm>
      </xdr:grpSpPr>
      <xdr:sp macro="" textlink="">
        <xdr:nvSpPr>
          <xdr:cNvPr id="61" name="Line 63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64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59</xdr:row>
      <xdr:rowOff>152400</xdr:rowOff>
    </xdr:from>
    <xdr:to>
      <xdr:col>13</xdr:col>
      <xdr:colOff>9525</xdr:colOff>
      <xdr:row>61</xdr:row>
      <xdr:rowOff>0</xdr:rowOff>
    </xdr:to>
    <xdr:grpSp>
      <xdr:nvGrpSpPr>
        <xdr:cNvPr id="63" name="Group 65"/>
        <xdr:cNvGrpSpPr>
          <a:grpSpLocks/>
        </xdr:cNvGrpSpPr>
      </xdr:nvGrpSpPr>
      <xdr:grpSpPr bwMode="auto">
        <a:xfrm rot="10800000">
          <a:off x="1962883" y="9618785"/>
          <a:ext cx="142142" cy="169984"/>
          <a:chOff x="1007" y="715"/>
          <a:chExt cx="16" cy="20"/>
        </a:xfrm>
      </xdr:grpSpPr>
      <xdr:sp macro="" textlink="">
        <xdr:nvSpPr>
          <xdr:cNvPr id="64" name="Line 66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67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19050</xdr:colOff>
      <xdr:row>60</xdr:row>
      <xdr:rowOff>85725</xdr:rowOff>
    </xdr:from>
    <xdr:to>
      <xdr:col>11</xdr:col>
      <xdr:colOff>161925</xdr:colOff>
      <xdr:row>60</xdr:row>
      <xdr:rowOff>85725</xdr:rowOff>
    </xdr:to>
    <xdr:sp macro="" textlink="">
      <xdr:nvSpPr>
        <xdr:cNvPr id="66" name="Line 68"/>
        <xdr:cNvSpPr>
          <a:spLocks noChangeShapeType="1"/>
        </xdr:cNvSpPr>
      </xdr:nvSpPr>
      <xdr:spPr bwMode="auto">
        <a:xfrm flipH="1">
          <a:off x="1476375" y="970597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142875</xdr:rowOff>
    </xdr:from>
    <xdr:to>
      <xdr:col>9</xdr:col>
      <xdr:colOff>9525</xdr:colOff>
      <xdr:row>61</xdr:row>
      <xdr:rowOff>38100</xdr:rowOff>
    </xdr:to>
    <xdr:sp macro="" textlink="">
      <xdr:nvSpPr>
        <xdr:cNvPr id="67" name="Text Box 69"/>
        <xdr:cNvSpPr txBox="1">
          <a:spLocks noChangeArrowheads="1"/>
        </xdr:cNvSpPr>
      </xdr:nvSpPr>
      <xdr:spPr bwMode="auto">
        <a:xfrm>
          <a:off x="1295400" y="9601200"/>
          <a:ext cx="1714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N9B</a:t>
          </a:r>
        </a:p>
      </xdr:txBody>
    </xdr:sp>
    <xdr:clientData/>
  </xdr:twoCellAnchor>
  <xdr:twoCellAnchor>
    <xdr:from>
      <xdr:col>28</xdr:col>
      <xdr:colOff>142875</xdr:colOff>
      <xdr:row>43</xdr:row>
      <xdr:rowOff>161925</xdr:rowOff>
    </xdr:from>
    <xdr:to>
      <xdr:col>29</xdr:col>
      <xdr:colOff>123825</xdr:colOff>
      <xdr:row>44</xdr:row>
      <xdr:rowOff>133350</xdr:rowOff>
    </xdr:to>
    <xdr:sp macro="" textlink="">
      <xdr:nvSpPr>
        <xdr:cNvPr id="68" name="Text Box 70"/>
        <xdr:cNvSpPr txBox="1">
          <a:spLocks noChangeArrowheads="1"/>
        </xdr:cNvSpPr>
      </xdr:nvSpPr>
      <xdr:spPr bwMode="auto">
        <a:xfrm>
          <a:off x="4676775" y="7029450"/>
          <a:ext cx="142875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21</xdr:col>
      <xdr:colOff>0</xdr:colOff>
      <xdr:row>66</xdr:row>
      <xdr:rowOff>180975</xdr:rowOff>
    </xdr:from>
    <xdr:to>
      <xdr:col>21</xdr:col>
      <xdr:colOff>161925</xdr:colOff>
      <xdr:row>67</xdr:row>
      <xdr:rowOff>152400</xdr:rowOff>
    </xdr:to>
    <xdr:sp macro="" textlink="">
      <xdr:nvSpPr>
        <xdr:cNvPr id="69" name="Text Box 71"/>
        <xdr:cNvSpPr txBox="1">
          <a:spLocks noChangeArrowheads="1"/>
        </xdr:cNvSpPr>
      </xdr:nvSpPr>
      <xdr:spPr bwMode="auto">
        <a:xfrm>
          <a:off x="3400425" y="10753725"/>
          <a:ext cx="1619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0" name="Text Box 72"/>
        <xdr:cNvSpPr txBox="1">
          <a:spLocks noChangeArrowheads="1"/>
        </xdr:cNvSpPr>
      </xdr:nvSpPr>
      <xdr:spPr bwMode="auto">
        <a:xfrm>
          <a:off x="4676775" y="8324850"/>
          <a:ext cx="152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26</xdr:col>
      <xdr:colOff>104775</xdr:colOff>
      <xdr:row>51</xdr:row>
      <xdr:rowOff>0</xdr:rowOff>
    </xdr:from>
    <xdr:to>
      <xdr:col>28</xdr:col>
      <xdr:colOff>47625</xdr:colOff>
      <xdr:row>52</xdr:row>
      <xdr:rowOff>123825</xdr:rowOff>
    </xdr:to>
    <xdr:grpSp>
      <xdr:nvGrpSpPr>
        <xdr:cNvPr id="71" name="Group 73"/>
        <xdr:cNvGrpSpPr>
          <a:grpSpLocks/>
        </xdr:cNvGrpSpPr>
      </xdr:nvGrpSpPr>
      <xdr:grpSpPr bwMode="auto">
        <a:xfrm>
          <a:off x="4295775" y="8176846"/>
          <a:ext cx="265235" cy="285017"/>
          <a:chOff x="276" y="1034"/>
          <a:chExt cx="32" cy="31"/>
        </a:xfrm>
      </xdr:grpSpPr>
      <xdr:sp macro="" textlink="">
        <xdr:nvSpPr>
          <xdr:cNvPr id="72" name="Oval 74"/>
          <xdr:cNvSpPr>
            <a:spLocks noChangeArrowheads="1"/>
          </xdr:cNvSpPr>
        </xdr:nvSpPr>
        <xdr:spPr bwMode="auto">
          <a:xfrm>
            <a:off x="276" y="103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Text Box 75"/>
          <xdr:cNvSpPr txBox="1">
            <a:spLocks noChangeArrowheads="1"/>
          </xdr:cNvSpPr>
        </xdr:nvSpPr>
        <xdr:spPr bwMode="auto">
          <a:xfrm>
            <a:off x="281" y="1039"/>
            <a:ext cx="27" cy="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36576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rebuchet MS"/>
              </a:rPr>
              <a:t>N2</a:t>
            </a: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r" rtl="0">
              <a:defRPr sz="1000"/>
            </a:pP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12</xdr:col>
      <xdr:colOff>28575</xdr:colOff>
      <xdr:row>50</xdr:row>
      <xdr:rowOff>114300</xdr:rowOff>
    </xdr:from>
    <xdr:to>
      <xdr:col>13</xdr:col>
      <xdr:colOff>9525</xdr:colOff>
      <xdr:row>51</xdr:row>
      <xdr:rowOff>104775</xdr:rowOff>
    </xdr:to>
    <xdr:grpSp>
      <xdr:nvGrpSpPr>
        <xdr:cNvPr id="74" name="Group 76"/>
        <xdr:cNvGrpSpPr>
          <a:grpSpLocks/>
        </xdr:cNvGrpSpPr>
      </xdr:nvGrpSpPr>
      <xdr:grpSpPr bwMode="auto">
        <a:xfrm rot="10800000">
          <a:off x="1962883" y="8129954"/>
          <a:ext cx="142142" cy="151667"/>
          <a:chOff x="1007" y="715"/>
          <a:chExt cx="16" cy="20"/>
        </a:xfrm>
      </xdr:grpSpPr>
      <xdr:sp macro="" textlink="">
        <xdr:nvSpPr>
          <xdr:cNvPr id="75" name="Line 77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78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57</xdr:row>
      <xdr:rowOff>123825</xdr:rowOff>
    </xdr:from>
    <xdr:to>
      <xdr:col>9</xdr:col>
      <xdr:colOff>38100</xdr:colOff>
      <xdr:row>59</xdr:row>
      <xdr:rowOff>38100</xdr:rowOff>
    </xdr:to>
    <xdr:sp macro="" textlink="">
      <xdr:nvSpPr>
        <xdr:cNvPr id="77" name="Oval 79"/>
        <xdr:cNvSpPr>
          <a:spLocks noChangeArrowheads="1"/>
        </xdr:cNvSpPr>
      </xdr:nvSpPr>
      <xdr:spPr bwMode="auto">
        <a:xfrm>
          <a:off x="1276350" y="9258300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58</xdr:row>
      <xdr:rowOff>76200</xdr:rowOff>
    </xdr:from>
    <xdr:to>
      <xdr:col>12</xdr:col>
      <xdr:colOff>0</xdr:colOff>
      <xdr:row>58</xdr:row>
      <xdr:rowOff>76200</xdr:rowOff>
    </xdr:to>
    <xdr:sp macro="" textlink="">
      <xdr:nvSpPr>
        <xdr:cNvPr id="78" name="Line 80"/>
        <xdr:cNvSpPr>
          <a:spLocks noChangeShapeType="1"/>
        </xdr:cNvSpPr>
      </xdr:nvSpPr>
      <xdr:spPr bwMode="auto">
        <a:xfrm flipH="1">
          <a:off x="1485900" y="93726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57</xdr:row>
      <xdr:rowOff>114300</xdr:rowOff>
    </xdr:from>
    <xdr:to>
      <xdr:col>9</xdr:col>
      <xdr:colOff>19050</xdr:colOff>
      <xdr:row>59</xdr:row>
      <xdr:rowOff>133350</xdr:rowOff>
    </xdr:to>
    <xdr:sp macro="" textlink="">
      <xdr:nvSpPr>
        <xdr:cNvPr id="79" name="Text Box 81"/>
        <xdr:cNvSpPr txBox="1">
          <a:spLocks noChangeArrowheads="1"/>
        </xdr:cNvSpPr>
      </xdr:nvSpPr>
      <xdr:spPr bwMode="auto">
        <a:xfrm>
          <a:off x="1304925" y="9248775"/>
          <a:ext cx="17145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7</xdr:col>
      <xdr:colOff>142875</xdr:colOff>
      <xdr:row>50</xdr:row>
      <xdr:rowOff>85725</xdr:rowOff>
    </xdr:from>
    <xdr:to>
      <xdr:col>12</xdr:col>
      <xdr:colOff>0</xdr:colOff>
      <xdr:row>52</xdr:row>
      <xdr:rowOff>19050</xdr:rowOff>
    </xdr:to>
    <xdr:grpSp>
      <xdr:nvGrpSpPr>
        <xdr:cNvPr id="80" name="Group 82"/>
        <xdr:cNvGrpSpPr>
          <a:grpSpLocks/>
        </xdr:cNvGrpSpPr>
      </xdr:nvGrpSpPr>
      <xdr:grpSpPr bwMode="auto">
        <a:xfrm>
          <a:off x="1271221" y="8101379"/>
          <a:ext cx="663087" cy="255709"/>
          <a:chOff x="181" y="884"/>
          <a:chExt cx="75" cy="30"/>
        </a:xfrm>
      </xdr:grpSpPr>
      <xdr:sp macro="" textlink="">
        <xdr:nvSpPr>
          <xdr:cNvPr id="81" name="Oval 83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82" name="Group 84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83" name="Line 85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4" name="Text Box 86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</a:t>
              </a:r>
            </a:p>
          </xdr:txBody>
        </xdr:sp>
      </xdr:grpSp>
    </xdr:grpSp>
    <xdr:clientData/>
  </xdr:twoCellAnchor>
  <xdr:twoCellAnchor>
    <xdr:from>
      <xdr:col>16</xdr:col>
      <xdr:colOff>38100</xdr:colOff>
      <xdr:row>42</xdr:row>
      <xdr:rowOff>123825</xdr:rowOff>
    </xdr:from>
    <xdr:to>
      <xdr:col>17</xdr:col>
      <xdr:colOff>104775</xdr:colOff>
      <xdr:row>43</xdr:row>
      <xdr:rowOff>171450</xdr:rowOff>
    </xdr:to>
    <xdr:sp macro="" textlink="">
      <xdr:nvSpPr>
        <xdr:cNvPr id="85" name="Oval 87"/>
        <xdr:cNvSpPr>
          <a:spLocks noChangeArrowheads="1"/>
        </xdr:cNvSpPr>
      </xdr:nvSpPr>
      <xdr:spPr bwMode="auto">
        <a:xfrm>
          <a:off x="2628900" y="6829425"/>
          <a:ext cx="228600" cy="2000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66675</xdr:colOff>
      <xdr:row>42</xdr:row>
      <xdr:rowOff>133350</xdr:rowOff>
    </xdr:from>
    <xdr:to>
      <xdr:col>17</xdr:col>
      <xdr:colOff>104775</xdr:colOff>
      <xdr:row>45</xdr:row>
      <xdr:rowOff>9525</xdr:rowOff>
    </xdr:to>
    <xdr:sp macro="" textlink="">
      <xdr:nvSpPr>
        <xdr:cNvPr id="86" name="Text Box 88"/>
        <xdr:cNvSpPr txBox="1">
          <a:spLocks noChangeArrowheads="1"/>
        </xdr:cNvSpPr>
      </xdr:nvSpPr>
      <xdr:spPr bwMode="auto">
        <a:xfrm>
          <a:off x="2657475" y="6838950"/>
          <a:ext cx="2000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66675</xdr:colOff>
      <xdr:row>60</xdr:row>
      <xdr:rowOff>28575</xdr:rowOff>
    </xdr:from>
    <xdr:to>
      <xdr:col>14</xdr:col>
      <xdr:colOff>152400</xdr:colOff>
      <xdr:row>60</xdr:row>
      <xdr:rowOff>114300</xdr:rowOff>
    </xdr:to>
    <xdr:sp macro="" textlink="">
      <xdr:nvSpPr>
        <xdr:cNvPr id="87" name="Oval 89"/>
        <xdr:cNvSpPr>
          <a:spLocks noChangeArrowheads="1"/>
        </xdr:cNvSpPr>
      </xdr:nvSpPr>
      <xdr:spPr bwMode="auto">
        <a:xfrm>
          <a:off x="2333625" y="9648825"/>
          <a:ext cx="85725" cy="85725"/>
        </a:xfrm>
        <a:prstGeom prst="ellipse">
          <a:avLst/>
        </a:prstGeom>
        <a:solidFill>
          <a:srgbClr val="FFFFFF"/>
        </a:solidFill>
        <a:ln w="38100" cmpd="dbl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133350</xdr:colOff>
      <xdr:row>60</xdr:row>
      <xdr:rowOff>152400</xdr:rowOff>
    </xdr:from>
    <xdr:to>
      <xdr:col>23</xdr:col>
      <xdr:colOff>114300</xdr:colOff>
      <xdr:row>61</xdr:row>
      <xdr:rowOff>152400</xdr:rowOff>
    </xdr:to>
    <xdr:grpSp>
      <xdr:nvGrpSpPr>
        <xdr:cNvPr id="88" name="Group 90"/>
        <xdr:cNvGrpSpPr>
          <a:grpSpLocks/>
        </xdr:cNvGrpSpPr>
      </xdr:nvGrpSpPr>
      <xdr:grpSpPr bwMode="auto">
        <a:xfrm>
          <a:off x="3679581" y="9779977"/>
          <a:ext cx="142142" cy="161192"/>
          <a:chOff x="1007" y="715"/>
          <a:chExt cx="16" cy="20"/>
        </a:xfrm>
      </xdr:grpSpPr>
      <xdr:sp macro="" textlink="">
        <xdr:nvSpPr>
          <xdr:cNvPr id="89" name="Line 91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92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61</xdr:row>
      <xdr:rowOff>47625</xdr:rowOff>
    </xdr:from>
    <xdr:to>
      <xdr:col>26</xdr:col>
      <xdr:colOff>104775</xdr:colOff>
      <xdr:row>61</xdr:row>
      <xdr:rowOff>47625</xdr:rowOff>
    </xdr:to>
    <xdr:sp macro="" textlink="">
      <xdr:nvSpPr>
        <xdr:cNvPr id="91" name="Line 93"/>
        <xdr:cNvSpPr>
          <a:spLocks noChangeShapeType="1"/>
        </xdr:cNvSpPr>
      </xdr:nvSpPr>
      <xdr:spPr bwMode="auto">
        <a:xfrm flipH="1">
          <a:off x="3857625" y="98298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60</xdr:row>
      <xdr:rowOff>133350</xdr:rowOff>
    </xdr:from>
    <xdr:to>
      <xdr:col>28</xdr:col>
      <xdr:colOff>9525</xdr:colOff>
      <xdr:row>61</xdr:row>
      <xdr:rowOff>180975</xdr:rowOff>
    </xdr:to>
    <xdr:sp macro="" textlink="">
      <xdr:nvSpPr>
        <xdr:cNvPr id="92" name="Oval 94"/>
        <xdr:cNvSpPr>
          <a:spLocks noChangeArrowheads="1"/>
        </xdr:cNvSpPr>
      </xdr:nvSpPr>
      <xdr:spPr bwMode="auto">
        <a:xfrm>
          <a:off x="4324350" y="9753600"/>
          <a:ext cx="21907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93" name="Text Box 95"/>
        <xdr:cNvSpPr txBox="1">
          <a:spLocks noChangeArrowheads="1"/>
        </xdr:cNvSpPr>
      </xdr:nvSpPr>
      <xdr:spPr bwMode="auto">
        <a:xfrm>
          <a:off x="4362450" y="9782175"/>
          <a:ext cx="1619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22</xdr:col>
      <xdr:colOff>142875</xdr:colOff>
      <xdr:row>48</xdr:row>
      <xdr:rowOff>123825</xdr:rowOff>
    </xdr:from>
    <xdr:to>
      <xdr:col>23</xdr:col>
      <xdr:colOff>123825</xdr:colOff>
      <xdr:row>49</xdr:row>
      <xdr:rowOff>123825</xdr:rowOff>
    </xdr:to>
    <xdr:grpSp>
      <xdr:nvGrpSpPr>
        <xdr:cNvPr id="94" name="Group 96"/>
        <xdr:cNvGrpSpPr>
          <a:grpSpLocks/>
        </xdr:cNvGrpSpPr>
      </xdr:nvGrpSpPr>
      <xdr:grpSpPr bwMode="auto">
        <a:xfrm>
          <a:off x="3689106" y="7817094"/>
          <a:ext cx="142142" cy="161193"/>
          <a:chOff x="1007" y="715"/>
          <a:chExt cx="16" cy="20"/>
        </a:xfrm>
      </xdr:grpSpPr>
      <xdr:sp macro="" textlink="">
        <xdr:nvSpPr>
          <xdr:cNvPr id="95" name="Line 97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98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49</xdr:row>
      <xdr:rowOff>9525</xdr:rowOff>
    </xdr:from>
    <xdr:to>
      <xdr:col>26</xdr:col>
      <xdr:colOff>104775</xdr:colOff>
      <xdr:row>49</xdr:row>
      <xdr:rowOff>9525</xdr:rowOff>
    </xdr:to>
    <xdr:sp macro="" textlink="">
      <xdr:nvSpPr>
        <xdr:cNvPr id="97" name="Line 99"/>
        <xdr:cNvSpPr>
          <a:spLocks noChangeShapeType="1"/>
        </xdr:cNvSpPr>
      </xdr:nvSpPr>
      <xdr:spPr bwMode="auto">
        <a:xfrm flipH="1">
          <a:off x="3857625" y="78486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48</xdr:row>
      <xdr:rowOff>57150</xdr:rowOff>
    </xdr:from>
    <xdr:to>
      <xdr:col>28</xdr:col>
      <xdr:colOff>0</xdr:colOff>
      <xdr:row>49</xdr:row>
      <xdr:rowOff>114300</xdr:rowOff>
    </xdr:to>
    <xdr:sp macro="" textlink="">
      <xdr:nvSpPr>
        <xdr:cNvPr id="98" name="Oval 100"/>
        <xdr:cNvSpPr>
          <a:spLocks noChangeArrowheads="1"/>
        </xdr:cNvSpPr>
      </xdr:nvSpPr>
      <xdr:spPr bwMode="auto">
        <a:xfrm>
          <a:off x="4314825" y="773430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133350</xdr:colOff>
      <xdr:row>48</xdr:row>
      <xdr:rowOff>85725</xdr:rowOff>
    </xdr:from>
    <xdr:to>
      <xdr:col>27</xdr:col>
      <xdr:colOff>152400</xdr:colOff>
      <xdr:row>49</xdr:row>
      <xdr:rowOff>171450</xdr:rowOff>
    </xdr:to>
    <xdr:sp macro="" textlink="">
      <xdr:nvSpPr>
        <xdr:cNvPr id="99" name="Text Box 101"/>
        <xdr:cNvSpPr txBox="1">
          <a:spLocks noChangeArrowheads="1"/>
        </xdr:cNvSpPr>
      </xdr:nvSpPr>
      <xdr:spPr bwMode="auto">
        <a:xfrm>
          <a:off x="4343400" y="7762875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22</xdr:col>
      <xdr:colOff>123825</xdr:colOff>
      <xdr:row>43</xdr:row>
      <xdr:rowOff>57150</xdr:rowOff>
    </xdr:from>
    <xdr:to>
      <xdr:col>23</xdr:col>
      <xdr:colOff>104775</xdr:colOff>
      <xdr:row>44</xdr:row>
      <xdr:rowOff>57150</xdr:rowOff>
    </xdr:to>
    <xdr:grpSp>
      <xdr:nvGrpSpPr>
        <xdr:cNvPr id="100" name="Group 102"/>
        <xdr:cNvGrpSpPr>
          <a:grpSpLocks/>
        </xdr:cNvGrpSpPr>
      </xdr:nvGrpSpPr>
      <xdr:grpSpPr bwMode="auto">
        <a:xfrm>
          <a:off x="3670056" y="6944458"/>
          <a:ext cx="142142" cy="161192"/>
          <a:chOff x="1007" y="715"/>
          <a:chExt cx="16" cy="20"/>
        </a:xfrm>
      </xdr:grpSpPr>
      <xdr:sp macro="" textlink="">
        <xdr:nvSpPr>
          <xdr:cNvPr id="101" name="Line 103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04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85725</xdr:colOff>
      <xdr:row>43</xdr:row>
      <xdr:rowOff>161925</xdr:rowOff>
    </xdr:from>
    <xdr:to>
      <xdr:col>26</xdr:col>
      <xdr:colOff>57150</xdr:colOff>
      <xdr:row>43</xdr:row>
      <xdr:rowOff>161925</xdr:rowOff>
    </xdr:to>
    <xdr:sp macro="" textlink="">
      <xdr:nvSpPr>
        <xdr:cNvPr id="103" name="Line 105"/>
        <xdr:cNvSpPr>
          <a:spLocks noChangeShapeType="1"/>
        </xdr:cNvSpPr>
      </xdr:nvSpPr>
      <xdr:spPr bwMode="auto">
        <a:xfrm flipH="1">
          <a:off x="3810000" y="70294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104" name="Oval 106"/>
        <xdr:cNvSpPr>
          <a:spLocks noChangeArrowheads="1"/>
        </xdr:cNvSpPr>
      </xdr:nvSpPr>
      <xdr:spPr bwMode="auto">
        <a:xfrm>
          <a:off x="4286250" y="6896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105" name="Text Box 107"/>
        <xdr:cNvSpPr txBox="1">
          <a:spLocks noChangeArrowheads="1"/>
        </xdr:cNvSpPr>
      </xdr:nvSpPr>
      <xdr:spPr bwMode="auto">
        <a:xfrm>
          <a:off x="4333875" y="6943725"/>
          <a:ext cx="1714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180975</xdr:colOff>
      <xdr:row>28</xdr:row>
      <xdr:rowOff>0</xdr:rowOff>
    </xdr:from>
    <xdr:to>
      <xdr:col>20</xdr:col>
      <xdr:colOff>161925</xdr:colOff>
      <xdr:row>28</xdr:row>
      <xdr:rowOff>85725</xdr:rowOff>
    </xdr:to>
    <xdr:sp macro="" textlink="">
      <xdr:nvSpPr>
        <xdr:cNvPr id="106" name="Oval 108"/>
        <xdr:cNvSpPr>
          <a:spLocks noChangeArrowheads="1"/>
        </xdr:cNvSpPr>
      </xdr:nvSpPr>
      <xdr:spPr bwMode="auto">
        <a:xfrm>
          <a:off x="3400425" y="4438650"/>
          <a:ext cx="0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46</xdr:row>
      <xdr:rowOff>142875</xdr:rowOff>
    </xdr:from>
    <xdr:to>
      <xdr:col>20</xdr:col>
      <xdr:colOff>9525</xdr:colOff>
      <xdr:row>47</xdr:row>
      <xdr:rowOff>66675</xdr:rowOff>
    </xdr:to>
    <xdr:sp macro="" textlink="">
      <xdr:nvSpPr>
        <xdr:cNvPr id="107" name="Text Box 109"/>
        <xdr:cNvSpPr txBox="1">
          <a:spLocks noChangeArrowheads="1"/>
        </xdr:cNvSpPr>
      </xdr:nvSpPr>
      <xdr:spPr bwMode="auto">
        <a:xfrm>
          <a:off x="3076575" y="7496175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08" name="Text Box 110"/>
        <xdr:cNvSpPr txBox="1">
          <a:spLocks noChangeArrowheads="1"/>
        </xdr:cNvSpPr>
      </xdr:nvSpPr>
      <xdr:spPr bwMode="auto">
        <a:xfrm>
          <a:off x="2705100" y="8829675"/>
          <a:ext cx="76200" cy="14360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152400</xdr:colOff>
      <xdr:row>65</xdr:row>
      <xdr:rowOff>114300</xdr:rowOff>
    </xdr:from>
    <xdr:to>
      <xdr:col>18</xdr:col>
      <xdr:colOff>219075</xdr:colOff>
      <xdr:row>66</xdr:row>
      <xdr:rowOff>161925</xdr:rowOff>
    </xdr:to>
    <xdr:sp macro="" textlink="">
      <xdr:nvSpPr>
        <xdr:cNvPr id="109" name="Oval 111"/>
        <xdr:cNvSpPr>
          <a:spLocks noChangeArrowheads="1"/>
        </xdr:cNvSpPr>
      </xdr:nvSpPr>
      <xdr:spPr bwMode="auto">
        <a:xfrm>
          <a:off x="2905125" y="10544175"/>
          <a:ext cx="17145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152400</xdr:colOff>
      <xdr:row>65</xdr:row>
      <xdr:rowOff>123825</xdr:rowOff>
    </xdr:from>
    <xdr:to>
      <xdr:col>19</xdr:col>
      <xdr:colOff>19050</xdr:colOff>
      <xdr:row>67</xdr:row>
      <xdr:rowOff>104775</xdr:rowOff>
    </xdr:to>
    <xdr:sp macro="" textlink="">
      <xdr:nvSpPr>
        <xdr:cNvPr id="110" name="Text Box 112"/>
        <xdr:cNvSpPr txBox="1">
          <a:spLocks noChangeArrowheads="1"/>
        </xdr:cNvSpPr>
      </xdr:nvSpPr>
      <xdr:spPr bwMode="auto">
        <a:xfrm>
          <a:off x="2905125" y="10553700"/>
          <a:ext cx="1905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12</xdr:col>
      <xdr:colOff>38100</xdr:colOff>
      <xdr:row>44</xdr:row>
      <xdr:rowOff>95250</xdr:rowOff>
    </xdr:from>
    <xdr:to>
      <xdr:col>13</xdr:col>
      <xdr:colOff>19050</xdr:colOff>
      <xdr:row>45</xdr:row>
      <xdr:rowOff>133350</xdr:rowOff>
    </xdr:to>
    <xdr:grpSp>
      <xdr:nvGrpSpPr>
        <xdr:cNvPr id="111" name="Group 113"/>
        <xdr:cNvGrpSpPr>
          <a:grpSpLocks/>
        </xdr:cNvGrpSpPr>
      </xdr:nvGrpSpPr>
      <xdr:grpSpPr bwMode="auto">
        <a:xfrm rot="10800000">
          <a:off x="1972408" y="7143750"/>
          <a:ext cx="142142" cy="199292"/>
          <a:chOff x="1007" y="715"/>
          <a:chExt cx="16" cy="20"/>
        </a:xfrm>
      </xdr:grpSpPr>
      <xdr:sp macro="" textlink="">
        <xdr:nvSpPr>
          <xdr:cNvPr id="112" name="Line 114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15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38100</xdr:colOff>
      <xdr:row>54</xdr:row>
      <xdr:rowOff>95250</xdr:rowOff>
    </xdr:from>
    <xdr:to>
      <xdr:col>13</xdr:col>
      <xdr:colOff>19050</xdr:colOff>
      <xdr:row>55</xdr:row>
      <xdr:rowOff>123825</xdr:rowOff>
    </xdr:to>
    <xdr:grpSp>
      <xdr:nvGrpSpPr>
        <xdr:cNvPr id="114" name="Group 116"/>
        <xdr:cNvGrpSpPr>
          <a:grpSpLocks/>
        </xdr:cNvGrpSpPr>
      </xdr:nvGrpSpPr>
      <xdr:grpSpPr bwMode="auto">
        <a:xfrm rot="10800000">
          <a:off x="1972408" y="8755673"/>
          <a:ext cx="142142" cy="189767"/>
          <a:chOff x="1007" y="715"/>
          <a:chExt cx="16" cy="20"/>
        </a:xfrm>
      </xdr:grpSpPr>
      <xdr:sp macro="" textlink="">
        <xdr:nvSpPr>
          <xdr:cNvPr id="115" name="Line 117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18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54</xdr:row>
      <xdr:rowOff>76200</xdr:rowOff>
    </xdr:from>
    <xdr:to>
      <xdr:col>12</xdr:col>
      <xdr:colOff>9525</xdr:colOff>
      <xdr:row>56</xdr:row>
      <xdr:rowOff>38100</xdr:rowOff>
    </xdr:to>
    <xdr:grpSp>
      <xdr:nvGrpSpPr>
        <xdr:cNvPr id="117" name="Group 119"/>
        <xdr:cNvGrpSpPr>
          <a:grpSpLocks/>
        </xdr:cNvGrpSpPr>
      </xdr:nvGrpSpPr>
      <xdr:grpSpPr bwMode="auto">
        <a:xfrm>
          <a:off x="1280746" y="8736623"/>
          <a:ext cx="663087" cy="284285"/>
          <a:chOff x="181" y="884"/>
          <a:chExt cx="75" cy="30"/>
        </a:xfrm>
      </xdr:grpSpPr>
      <xdr:sp macro="" textlink="">
        <xdr:nvSpPr>
          <xdr:cNvPr id="118" name="Oval 120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19" name="Group 121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20" name="Line 122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Text Box 123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N8</a:t>
              </a:r>
            </a:p>
          </xdr:txBody>
        </xdr:sp>
      </xdr:grpSp>
    </xdr:grpSp>
    <xdr:clientData/>
  </xdr:twoCellAnchor>
  <xdr:twoCellAnchor>
    <xdr:from>
      <xdr:col>20</xdr:col>
      <xdr:colOff>66675</xdr:colOff>
      <xdr:row>39</xdr:row>
      <xdr:rowOff>114300</xdr:rowOff>
    </xdr:from>
    <xdr:to>
      <xdr:col>21</xdr:col>
      <xdr:colOff>0</xdr:colOff>
      <xdr:row>40</xdr:row>
      <xdr:rowOff>66675</xdr:rowOff>
    </xdr:to>
    <xdr:grpSp>
      <xdr:nvGrpSpPr>
        <xdr:cNvPr id="122" name="Group 124"/>
        <xdr:cNvGrpSpPr>
          <a:grpSpLocks/>
        </xdr:cNvGrpSpPr>
      </xdr:nvGrpSpPr>
      <xdr:grpSpPr bwMode="auto">
        <a:xfrm rot="-5400000">
          <a:off x="3280996" y="6366363"/>
          <a:ext cx="113568" cy="94517"/>
          <a:chOff x="1007" y="715"/>
          <a:chExt cx="16" cy="20"/>
        </a:xfrm>
      </xdr:grpSpPr>
      <xdr:sp macro="" textlink="">
        <xdr:nvSpPr>
          <xdr:cNvPr id="123" name="Line 125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126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104775</xdr:colOff>
      <xdr:row>39</xdr:row>
      <xdr:rowOff>133350</xdr:rowOff>
    </xdr:from>
    <xdr:to>
      <xdr:col>15</xdr:col>
      <xdr:colOff>123825</xdr:colOff>
      <xdr:row>40</xdr:row>
      <xdr:rowOff>85725</xdr:rowOff>
    </xdr:to>
    <xdr:grpSp>
      <xdr:nvGrpSpPr>
        <xdr:cNvPr id="125" name="Group 127"/>
        <xdr:cNvGrpSpPr>
          <a:grpSpLocks/>
        </xdr:cNvGrpSpPr>
      </xdr:nvGrpSpPr>
      <xdr:grpSpPr bwMode="auto">
        <a:xfrm rot="-5400000">
          <a:off x="2394805" y="6342550"/>
          <a:ext cx="113568" cy="180243"/>
          <a:chOff x="1007" y="715"/>
          <a:chExt cx="16" cy="20"/>
        </a:xfrm>
      </xdr:grpSpPr>
      <xdr:sp macro="" textlink="">
        <xdr:nvSpPr>
          <xdr:cNvPr id="126" name="Line 128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129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85725</xdr:colOff>
      <xdr:row>31</xdr:row>
      <xdr:rowOff>171450</xdr:rowOff>
    </xdr:from>
    <xdr:to>
      <xdr:col>35</xdr:col>
      <xdr:colOff>85725</xdr:colOff>
      <xdr:row>35</xdr:row>
      <xdr:rowOff>38100</xdr:rowOff>
    </xdr:to>
    <xdr:sp macro="" textlink="">
      <xdr:nvSpPr>
        <xdr:cNvPr id="128" name="Text Box 130"/>
        <xdr:cNvSpPr txBox="1">
          <a:spLocks noChangeArrowheads="1"/>
        </xdr:cNvSpPr>
      </xdr:nvSpPr>
      <xdr:spPr bwMode="auto">
        <a:xfrm>
          <a:off x="5591175" y="5086350"/>
          <a:ext cx="1619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28575</xdr:colOff>
      <xdr:row>37</xdr:row>
      <xdr:rowOff>57150</xdr:rowOff>
    </xdr:from>
    <xdr:to>
      <xdr:col>15</xdr:col>
      <xdr:colOff>28575</xdr:colOff>
      <xdr:row>39</xdr:row>
      <xdr:rowOff>114300</xdr:rowOff>
    </xdr:to>
    <xdr:sp macro="" textlink="">
      <xdr:nvSpPr>
        <xdr:cNvPr id="129" name="Line 131"/>
        <xdr:cNvSpPr>
          <a:spLocks noChangeShapeType="1"/>
        </xdr:cNvSpPr>
      </xdr:nvSpPr>
      <xdr:spPr bwMode="auto">
        <a:xfrm flipV="1">
          <a:off x="2457450" y="5953125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161925</xdr:colOff>
      <xdr:row>37</xdr:row>
      <xdr:rowOff>47625</xdr:rowOff>
    </xdr:from>
    <xdr:to>
      <xdr:col>20</xdr:col>
      <xdr:colOff>161925</xdr:colOff>
      <xdr:row>39</xdr:row>
      <xdr:rowOff>104775</xdr:rowOff>
    </xdr:to>
    <xdr:sp macro="" textlink="">
      <xdr:nvSpPr>
        <xdr:cNvPr id="130" name="Line 132"/>
        <xdr:cNvSpPr>
          <a:spLocks noChangeShapeType="1"/>
        </xdr:cNvSpPr>
      </xdr:nvSpPr>
      <xdr:spPr bwMode="auto">
        <a:xfrm flipV="1">
          <a:off x="3400425" y="59436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44</xdr:row>
      <xdr:rowOff>76200</xdr:rowOff>
    </xdr:from>
    <xdr:to>
      <xdr:col>12</xdr:col>
      <xdr:colOff>19050</xdr:colOff>
      <xdr:row>46</xdr:row>
      <xdr:rowOff>9525</xdr:rowOff>
    </xdr:to>
    <xdr:grpSp>
      <xdr:nvGrpSpPr>
        <xdr:cNvPr id="131" name="Group 133"/>
        <xdr:cNvGrpSpPr>
          <a:grpSpLocks/>
        </xdr:cNvGrpSpPr>
      </xdr:nvGrpSpPr>
      <xdr:grpSpPr bwMode="auto">
        <a:xfrm>
          <a:off x="1289538" y="7124700"/>
          <a:ext cx="663820" cy="255710"/>
          <a:chOff x="181" y="884"/>
          <a:chExt cx="75" cy="30"/>
        </a:xfrm>
      </xdr:grpSpPr>
      <xdr:sp macro="" textlink="">
        <xdr:nvSpPr>
          <xdr:cNvPr id="132" name="Oval 134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33" name="Group 135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34" name="Line 136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Text Box 137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N3</a:t>
              </a:r>
            </a:p>
          </xdr:txBody>
        </xdr:sp>
      </xdr:grpSp>
    </xdr:grpSp>
    <xdr:clientData/>
  </xdr:twoCellAnchor>
  <xdr:twoCellAnchor>
    <xdr:from>
      <xdr:col>20</xdr:col>
      <xdr:colOff>76200</xdr:colOff>
      <xdr:row>63</xdr:row>
      <xdr:rowOff>133350</xdr:rowOff>
    </xdr:from>
    <xdr:to>
      <xdr:col>21</xdr:col>
      <xdr:colOff>0</xdr:colOff>
      <xdr:row>64</xdr:row>
      <xdr:rowOff>85725</xdr:rowOff>
    </xdr:to>
    <xdr:grpSp>
      <xdr:nvGrpSpPr>
        <xdr:cNvPr id="136" name="Group 138"/>
        <xdr:cNvGrpSpPr>
          <a:grpSpLocks/>
        </xdr:cNvGrpSpPr>
      </xdr:nvGrpSpPr>
      <xdr:grpSpPr bwMode="auto">
        <a:xfrm rot="5400000">
          <a:off x="3285758" y="10258792"/>
          <a:ext cx="113567" cy="84992"/>
          <a:chOff x="1007" y="715"/>
          <a:chExt cx="16" cy="20"/>
        </a:xfrm>
      </xdr:grpSpPr>
      <xdr:sp macro="" textlink="">
        <xdr:nvSpPr>
          <xdr:cNvPr id="137" name="Line 139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140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57150</xdr:colOff>
      <xdr:row>65</xdr:row>
      <xdr:rowOff>57150</xdr:rowOff>
    </xdr:from>
    <xdr:to>
      <xdr:col>21</xdr:col>
      <xdr:colOff>19050</xdr:colOff>
      <xdr:row>66</xdr:row>
      <xdr:rowOff>114300</xdr:rowOff>
    </xdr:to>
    <xdr:sp macro="" textlink="">
      <xdr:nvSpPr>
        <xdr:cNvPr id="139" name="Oval 141"/>
        <xdr:cNvSpPr>
          <a:spLocks noChangeArrowheads="1"/>
        </xdr:cNvSpPr>
      </xdr:nvSpPr>
      <xdr:spPr bwMode="auto">
        <a:xfrm>
          <a:off x="3295650" y="10487025"/>
          <a:ext cx="12382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95250</xdr:colOff>
      <xdr:row>65</xdr:row>
      <xdr:rowOff>76200</xdr:rowOff>
    </xdr:from>
    <xdr:to>
      <xdr:col>21</xdr:col>
      <xdr:colOff>0</xdr:colOff>
      <xdr:row>66</xdr:row>
      <xdr:rowOff>190500</xdr:rowOff>
    </xdr:to>
    <xdr:sp macro="" textlink="">
      <xdr:nvSpPr>
        <xdr:cNvPr id="140" name="Text Box 142"/>
        <xdr:cNvSpPr txBox="1">
          <a:spLocks noChangeArrowheads="1"/>
        </xdr:cNvSpPr>
      </xdr:nvSpPr>
      <xdr:spPr bwMode="auto">
        <a:xfrm>
          <a:off x="3333750" y="10506075"/>
          <a:ext cx="6667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20</xdr:col>
      <xdr:colOff>171450</xdr:colOff>
      <xdr:row>64</xdr:row>
      <xdr:rowOff>85725</xdr:rowOff>
    </xdr:from>
    <xdr:to>
      <xdr:col>20</xdr:col>
      <xdr:colOff>171450</xdr:colOff>
      <xdr:row>65</xdr:row>
      <xdr:rowOff>104775</xdr:rowOff>
    </xdr:to>
    <xdr:sp macro="" textlink="">
      <xdr:nvSpPr>
        <xdr:cNvPr id="141" name="Line 143"/>
        <xdr:cNvSpPr>
          <a:spLocks noChangeShapeType="1"/>
        </xdr:cNvSpPr>
      </xdr:nvSpPr>
      <xdr:spPr bwMode="auto">
        <a:xfrm>
          <a:off x="3400425" y="103536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59</xdr:row>
      <xdr:rowOff>142875</xdr:rowOff>
    </xdr:from>
    <xdr:to>
      <xdr:col>7</xdr:col>
      <xdr:colOff>114300</xdr:colOff>
      <xdr:row>61</xdr:row>
      <xdr:rowOff>28575</xdr:rowOff>
    </xdr:to>
    <xdr:sp macro="" textlink="">
      <xdr:nvSpPr>
        <xdr:cNvPr id="142" name="Oval 144"/>
        <xdr:cNvSpPr>
          <a:spLocks noChangeArrowheads="1"/>
        </xdr:cNvSpPr>
      </xdr:nvSpPr>
      <xdr:spPr bwMode="auto">
        <a:xfrm>
          <a:off x="1019175" y="96012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57150</xdr:colOff>
      <xdr:row>57</xdr:row>
      <xdr:rowOff>123825</xdr:rowOff>
    </xdr:from>
    <xdr:to>
      <xdr:col>7</xdr:col>
      <xdr:colOff>123825</xdr:colOff>
      <xdr:row>59</xdr:row>
      <xdr:rowOff>38100</xdr:rowOff>
    </xdr:to>
    <xdr:sp macro="" textlink="">
      <xdr:nvSpPr>
        <xdr:cNvPr id="143" name="Oval 145"/>
        <xdr:cNvSpPr>
          <a:spLocks noChangeArrowheads="1"/>
        </xdr:cNvSpPr>
      </xdr:nvSpPr>
      <xdr:spPr bwMode="auto">
        <a:xfrm>
          <a:off x="1028700" y="92583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57</xdr:row>
      <xdr:rowOff>114300</xdr:rowOff>
    </xdr:from>
    <xdr:to>
      <xdr:col>7</xdr:col>
      <xdr:colOff>85725</xdr:colOff>
      <xdr:row>59</xdr:row>
      <xdr:rowOff>85725</xdr:rowOff>
    </xdr:to>
    <xdr:sp macro="" textlink="">
      <xdr:nvSpPr>
        <xdr:cNvPr id="144" name="Text Box 146"/>
        <xdr:cNvSpPr txBox="1">
          <a:spLocks noChangeArrowheads="1"/>
        </xdr:cNvSpPr>
      </xdr:nvSpPr>
      <xdr:spPr bwMode="auto">
        <a:xfrm>
          <a:off x="1066800" y="9248775"/>
          <a:ext cx="1524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7</xdr:col>
      <xdr:colOff>142875</xdr:colOff>
      <xdr:row>48</xdr:row>
      <xdr:rowOff>142875</xdr:rowOff>
    </xdr:from>
    <xdr:to>
      <xdr:col>9</xdr:col>
      <xdr:colOff>38100</xdr:colOff>
      <xdr:row>49</xdr:row>
      <xdr:rowOff>190500</xdr:rowOff>
    </xdr:to>
    <xdr:sp macro="" textlink="">
      <xdr:nvSpPr>
        <xdr:cNvPr id="145" name="Oval 147"/>
        <xdr:cNvSpPr>
          <a:spLocks noChangeArrowheads="1"/>
        </xdr:cNvSpPr>
      </xdr:nvSpPr>
      <xdr:spPr bwMode="auto">
        <a:xfrm>
          <a:off x="1276350" y="7820025"/>
          <a:ext cx="219075" cy="1809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50</xdr:row>
      <xdr:rowOff>180975</xdr:rowOff>
    </xdr:from>
    <xdr:to>
      <xdr:col>22</xdr:col>
      <xdr:colOff>47625</xdr:colOff>
      <xdr:row>52</xdr:row>
      <xdr:rowOff>114300</xdr:rowOff>
    </xdr:to>
    <xdr:sp macro="" textlink="">
      <xdr:nvSpPr>
        <xdr:cNvPr id="146" name="Text Box 148"/>
        <xdr:cNvSpPr txBox="1">
          <a:spLocks noChangeArrowheads="1"/>
        </xdr:cNvSpPr>
      </xdr:nvSpPr>
      <xdr:spPr bwMode="auto">
        <a:xfrm>
          <a:off x="3438525" y="8162925"/>
          <a:ext cx="171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57150</xdr:colOff>
      <xdr:row>22</xdr:row>
      <xdr:rowOff>19050</xdr:rowOff>
    </xdr:from>
    <xdr:to>
      <xdr:col>19</xdr:col>
      <xdr:colOff>47625</xdr:colOff>
      <xdr:row>23</xdr:row>
      <xdr:rowOff>9525</xdr:rowOff>
    </xdr:to>
    <xdr:grpSp>
      <xdr:nvGrpSpPr>
        <xdr:cNvPr id="147" name="Group 149"/>
        <xdr:cNvGrpSpPr>
          <a:grpSpLocks/>
        </xdr:cNvGrpSpPr>
      </xdr:nvGrpSpPr>
      <xdr:grpSpPr bwMode="auto">
        <a:xfrm rot="5400000">
          <a:off x="2878015" y="3440723"/>
          <a:ext cx="151668" cy="312860"/>
          <a:chOff x="258" y="385"/>
          <a:chExt cx="19" cy="41"/>
        </a:xfrm>
      </xdr:grpSpPr>
      <xdr:grpSp>
        <xdr:nvGrpSpPr>
          <xdr:cNvPr id="148" name="Group 150"/>
          <xdr:cNvGrpSpPr>
            <a:grpSpLocks/>
          </xdr:cNvGrpSpPr>
        </xdr:nvGrpSpPr>
        <xdr:grpSpPr bwMode="auto">
          <a:xfrm rot="10800000">
            <a:off x="261" y="385"/>
            <a:ext cx="16" cy="20"/>
            <a:chOff x="1007" y="715"/>
            <a:chExt cx="16" cy="20"/>
          </a:xfrm>
        </xdr:grpSpPr>
        <xdr:sp macro="" textlink="">
          <xdr:nvSpPr>
            <xdr:cNvPr id="153" name="Line 151"/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4" name="Line 152"/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9" name="Group 153"/>
          <xdr:cNvGrpSpPr>
            <a:grpSpLocks/>
          </xdr:cNvGrpSpPr>
        </xdr:nvGrpSpPr>
        <xdr:grpSpPr bwMode="auto">
          <a:xfrm rot="10800000">
            <a:off x="261" y="406"/>
            <a:ext cx="16" cy="20"/>
            <a:chOff x="1007" y="715"/>
            <a:chExt cx="16" cy="20"/>
          </a:xfrm>
        </xdr:grpSpPr>
        <xdr:sp macro="" textlink="">
          <xdr:nvSpPr>
            <xdr:cNvPr id="151" name="Line 154"/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2" name="Line 155"/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0" name="Line 156"/>
          <xdr:cNvSpPr>
            <a:spLocks noChangeShapeType="1"/>
          </xdr:cNvSpPr>
        </xdr:nvSpPr>
        <xdr:spPr bwMode="auto">
          <a:xfrm>
            <a:off x="258" y="38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95250</xdr:colOff>
      <xdr:row>26</xdr:row>
      <xdr:rowOff>114300</xdr:rowOff>
    </xdr:from>
    <xdr:to>
      <xdr:col>7</xdr:col>
      <xdr:colOff>161925</xdr:colOff>
      <xdr:row>28</xdr:row>
      <xdr:rowOff>0</xdr:rowOff>
    </xdr:to>
    <xdr:sp macro="" textlink="">
      <xdr:nvSpPr>
        <xdr:cNvPr id="155" name="Oval 157"/>
        <xdr:cNvSpPr>
          <a:spLocks noChangeArrowheads="1"/>
        </xdr:cNvSpPr>
      </xdr:nvSpPr>
      <xdr:spPr bwMode="auto">
        <a:xfrm>
          <a:off x="1066800" y="4229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26</xdr:row>
      <xdr:rowOff>104775</xdr:rowOff>
    </xdr:from>
    <xdr:to>
      <xdr:col>9</xdr:col>
      <xdr:colOff>76200</xdr:colOff>
      <xdr:row>27</xdr:row>
      <xdr:rowOff>190500</xdr:rowOff>
    </xdr:to>
    <xdr:sp macro="" textlink="">
      <xdr:nvSpPr>
        <xdr:cNvPr id="156" name="Oval 158"/>
        <xdr:cNvSpPr>
          <a:spLocks noChangeArrowheads="1"/>
        </xdr:cNvSpPr>
      </xdr:nvSpPr>
      <xdr:spPr bwMode="auto">
        <a:xfrm>
          <a:off x="1304925" y="4219575"/>
          <a:ext cx="228600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28</xdr:row>
      <xdr:rowOff>28575</xdr:rowOff>
    </xdr:from>
    <xdr:to>
      <xdr:col>8</xdr:col>
      <xdr:colOff>0</xdr:colOff>
      <xdr:row>29</xdr:row>
      <xdr:rowOff>76200</xdr:rowOff>
    </xdr:to>
    <xdr:sp macro="" textlink="">
      <xdr:nvSpPr>
        <xdr:cNvPr id="157" name="Oval 159"/>
        <xdr:cNvSpPr>
          <a:spLocks noChangeArrowheads="1"/>
        </xdr:cNvSpPr>
      </xdr:nvSpPr>
      <xdr:spPr bwMode="auto">
        <a:xfrm>
          <a:off x="1076325" y="4467225"/>
          <a:ext cx="21907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28</xdr:row>
      <xdr:rowOff>28575</xdr:rowOff>
    </xdr:from>
    <xdr:to>
      <xdr:col>9</xdr:col>
      <xdr:colOff>76200</xdr:colOff>
      <xdr:row>29</xdr:row>
      <xdr:rowOff>76200</xdr:rowOff>
    </xdr:to>
    <xdr:sp macro="" textlink="">
      <xdr:nvSpPr>
        <xdr:cNvPr id="158" name="Oval 160"/>
        <xdr:cNvSpPr>
          <a:spLocks noChangeArrowheads="1"/>
        </xdr:cNvSpPr>
      </xdr:nvSpPr>
      <xdr:spPr bwMode="auto">
        <a:xfrm>
          <a:off x="1304925" y="4467225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26</xdr:row>
      <xdr:rowOff>142875</xdr:rowOff>
    </xdr:from>
    <xdr:to>
      <xdr:col>7</xdr:col>
      <xdr:colOff>142875</xdr:colOff>
      <xdr:row>28</xdr:row>
      <xdr:rowOff>66675</xdr:rowOff>
    </xdr:to>
    <xdr:sp macro="" textlink="">
      <xdr:nvSpPr>
        <xdr:cNvPr id="159" name="Text Box 161"/>
        <xdr:cNvSpPr txBox="1">
          <a:spLocks noChangeArrowheads="1"/>
        </xdr:cNvSpPr>
      </xdr:nvSpPr>
      <xdr:spPr bwMode="auto">
        <a:xfrm>
          <a:off x="1104900" y="4257675"/>
          <a:ext cx="17145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</a:t>
          </a:r>
        </a:p>
      </xdr:txBody>
    </xdr:sp>
    <xdr:clientData/>
  </xdr:twoCellAnchor>
  <xdr:twoCellAnchor>
    <xdr:from>
      <xdr:col>8</xdr:col>
      <xdr:colOff>47625</xdr:colOff>
      <xdr:row>26</xdr:row>
      <xdr:rowOff>152400</xdr:rowOff>
    </xdr:from>
    <xdr:to>
      <xdr:col>9</xdr:col>
      <xdr:colOff>57150</xdr:colOff>
      <xdr:row>28</xdr:row>
      <xdr:rowOff>0</xdr:rowOff>
    </xdr:to>
    <xdr:sp macro="" textlink="">
      <xdr:nvSpPr>
        <xdr:cNvPr id="160" name="Text Box 162"/>
        <xdr:cNvSpPr txBox="1">
          <a:spLocks noChangeArrowheads="1"/>
        </xdr:cNvSpPr>
      </xdr:nvSpPr>
      <xdr:spPr bwMode="auto">
        <a:xfrm>
          <a:off x="1343025" y="4267200"/>
          <a:ext cx="1714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N3</a:t>
          </a:r>
        </a:p>
      </xdr:txBody>
    </xdr:sp>
    <xdr:clientData/>
  </xdr:twoCellAnchor>
  <xdr:twoCellAnchor>
    <xdr:from>
      <xdr:col>6</xdr:col>
      <xdr:colOff>142875</xdr:colOff>
      <xdr:row>29</xdr:row>
      <xdr:rowOff>133350</xdr:rowOff>
    </xdr:from>
    <xdr:to>
      <xdr:col>7</xdr:col>
      <xdr:colOff>152400</xdr:colOff>
      <xdr:row>31</xdr:row>
      <xdr:rowOff>19050</xdr:rowOff>
    </xdr:to>
    <xdr:sp macro="" textlink="">
      <xdr:nvSpPr>
        <xdr:cNvPr id="161" name="Text Box 163"/>
        <xdr:cNvSpPr txBox="1">
          <a:spLocks noChangeArrowheads="1"/>
        </xdr:cNvSpPr>
      </xdr:nvSpPr>
      <xdr:spPr bwMode="auto">
        <a:xfrm>
          <a:off x="1114425" y="4733925"/>
          <a:ext cx="1714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6</xdr:col>
      <xdr:colOff>142875</xdr:colOff>
      <xdr:row>28</xdr:row>
      <xdr:rowOff>19050</xdr:rowOff>
    </xdr:from>
    <xdr:to>
      <xdr:col>7</xdr:col>
      <xdr:colOff>152400</xdr:colOff>
      <xdr:row>29</xdr:row>
      <xdr:rowOff>190500</xdr:rowOff>
    </xdr:to>
    <xdr:sp macro="" textlink="">
      <xdr:nvSpPr>
        <xdr:cNvPr id="162" name="Text Box 164"/>
        <xdr:cNvSpPr txBox="1">
          <a:spLocks noChangeArrowheads="1"/>
        </xdr:cNvSpPr>
      </xdr:nvSpPr>
      <xdr:spPr bwMode="auto">
        <a:xfrm>
          <a:off x="1114425" y="4457700"/>
          <a:ext cx="17145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8</xdr:col>
      <xdr:colOff>47625</xdr:colOff>
      <xdr:row>28</xdr:row>
      <xdr:rowOff>57150</xdr:rowOff>
    </xdr:from>
    <xdr:to>
      <xdr:col>9</xdr:col>
      <xdr:colOff>57150</xdr:colOff>
      <xdr:row>29</xdr:row>
      <xdr:rowOff>152400</xdr:rowOff>
    </xdr:to>
    <xdr:sp macro="" textlink="">
      <xdr:nvSpPr>
        <xdr:cNvPr id="163" name="Text Box 165"/>
        <xdr:cNvSpPr txBox="1">
          <a:spLocks noChangeArrowheads="1"/>
        </xdr:cNvSpPr>
      </xdr:nvSpPr>
      <xdr:spPr bwMode="auto">
        <a:xfrm>
          <a:off x="1343025" y="4495800"/>
          <a:ext cx="17145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N12</a:t>
          </a:r>
        </a:p>
      </xdr:txBody>
    </xdr:sp>
    <xdr:clientData/>
  </xdr:twoCellAnchor>
  <xdr:twoCellAnchor>
    <xdr:from>
      <xdr:col>14</xdr:col>
      <xdr:colOff>152400</xdr:colOff>
      <xdr:row>27</xdr:row>
      <xdr:rowOff>190500</xdr:rowOff>
    </xdr:from>
    <xdr:to>
      <xdr:col>15</xdr:col>
      <xdr:colOff>66675</xdr:colOff>
      <xdr:row>28</xdr:row>
      <xdr:rowOff>76200</xdr:rowOff>
    </xdr:to>
    <xdr:sp macro="" textlink="">
      <xdr:nvSpPr>
        <xdr:cNvPr id="164" name="Oval 166"/>
        <xdr:cNvSpPr>
          <a:spLocks noChangeArrowheads="1"/>
        </xdr:cNvSpPr>
      </xdr:nvSpPr>
      <xdr:spPr bwMode="auto">
        <a:xfrm>
          <a:off x="2419350" y="4438650"/>
          <a:ext cx="76200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152400</xdr:colOff>
      <xdr:row>27</xdr:row>
      <xdr:rowOff>123825</xdr:rowOff>
    </xdr:from>
    <xdr:to>
      <xdr:col>18</xdr:col>
      <xdr:colOff>209550</xdr:colOff>
      <xdr:row>28</xdr:row>
      <xdr:rowOff>152400</xdr:rowOff>
    </xdr:to>
    <xdr:sp macro="" textlink="">
      <xdr:nvSpPr>
        <xdr:cNvPr id="165" name="Oval 167"/>
        <xdr:cNvSpPr>
          <a:spLocks noChangeArrowheads="1"/>
        </xdr:cNvSpPr>
      </xdr:nvSpPr>
      <xdr:spPr bwMode="auto">
        <a:xfrm>
          <a:off x="2905125" y="4400550"/>
          <a:ext cx="171450" cy="190500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57150</xdr:colOff>
      <xdr:row>24</xdr:row>
      <xdr:rowOff>133350</xdr:rowOff>
    </xdr:from>
    <xdr:to>
      <xdr:col>14</xdr:col>
      <xdr:colOff>76200</xdr:colOff>
      <xdr:row>25</xdr:row>
      <xdr:rowOff>133350</xdr:rowOff>
    </xdr:to>
    <xdr:grpSp>
      <xdr:nvGrpSpPr>
        <xdr:cNvPr id="166" name="Group 168"/>
        <xdr:cNvGrpSpPr>
          <a:grpSpLocks/>
        </xdr:cNvGrpSpPr>
      </xdr:nvGrpSpPr>
      <xdr:grpSpPr bwMode="auto">
        <a:xfrm rot="-5400000">
          <a:off x="2162175" y="3948479"/>
          <a:ext cx="161192" cy="180242"/>
          <a:chOff x="1007" y="715"/>
          <a:chExt cx="16" cy="20"/>
        </a:xfrm>
      </xdr:grpSpPr>
      <xdr:sp macro="" textlink="">
        <xdr:nvSpPr>
          <xdr:cNvPr id="167" name="Line 169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170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28575</xdr:rowOff>
    </xdr:from>
    <xdr:to>
      <xdr:col>14</xdr:col>
      <xdr:colOff>76200</xdr:colOff>
      <xdr:row>22</xdr:row>
      <xdr:rowOff>142875</xdr:rowOff>
    </xdr:to>
    <xdr:grpSp>
      <xdr:nvGrpSpPr>
        <xdr:cNvPr id="169" name="Group 171"/>
        <xdr:cNvGrpSpPr>
          <a:grpSpLocks/>
        </xdr:cNvGrpSpPr>
      </xdr:nvGrpSpPr>
      <xdr:grpSpPr bwMode="auto">
        <a:xfrm>
          <a:off x="2105025" y="3369652"/>
          <a:ext cx="227867" cy="275492"/>
          <a:chOff x="276" y="271"/>
          <a:chExt cx="25" cy="29"/>
        </a:xfrm>
      </xdr:grpSpPr>
      <xdr:sp macro="" textlink="">
        <xdr:nvSpPr>
          <xdr:cNvPr id="170" name="Oval 172"/>
          <xdr:cNvSpPr>
            <a:spLocks noChangeArrowheads="1"/>
          </xdr:cNvSpPr>
        </xdr:nvSpPr>
        <xdr:spPr bwMode="auto">
          <a:xfrm>
            <a:off x="276" y="271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1" name="Text Box 173"/>
          <xdr:cNvSpPr txBox="1">
            <a:spLocks noChangeArrowheads="1"/>
          </xdr:cNvSpPr>
        </xdr:nvSpPr>
        <xdr:spPr bwMode="auto">
          <a:xfrm>
            <a:off x="280" y="271"/>
            <a:ext cx="19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N9B</a:t>
            </a:r>
          </a:p>
        </xdr:txBody>
      </xdr:sp>
    </xdr:grpSp>
    <xdr:clientData/>
  </xdr:twoCellAnchor>
  <xdr:twoCellAnchor>
    <xdr:from>
      <xdr:col>15</xdr:col>
      <xdr:colOff>0</xdr:colOff>
      <xdr:row>23</xdr:row>
      <xdr:rowOff>57150</xdr:rowOff>
    </xdr:from>
    <xdr:to>
      <xdr:col>16</xdr:col>
      <xdr:colOff>9525</xdr:colOff>
      <xdr:row>24</xdr:row>
      <xdr:rowOff>19050</xdr:rowOff>
    </xdr:to>
    <xdr:grpSp>
      <xdr:nvGrpSpPr>
        <xdr:cNvPr id="172" name="Group 174"/>
        <xdr:cNvGrpSpPr>
          <a:grpSpLocks/>
        </xdr:cNvGrpSpPr>
      </xdr:nvGrpSpPr>
      <xdr:grpSpPr bwMode="auto">
        <a:xfrm rot="-5400000">
          <a:off x="2441698" y="3696799"/>
          <a:ext cx="123092" cy="170717"/>
          <a:chOff x="1007" y="715"/>
          <a:chExt cx="16" cy="20"/>
        </a:xfrm>
      </xdr:grpSpPr>
      <xdr:sp macro="" textlink="">
        <xdr:nvSpPr>
          <xdr:cNvPr id="173" name="Line 175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176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123825</xdr:colOff>
      <xdr:row>20</xdr:row>
      <xdr:rowOff>133350</xdr:rowOff>
    </xdr:from>
    <xdr:to>
      <xdr:col>16</xdr:col>
      <xdr:colOff>19050</xdr:colOff>
      <xdr:row>22</xdr:row>
      <xdr:rowOff>19050</xdr:rowOff>
    </xdr:to>
    <xdr:sp macro="" textlink="">
      <xdr:nvSpPr>
        <xdr:cNvPr id="175" name="Oval 177"/>
        <xdr:cNvSpPr>
          <a:spLocks noChangeArrowheads="1"/>
        </xdr:cNvSpPr>
      </xdr:nvSpPr>
      <xdr:spPr bwMode="auto">
        <a:xfrm>
          <a:off x="2390775" y="3276600"/>
          <a:ext cx="21907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152400</xdr:colOff>
      <xdr:row>20</xdr:row>
      <xdr:rowOff>123825</xdr:rowOff>
    </xdr:from>
    <xdr:to>
      <xdr:col>15</xdr:col>
      <xdr:colOff>161925</xdr:colOff>
      <xdr:row>22</xdr:row>
      <xdr:rowOff>76200</xdr:rowOff>
    </xdr:to>
    <xdr:sp macro="" textlink="">
      <xdr:nvSpPr>
        <xdr:cNvPr id="176" name="Text Box 178"/>
        <xdr:cNvSpPr txBox="1">
          <a:spLocks noChangeArrowheads="1"/>
        </xdr:cNvSpPr>
      </xdr:nvSpPr>
      <xdr:spPr bwMode="auto">
        <a:xfrm>
          <a:off x="2419350" y="3267075"/>
          <a:ext cx="171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13</xdr:col>
      <xdr:colOff>152400</xdr:colOff>
      <xdr:row>22</xdr:row>
      <xdr:rowOff>104775</xdr:rowOff>
    </xdr:from>
    <xdr:to>
      <xdr:col>13</xdr:col>
      <xdr:colOff>152400</xdr:colOff>
      <xdr:row>25</xdr:row>
      <xdr:rowOff>19050</xdr:rowOff>
    </xdr:to>
    <xdr:sp macro="" textlink="">
      <xdr:nvSpPr>
        <xdr:cNvPr id="177" name="Line 179"/>
        <xdr:cNvSpPr>
          <a:spLocks noChangeShapeType="1"/>
        </xdr:cNvSpPr>
      </xdr:nvSpPr>
      <xdr:spPr bwMode="auto">
        <a:xfrm flipV="1">
          <a:off x="2257425" y="357187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22</xdr:row>
      <xdr:rowOff>85725</xdr:rowOff>
    </xdr:from>
    <xdr:to>
      <xdr:col>15</xdr:col>
      <xdr:colOff>85725</xdr:colOff>
      <xdr:row>23</xdr:row>
      <xdr:rowOff>76200</xdr:rowOff>
    </xdr:to>
    <xdr:sp macro="" textlink="">
      <xdr:nvSpPr>
        <xdr:cNvPr id="178" name="Line 180"/>
        <xdr:cNvSpPr>
          <a:spLocks noChangeShapeType="1"/>
        </xdr:cNvSpPr>
      </xdr:nvSpPr>
      <xdr:spPr bwMode="auto">
        <a:xfrm flipV="1">
          <a:off x="2514600" y="355282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123825</xdr:colOff>
      <xdr:row>21</xdr:row>
      <xdr:rowOff>161925</xdr:rowOff>
    </xdr:from>
    <xdr:to>
      <xdr:col>25</xdr:col>
      <xdr:colOff>19050</xdr:colOff>
      <xdr:row>23</xdr:row>
      <xdr:rowOff>9525</xdr:rowOff>
    </xdr:to>
    <xdr:sp macro="" textlink="">
      <xdr:nvSpPr>
        <xdr:cNvPr id="179" name="Oval 181"/>
        <xdr:cNvSpPr>
          <a:spLocks noChangeArrowheads="1"/>
        </xdr:cNvSpPr>
      </xdr:nvSpPr>
      <xdr:spPr bwMode="auto">
        <a:xfrm>
          <a:off x="3848100" y="3467100"/>
          <a:ext cx="219075" cy="1714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22</xdr:row>
      <xdr:rowOff>19050</xdr:rowOff>
    </xdr:from>
    <xdr:to>
      <xdr:col>24</xdr:col>
      <xdr:colOff>161925</xdr:colOff>
      <xdr:row>23</xdr:row>
      <xdr:rowOff>19050</xdr:rowOff>
    </xdr:to>
    <xdr:sp macro="" textlink="">
      <xdr:nvSpPr>
        <xdr:cNvPr id="180" name="Text Box 182"/>
        <xdr:cNvSpPr txBox="1">
          <a:spLocks noChangeArrowheads="1"/>
        </xdr:cNvSpPr>
      </xdr:nvSpPr>
      <xdr:spPr bwMode="auto">
        <a:xfrm>
          <a:off x="3886200" y="3486150"/>
          <a:ext cx="1619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N2</a:t>
          </a:r>
        </a:p>
      </xdr:txBody>
    </xdr:sp>
    <xdr:clientData/>
  </xdr:twoCellAnchor>
  <xdr:twoCellAnchor>
    <xdr:from>
      <xdr:col>23</xdr:col>
      <xdr:colOff>123825</xdr:colOff>
      <xdr:row>20</xdr:row>
      <xdr:rowOff>76200</xdr:rowOff>
    </xdr:from>
    <xdr:to>
      <xdr:col>25</xdr:col>
      <xdr:colOff>19050</xdr:colOff>
      <xdr:row>21</xdr:row>
      <xdr:rowOff>161925</xdr:rowOff>
    </xdr:to>
    <xdr:sp macro="" textlink="">
      <xdr:nvSpPr>
        <xdr:cNvPr id="181" name="Oval 183"/>
        <xdr:cNvSpPr>
          <a:spLocks noChangeArrowheads="1"/>
        </xdr:cNvSpPr>
      </xdr:nvSpPr>
      <xdr:spPr bwMode="auto">
        <a:xfrm>
          <a:off x="3848100" y="3219450"/>
          <a:ext cx="2190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20</xdr:row>
      <xdr:rowOff>57150</xdr:rowOff>
    </xdr:from>
    <xdr:to>
      <xdr:col>25</xdr:col>
      <xdr:colOff>38100</xdr:colOff>
      <xdr:row>21</xdr:row>
      <xdr:rowOff>180975</xdr:rowOff>
    </xdr:to>
    <xdr:sp macro="" textlink="">
      <xdr:nvSpPr>
        <xdr:cNvPr id="182" name="Text Box 184"/>
        <xdr:cNvSpPr txBox="1">
          <a:spLocks noChangeArrowheads="1"/>
        </xdr:cNvSpPr>
      </xdr:nvSpPr>
      <xdr:spPr bwMode="auto">
        <a:xfrm>
          <a:off x="3867150" y="3200400"/>
          <a:ext cx="2190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23</xdr:col>
      <xdr:colOff>123825</xdr:colOff>
      <xdr:row>18</xdr:row>
      <xdr:rowOff>190500</xdr:rowOff>
    </xdr:from>
    <xdr:to>
      <xdr:col>25</xdr:col>
      <xdr:colOff>19050</xdr:colOff>
      <xdr:row>20</xdr:row>
      <xdr:rowOff>66675</xdr:rowOff>
    </xdr:to>
    <xdr:sp macro="" textlink="">
      <xdr:nvSpPr>
        <xdr:cNvPr id="183" name="Oval 185"/>
        <xdr:cNvSpPr>
          <a:spLocks noChangeArrowheads="1"/>
        </xdr:cNvSpPr>
      </xdr:nvSpPr>
      <xdr:spPr bwMode="auto">
        <a:xfrm>
          <a:off x="3848100" y="2981325"/>
          <a:ext cx="219075" cy="2286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19</xdr:row>
      <xdr:rowOff>19050</xdr:rowOff>
    </xdr:from>
    <xdr:to>
      <xdr:col>25</xdr:col>
      <xdr:colOff>0</xdr:colOff>
      <xdr:row>20</xdr:row>
      <xdr:rowOff>95250</xdr:rowOff>
    </xdr:to>
    <xdr:sp macro="" textlink="">
      <xdr:nvSpPr>
        <xdr:cNvPr id="184" name="Text Box 186"/>
        <xdr:cNvSpPr txBox="1">
          <a:spLocks noChangeArrowheads="1"/>
        </xdr:cNvSpPr>
      </xdr:nvSpPr>
      <xdr:spPr bwMode="auto">
        <a:xfrm>
          <a:off x="3886200" y="3000375"/>
          <a:ext cx="1619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114300</xdr:colOff>
      <xdr:row>28</xdr:row>
      <xdr:rowOff>133350</xdr:rowOff>
    </xdr:from>
    <xdr:to>
      <xdr:col>21</xdr:col>
      <xdr:colOff>76200</xdr:colOff>
      <xdr:row>29</xdr:row>
      <xdr:rowOff>180975</xdr:rowOff>
    </xdr:to>
    <xdr:sp macro="" textlink="">
      <xdr:nvSpPr>
        <xdr:cNvPr id="185" name="Oval 187"/>
        <xdr:cNvSpPr>
          <a:spLocks noChangeArrowheads="1"/>
        </xdr:cNvSpPr>
      </xdr:nvSpPr>
      <xdr:spPr bwMode="auto">
        <a:xfrm>
          <a:off x="3352800" y="4572000"/>
          <a:ext cx="1238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28</xdr:row>
      <xdr:rowOff>152400</xdr:rowOff>
    </xdr:from>
    <xdr:to>
      <xdr:col>21</xdr:col>
      <xdr:colOff>38100</xdr:colOff>
      <xdr:row>29</xdr:row>
      <xdr:rowOff>190500</xdr:rowOff>
    </xdr:to>
    <xdr:sp macro="" textlink="">
      <xdr:nvSpPr>
        <xdr:cNvPr id="186" name="Text Box 188"/>
        <xdr:cNvSpPr txBox="1">
          <a:spLocks noChangeArrowheads="1"/>
        </xdr:cNvSpPr>
      </xdr:nvSpPr>
      <xdr:spPr bwMode="auto">
        <a:xfrm>
          <a:off x="3400425" y="4591050"/>
          <a:ext cx="381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17</xdr:col>
      <xdr:colOff>0</xdr:colOff>
      <xdr:row>29</xdr:row>
      <xdr:rowOff>9525</xdr:rowOff>
    </xdr:from>
    <xdr:to>
      <xdr:col>18</xdr:col>
      <xdr:colOff>66675</xdr:colOff>
      <xdr:row>30</xdr:row>
      <xdr:rowOff>57150</xdr:rowOff>
    </xdr:to>
    <xdr:sp macro="" textlink="">
      <xdr:nvSpPr>
        <xdr:cNvPr id="187" name="Oval 189"/>
        <xdr:cNvSpPr>
          <a:spLocks noChangeArrowheads="1"/>
        </xdr:cNvSpPr>
      </xdr:nvSpPr>
      <xdr:spPr bwMode="auto">
        <a:xfrm>
          <a:off x="2752725" y="4610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95250</xdr:colOff>
      <xdr:row>30</xdr:row>
      <xdr:rowOff>142875</xdr:rowOff>
    </xdr:to>
    <xdr:sp macro="" textlink="">
      <xdr:nvSpPr>
        <xdr:cNvPr id="188" name="Text Box 190"/>
        <xdr:cNvSpPr txBox="1">
          <a:spLocks noChangeArrowheads="1"/>
        </xdr:cNvSpPr>
      </xdr:nvSpPr>
      <xdr:spPr bwMode="auto">
        <a:xfrm>
          <a:off x="2752725" y="4600575"/>
          <a:ext cx="2571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14</xdr:col>
      <xdr:colOff>28575</xdr:colOff>
      <xdr:row>25</xdr:row>
      <xdr:rowOff>152400</xdr:rowOff>
    </xdr:from>
    <xdr:to>
      <xdr:col>16</xdr:col>
      <xdr:colOff>38100</xdr:colOff>
      <xdr:row>28</xdr:row>
      <xdr:rowOff>0</xdr:rowOff>
    </xdr:to>
    <xdr:grpSp>
      <xdr:nvGrpSpPr>
        <xdr:cNvPr id="189" name="Group 191"/>
        <xdr:cNvGrpSpPr>
          <a:grpSpLocks/>
        </xdr:cNvGrpSpPr>
      </xdr:nvGrpSpPr>
      <xdr:grpSpPr bwMode="auto">
        <a:xfrm>
          <a:off x="2285267" y="4138246"/>
          <a:ext cx="331910" cy="331177"/>
          <a:chOff x="295" y="516"/>
          <a:chExt cx="37" cy="39"/>
        </a:xfrm>
      </xdr:grpSpPr>
      <xdr:sp macro="" textlink="">
        <xdr:nvSpPr>
          <xdr:cNvPr id="190" name="Text Box 192"/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N13A</a:t>
            </a:r>
          </a:p>
        </xdr:txBody>
      </xdr:sp>
      <xdr:sp macro="" textlink="">
        <xdr:nvSpPr>
          <xdr:cNvPr id="191" name="Oval 193"/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20</xdr:col>
      <xdr:colOff>66675</xdr:colOff>
      <xdr:row>27</xdr:row>
      <xdr:rowOff>190500</xdr:rowOff>
    </xdr:from>
    <xdr:to>
      <xdr:col>20</xdr:col>
      <xdr:colOff>152400</xdr:colOff>
      <xdr:row>28</xdr:row>
      <xdr:rowOff>76200</xdr:rowOff>
    </xdr:to>
    <xdr:sp macro="" textlink="">
      <xdr:nvSpPr>
        <xdr:cNvPr id="192" name="Oval 194"/>
        <xdr:cNvSpPr>
          <a:spLocks noChangeArrowheads="1"/>
        </xdr:cNvSpPr>
      </xdr:nvSpPr>
      <xdr:spPr bwMode="auto">
        <a:xfrm>
          <a:off x="3305175" y="4438650"/>
          <a:ext cx="85725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152400</xdr:rowOff>
    </xdr:from>
    <xdr:to>
      <xdr:col>21</xdr:col>
      <xdr:colOff>19050</xdr:colOff>
      <xdr:row>28</xdr:row>
      <xdr:rowOff>0</xdr:rowOff>
    </xdr:to>
    <xdr:grpSp>
      <xdr:nvGrpSpPr>
        <xdr:cNvPr id="193" name="Group 195"/>
        <xdr:cNvGrpSpPr>
          <a:grpSpLocks/>
        </xdr:cNvGrpSpPr>
      </xdr:nvGrpSpPr>
      <xdr:grpSpPr bwMode="auto">
        <a:xfrm>
          <a:off x="3223846" y="4138246"/>
          <a:ext cx="180242" cy="331177"/>
          <a:chOff x="295" y="516"/>
          <a:chExt cx="37" cy="39"/>
        </a:xfrm>
      </xdr:grpSpPr>
      <xdr:sp macro="" textlink="">
        <xdr:nvSpPr>
          <xdr:cNvPr id="194" name="Text Box 196"/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N13B</a:t>
            </a:r>
          </a:p>
        </xdr:txBody>
      </xdr:sp>
      <xdr:sp macro="" textlink="">
        <xdr:nvSpPr>
          <xdr:cNvPr id="195" name="Oval 197"/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95250</xdr:colOff>
      <xdr:row>45</xdr:row>
      <xdr:rowOff>152400</xdr:rowOff>
    </xdr:from>
    <xdr:to>
      <xdr:col>5</xdr:col>
      <xdr:colOff>133350</xdr:colOff>
      <xdr:row>54</xdr:row>
      <xdr:rowOff>85725</xdr:rowOff>
    </xdr:to>
    <xdr:sp macro="" textlink="">
      <xdr:nvSpPr>
        <xdr:cNvPr id="196" name="Text Box 198"/>
        <xdr:cNvSpPr txBox="1">
          <a:spLocks noChangeArrowheads="1"/>
        </xdr:cNvSpPr>
      </xdr:nvSpPr>
      <xdr:spPr bwMode="auto">
        <a:xfrm>
          <a:off x="742950" y="7343775"/>
          <a:ext cx="200025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0" rIns="27432" bIns="32004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 (*)    TAN/TAN</a:t>
          </a:r>
        </a:p>
      </xdr:txBody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97" name="Text Box 199"/>
        <xdr:cNvSpPr txBox="1">
          <a:spLocks noChangeArrowheads="1"/>
        </xdr:cNvSpPr>
      </xdr:nvSpPr>
      <xdr:spPr bwMode="auto">
        <a:xfrm>
          <a:off x="2638425" y="8839200"/>
          <a:ext cx="17145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vert="vert270" wrap="square" lIns="27432" tIns="32004" rIns="0" bIns="0" anchor="t" upright="1"/>
        <a:lstStyle/>
        <a:p>
          <a:pPr algn="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ID  (*)</a:t>
          </a:r>
        </a:p>
      </xdr:txBody>
    </xdr:sp>
    <xdr:clientData/>
  </xdr:twoCellAnchor>
  <xdr:twoCellAnchor>
    <xdr:from>
      <xdr:col>22</xdr:col>
      <xdr:colOff>142875</xdr:colOff>
      <xdr:row>51</xdr:row>
      <xdr:rowOff>28575</xdr:rowOff>
    </xdr:from>
    <xdr:to>
      <xdr:col>23</xdr:col>
      <xdr:colOff>123825</xdr:colOff>
      <xdr:row>52</xdr:row>
      <xdr:rowOff>57150</xdr:rowOff>
    </xdr:to>
    <xdr:grpSp>
      <xdr:nvGrpSpPr>
        <xdr:cNvPr id="198" name="Group 200"/>
        <xdr:cNvGrpSpPr>
          <a:grpSpLocks/>
        </xdr:cNvGrpSpPr>
      </xdr:nvGrpSpPr>
      <xdr:grpSpPr bwMode="auto">
        <a:xfrm>
          <a:off x="3689106" y="8205421"/>
          <a:ext cx="142142" cy="189767"/>
          <a:chOff x="1007" y="715"/>
          <a:chExt cx="16" cy="20"/>
        </a:xfrm>
      </xdr:grpSpPr>
      <xdr:sp macro="" textlink="">
        <xdr:nvSpPr>
          <xdr:cNvPr id="199" name="Line 201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202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104775</xdr:colOff>
      <xdr:row>51</xdr:row>
      <xdr:rowOff>123825</xdr:rowOff>
    </xdr:from>
    <xdr:to>
      <xdr:col>26</xdr:col>
      <xdr:colOff>76200</xdr:colOff>
      <xdr:row>51</xdr:row>
      <xdr:rowOff>123825</xdr:rowOff>
    </xdr:to>
    <xdr:sp macro="" textlink="">
      <xdr:nvSpPr>
        <xdr:cNvPr id="201" name="Line 203"/>
        <xdr:cNvSpPr>
          <a:spLocks noChangeShapeType="1"/>
        </xdr:cNvSpPr>
      </xdr:nvSpPr>
      <xdr:spPr bwMode="auto">
        <a:xfrm flipH="1">
          <a:off x="3829050" y="82867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28575</xdr:colOff>
      <xdr:row>47</xdr:row>
      <xdr:rowOff>9525</xdr:rowOff>
    </xdr:from>
    <xdr:to>
      <xdr:col>13</xdr:col>
      <xdr:colOff>9525</xdr:colOff>
      <xdr:row>48</xdr:row>
      <xdr:rowOff>9525</xdr:rowOff>
    </xdr:to>
    <xdr:grpSp>
      <xdr:nvGrpSpPr>
        <xdr:cNvPr id="202" name="Group 204"/>
        <xdr:cNvGrpSpPr>
          <a:grpSpLocks/>
        </xdr:cNvGrpSpPr>
      </xdr:nvGrpSpPr>
      <xdr:grpSpPr bwMode="auto">
        <a:xfrm rot="10800000">
          <a:off x="1962883" y="7541602"/>
          <a:ext cx="142142" cy="161192"/>
          <a:chOff x="1007" y="715"/>
          <a:chExt cx="16" cy="20"/>
        </a:xfrm>
      </xdr:grpSpPr>
      <xdr:sp macro="" textlink="">
        <xdr:nvSpPr>
          <xdr:cNvPr id="203" name="Line 205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06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47</xdr:row>
      <xdr:rowOff>0</xdr:rowOff>
    </xdr:from>
    <xdr:to>
      <xdr:col>12</xdr:col>
      <xdr:colOff>0</xdr:colOff>
      <xdr:row>48</xdr:row>
      <xdr:rowOff>85725</xdr:rowOff>
    </xdr:to>
    <xdr:grpSp>
      <xdr:nvGrpSpPr>
        <xdr:cNvPr id="205" name="Group 207"/>
        <xdr:cNvGrpSpPr>
          <a:grpSpLocks/>
        </xdr:cNvGrpSpPr>
      </xdr:nvGrpSpPr>
      <xdr:grpSpPr bwMode="auto">
        <a:xfrm>
          <a:off x="1271221" y="7532077"/>
          <a:ext cx="663087" cy="246917"/>
          <a:chOff x="181" y="884"/>
          <a:chExt cx="75" cy="30"/>
        </a:xfrm>
      </xdr:grpSpPr>
      <xdr:sp macro="" textlink="">
        <xdr:nvSpPr>
          <xdr:cNvPr id="206" name="Oval 208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07" name="Group 209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08" name="Line 210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9" name="Text Box 211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N12</a:t>
              </a:r>
            </a:p>
          </xdr:txBody>
        </xdr:sp>
      </xdr:grpSp>
    </xdr:grpSp>
    <xdr:clientData/>
  </xdr:twoCellAnchor>
  <xdr:twoCellAnchor>
    <xdr:from>
      <xdr:col>16</xdr:col>
      <xdr:colOff>19050</xdr:colOff>
      <xdr:row>58</xdr:row>
      <xdr:rowOff>38100</xdr:rowOff>
    </xdr:from>
    <xdr:to>
      <xdr:col>16</xdr:col>
      <xdr:colOff>104775</xdr:colOff>
      <xdr:row>58</xdr:row>
      <xdr:rowOff>123825</xdr:rowOff>
    </xdr:to>
    <xdr:sp macro="" textlink="">
      <xdr:nvSpPr>
        <xdr:cNvPr id="210" name="Oval 212"/>
        <xdr:cNvSpPr>
          <a:spLocks noChangeArrowheads="1"/>
        </xdr:cNvSpPr>
      </xdr:nvSpPr>
      <xdr:spPr bwMode="auto">
        <a:xfrm>
          <a:off x="2609850" y="9334500"/>
          <a:ext cx="85725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211" name="Oval 213"/>
        <xdr:cNvSpPr>
          <a:spLocks noChangeArrowheads="1"/>
        </xdr:cNvSpPr>
      </xdr:nvSpPr>
      <xdr:spPr bwMode="auto">
        <a:xfrm>
          <a:off x="4286250" y="6896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212" name="Text Box 214"/>
        <xdr:cNvSpPr txBox="1">
          <a:spLocks noChangeArrowheads="1"/>
        </xdr:cNvSpPr>
      </xdr:nvSpPr>
      <xdr:spPr bwMode="auto">
        <a:xfrm>
          <a:off x="4333875" y="6943725"/>
          <a:ext cx="1714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20</xdr:col>
      <xdr:colOff>38100</xdr:colOff>
      <xdr:row>36</xdr:row>
      <xdr:rowOff>19050</xdr:rowOff>
    </xdr:from>
    <xdr:to>
      <xdr:col>21</xdr:col>
      <xdr:colOff>0</xdr:colOff>
      <xdr:row>37</xdr:row>
      <xdr:rowOff>66675</xdr:rowOff>
    </xdr:to>
    <xdr:sp macro="" textlink="">
      <xdr:nvSpPr>
        <xdr:cNvPr id="213" name="Oval 215"/>
        <xdr:cNvSpPr>
          <a:spLocks noChangeArrowheads="1"/>
        </xdr:cNvSpPr>
      </xdr:nvSpPr>
      <xdr:spPr bwMode="auto">
        <a:xfrm>
          <a:off x="3276600" y="5753100"/>
          <a:ext cx="12382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76200</xdr:colOff>
      <xdr:row>36</xdr:row>
      <xdr:rowOff>9525</xdr:rowOff>
    </xdr:from>
    <xdr:to>
      <xdr:col>20</xdr:col>
      <xdr:colOff>257175</xdr:colOff>
      <xdr:row>38</xdr:row>
      <xdr:rowOff>28575</xdr:rowOff>
    </xdr:to>
    <xdr:sp macro="" textlink="">
      <xdr:nvSpPr>
        <xdr:cNvPr id="214" name="Text Box 216"/>
        <xdr:cNvSpPr txBox="1">
          <a:spLocks noChangeArrowheads="1"/>
        </xdr:cNvSpPr>
      </xdr:nvSpPr>
      <xdr:spPr bwMode="auto">
        <a:xfrm>
          <a:off x="3314700" y="5743575"/>
          <a:ext cx="857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N13B</a:t>
          </a:r>
        </a:p>
      </xdr:txBody>
    </xdr:sp>
    <xdr:clientData/>
  </xdr:twoCellAnchor>
  <xdr:twoCellAnchor>
    <xdr:from>
      <xdr:col>17</xdr:col>
      <xdr:colOff>123825</xdr:colOff>
      <xdr:row>20</xdr:row>
      <xdr:rowOff>38100</xdr:rowOff>
    </xdr:from>
    <xdr:to>
      <xdr:col>18</xdr:col>
      <xdr:colOff>190500</xdr:colOff>
      <xdr:row>21</xdr:row>
      <xdr:rowOff>123825</xdr:rowOff>
    </xdr:to>
    <xdr:sp macro="" textlink="">
      <xdr:nvSpPr>
        <xdr:cNvPr id="215" name="Oval 217"/>
        <xdr:cNvSpPr>
          <a:spLocks noChangeArrowheads="1"/>
        </xdr:cNvSpPr>
      </xdr:nvSpPr>
      <xdr:spPr bwMode="auto">
        <a:xfrm>
          <a:off x="2876550" y="3181350"/>
          <a:ext cx="2000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161925</xdr:colOff>
      <xdr:row>20</xdr:row>
      <xdr:rowOff>38100</xdr:rowOff>
    </xdr:from>
    <xdr:to>
      <xdr:col>18</xdr:col>
      <xdr:colOff>180975</xdr:colOff>
      <xdr:row>22</xdr:row>
      <xdr:rowOff>19050</xdr:rowOff>
    </xdr:to>
    <xdr:sp macro="" textlink="">
      <xdr:nvSpPr>
        <xdr:cNvPr id="216" name="Text Box 218"/>
        <xdr:cNvSpPr txBox="1">
          <a:spLocks noChangeArrowheads="1"/>
        </xdr:cNvSpPr>
      </xdr:nvSpPr>
      <xdr:spPr bwMode="auto">
        <a:xfrm>
          <a:off x="2914650" y="3181350"/>
          <a:ext cx="1619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95250</xdr:colOff>
      <xdr:row>36</xdr:row>
      <xdr:rowOff>38100</xdr:rowOff>
    </xdr:from>
    <xdr:to>
      <xdr:col>15</xdr:col>
      <xdr:colOff>161925</xdr:colOff>
      <xdr:row>38</xdr:row>
      <xdr:rowOff>0</xdr:rowOff>
    </xdr:to>
    <xdr:sp macro="" textlink="">
      <xdr:nvSpPr>
        <xdr:cNvPr id="217" name="Oval 219"/>
        <xdr:cNvSpPr>
          <a:spLocks noChangeArrowheads="1"/>
        </xdr:cNvSpPr>
      </xdr:nvSpPr>
      <xdr:spPr bwMode="auto">
        <a:xfrm>
          <a:off x="2362200" y="5772150"/>
          <a:ext cx="228600" cy="2857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133350</xdr:colOff>
      <xdr:row>36</xdr:row>
      <xdr:rowOff>28575</xdr:rowOff>
    </xdr:from>
    <xdr:to>
      <xdr:col>15</xdr:col>
      <xdr:colOff>142875</xdr:colOff>
      <xdr:row>39</xdr:row>
      <xdr:rowOff>85725</xdr:rowOff>
    </xdr:to>
    <xdr:sp macro="" textlink="">
      <xdr:nvSpPr>
        <xdr:cNvPr id="218" name="Text Box 220"/>
        <xdr:cNvSpPr txBox="1">
          <a:spLocks noChangeArrowheads="1"/>
        </xdr:cNvSpPr>
      </xdr:nvSpPr>
      <xdr:spPr bwMode="auto">
        <a:xfrm>
          <a:off x="2400300" y="5762625"/>
          <a:ext cx="1714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N13A</a:t>
          </a:r>
        </a:p>
      </xdr:txBody>
    </xdr:sp>
    <xdr:clientData/>
  </xdr:twoCellAnchor>
  <xdr:twoCellAnchor>
    <xdr:from>
      <xdr:col>17</xdr:col>
      <xdr:colOff>161925</xdr:colOff>
      <xdr:row>43</xdr:row>
      <xdr:rowOff>133350</xdr:rowOff>
    </xdr:from>
    <xdr:to>
      <xdr:col>18</xdr:col>
      <xdr:colOff>219075</xdr:colOff>
      <xdr:row>44</xdr:row>
      <xdr:rowOff>152400</xdr:rowOff>
    </xdr:to>
    <xdr:sp macro="" textlink="">
      <xdr:nvSpPr>
        <xdr:cNvPr id="219" name="Oval 221"/>
        <xdr:cNvSpPr>
          <a:spLocks noChangeArrowheads="1"/>
        </xdr:cNvSpPr>
      </xdr:nvSpPr>
      <xdr:spPr bwMode="auto">
        <a:xfrm>
          <a:off x="2914650" y="7000875"/>
          <a:ext cx="161925" cy="18097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25</xdr:row>
      <xdr:rowOff>38100</xdr:rowOff>
    </xdr:from>
    <xdr:to>
      <xdr:col>7</xdr:col>
      <xdr:colOff>161925</xdr:colOff>
      <xdr:row>26</xdr:row>
      <xdr:rowOff>85725</xdr:rowOff>
    </xdr:to>
    <xdr:sp macro="" textlink="">
      <xdr:nvSpPr>
        <xdr:cNvPr id="220" name="Oval 222"/>
        <xdr:cNvSpPr>
          <a:spLocks noChangeArrowheads="1"/>
        </xdr:cNvSpPr>
      </xdr:nvSpPr>
      <xdr:spPr bwMode="auto">
        <a:xfrm>
          <a:off x="1066800" y="3990975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29</xdr:row>
      <xdr:rowOff>104775</xdr:rowOff>
    </xdr:from>
    <xdr:to>
      <xdr:col>7</xdr:col>
      <xdr:colOff>161925</xdr:colOff>
      <xdr:row>30</xdr:row>
      <xdr:rowOff>152400</xdr:rowOff>
    </xdr:to>
    <xdr:sp macro="" textlink="">
      <xdr:nvSpPr>
        <xdr:cNvPr id="221" name="Oval 223"/>
        <xdr:cNvSpPr>
          <a:spLocks noChangeArrowheads="1"/>
        </xdr:cNvSpPr>
      </xdr:nvSpPr>
      <xdr:spPr bwMode="auto">
        <a:xfrm>
          <a:off x="1066800" y="470535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29</xdr:row>
      <xdr:rowOff>123825</xdr:rowOff>
    </xdr:from>
    <xdr:to>
      <xdr:col>7</xdr:col>
      <xdr:colOff>133350</xdr:colOff>
      <xdr:row>31</xdr:row>
      <xdr:rowOff>85725</xdr:rowOff>
    </xdr:to>
    <xdr:sp macro="" textlink="">
      <xdr:nvSpPr>
        <xdr:cNvPr id="222" name="Text Box 224"/>
        <xdr:cNvSpPr txBox="1">
          <a:spLocks noChangeArrowheads="1"/>
        </xdr:cNvSpPr>
      </xdr:nvSpPr>
      <xdr:spPr bwMode="auto">
        <a:xfrm>
          <a:off x="1104900" y="4724400"/>
          <a:ext cx="1619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6</xdr:col>
      <xdr:colOff>133350</xdr:colOff>
      <xdr:row>25</xdr:row>
      <xdr:rowOff>57150</xdr:rowOff>
    </xdr:from>
    <xdr:to>
      <xdr:col>7</xdr:col>
      <xdr:colOff>152400</xdr:colOff>
      <xdr:row>26</xdr:row>
      <xdr:rowOff>114300</xdr:rowOff>
    </xdr:to>
    <xdr:sp macro="" textlink="">
      <xdr:nvSpPr>
        <xdr:cNvPr id="223" name="Text Box 225"/>
        <xdr:cNvSpPr txBox="1">
          <a:spLocks noChangeArrowheads="1"/>
        </xdr:cNvSpPr>
      </xdr:nvSpPr>
      <xdr:spPr bwMode="auto">
        <a:xfrm>
          <a:off x="1104900" y="4010025"/>
          <a:ext cx="1809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23</xdr:col>
      <xdr:colOff>114300</xdr:colOff>
      <xdr:row>17</xdr:row>
      <xdr:rowOff>133350</xdr:rowOff>
    </xdr:from>
    <xdr:to>
      <xdr:col>25</xdr:col>
      <xdr:colOff>9525</xdr:colOff>
      <xdr:row>18</xdr:row>
      <xdr:rowOff>180975</xdr:rowOff>
    </xdr:to>
    <xdr:sp macro="" textlink="">
      <xdr:nvSpPr>
        <xdr:cNvPr id="224" name="Oval 226"/>
        <xdr:cNvSpPr>
          <a:spLocks noChangeArrowheads="1"/>
        </xdr:cNvSpPr>
      </xdr:nvSpPr>
      <xdr:spPr bwMode="auto">
        <a:xfrm>
          <a:off x="3838575" y="2790825"/>
          <a:ext cx="21907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17</xdr:row>
      <xdr:rowOff>180975</xdr:rowOff>
    </xdr:from>
    <xdr:to>
      <xdr:col>24</xdr:col>
      <xdr:colOff>152400</xdr:colOff>
      <xdr:row>19</xdr:row>
      <xdr:rowOff>0</xdr:rowOff>
    </xdr:to>
    <xdr:sp macro="" textlink="">
      <xdr:nvSpPr>
        <xdr:cNvPr id="225" name="Text Box 227"/>
        <xdr:cNvSpPr txBox="1">
          <a:spLocks noChangeArrowheads="1"/>
        </xdr:cNvSpPr>
      </xdr:nvSpPr>
      <xdr:spPr bwMode="auto">
        <a:xfrm>
          <a:off x="3867150" y="2819400"/>
          <a:ext cx="1714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12</xdr:col>
      <xdr:colOff>28575</xdr:colOff>
      <xdr:row>27</xdr:row>
      <xdr:rowOff>133350</xdr:rowOff>
    </xdr:from>
    <xdr:to>
      <xdr:col>13</xdr:col>
      <xdr:colOff>9525</xdr:colOff>
      <xdr:row>28</xdr:row>
      <xdr:rowOff>133350</xdr:rowOff>
    </xdr:to>
    <xdr:grpSp>
      <xdr:nvGrpSpPr>
        <xdr:cNvPr id="226" name="Group 228"/>
        <xdr:cNvGrpSpPr>
          <a:grpSpLocks/>
        </xdr:cNvGrpSpPr>
      </xdr:nvGrpSpPr>
      <xdr:grpSpPr bwMode="auto">
        <a:xfrm rot="10800000">
          <a:off x="1962883" y="4441581"/>
          <a:ext cx="142142" cy="161192"/>
          <a:chOff x="1007" y="715"/>
          <a:chExt cx="16" cy="20"/>
        </a:xfrm>
      </xdr:grpSpPr>
      <xdr:sp macro="" textlink="">
        <xdr:nvSpPr>
          <xdr:cNvPr id="227" name="Line 229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230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85725</xdr:colOff>
      <xdr:row>59</xdr:row>
      <xdr:rowOff>152400</xdr:rowOff>
    </xdr:from>
    <xdr:to>
      <xdr:col>7</xdr:col>
      <xdr:colOff>76200</xdr:colOff>
      <xdr:row>61</xdr:row>
      <xdr:rowOff>180975</xdr:rowOff>
    </xdr:to>
    <xdr:sp macro="" textlink="">
      <xdr:nvSpPr>
        <xdr:cNvPr id="229" name="Text Box 231"/>
        <xdr:cNvSpPr txBox="1">
          <a:spLocks noChangeArrowheads="1"/>
        </xdr:cNvSpPr>
      </xdr:nvSpPr>
      <xdr:spPr bwMode="auto">
        <a:xfrm>
          <a:off x="1057275" y="9610725"/>
          <a:ext cx="1524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7</xdr:col>
      <xdr:colOff>161925</xdr:colOff>
      <xdr:row>48</xdr:row>
      <xdr:rowOff>152400</xdr:rowOff>
    </xdr:from>
    <xdr:to>
      <xdr:col>9</xdr:col>
      <xdr:colOff>28575</xdr:colOff>
      <xdr:row>50</xdr:row>
      <xdr:rowOff>47625</xdr:rowOff>
    </xdr:to>
    <xdr:sp macro="" textlink="">
      <xdr:nvSpPr>
        <xdr:cNvPr id="230" name="Text Box 232"/>
        <xdr:cNvSpPr txBox="1">
          <a:spLocks noChangeArrowheads="1"/>
        </xdr:cNvSpPr>
      </xdr:nvSpPr>
      <xdr:spPr bwMode="auto">
        <a:xfrm>
          <a:off x="1295400" y="7829550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12</xdr:col>
      <xdr:colOff>28575</xdr:colOff>
      <xdr:row>49</xdr:row>
      <xdr:rowOff>0</xdr:rowOff>
    </xdr:from>
    <xdr:to>
      <xdr:col>13</xdr:col>
      <xdr:colOff>9525</xdr:colOff>
      <xdr:row>50</xdr:row>
      <xdr:rowOff>0</xdr:rowOff>
    </xdr:to>
    <xdr:grpSp>
      <xdr:nvGrpSpPr>
        <xdr:cNvPr id="231" name="Group 233"/>
        <xdr:cNvGrpSpPr>
          <a:grpSpLocks/>
        </xdr:cNvGrpSpPr>
      </xdr:nvGrpSpPr>
      <xdr:grpSpPr bwMode="auto">
        <a:xfrm rot="10800000">
          <a:off x="1962883" y="7854462"/>
          <a:ext cx="142142" cy="161192"/>
          <a:chOff x="1007" y="715"/>
          <a:chExt cx="16" cy="20"/>
        </a:xfrm>
      </xdr:grpSpPr>
      <xdr:sp macro="" textlink="">
        <xdr:nvSpPr>
          <xdr:cNvPr id="232" name="Line 234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Line 235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38100</xdr:colOff>
      <xdr:row>49</xdr:row>
      <xdr:rowOff>57150</xdr:rowOff>
    </xdr:from>
    <xdr:to>
      <xdr:col>12</xdr:col>
      <xdr:colOff>9525</xdr:colOff>
      <xdr:row>49</xdr:row>
      <xdr:rowOff>57150</xdr:rowOff>
    </xdr:to>
    <xdr:sp macro="" textlink="">
      <xdr:nvSpPr>
        <xdr:cNvPr id="234" name="Line 236"/>
        <xdr:cNvSpPr>
          <a:spLocks noChangeShapeType="1"/>
        </xdr:cNvSpPr>
      </xdr:nvSpPr>
      <xdr:spPr bwMode="auto">
        <a:xfrm flipH="1">
          <a:off x="1495425" y="78962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43</xdr:row>
      <xdr:rowOff>0</xdr:rowOff>
    </xdr:from>
    <xdr:to>
      <xdr:col>13</xdr:col>
      <xdr:colOff>19050</xdr:colOff>
      <xdr:row>44</xdr:row>
      <xdr:rowOff>0</xdr:rowOff>
    </xdr:to>
    <xdr:grpSp>
      <xdr:nvGrpSpPr>
        <xdr:cNvPr id="235" name="Group 237"/>
        <xdr:cNvGrpSpPr>
          <a:grpSpLocks/>
        </xdr:cNvGrpSpPr>
      </xdr:nvGrpSpPr>
      <xdr:grpSpPr bwMode="auto">
        <a:xfrm rot="10800000">
          <a:off x="1972408" y="6887308"/>
          <a:ext cx="142142" cy="161192"/>
          <a:chOff x="1007" y="715"/>
          <a:chExt cx="16" cy="20"/>
        </a:xfrm>
      </xdr:grpSpPr>
      <xdr:sp macro="" textlink="">
        <xdr:nvSpPr>
          <xdr:cNvPr id="236" name="Line 238"/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39"/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42</xdr:row>
      <xdr:rowOff>152400</xdr:rowOff>
    </xdr:from>
    <xdr:to>
      <xdr:col>12</xdr:col>
      <xdr:colOff>19050</xdr:colOff>
      <xdr:row>44</xdr:row>
      <xdr:rowOff>47625</xdr:rowOff>
    </xdr:to>
    <xdr:grpSp>
      <xdr:nvGrpSpPr>
        <xdr:cNvPr id="238" name="Group 240"/>
        <xdr:cNvGrpSpPr>
          <a:grpSpLocks/>
        </xdr:cNvGrpSpPr>
      </xdr:nvGrpSpPr>
      <xdr:grpSpPr bwMode="auto">
        <a:xfrm>
          <a:off x="1289538" y="6878515"/>
          <a:ext cx="663820" cy="217610"/>
          <a:chOff x="181" y="884"/>
          <a:chExt cx="75" cy="30"/>
        </a:xfrm>
      </xdr:grpSpPr>
      <xdr:sp macro="" textlink="">
        <xdr:nvSpPr>
          <xdr:cNvPr id="239" name="Oval 241"/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40" name="Group 242"/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41" name="Line 243"/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2" name="Text Box 244"/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N14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25</xdr:row>
      <xdr:rowOff>38100</xdr:rowOff>
    </xdr:from>
    <xdr:to>
      <xdr:col>9</xdr:col>
      <xdr:colOff>95250</xdr:colOff>
      <xdr:row>26</xdr:row>
      <xdr:rowOff>85725</xdr:rowOff>
    </xdr:to>
    <xdr:sp macro="" textlink="">
      <xdr:nvSpPr>
        <xdr:cNvPr id="243" name="Oval 245"/>
        <xdr:cNvSpPr>
          <a:spLocks noChangeArrowheads="1"/>
        </xdr:cNvSpPr>
      </xdr:nvSpPr>
      <xdr:spPr bwMode="auto">
        <a:xfrm>
          <a:off x="1323975" y="3990975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29</xdr:row>
      <xdr:rowOff>123825</xdr:rowOff>
    </xdr:from>
    <xdr:to>
      <xdr:col>9</xdr:col>
      <xdr:colOff>76200</xdr:colOff>
      <xdr:row>30</xdr:row>
      <xdr:rowOff>171450</xdr:rowOff>
    </xdr:to>
    <xdr:sp macro="" textlink="">
      <xdr:nvSpPr>
        <xdr:cNvPr id="244" name="Oval 246"/>
        <xdr:cNvSpPr>
          <a:spLocks noChangeArrowheads="1"/>
        </xdr:cNvSpPr>
      </xdr:nvSpPr>
      <xdr:spPr bwMode="auto">
        <a:xfrm>
          <a:off x="1304925" y="4724400"/>
          <a:ext cx="228600" cy="2000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66675</xdr:colOff>
      <xdr:row>25</xdr:row>
      <xdr:rowOff>57150</xdr:rowOff>
    </xdr:from>
    <xdr:to>
      <xdr:col>9</xdr:col>
      <xdr:colOff>66675</xdr:colOff>
      <xdr:row>27</xdr:row>
      <xdr:rowOff>57150</xdr:rowOff>
    </xdr:to>
    <xdr:sp macro="" textlink="">
      <xdr:nvSpPr>
        <xdr:cNvPr id="245" name="Text Box 247"/>
        <xdr:cNvSpPr txBox="1">
          <a:spLocks noChangeArrowheads="1"/>
        </xdr:cNvSpPr>
      </xdr:nvSpPr>
      <xdr:spPr bwMode="auto">
        <a:xfrm>
          <a:off x="1362075" y="4010025"/>
          <a:ext cx="1619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N14</a:t>
          </a:r>
        </a:p>
      </xdr:txBody>
    </xdr:sp>
    <xdr:clientData/>
  </xdr:twoCellAnchor>
  <xdr:twoCellAnchor>
    <xdr:from>
      <xdr:col>8</xdr:col>
      <xdr:colOff>47625</xdr:colOff>
      <xdr:row>29</xdr:row>
      <xdr:rowOff>171450</xdr:rowOff>
    </xdr:from>
    <xdr:to>
      <xdr:col>9</xdr:col>
      <xdr:colOff>47625</xdr:colOff>
      <xdr:row>31</xdr:row>
      <xdr:rowOff>142875</xdr:rowOff>
    </xdr:to>
    <xdr:sp macro="" textlink="">
      <xdr:nvSpPr>
        <xdr:cNvPr id="246" name="Text Box 248"/>
        <xdr:cNvSpPr txBox="1">
          <a:spLocks noChangeArrowheads="1"/>
        </xdr:cNvSpPr>
      </xdr:nvSpPr>
      <xdr:spPr bwMode="auto">
        <a:xfrm>
          <a:off x="1343025" y="4762500"/>
          <a:ext cx="1619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N8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114300</xdr:colOff>
      <xdr:row>24</xdr:row>
      <xdr:rowOff>161925</xdr:rowOff>
    </xdr:from>
    <xdr:to>
      <xdr:col>26</xdr:col>
      <xdr:colOff>133350</xdr:colOff>
      <xdr:row>25</xdr:row>
      <xdr:rowOff>114300</xdr:rowOff>
    </xdr:to>
    <xdr:sp macro="" textlink="">
      <xdr:nvSpPr>
        <xdr:cNvPr id="4" name="Text Box 40"/>
        <xdr:cNvSpPr txBox="1">
          <a:spLocks noChangeArrowheads="1"/>
        </xdr:cNvSpPr>
      </xdr:nvSpPr>
      <xdr:spPr bwMode="auto">
        <a:xfrm>
          <a:off x="4324350" y="3952875"/>
          <a:ext cx="190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42</xdr:row>
      <xdr:rowOff>123825</xdr:rowOff>
    </xdr:from>
    <xdr:to>
      <xdr:col>34</xdr:col>
      <xdr:colOff>57150</xdr:colOff>
      <xdr:row>43</xdr:row>
      <xdr:rowOff>133349</xdr:rowOff>
    </xdr:to>
    <xdr:sp macro="" textlink="">
      <xdr:nvSpPr>
        <xdr:cNvPr id="5" name="Text Box 56"/>
        <xdr:cNvSpPr txBox="1">
          <a:spLocks noChangeArrowheads="1"/>
        </xdr:cNvSpPr>
      </xdr:nvSpPr>
      <xdr:spPr bwMode="auto">
        <a:xfrm>
          <a:off x="5505450" y="6829425"/>
          <a:ext cx="57150" cy="171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42</xdr:row>
      <xdr:rowOff>161925</xdr:rowOff>
    </xdr:from>
    <xdr:to>
      <xdr:col>29</xdr:col>
      <xdr:colOff>123825</xdr:colOff>
      <xdr:row>43</xdr:row>
      <xdr:rowOff>133350</xdr:rowOff>
    </xdr:to>
    <xdr:sp macro="" textlink="">
      <xdr:nvSpPr>
        <xdr:cNvPr id="6" name="Text Box 70"/>
        <xdr:cNvSpPr txBox="1">
          <a:spLocks noChangeArrowheads="1"/>
        </xdr:cNvSpPr>
      </xdr:nvSpPr>
      <xdr:spPr bwMode="auto">
        <a:xfrm>
          <a:off x="4676775" y="6867525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" name="Text Box 72"/>
        <xdr:cNvSpPr txBox="1">
          <a:spLocks noChangeArrowheads="1"/>
        </xdr:cNvSpPr>
      </xdr:nvSpPr>
      <xdr:spPr bwMode="auto">
        <a:xfrm>
          <a:off x="4676775" y="8324850"/>
          <a:ext cx="1524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8" name="Text Box 95"/>
        <xdr:cNvSpPr txBox="1">
          <a:spLocks noChangeArrowheads="1"/>
        </xdr:cNvSpPr>
      </xdr:nvSpPr>
      <xdr:spPr bwMode="auto">
        <a:xfrm>
          <a:off x="4362450" y="9782175"/>
          <a:ext cx="1619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9" name="Text Box 107"/>
        <xdr:cNvSpPr txBox="1">
          <a:spLocks noChangeArrowheads="1"/>
        </xdr:cNvSpPr>
      </xdr:nvSpPr>
      <xdr:spPr bwMode="auto">
        <a:xfrm>
          <a:off x="4333875" y="6781800"/>
          <a:ext cx="1714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45</xdr:row>
      <xdr:rowOff>142875</xdr:rowOff>
    </xdr:from>
    <xdr:to>
      <xdr:col>20</xdr:col>
      <xdr:colOff>9525</xdr:colOff>
      <xdr:row>46</xdr:row>
      <xdr:rowOff>66675</xdr:rowOff>
    </xdr:to>
    <xdr:sp macro="" textlink="">
      <xdr:nvSpPr>
        <xdr:cNvPr id="10" name="Text Box 109"/>
        <xdr:cNvSpPr txBox="1">
          <a:spLocks noChangeArrowheads="1"/>
        </xdr:cNvSpPr>
      </xdr:nvSpPr>
      <xdr:spPr bwMode="auto">
        <a:xfrm>
          <a:off x="3076575" y="7334250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1" name="Text Box 110"/>
        <xdr:cNvSpPr txBox="1">
          <a:spLocks noChangeArrowheads="1"/>
        </xdr:cNvSpPr>
      </xdr:nvSpPr>
      <xdr:spPr bwMode="auto">
        <a:xfrm>
          <a:off x="2705100" y="8829675"/>
          <a:ext cx="76200" cy="14360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85725</xdr:colOff>
      <xdr:row>30</xdr:row>
      <xdr:rowOff>171450</xdr:rowOff>
    </xdr:from>
    <xdr:to>
      <xdr:col>35</xdr:col>
      <xdr:colOff>85725</xdr:colOff>
      <xdr:row>34</xdr:row>
      <xdr:rowOff>38100</xdr:rowOff>
    </xdr:to>
    <xdr:sp macro="" textlink="">
      <xdr:nvSpPr>
        <xdr:cNvPr id="12" name="Text Box 130"/>
        <xdr:cNvSpPr txBox="1">
          <a:spLocks noChangeArrowheads="1"/>
        </xdr:cNvSpPr>
      </xdr:nvSpPr>
      <xdr:spPr bwMode="auto">
        <a:xfrm>
          <a:off x="5591175" y="4924425"/>
          <a:ext cx="1619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38100</xdr:colOff>
      <xdr:row>49</xdr:row>
      <xdr:rowOff>180975</xdr:rowOff>
    </xdr:from>
    <xdr:to>
      <xdr:col>21</xdr:col>
      <xdr:colOff>47625</xdr:colOff>
      <xdr:row>51</xdr:row>
      <xdr:rowOff>114300</xdr:rowOff>
    </xdr:to>
    <xdr:sp macro="" textlink="">
      <xdr:nvSpPr>
        <xdr:cNvPr id="13" name="Text Box 148"/>
        <xdr:cNvSpPr txBox="1">
          <a:spLocks noChangeArrowheads="1"/>
        </xdr:cNvSpPr>
      </xdr:nvSpPr>
      <xdr:spPr bwMode="auto">
        <a:xfrm>
          <a:off x="3276600" y="8001000"/>
          <a:ext cx="171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25</xdr:row>
      <xdr:rowOff>152400</xdr:rowOff>
    </xdr:from>
    <xdr:to>
      <xdr:col>9</xdr:col>
      <xdr:colOff>57150</xdr:colOff>
      <xdr:row>27</xdr:row>
      <xdr:rowOff>0</xdr:rowOff>
    </xdr:to>
    <xdr:sp macro="" textlink="">
      <xdr:nvSpPr>
        <xdr:cNvPr id="14" name="Text Box 162"/>
        <xdr:cNvSpPr txBox="1">
          <a:spLocks noChangeArrowheads="1"/>
        </xdr:cNvSpPr>
      </xdr:nvSpPr>
      <xdr:spPr bwMode="auto">
        <a:xfrm>
          <a:off x="1343025" y="4105275"/>
          <a:ext cx="1714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142875</xdr:colOff>
      <xdr:row>28</xdr:row>
      <xdr:rowOff>133350</xdr:rowOff>
    </xdr:from>
    <xdr:to>
      <xdr:col>7</xdr:col>
      <xdr:colOff>152400</xdr:colOff>
      <xdr:row>30</xdr:row>
      <xdr:rowOff>19050</xdr:rowOff>
    </xdr:to>
    <xdr:sp macro="" textlink="">
      <xdr:nvSpPr>
        <xdr:cNvPr id="15" name="Text Box 163"/>
        <xdr:cNvSpPr txBox="1">
          <a:spLocks noChangeArrowheads="1"/>
        </xdr:cNvSpPr>
      </xdr:nvSpPr>
      <xdr:spPr bwMode="auto">
        <a:xfrm>
          <a:off x="1114425" y="4572000"/>
          <a:ext cx="1714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27</xdr:row>
      <xdr:rowOff>57150</xdr:rowOff>
    </xdr:from>
    <xdr:to>
      <xdr:col>9</xdr:col>
      <xdr:colOff>57150</xdr:colOff>
      <xdr:row>28</xdr:row>
      <xdr:rowOff>152400</xdr:rowOff>
    </xdr:to>
    <xdr:sp macro="" textlink="">
      <xdr:nvSpPr>
        <xdr:cNvPr id="16" name="Text Box 165"/>
        <xdr:cNvSpPr txBox="1">
          <a:spLocks noChangeArrowheads="1"/>
        </xdr:cNvSpPr>
      </xdr:nvSpPr>
      <xdr:spPr bwMode="auto">
        <a:xfrm>
          <a:off x="1343025" y="4333875"/>
          <a:ext cx="1714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152400</xdr:colOff>
      <xdr:row>19</xdr:row>
      <xdr:rowOff>123825</xdr:rowOff>
    </xdr:from>
    <xdr:to>
      <xdr:col>15</xdr:col>
      <xdr:colOff>161925</xdr:colOff>
      <xdr:row>21</xdr:row>
      <xdr:rowOff>76200</xdr:rowOff>
    </xdr:to>
    <xdr:sp macro="" textlink="">
      <xdr:nvSpPr>
        <xdr:cNvPr id="17" name="Text Box 178"/>
        <xdr:cNvSpPr txBox="1">
          <a:spLocks noChangeArrowheads="1"/>
        </xdr:cNvSpPr>
      </xdr:nvSpPr>
      <xdr:spPr bwMode="auto">
        <a:xfrm>
          <a:off x="2419350" y="3105150"/>
          <a:ext cx="171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8" name="Text Box 199"/>
        <xdr:cNvSpPr txBox="1">
          <a:spLocks noChangeArrowheads="1"/>
        </xdr:cNvSpPr>
      </xdr:nvSpPr>
      <xdr:spPr bwMode="auto">
        <a:xfrm>
          <a:off x="2638425" y="8839200"/>
          <a:ext cx="17145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19" name="Text Box 214"/>
        <xdr:cNvSpPr txBox="1">
          <a:spLocks noChangeArrowheads="1"/>
        </xdr:cNvSpPr>
      </xdr:nvSpPr>
      <xdr:spPr bwMode="auto">
        <a:xfrm>
          <a:off x="4333875" y="6781800"/>
          <a:ext cx="1714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28</xdr:row>
      <xdr:rowOff>123825</xdr:rowOff>
    </xdr:from>
    <xdr:to>
      <xdr:col>7</xdr:col>
      <xdr:colOff>133350</xdr:colOff>
      <xdr:row>30</xdr:row>
      <xdr:rowOff>85725</xdr:rowOff>
    </xdr:to>
    <xdr:sp macro="" textlink="">
      <xdr:nvSpPr>
        <xdr:cNvPr id="20" name="Text Box 224"/>
        <xdr:cNvSpPr txBox="1">
          <a:spLocks noChangeArrowheads="1"/>
        </xdr:cNvSpPr>
      </xdr:nvSpPr>
      <xdr:spPr bwMode="auto">
        <a:xfrm>
          <a:off x="1104900" y="4562475"/>
          <a:ext cx="1619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24</xdr:row>
      <xdr:rowOff>57150</xdr:rowOff>
    </xdr:from>
    <xdr:to>
      <xdr:col>7</xdr:col>
      <xdr:colOff>152400</xdr:colOff>
      <xdr:row>25</xdr:row>
      <xdr:rowOff>114300</xdr:rowOff>
    </xdr:to>
    <xdr:sp macro="" textlink="">
      <xdr:nvSpPr>
        <xdr:cNvPr id="21" name="Text Box 225"/>
        <xdr:cNvSpPr txBox="1">
          <a:spLocks noChangeArrowheads="1"/>
        </xdr:cNvSpPr>
      </xdr:nvSpPr>
      <xdr:spPr bwMode="auto">
        <a:xfrm>
          <a:off x="1104900" y="3848100"/>
          <a:ext cx="1809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104775</xdr:colOff>
      <xdr:row>28</xdr:row>
      <xdr:rowOff>9525</xdr:rowOff>
    </xdr:from>
    <xdr:to>
      <xdr:col>25</xdr:col>
      <xdr:colOff>114300</xdr:colOff>
      <xdr:row>29</xdr:row>
      <xdr:rowOff>19050</xdr:rowOff>
    </xdr:to>
    <xdr:sp macro="" textlink="">
      <xdr:nvSpPr>
        <xdr:cNvPr id="22" name="Text Box 227"/>
        <xdr:cNvSpPr txBox="1">
          <a:spLocks noChangeArrowheads="1"/>
        </xdr:cNvSpPr>
      </xdr:nvSpPr>
      <xdr:spPr bwMode="auto">
        <a:xfrm>
          <a:off x="3990975" y="4448175"/>
          <a:ext cx="1714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66675</xdr:colOff>
      <xdr:row>24</xdr:row>
      <xdr:rowOff>57150</xdr:rowOff>
    </xdr:from>
    <xdr:to>
      <xdr:col>9</xdr:col>
      <xdr:colOff>66675</xdr:colOff>
      <xdr:row>26</xdr:row>
      <xdr:rowOff>57150</xdr:rowOff>
    </xdr:to>
    <xdr:sp macro="" textlink="">
      <xdr:nvSpPr>
        <xdr:cNvPr id="23" name="Text Box 247"/>
        <xdr:cNvSpPr txBox="1">
          <a:spLocks noChangeArrowheads="1"/>
        </xdr:cNvSpPr>
      </xdr:nvSpPr>
      <xdr:spPr bwMode="auto">
        <a:xfrm>
          <a:off x="1362075" y="3848100"/>
          <a:ext cx="1619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28</xdr:row>
      <xdr:rowOff>171450</xdr:rowOff>
    </xdr:from>
    <xdr:to>
      <xdr:col>9</xdr:col>
      <xdr:colOff>47625</xdr:colOff>
      <xdr:row>30</xdr:row>
      <xdr:rowOff>142875</xdr:rowOff>
    </xdr:to>
    <xdr:sp macro="" textlink="">
      <xdr:nvSpPr>
        <xdr:cNvPr id="24" name="Text Box 248"/>
        <xdr:cNvSpPr txBox="1">
          <a:spLocks noChangeArrowheads="1"/>
        </xdr:cNvSpPr>
      </xdr:nvSpPr>
      <xdr:spPr bwMode="auto">
        <a:xfrm>
          <a:off x="1343025" y="4600575"/>
          <a:ext cx="1619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razavi\g\Documents%20and%20Settings\hashemifar\Local%20Settings\Temporary%20Internet%20Files\OLK80\MainGen_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RV\All%20Data\All%20Data\Documents%20and%20Settings\hashemifar\Local%20Settings\Temporary%20Internet%20Files\OLK80\MainGen_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kharian\All%20Data\Mechanic\PROJECTS\9104%20-%20PZN-2%20&amp;%20KPL%20DESALTING%20UNITS\ISSUED%20DOCUMENTS\PAZANAN\Mech.%20D.S.%20For%20Closed%20Drain%20&amp;%20Flare%20K.O.%20Drum%20Sump%20Pump\IDC\Mirrazavi\References\Copy%20of%20API%20610%20XI%20Edition%20Datashee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razavi\g\PROJECT\410063\PROCESS\DOCS\HAZ_AREA\HAZ_SC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ZN-Summary-140401%20Rev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"/>
      <sheetName val="A"/>
      <sheetName val="B"/>
      <sheetName val="C"/>
      <sheetName val="D"/>
      <sheetName val="E"/>
      <sheetName val="F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"/>
      <sheetName val="A"/>
      <sheetName val="B"/>
      <sheetName val="C"/>
      <sheetName val="D"/>
      <sheetName val="E"/>
      <sheetName val="F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ge1"/>
      <sheetName val="Page2"/>
      <sheetName val="Page3"/>
      <sheetName val="Page4"/>
      <sheetName val="Page5"/>
      <sheetName val="Page6"/>
      <sheetName val="Page7"/>
      <sheetName val="Notes"/>
      <sheetName val="Units"/>
    </sheetNames>
    <sheetDataSet>
      <sheetData sheetId="0" refreshError="1"/>
      <sheetData sheetId="1" refreshError="1">
        <row r="9">
          <cell r="T9" t="str">
            <v>si ind</v>
          </cell>
        </row>
        <row r="24">
          <cell r="Q2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"/>
      <sheetName val="Notes"/>
      <sheetName val="Corrib Haz"/>
      <sheetName val="Module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PC subtotals"/>
      <sheetName val="Basic INFO"/>
      <sheetName val="3.3 HSE"/>
      <sheetName val="3.4 Client camp &amp; services"/>
      <sheetName val="E"/>
      <sheetName val="P-IN"/>
      <sheetName val="P-EL"/>
      <sheetName val="P-TC"/>
      <sheetName val="P-PI"/>
      <sheetName val="P-SF"/>
      <sheetName val="P-ME"/>
      <sheetName val="P-HVAC"/>
      <sheetName val="C-IN"/>
      <sheetName val="C-EL"/>
      <sheetName val="C-TC"/>
      <sheetName val="C-ME"/>
      <sheetName val="C-HVAC"/>
      <sheetName val="C-PI"/>
      <sheetName val="C-PL"/>
      <sheetName val="C-SF"/>
      <sheetName val="C-CV"/>
    </sheetNames>
    <sheetDataSet>
      <sheetData sheetId="0"/>
      <sheetData sheetId="1">
        <row r="13">
          <cell r="B13">
            <v>7203526000000</v>
          </cell>
        </row>
        <row r="24">
          <cell r="A24">
            <v>28648000</v>
          </cell>
        </row>
      </sheetData>
      <sheetData sheetId="2">
        <row r="101">
          <cell r="C101">
            <v>658533</v>
          </cell>
        </row>
        <row r="103">
          <cell r="C103">
            <v>1.0558286372892474</v>
          </cell>
        </row>
        <row r="127">
          <cell r="E127">
            <v>16.259615384615383</v>
          </cell>
        </row>
        <row r="138">
          <cell r="C138">
            <v>1.5520762326743922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AP68"/>
  <sheetViews>
    <sheetView view="pageBreakPreview" zoomScale="130" zoomScaleNormal="115" zoomScaleSheetLayoutView="130" workbookViewId="0">
      <selection activeCell="A7" sqref="A7:AN62"/>
    </sheetView>
  </sheetViews>
  <sheetFormatPr defaultRowHeight="12" customHeight="1" x14ac:dyDescent="0.2"/>
  <cols>
    <col min="1" max="39" width="2.42578125" style="8" customWidth="1"/>
    <col min="40" max="40" width="3.42578125" style="8" bestFit="1" customWidth="1"/>
    <col min="41" max="256" width="9.140625" style="8"/>
    <col min="257" max="295" width="2.42578125" style="8" customWidth="1"/>
    <col min="296" max="296" width="3.42578125" style="8" bestFit="1" customWidth="1"/>
    <col min="297" max="512" width="9.140625" style="8"/>
    <col min="513" max="551" width="2.42578125" style="8" customWidth="1"/>
    <col min="552" max="552" width="3.42578125" style="8" bestFit="1" customWidth="1"/>
    <col min="553" max="768" width="9.140625" style="8"/>
    <col min="769" max="807" width="2.42578125" style="8" customWidth="1"/>
    <col min="808" max="808" width="3.42578125" style="8" bestFit="1" customWidth="1"/>
    <col min="809" max="1024" width="9.140625" style="8"/>
    <col min="1025" max="1063" width="2.42578125" style="8" customWidth="1"/>
    <col min="1064" max="1064" width="3.42578125" style="8" bestFit="1" customWidth="1"/>
    <col min="1065" max="1280" width="9.140625" style="8"/>
    <col min="1281" max="1319" width="2.42578125" style="8" customWidth="1"/>
    <col min="1320" max="1320" width="3.42578125" style="8" bestFit="1" customWidth="1"/>
    <col min="1321" max="1536" width="9.140625" style="8"/>
    <col min="1537" max="1575" width="2.42578125" style="8" customWidth="1"/>
    <col min="1576" max="1576" width="3.42578125" style="8" bestFit="1" customWidth="1"/>
    <col min="1577" max="1792" width="9.140625" style="8"/>
    <col min="1793" max="1831" width="2.42578125" style="8" customWidth="1"/>
    <col min="1832" max="1832" width="3.42578125" style="8" bestFit="1" customWidth="1"/>
    <col min="1833" max="2048" width="9.140625" style="8"/>
    <col min="2049" max="2087" width="2.42578125" style="8" customWidth="1"/>
    <col min="2088" max="2088" width="3.42578125" style="8" bestFit="1" customWidth="1"/>
    <col min="2089" max="2304" width="9.140625" style="8"/>
    <col min="2305" max="2343" width="2.42578125" style="8" customWidth="1"/>
    <col min="2344" max="2344" width="3.42578125" style="8" bestFit="1" customWidth="1"/>
    <col min="2345" max="2560" width="9.140625" style="8"/>
    <col min="2561" max="2599" width="2.42578125" style="8" customWidth="1"/>
    <col min="2600" max="2600" width="3.42578125" style="8" bestFit="1" customWidth="1"/>
    <col min="2601" max="2816" width="9.140625" style="8"/>
    <col min="2817" max="2855" width="2.42578125" style="8" customWidth="1"/>
    <col min="2856" max="2856" width="3.42578125" style="8" bestFit="1" customWidth="1"/>
    <col min="2857" max="3072" width="9.140625" style="8"/>
    <col min="3073" max="3111" width="2.42578125" style="8" customWidth="1"/>
    <col min="3112" max="3112" width="3.42578125" style="8" bestFit="1" customWidth="1"/>
    <col min="3113" max="3328" width="9.140625" style="8"/>
    <col min="3329" max="3367" width="2.42578125" style="8" customWidth="1"/>
    <col min="3368" max="3368" width="3.42578125" style="8" bestFit="1" customWidth="1"/>
    <col min="3369" max="3584" width="9.140625" style="8"/>
    <col min="3585" max="3623" width="2.42578125" style="8" customWidth="1"/>
    <col min="3624" max="3624" width="3.42578125" style="8" bestFit="1" customWidth="1"/>
    <col min="3625" max="3840" width="9.140625" style="8"/>
    <col min="3841" max="3879" width="2.42578125" style="8" customWidth="1"/>
    <col min="3880" max="3880" width="3.42578125" style="8" bestFit="1" customWidth="1"/>
    <col min="3881" max="4096" width="9.140625" style="8"/>
    <col min="4097" max="4135" width="2.42578125" style="8" customWidth="1"/>
    <col min="4136" max="4136" width="3.42578125" style="8" bestFit="1" customWidth="1"/>
    <col min="4137" max="4352" width="9.140625" style="8"/>
    <col min="4353" max="4391" width="2.42578125" style="8" customWidth="1"/>
    <col min="4392" max="4392" width="3.42578125" style="8" bestFit="1" customWidth="1"/>
    <col min="4393" max="4608" width="9.140625" style="8"/>
    <col min="4609" max="4647" width="2.42578125" style="8" customWidth="1"/>
    <col min="4648" max="4648" width="3.42578125" style="8" bestFit="1" customWidth="1"/>
    <col min="4649" max="4864" width="9.140625" style="8"/>
    <col min="4865" max="4903" width="2.42578125" style="8" customWidth="1"/>
    <col min="4904" max="4904" width="3.42578125" style="8" bestFit="1" customWidth="1"/>
    <col min="4905" max="5120" width="9.140625" style="8"/>
    <col min="5121" max="5159" width="2.42578125" style="8" customWidth="1"/>
    <col min="5160" max="5160" width="3.42578125" style="8" bestFit="1" customWidth="1"/>
    <col min="5161" max="5376" width="9.140625" style="8"/>
    <col min="5377" max="5415" width="2.42578125" style="8" customWidth="1"/>
    <col min="5416" max="5416" width="3.42578125" style="8" bestFit="1" customWidth="1"/>
    <col min="5417" max="5632" width="9.140625" style="8"/>
    <col min="5633" max="5671" width="2.42578125" style="8" customWidth="1"/>
    <col min="5672" max="5672" width="3.42578125" style="8" bestFit="1" customWidth="1"/>
    <col min="5673" max="5888" width="9.140625" style="8"/>
    <col min="5889" max="5927" width="2.42578125" style="8" customWidth="1"/>
    <col min="5928" max="5928" width="3.42578125" style="8" bestFit="1" customWidth="1"/>
    <col min="5929" max="6144" width="9.140625" style="8"/>
    <col min="6145" max="6183" width="2.42578125" style="8" customWidth="1"/>
    <col min="6184" max="6184" width="3.42578125" style="8" bestFit="1" customWidth="1"/>
    <col min="6185" max="6400" width="9.140625" style="8"/>
    <col min="6401" max="6439" width="2.42578125" style="8" customWidth="1"/>
    <col min="6440" max="6440" width="3.42578125" style="8" bestFit="1" customWidth="1"/>
    <col min="6441" max="6656" width="9.140625" style="8"/>
    <col min="6657" max="6695" width="2.42578125" style="8" customWidth="1"/>
    <col min="6696" max="6696" width="3.42578125" style="8" bestFit="1" customWidth="1"/>
    <col min="6697" max="6912" width="9.140625" style="8"/>
    <col min="6913" max="6951" width="2.42578125" style="8" customWidth="1"/>
    <col min="6952" max="6952" width="3.42578125" style="8" bestFit="1" customWidth="1"/>
    <col min="6953" max="7168" width="9.140625" style="8"/>
    <col min="7169" max="7207" width="2.42578125" style="8" customWidth="1"/>
    <col min="7208" max="7208" width="3.42578125" style="8" bestFit="1" customWidth="1"/>
    <col min="7209" max="7424" width="9.140625" style="8"/>
    <col min="7425" max="7463" width="2.42578125" style="8" customWidth="1"/>
    <col min="7464" max="7464" width="3.42578125" style="8" bestFit="1" customWidth="1"/>
    <col min="7465" max="7680" width="9.140625" style="8"/>
    <col min="7681" max="7719" width="2.42578125" style="8" customWidth="1"/>
    <col min="7720" max="7720" width="3.42578125" style="8" bestFit="1" customWidth="1"/>
    <col min="7721" max="7936" width="9.140625" style="8"/>
    <col min="7937" max="7975" width="2.42578125" style="8" customWidth="1"/>
    <col min="7976" max="7976" width="3.42578125" style="8" bestFit="1" customWidth="1"/>
    <col min="7977" max="8192" width="9.140625" style="8"/>
    <col min="8193" max="8231" width="2.42578125" style="8" customWidth="1"/>
    <col min="8232" max="8232" width="3.42578125" style="8" bestFit="1" customWidth="1"/>
    <col min="8233" max="8448" width="9.140625" style="8"/>
    <col min="8449" max="8487" width="2.42578125" style="8" customWidth="1"/>
    <col min="8488" max="8488" width="3.42578125" style="8" bestFit="1" customWidth="1"/>
    <col min="8489" max="8704" width="9.140625" style="8"/>
    <col min="8705" max="8743" width="2.42578125" style="8" customWidth="1"/>
    <col min="8744" max="8744" width="3.42578125" style="8" bestFit="1" customWidth="1"/>
    <col min="8745" max="8960" width="9.140625" style="8"/>
    <col min="8961" max="8999" width="2.42578125" style="8" customWidth="1"/>
    <col min="9000" max="9000" width="3.42578125" style="8" bestFit="1" customWidth="1"/>
    <col min="9001" max="9216" width="9.140625" style="8"/>
    <col min="9217" max="9255" width="2.42578125" style="8" customWidth="1"/>
    <col min="9256" max="9256" width="3.42578125" style="8" bestFit="1" customWidth="1"/>
    <col min="9257" max="9472" width="9.140625" style="8"/>
    <col min="9473" max="9511" width="2.42578125" style="8" customWidth="1"/>
    <col min="9512" max="9512" width="3.42578125" style="8" bestFit="1" customWidth="1"/>
    <col min="9513" max="9728" width="9.140625" style="8"/>
    <col min="9729" max="9767" width="2.42578125" style="8" customWidth="1"/>
    <col min="9768" max="9768" width="3.42578125" style="8" bestFit="1" customWidth="1"/>
    <col min="9769" max="9984" width="9.140625" style="8"/>
    <col min="9985" max="10023" width="2.42578125" style="8" customWidth="1"/>
    <col min="10024" max="10024" width="3.42578125" style="8" bestFit="1" customWidth="1"/>
    <col min="10025" max="10240" width="9.140625" style="8"/>
    <col min="10241" max="10279" width="2.42578125" style="8" customWidth="1"/>
    <col min="10280" max="10280" width="3.42578125" style="8" bestFit="1" customWidth="1"/>
    <col min="10281" max="10496" width="9.140625" style="8"/>
    <col min="10497" max="10535" width="2.42578125" style="8" customWidth="1"/>
    <col min="10536" max="10536" width="3.42578125" style="8" bestFit="1" customWidth="1"/>
    <col min="10537" max="10752" width="9.140625" style="8"/>
    <col min="10753" max="10791" width="2.42578125" style="8" customWidth="1"/>
    <col min="10792" max="10792" width="3.42578125" style="8" bestFit="1" customWidth="1"/>
    <col min="10793" max="11008" width="9.140625" style="8"/>
    <col min="11009" max="11047" width="2.42578125" style="8" customWidth="1"/>
    <col min="11048" max="11048" width="3.42578125" style="8" bestFit="1" customWidth="1"/>
    <col min="11049" max="11264" width="9.140625" style="8"/>
    <col min="11265" max="11303" width="2.42578125" style="8" customWidth="1"/>
    <col min="11304" max="11304" width="3.42578125" style="8" bestFit="1" customWidth="1"/>
    <col min="11305" max="11520" width="9.140625" style="8"/>
    <col min="11521" max="11559" width="2.42578125" style="8" customWidth="1"/>
    <col min="11560" max="11560" width="3.42578125" style="8" bestFit="1" customWidth="1"/>
    <col min="11561" max="11776" width="9.140625" style="8"/>
    <col min="11777" max="11815" width="2.42578125" style="8" customWidth="1"/>
    <col min="11816" max="11816" width="3.42578125" style="8" bestFit="1" customWidth="1"/>
    <col min="11817" max="12032" width="9.140625" style="8"/>
    <col min="12033" max="12071" width="2.42578125" style="8" customWidth="1"/>
    <col min="12072" max="12072" width="3.42578125" style="8" bestFit="1" customWidth="1"/>
    <col min="12073" max="12288" width="9.140625" style="8"/>
    <col min="12289" max="12327" width="2.42578125" style="8" customWidth="1"/>
    <col min="12328" max="12328" width="3.42578125" style="8" bestFit="1" customWidth="1"/>
    <col min="12329" max="12544" width="9.140625" style="8"/>
    <col min="12545" max="12583" width="2.42578125" style="8" customWidth="1"/>
    <col min="12584" max="12584" width="3.42578125" style="8" bestFit="1" customWidth="1"/>
    <col min="12585" max="12800" width="9.140625" style="8"/>
    <col min="12801" max="12839" width="2.42578125" style="8" customWidth="1"/>
    <col min="12840" max="12840" width="3.42578125" style="8" bestFit="1" customWidth="1"/>
    <col min="12841" max="13056" width="9.140625" style="8"/>
    <col min="13057" max="13095" width="2.42578125" style="8" customWidth="1"/>
    <col min="13096" max="13096" width="3.42578125" style="8" bestFit="1" customWidth="1"/>
    <col min="13097" max="13312" width="9.140625" style="8"/>
    <col min="13313" max="13351" width="2.42578125" style="8" customWidth="1"/>
    <col min="13352" max="13352" width="3.42578125" style="8" bestFit="1" customWidth="1"/>
    <col min="13353" max="13568" width="9.140625" style="8"/>
    <col min="13569" max="13607" width="2.42578125" style="8" customWidth="1"/>
    <col min="13608" max="13608" width="3.42578125" style="8" bestFit="1" customWidth="1"/>
    <col min="13609" max="13824" width="9.140625" style="8"/>
    <col min="13825" max="13863" width="2.42578125" style="8" customWidth="1"/>
    <col min="13864" max="13864" width="3.42578125" style="8" bestFit="1" customWidth="1"/>
    <col min="13865" max="14080" width="9.140625" style="8"/>
    <col min="14081" max="14119" width="2.42578125" style="8" customWidth="1"/>
    <col min="14120" max="14120" width="3.42578125" style="8" bestFit="1" customWidth="1"/>
    <col min="14121" max="14336" width="9.140625" style="8"/>
    <col min="14337" max="14375" width="2.42578125" style="8" customWidth="1"/>
    <col min="14376" max="14376" width="3.42578125" style="8" bestFit="1" customWidth="1"/>
    <col min="14377" max="14592" width="9.140625" style="8"/>
    <col min="14593" max="14631" width="2.42578125" style="8" customWidth="1"/>
    <col min="14632" max="14632" width="3.42578125" style="8" bestFit="1" customWidth="1"/>
    <col min="14633" max="14848" width="9.140625" style="8"/>
    <col min="14849" max="14887" width="2.42578125" style="8" customWidth="1"/>
    <col min="14888" max="14888" width="3.42578125" style="8" bestFit="1" customWidth="1"/>
    <col min="14889" max="15104" width="9.140625" style="8"/>
    <col min="15105" max="15143" width="2.42578125" style="8" customWidth="1"/>
    <col min="15144" max="15144" width="3.42578125" style="8" bestFit="1" customWidth="1"/>
    <col min="15145" max="15360" width="9.140625" style="8"/>
    <col min="15361" max="15399" width="2.42578125" style="8" customWidth="1"/>
    <col min="15400" max="15400" width="3.42578125" style="8" bestFit="1" customWidth="1"/>
    <col min="15401" max="15616" width="9.140625" style="8"/>
    <col min="15617" max="15655" width="2.42578125" style="8" customWidth="1"/>
    <col min="15656" max="15656" width="3.42578125" style="8" bestFit="1" customWidth="1"/>
    <col min="15657" max="15872" width="9.140625" style="8"/>
    <col min="15873" max="15911" width="2.42578125" style="8" customWidth="1"/>
    <col min="15912" max="15912" width="3.42578125" style="8" bestFit="1" customWidth="1"/>
    <col min="15913" max="16128" width="9.140625" style="8"/>
    <col min="16129" max="16167" width="2.42578125" style="8" customWidth="1"/>
    <col min="16168" max="16168" width="3.42578125" style="8" bestFit="1" customWidth="1"/>
    <col min="16169" max="16384" width="9.140625" style="8"/>
  </cols>
  <sheetData>
    <row r="1" spans="1:42" s="323" customFormat="1" ht="15.75" thickBot="1" x14ac:dyDescent="0.3">
      <c r="A1" s="312" t="s">
        <v>467</v>
      </c>
      <c r="B1" s="313"/>
      <c r="C1" s="314"/>
      <c r="D1" s="314"/>
      <c r="E1" s="315"/>
      <c r="F1" s="315"/>
      <c r="G1" s="316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</row>
    <row r="2" spans="1:42" s="323" customFormat="1" ht="15.75" thickBot="1" x14ac:dyDescent="0.3">
      <c r="A2" s="312" t="s">
        <v>468</v>
      </c>
      <c r="B2" s="313"/>
      <c r="C2" s="314"/>
      <c r="D2" s="314"/>
      <c r="E2" s="315"/>
      <c r="F2" s="315"/>
      <c r="G2" s="316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</row>
    <row r="3" spans="1:42" s="323" customFormat="1" ht="15.75" thickBot="1" x14ac:dyDescent="0.3">
      <c r="A3" s="312" t="s">
        <v>469</v>
      </c>
      <c r="B3" s="313"/>
      <c r="C3" s="314"/>
      <c r="D3" s="314"/>
      <c r="E3" s="315"/>
      <c r="F3" s="315"/>
      <c r="G3" s="316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</row>
    <row r="4" spans="1:42" s="323" customFormat="1" ht="15.75" thickBot="1" x14ac:dyDescent="0.3">
      <c r="A4" s="324" t="s">
        <v>470</v>
      </c>
      <c r="B4" s="313"/>
      <c r="C4" s="314"/>
      <c r="D4" s="314"/>
      <c r="E4" s="315"/>
      <c r="F4" s="315"/>
      <c r="G4" s="316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</row>
    <row r="5" spans="1:42" s="323" customFormat="1" ht="15.75" thickBot="1" x14ac:dyDescent="0.3">
      <c r="A5" s="324" t="s">
        <v>471</v>
      </c>
      <c r="B5" s="313"/>
      <c r="C5" s="314"/>
      <c r="D5" s="314"/>
      <c r="E5" s="315"/>
      <c r="F5" s="315"/>
      <c r="G5" s="316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</row>
    <row r="6" spans="1:42" ht="11.65" customHeight="1" thickBot="1" x14ac:dyDescent="0.25">
      <c r="A6" s="9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1"/>
      <c r="U6" s="12"/>
      <c r="V6" s="12"/>
      <c r="W6" s="13"/>
      <c r="X6" s="14"/>
      <c r="Y6" s="14"/>
      <c r="Z6" s="14"/>
      <c r="AA6" s="14"/>
      <c r="AB6" s="14"/>
      <c r="AC6" s="11"/>
      <c r="AD6" s="12"/>
      <c r="AE6" s="12"/>
      <c r="AF6" s="14"/>
      <c r="AG6" s="14"/>
      <c r="AH6" s="14"/>
      <c r="AI6" s="14"/>
      <c r="AJ6" s="14"/>
      <c r="AK6" s="14"/>
      <c r="AL6" s="15"/>
      <c r="AM6" s="12"/>
      <c r="AN6" s="10"/>
    </row>
    <row r="7" spans="1:42" ht="11.65" customHeight="1" x14ac:dyDescent="0.2">
      <c r="A7" s="581" t="s">
        <v>294</v>
      </c>
      <c r="B7" s="582"/>
      <c r="C7" s="582"/>
      <c r="D7" s="582"/>
      <c r="E7" s="582"/>
      <c r="F7" s="582"/>
      <c r="G7" s="582"/>
      <c r="H7" s="582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3"/>
    </row>
    <row r="8" spans="1:42" ht="11.65" customHeight="1" x14ac:dyDescent="0.2">
      <c r="A8" s="584"/>
      <c r="B8" s="585"/>
      <c r="C8" s="585"/>
      <c r="D8" s="585"/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  <c r="AA8" s="585"/>
      <c r="AB8" s="585"/>
      <c r="AC8" s="585"/>
      <c r="AD8" s="585"/>
      <c r="AE8" s="585"/>
      <c r="AF8" s="585"/>
      <c r="AG8" s="585"/>
      <c r="AH8" s="585"/>
      <c r="AI8" s="585"/>
      <c r="AJ8" s="585"/>
      <c r="AK8" s="585"/>
      <c r="AL8" s="585"/>
      <c r="AM8" s="585"/>
      <c r="AN8" s="586"/>
    </row>
    <row r="9" spans="1:42" ht="11.65" customHeight="1" x14ac:dyDescent="0.2">
      <c r="A9" s="584"/>
      <c r="B9" s="585"/>
      <c r="C9" s="585"/>
      <c r="D9" s="585"/>
      <c r="E9" s="585"/>
      <c r="F9" s="585"/>
      <c r="G9" s="585"/>
      <c r="H9" s="585"/>
      <c r="I9" s="585"/>
      <c r="J9" s="585"/>
      <c r="K9" s="585"/>
      <c r="L9" s="585"/>
      <c r="M9" s="585"/>
      <c r="N9" s="585"/>
      <c r="O9" s="585"/>
      <c r="P9" s="585"/>
      <c r="Q9" s="585"/>
      <c r="R9" s="585"/>
      <c r="S9" s="585"/>
      <c r="T9" s="585"/>
      <c r="U9" s="585"/>
      <c r="V9" s="585"/>
      <c r="W9" s="585"/>
      <c r="X9" s="585"/>
      <c r="Y9" s="585"/>
      <c r="Z9" s="585"/>
      <c r="AA9" s="585"/>
      <c r="AB9" s="585"/>
      <c r="AC9" s="585"/>
      <c r="AD9" s="585"/>
      <c r="AE9" s="585"/>
      <c r="AF9" s="585"/>
      <c r="AG9" s="585"/>
      <c r="AH9" s="585"/>
      <c r="AI9" s="585"/>
      <c r="AJ9" s="585"/>
      <c r="AK9" s="585"/>
      <c r="AL9" s="585"/>
      <c r="AM9" s="585"/>
      <c r="AN9" s="586"/>
    </row>
    <row r="10" spans="1:42" ht="11.65" customHeight="1" x14ac:dyDescent="0.2">
      <c r="A10" s="584"/>
      <c r="B10" s="585"/>
      <c r="C10" s="585"/>
      <c r="D10" s="585"/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5"/>
      <c r="P10" s="585"/>
      <c r="Q10" s="585"/>
      <c r="R10" s="585"/>
      <c r="S10" s="585"/>
      <c r="T10" s="585"/>
      <c r="U10" s="585"/>
      <c r="V10" s="585"/>
      <c r="W10" s="585"/>
      <c r="X10" s="585"/>
      <c r="Y10" s="585"/>
      <c r="Z10" s="585"/>
      <c r="AA10" s="585"/>
      <c r="AB10" s="585"/>
      <c r="AC10" s="585"/>
      <c r="AD10" s="585"/>
      <c r="AE10" s="585"/>
      <c r="AF10" s="585"/>
      <c r="AG10" s="585"/>
      <c r="AH10" s="585"/>
      <c r="AI10" s="585"/>
      <c r="AJ10" s="585"/>
      <c r="AK10" s="585"/>
      <c r="AL10" s="585"/>
      <c r="AM10" s="585"/>
      <c r="AN10" s="586"/>
    </row>
    <row r="11" spans="1:42" ht="11.65" customHeight="1" x14ac:dyDescent="0.2">
      <c r="A11" s="584"/>
      <c r="B11" s="585"/>
      <c r="C11" s="585"/>
      <c r="D11" s="585"/>
      <c r="E11" s="585"/>
      <c r="F11" s="585"/>
      <c r="G11" s="585"/>
      <c r="H11" s="585"/>
      <c r="I11" s="585"/>
      <c r="J11" s="585"/>
      <c r="K11" s="585"/>
      <c r="L11" s="585"/>
      <c r="M11" s="585"/>
      <c r="N11" s="585"/>
      <c r="O11" s="585"/>
      <c r="P11" s="585"/>
      <c r="Q11" s="585"/>
      <c r="R11" s="585"/>
      <c r="S11" s="585"/>
      <c r="T11" s="585"/>
      <c r="U11" s="585"/>
      <c r="V11" s="585"/>
      <c r="W11" s="585"/>
      <c r="X11" s="585"/>
      <c r="Y11" s="585"/>
      <c r="Z11" s="585"/>
      <c r="AA11" s="585"/>
      <c r="AB11" s="585"/>
      <c r="AC11" s="585"/>
      <c r="AD11" s="585"/>
      <c r="AE11" s="585"/>
      <c r="AF11" s="585"/>
      <c r="AG11" s="585"/>
      <c r="AH11" s="585"/>
      <c r="AI11" s="585"/>
      <c r="AJ11" s="585"/>
      <c r="AK11" s="585"/>
      <c r="AL11" s="585"/>
      <c r="AM11" s="585"/>
      <c r="AN11" s="586"/>
    </row>
    <row r="12" spans="1:42" ht="11.65" customHeight="1" x14ac:dyDescent="0.2">
      <c r="A12" s="584"/>
      <c r="B12" s="585"/>
      <c r="C12" s="585"/>
      <c r="D12" s="585"/>
      <c r="E12" s="585"/>
      <c r="F12" s="585"/>
      <c r="G12" s="585"/>
      <c r="H12" s="585"/>
      <c r="I12" s="585"/>
      <c r="J12" s="585"/>
      <c r="K12" s="585"/>
      <c r="L12" s="585"/>
      <c r="M12" s="585"/>
      <c r="N12" s="585"/>
      <c r="O12" s="585"/>
      <c r="P12" s="585"/>
      <c r="Q12" s="585"/>
      <c r="R12" s="585"/>
      <c r="S12" s="585"/>
      <c r="T12" s="585"/>
      <c r="U12" s="585"/>
      <c r="V12" s="585"/>
      <c r="W12" s="585"/>
      <c r="X12" s="585"/>
      <c r="Y12" s="585"/>
      <c r="Z12" s="585"/>
      <c r="AA12" s="585"/>
      <c r="AB12" s="585"/>
      <c r="AC12" s="585"/>
      <c r="AD12" s="585"/>
      <c r="AE12" s="585"/>
      <c r="AF12" s="585"/>
      <c r="AG12" s="585"/>
      <c r="AH12" s="585"/>
      <c r="AI12" s="585"/>
      <c r="AJ12" s="585"/>
      <c r="AK12" s="585"/>
      <c r="AL12" s="585"/>
      <c r="AM12" s="585"/>
      <c r="AN12" s="586"/>
    </row>
    <row r="13" spans="1:42" ht="11.65" customHeight="1" x14ac:dyDescent="0.2">
      <c r="A13" s="584"/>
      <c r="B13" s="585"/>
      <c r="C13" s="585"/>
      <c r="D13" s="585"/>
      <c r="E13" s="585"/>
      <c r="F13" s="585"/>
      <c r="G13" s="585"/>
      <c r="H13" s="585"/>
      <c r="I13" s="585"/>
      <c r="J13" s="585"/>
      <c r="K13" s="585"/>
      <c r="L13" s="585"/>
      <c r="M13" s="585"/>
      <c r="N13" s="585"/>
      <c r="O13" s="585"/>
      <c r="P13" s="585"/>
      <c r="Q13" s="585"/>
      <c r="R13" s="585"/>
      <c r="S13" s="585"/>
      <c r="T13" s="585"/>
      <c r="U13" s="585"/>
      <c r="V13" s="585"/>
      <c r="W13" s="585"/>
      <c r="X13" s="585"/>
      <c r="Y13" s="585"/>
      <c r="Z13" s="585"/>
      <c r="AA13" s="585"/>
      <c r="AB13" s="585"/>
      <c r="AC13" s="585"/>
      <c r="AD13" s="585"/>
      <c r="AE13" s="585"/>
      <c r="AF13" s="585"/>
      <c r="AG13" s="585"/>
      <c r="AH13" s="585"/>
      <c r="AI13" s="585"/>
      <c r="AJ13" s="585"/>
      <c r="AK13" s="585"/>
      <c r="AL13" s="585"/>
      <c r="AM13" s="585"/>
      <c r="AN13" s="586"/>
    </row>
    <row r="14" spans="1:42" ht="11.65" customHeight="1" x14ac:dyDescent="0.2">
      <c r="A14" s="584"/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5"/>
      <c r="N14" s="585"/>
      <c r="O14" s="585"/>
      <c r="P14" s="585"/>
      <c r="Q14" s="585"/>
      <c r="R14" s="585"/>
      <c r="S14" s="585"/>
      <c r="T14" s="585"/>
      <c r="U14" s="585"/>
      <c r="V14" s="585"/>
      <c r="W14" s="585"/>
      <c r="X14" s="585"/>
      <c r="Y14" s="585"/>
      <c r="Z14" s="585"/>
      <c r="AA14" s="585"/>
      <c r="AB14" s="585"/>
      <c r="AC14" s="585"/>
      <c r="AD14" s="585"/>
      <c r="AE14" s="585"/>
      <c r="AF14" s="585"/>
      <c r="AG14" s="585"/>
      <c r="AH14" s="585"/>
      <c r="AI14" s="585"/>
      <c r="AJ14" s="585"/>
      <c r="AK14" s="585"/>
      <c r="AL14" s="585"/>
      <c r="AM14" s="585"/>
      <c r="AN14" s="586"/>
    </row>
    <row r="15" spans="1:42" ht="11.65" customHeight="1" x14ac:dyDescent="0.2">
      <c r="A15" s="584"/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Q15" s="585"/>
      <c r="R15" s="585"/>
      <c r="S15" s="585"/>
      <c r="T15" s="585"/>
      <c r="U15" s="585"/>
      <c r="V15" s="585"/>
      <c r="W15" s="585"/>
      <c r="X15" s="585"/>
      <c r="Y15" s="585"/>
      <c r="Z15" s="585"/>
      <c r="AA15" s="585"/>
      <c r="AB15" s="585"/>
      <c r="AC15" s="585"/>
      <c r="AD15" s="585"/>
      <c r="AE15" s="585"/>
      <c r="AF15" s="585"/>
      <c r="AG15" s="585"/>
      <c r="AH15" s="585"/>
      <c r="AI15" s="585"/>
      <c r="AJ15" s="585"/>
      <c r="AK15" s="585"/>
      <c r="AL15" s="585"/>
      <c r="AM15" s="585"/>
      <c r="AN15" s="586"/>
    </row>
    <row r="16" spans="1:42" ht="11.65" customHeight="1" x14ac:dyDescent="0.2">
      <c r="A16" s="584"/>
      <c r="B16" s="585"/>
      <c r="C16" s="585"/>
      <c r="D16" s="585"/>
      <c r="E16" s="585"/>
      <c r="F16" s="585"/>
      <c r="G16" s="585"/>
      <c r="H16" s="585"/>
      <c r="I16" s="585"/>
      <c r="J16" s="585"/>
      <c r="K16" s="585"/>
      <c r="L16" s="585"/>
      <c r="M16" s="585"/>
      <c r="N16" s="585"/>
      <c r="O16" s="585"/>
      <c r="P16" s="585"/>
      <c r="Q16" s="585"/>
      <c r="R16" s="585"/>
      <c r="S16" s="585"/>
      <c r="T16" s="585"/>
      <c r="U16" s="585"/>
      <c r="V16" s="585"/>
      <c r="W16" s="585"/>
      <c r="X16" s="585"/>
      <c r="Y16" s="585"/>
      <c r="Z16" s="585"/>
      <c r="AA16" s="585"/>
      <c r="AB16" s="585"/>
      <c r="AC16" s="585"/>
      <c r="AD16" s="585"/>
      <c r="AE16" s="585"/>
      <c r="AF16" s="585"/>
      <c r="AG16" s="585"/>
      <c r="AH16" s="585"/>
      <c r="AI16" s="585"/>
      <c r="AJ16" s="585"/>
      <c r="AK16" s="585"/>
      <c r="AL16" s="585"/>
      <c r="AM16" s="585"/>
      <c r="AN16" s="586"/>
    </row>
    <row r="17" spans="1:40" ht="11.65" customHeight="1" x14ac:dyDescent="0.2">
      <c r="A17" s="584"/>
      <c r="B17" s="585"/>
      <c r="C17" s="585"/>
      <c r="D17" s="585"/>
      <c r="E17" s="585"/>
      <c r="F17" s="585"/>
      <c r="G17" s="585"/>
      <c r="H17" s="585"/>
      <c r="I17" s="585"/>
      <c r="J17" s="585"/>
      <c r="K17" s="585"/>
      <c r="L17" s="585"/>
      <c r="M17" s="585"/>
      <c r="N17" s="585"/>
      <c r="O17" s="585"/>
      <c r="P17" s="585"/>
      <c r="Q17" s="585"/>
      <c r="R17" s="585"/>
      <c r="S17" s="585"/>
      <c r="T17" s="585"/>
      <c r="U17" s="585"/>
      <c r="V17" s="585"/>
      <c r="W17" s="585"/>
      <c r="X17" s="585"/>
      <c r="Y17" s="585"/>
      <c r="Z17" s="585"/>
      <c r="AA17" s="585"/>
      <c r="AB17" s="585"/>
      <c r="AC17" s="585"/>
      <c r="AD17" s="585"/>
      <c r="AE17" s="585"/>
      <c r="AF17" s="585"/>
      <c r="AG17" s="585"/>
      <c r="AH17" s="585"/>
      <c r="AI17" s="585"/>
      <c r="AJ17" s="585"/>
      <c r="AK17" s="585"/>
      <c r="AL17" s="585"/>
      <c r="AM17" s="585"/>
      <c r="AN17" s="586"/>
    </row>
    <row r="18" spans="1:40" ht="11.65" customHeight="1" x14ac:dyDescent="0.2">
      <c r="A18" s="584"/>
      <c r="B18" s="585"/>
      <c r="C18" s="585"/>
      <c r="D18" s="585"/>
      <c r="E18" s="58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85"/>
      <c r="Q18" s="585"/>
      <c r="R18" s="585"/>
      <c r="S18" s="585"/>
      <c r="T18" s="585"/>
      <c r="U18" s="585"/>
      <c r="V18" s="585"/>
      <c r="W18" s="585"/>
      <c r="X18" s="585"/>
      <c r="Y18" s="585"/>
      <c r="Z18" s="585"/>
      <c r="AA18" s="585"/>
      <c r="AB18" s="585"/>
      <c r="AC18" s="585"/>
      <c r="AD18" s="585"/>
      <c r="AE18" s="585"/>
      <c r="AF18" s="585"/>
      <c r="AG18" s="585"/>
      <c r="AH18" s="585"/>
      <c r="AI18" s="585"/>
      <c r="AJ18" s="585"/>
      <c r="AK18" s="585"/>
      <c r="AL18" s="585"/>
      <c r="AM18" s="585"/>
      <c r="AN18" s="586"/>
    </row>
    <row r="19" spans="1:40" ht="11.65" customHeight="1" x14ac:dyDescent="0.2">
      <c r="A19" s="584"/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  <c r="AA19" s="585"/>
      <c r="AB19" s="585"/>
      <c r="AC19" s="585"/>
      <c r="AD19" s="585"/>
      <c r="AE19" s="585"/>
      <c r="AF19" s="585"/>
      <c r="AG19" s="585"/>
      <c r="AH19" s="585"/>
      <c r="AI19" s="585"/>
      <c r="AJ19" s="585"/>
      <c r="AK19" s="585"/>
      <c r="AL19" s="585"/>
      <c r="AM19" s="585"/>
      <c r="AN19" s="586"/>
    </row>
    <row r="20" spans="1:40" ht="11.65" customHeight="1" x14ac:dyDescent="0.2">
      <c r="A20" s="584"/>
      <c r="B20" s="585"/>
      <c r="C20" s="585"/>
      <c r="D20" s="585"/>
      <c r="E20" s="585"/>
      <c r="F20" s="585"/>
      <c r="G20" s="585"/>
      <c r="H20" s="585"/>
      <c r="I20" s="585"/>
      <c r="J20" s="585"/>
      <c r="K20" s="585"/>
      <c r="L20" s="585"/>
      <c r="M20" s="585"/>
      <c r="N20" s="585"/>
      <c r="O20" s="585"/>
      <c r="P20" s="585"/>
      <c r="Q20" s="585"/>
      <c r="R20" s="585"/>
      <c r="S20" s="585"/>
      <c r="T20" s="585"/>
      <c r="U20" s="585"/>
      <c r="V20" s="585"/>
      <c r="W20" s="585"/>
      <c r="X20" s="585"/>
      <c r="Y20" s="585"/>
      <c r="Z20" s="585"/>
      <c r="AA20" s="585"/>
      <c r="AB20" s="585"/>
      <c r="AC20" s="585"/>
      <c r="AD20" s="585"/>
      <c r="AE20" s="585"/>
      <c r="AF20" s="585"/>
      <c r="AG20" s="585"/>
      <c r="AH20" s="585"/>
      <c r="AI20" s="585"/>
      <c r="AJ20" s="585"/>
      <c r="AK20" s="585"/>
      <c r="AL20" s="585"/>
      <c r="AM20" s="585"/>
      <c r="AN20" s="586"/>
    </row>
    <row r="21" spans="1:40" ht="11.65" customHeight="1" x14ac:dyDescent="0.2">
      <c r="A21" s="584"/>
      <c r="B21" s="585"/>
      <c r="C21" s="585"/>
      <c r="D21" s="585"/>
      <c r="E21" s="585"/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85"/>
      <c r="Q21" s="585"/>
      <c r="R21" s="585"/>
      <c r="S21" s="585"/>
      <c r="T21" s="585"/>
      <c r="U21" s="585"/>
      <c r="V21" s="585"/>
      <c r="W21" s="585"/>
      <c r="X21" s="585"/>
      <c r="Y21" s="585"/>
      <c r="Z21" s="585"/>
      <c r="AA21" s="585"/>
      <c r="AB21" s="585"/>
      <c r="AC21" s="585"/>
      <c r="AD21" s="585"/>
      <c r="AE21" s="585"/>
      <c r="AF21" s="585"/>
      <c r="AG21" s="585"/>
      <c r="AH21" s="585"/>
      <c r="AI21" s="585"/>
      <c r="AJ21" s="585"/>
      <c r="AK21" s="585"/>
      <c r="AL21" s="585"/>
      <c r="AM21" s="585"/>
      <c r="AN21" s="586"/>
    </row>
    <row r="22" spans="1:40" ht="11.65" customHeight="1" x14ac:dyDescent="0.2">
      <c r="A22" s="584"/>
      <c r="B22" s="585"/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5"/>
      <c r="N22" s="585"/>
      <c r="O22" s="585"/>
      <c r="P22" s="585"/>
      <c r="Q22" s="585"/>
      <c r="R22" s="585"/>
      <c r="S22" s="585"/>
      <c r="T22" s="585"/>
      <c r="U22" s="585"/>
      <c r="V22" s="585"/>
      <c r="W22" s="585"/>
      <c r="X22" s="585"/>
      <c r="Y22" s="585"/>
      <c r="Z22" s="585"/>
      <c r="AA22" s="585"/>
      <c r="AB22" s="585"/>
      <c r="AC22" s="585"/>
      <c r="AD22" s="585"/>
      <c r="AE22" s="585"/>
      <c r="AF22" s="585"/>
      <c r="AG22" s="585"/>
      <c r="AH22" s="585"/>
      <c r="AI22" s="585"/>
      <c r="AJ22" s="585"/>
      <c r="AK22" s="585"/>
      <c r="AL22" s="585"/>
      <c r="AM22" s="585"/>
      <c r="AN22" s="586"/>
    </row>
    <row r="23" spans="1:40" ht="11.65" customHeight="1" x14ac:dyDescent="0.2">
      <c r="A23" s="584"/>
      <c r="B23" s="585"/>
      <c r="C23" s="585"/>
      <c r="D23" s="585"/>
      <c r="E23" s="585"/>
      <c r="F23" s="585"/>
      <c r="G23" s="585"/>
      <c r="H23" s="585"/>
      <c r="I23" s="585"/>
      <c r="J23" s="585"/>
      <c r="K23" s="585"/>
      <c r="L23" s="585"/>
      <c r="M23" s="585"/>
      <c r="N23" s="585"/>
      <c r="O23" s="585"/>
      <c r="P23" s="585"/>
      <c r="Q23" s="585"/>
      <c r="R23" s="585"/>
      <c r="S23" s="585"/>
      <c r="T23" s="585"/>
      <c r="U23" s="585"/>
      <c r="V23" s="585"/>
      <c r="W23" s="585"/>
      <c r="X23" s="585"/>
      <c r="Y23" s="585"/>
      <c r="Z23" s="585"/>
      <c r="AA23" s="585"/>
      <c r="AB23" s="585"/>
      <c r="AC23" s="585"/>
      <c r="AD23" s="585"/>
      <c r="AE23" s="585"/>
      <c r="AF23" s="585"/>
      <c r="AG23" s="585"/>
      <c r="AH23" s="585"/>
      <c r="AI23" s="585"/>
      <c r="AJ23" s="585"/>
      <c r="AK23" s="585"/>
      <c r="AL23" s="585"/>
      <c r="AM23" s="585"/>
      <c r="AN23" s="586"/>
    </row>
    <row r="24" spans="1:40" ht="11.65" customHeight="1" x14ac:dyDescent="0.2">
      <c r="A24" s="584"/>
      <c r="B24" s="585"/>
      <c r="C24" s="585"/>
      <c r="D24" s="585"/>
      <c r="E24" s="585"/>
      <c r="F24" s="585"/>
      <c r="G24" s="585"/>
      <c r="H24" s="585"/>
      <c r="I24" s="585"/>
      <c r="J24" s="585"/>
      <c r="K24" s="585"/>
      <c r="L24" s="585"/>
      <c r="M24" s="585"/>
      <c r="N24" s="585"/>
      <c r="O24" s="585"/>
      <c r="P24" s="585"/>
      <c r="Q24" s="585"/>
      <c r="R24" s="585"/>
      <c r="S24" s="585"/>
      <c r="T24" s="585"/>
      <c r="U24" s="585"/>
      <c r="V24" s="585"/>
      <c r="W24" s="585"/>
      <c r="X24" s="585"/>
      <c r="Y24" s="585"/>
      <c r="Z24" s="585"/>
      <c r="AA24" s="585"/>
      <c r="AB24" s="585"/>
      <c r="AC24" s="585"/>
      <c r="AD24" s="585"/>
      <c r="AE24" s="585"/>
      <c r="AF24" s="585"/>
      <c r="AG24" s="585"/>
      <c r="AH24" s="585"/>
      <c r="AI24" s="585"/>
      <c r="AJ24" s="585"/>
      <c r="AK24" s="585"/>
      <c r="AL24" s="585"/>
      <c r="AM24" s="585"/>
      <c r="AN24" s="586"/>
    </row>
    <row r="25" spans="1:40" ht="11.65" customHeight="1" x14ac:dyDescent="0.2">
      <c r="A25" s="584"/>
      <c r="B25" s="585"/>
      <c r="C25" s="585"/>
      <c r="D25" s="585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85"/>
      <c r="Q25" s="585"/>
      <c r="R25" s="585"/>
      <c r="S25" s="585"/>
      <c r="T25" s="585"/>
      <c r="U25" s="585"/>
      <c r="V25" s="585"/>
      <c r="W25" s="585"/>
      <c r="X25" s="585"/>
      <c r="Y25" s="585"/>
      <c r="Z25" s="585"/>
      <c r="AA25" s="585"/>
      <c r="AB25" s="585"/>
      <c r="AC25" s="585"/>
      <c r="AD25" s="585"/>
      <c r="AE25" s="585"/>
      <c r="AF25" s="585"/>
      <c r="AG25" s="585"/>
      <c r="AH25" s="585"/>
      <c r="AI25" s="585"/>
      <c r="AJ25" s="585"/>
      <c r="AK25" s="585"/>
      <c r="AL25" s="585"/>
      <c r="AM25" s="585"/>
      <c r="AN25" s="586"/>
    </row>
    <row r="26" spans="1:40" ht="11.65" customHeight="1" x14ac:dyDescent="0.2">
      <c r="A26" s="584"/>
      <c r="B26" s="585"/>
      <c r="C26" s="585"/>
      <c r="D26" s="585"/>
      <c r="E26" s="585"/>
      <c r="F26" s="585"/>
      <c r="G26" s="585"/>
      <c r="H26" s="585"/>
      <c r="I26" s="585"/>
      <c r="J26" s="585"/>
      <c r="K26" s="585"/>
      <c r="L26" s="585"/>
      <c r="M26" s="585"/>
      <c r="N26" s="585"/>
      <c r="O26" s="585"/>
      <c r="P26" s="585"/>
      <c r="Q26" s="585"/>
      <c r="R26" s="585"/>
      <c r="S26" s="585"/>
      <c r="T26" s="585"/>
      <c r="U26" s="585"/>
      <c r="V26" s="585"/>
      <c r="W26" s="585"/>
      <c r="X26" s="585"/>
      <c r="Y26" s="585"/>
      <c r="Z26" s="585"/>
      <c r="AA26" s="585"/>
      <c r="AB26" s="585"/>
      <c r="AC26" s="585"/>
      <c r="AD26" s="585"/>
      <c r="AE26" s="585"/>
      <c r="AF26" s="585"/>
      <c r="AG26" s="585"/>
      <c r="AH26" s="585"/>
      <c r="AI26" s="585"/>
      <c r="AJ26" s="585"/>
      <c r="AK26" s="585"/>
      <c r="AL26" s="585"/>
      <c r="AM26" s="585"/>
      <c r="AN26" s="586"/>
    </row>
    <row r="27" spans="1:40" ht="11.65" customHeight="1" x14ac:dyDescent="0.2">
      <c r="A27" s="584"/>
      <c r="B27" s="585"/>
      <c r="C27" s="585"/>
      <c r="D27" s="585"/>
      <c r="E27" s="585"/>
      <c r="F27" s="585"/>
      <c r="G27" s="585"/>
      <c r="H27" s="585"/>
      <c r="I27" s="585"/>
      <c r="J27" s="585"/>
      <c r="K27" s="585"/>
      <c r="L27" s="585"/>
      <c r="M27" s="585"/>
      <c r="N27" s="585"/>
      <c r="O27" s="585"/>
      <c r="P27" s="585"/>
      <c r="Q27" s="585"/>
      <c r="R27" s="585"/>
      <c r="S27" s="585"/>
      <c r="T27" s="585"/>
      <c r="U27" s="585"/>
      <c r="V27" s="585"/>
      <c r="W27" s="585"/>
      <c r="X27" s="585"/>
      <c r="Y27" s="585"/>
      <c r="Z27" s="585"/>
      <c r="AA27" s="585"/>
      <c r="AB27" s="585"/>
      <c r="AC27" s="585"/>
      <c r="AD27" s="585"/>
      <c r="AE27" s="585"/>
      <c r="AF27" s="585"/>
      <c r="AG27" s="585"/>
      <c r="AH27" s="585"/>
      <c r="AI27" s="585"/>
      <c r="AJ27" s="585"/>
      <c r="AK27" s="585"/>
      <c r="AL27" s="585"/>
      <c r="AM27" s="585"/>
      <c r="AN27" s="586"/>
    </row>
    <row r="28" spans="1:40" ht="11.65" customHeight="1" x14ac:dyDescent="0.2">
      <c r="A28" s="584"/>
      <c r="B28" s="585"/>
      <c r="C28" s="585"/>
      <c r="D28" s="585"/>
      <c r="E28" s="585"/>
      <c r="F28" s="585"/>
      <c r="G28" s="585"/>
      <c r="H28" s="585"/>
      <c r="I28" s="585"/>
      <c r="J28" s="585"/>
      <c r="K28" s="585"/>
      <c r="L28" s="585"/>
      <c r="M28" s="585"/>
      <c r="N28" s="585"/>
      <c r="O28" s="585"/>
      <c r="P28" s="585"/>
      <c r="Q28" s="585"/>
      <c r="R28" s="585"/>
      <c r="S28" s="585"/>
      <c r="T28" s="585"/>
      <c r="U28" s="585"/>
      <c r="V28" s="585"/>
      <c r="W28" s="585"/>
      <c r="X28" s="585"/>
      <c r="Y28" s="585"/>
      <c r="Z28" s="585"/>
      <c r="AA28" s="585"/>
      <c r="AB28" s="585"/>
      <c r="AC28" s="585"/>
      <c r="AD28" s="585"/>
      <c r="AE28" s="585"/>
      <c r="AF28" s="585"/>
      <c r="AG28" s="585"/>
      <c r="AH28" s="585"/>
      <c r="AI28" s="585"/>
      <c r="AJ28" s="585"/>
      <c r="AK28" s="585"/>
      <c r="AL28" s="585"/>
      <c r="AM28" s="585"/>
      <c r="AN28" s="586"/>
    </row>
    <row r="29" spans="1:40" ht="11.65" customHeight="1" x14ac:dyDescent="0.2">
      <c r="A29" s="584"/>
      <c r="B29" s="585"/>
      <c r="C29" s="585"/>
      <c r="D29" s="585"/>
      <c r="E29" s="585"/>
      <c r="F29" s="585"/>
      <c r="G29" s="585"/>
      <c r="H29" s="585"/>
      <c r="I29" s="585"/>
      <c r="J29" s="585"/>
      <c r="K29" s="585"/>
      <c r="L29" s="585"/>
      <c r="M29" s="585"/>
      <c r="N29" s="585"/>
      <c r="O29" s="585"/>
      <c r="P29" s="585"/>
      <c r="Q29" s="585"/>
      <c r="R29" s="585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5"/>
      <c r="AD29" s="585"/>
      <c r="AE29" s="585"/>
      <c r="AF29" s="585"/>
      <c r="AG29" s="585"/>
      <c r="AH29" s="585"/>
      <c r="AI29" s="585"/>
      <c r="AJ29" s="585"/>
      <c r="AK29" s="585"/>
      <c r="AL29" s="585"/>
      <c r="AM29" s="585"/>
      <c r="AN29" s="586"/>
    </row>
    <row r="30" spans="1:40" ht="11.65" customHeight="1" x14ac:dyDescent="0.2">
      <c r="A30" s="584"/>
      <c r="B30" s="585"/>
      <c r="C30" s="585"/>
      <c r="D30" s="585"/>
      <c r="E30" s="585"/>
      <c r="F30" s="585"/>
      <c r="G30" s="585"/>
      <c r="H30" s="585"/>
      <c r="I30" s="585"/>
      <c r="J30" s="585"/>
      <c r="K30" s="585"/>
      <c r="L30" s="585"/>
      <c r="M30" s="585"/>
      <c r="N30" s="585"/>
      <c r="O30" s="585"/>
      <c r="P30" s="585"/>
      <c r="Q30" s="585"/>
      <c r="R30" s="585"/>
      <c r="S30" s="585"/>
      <c r="T30" s="585"/>
      <c r="U30" s="585"/>
      <c r="V30" s="585"/>
      <c r="W30" s="585"/>
      <c r="X30" s="585"/>
      <c r="Y30" s="585"/>
      <c r="Z30" s="585"/>
      <c r="AA30" s="585"/>
      <c r="AB30" s="585"/>
      <c r="AC30" s="585"/>
      <c r="AD30" s="585"/>
      <c r="AE30" s="585"/>
      <c r="AF30" s="585"/>
      <c r="AG30" s="585"/>
      <c r="AH30" s="585"/>
      <c r="AI30" s="585"/>
      <c r="AJ30" s="585"/>
      <c r="AK30" s="585"/>
      <c r="AL30" s="585"/>
      <c r="AM30" s="585"/>
      <c r="AN30" s="586"/>
    </row>
    <row r="31" spans="1:40" ht="11.65" customHeight="1" x14ac:dyDescent="0.2">
      <c r="A31" s="584"/>
      <c r="B31" s="585"/>
      <c r="C31" s="585"/>
      <c r="D31" s="585"/>
      <c r="E31" s="585"/>
      <c r="F31" s="585"/>
      <c r="G31" s="585"/>
      <c r="H31" s="585"/>
      <c r="I31" s="585"/>
      <c r="J31" s="585"/>
      <c r="K31" s="585"/>
      <c r="L31" s="585"/>
      <c r="M31" s="585"/>
      <c r="N31" s="585"/>
      <c r="O31" s="585"/>
      <c r="P31" s="585"/>
      <c r="Q31" s="585"/>
      <c r="R31" s="585"/>
      <c r="S31" s="585"/>
      <c r="T31" s="585"/>
      <c r="U31" s="585"/>
      <c r="V31" s="585"/>
      <c r="W31" s="585"/>
      <c r="X31" s="585"/>
      <c r="Y31" s="585"/>
      <c r="Z31" s="585"/>
      <c r="AA31" s="585"/>
      <c r="AB31" s="585"/>
      <c r="AC31" s="585"/>
      <c r="AD31" s="585"/>
      <c r="AE31" s="585"/>
      <c r="AF31" s="585"/>
      <c r="AG31" s="585"/>
      <c r="AH31" s="585"/>
      <c r="AI31" s="585"/>
      <c r="AJ31" s="585"/>
      <c r="AK31" s="585"/>
      <c r="AL31" s="585"/>
      <c r="AM31" s="585"/>
      <c r="AN31" s="586"/>
    </row>
    <row r="32" spans="1:40" ht="11.65" customHeight="1" x14ac:dyDescent="0.2">
      <c r="A32" s="584"/>
      <c r="B32" s="585"/>
      <c r="C32" s="585"/>
      <c r="D32" s="585"/>
      <c r="E32" s="585"/>
      <c r="F32" s="585"/>
      <c r="G32" s="585"/>
      <c r="H32" s="585"/>
      <c r="I32" s="585"/>
      <c r="J32" s="585"/>
      <c r="K32" s="585"/>
      <c r="L32" s="585"/>
      <c r="M32" s="585"/>
      <c r="N32" s="585"/>
      <c r="O32" s="585"/>
      <c r="P32" s="585"/>
      <c r="Q32" s="585"/>
      <c r="R32" s="585"/>
      <c r="S32" s="585"/>
      <c r="T32" s="585"/>
      <c r="U32" s="585"/>
      <c r="V32" s="585"/>
      <c r="W32" s="585"/>
      <c r="X32" s="585"/>
      <c r="Y32" s="585"/>
      <c r="Z32" s="585"/>
      <c r="AA32" s="585"/>
      <c r="AB32" s="585"/>
      <c r="AC32" s="585"/>
      <c r="AD32" s="585"/>
      <c r="AE32" s="585"/>
      <c r="AF32" s="585"/>
      <c r="AG32" s="585"/>
      <c r="AH32" s="585"/>
      <c r="AI32" s="585"/>
      <c r="AJ32" s="585"/>
      <c r="AK32" s="585"/>
      <c r="AL32" s="585"/>
      <c r="AM32" s="585"/>
      <c r="AN32" s="586"/>
    </row>
    <row r="33" spans="1:40" ht="11.65" customHeight="1" x14ac:dyDescent="0.2">
      <c r="A33" s="584"/>
      <c r="B33" s="585"/>
      <c r="C33" s="585"/>
      <c r="D33" s="585"/>
      <c r="E33" s="585"/>
      <c r="F33" s="585"/>
      <c r="G33" s="585"/>
      <c r="H33" s="585"/>
      <c r="I33" s="585"/>
      <c r="J33" s="585"/>
      <c r="K33" s="585"/>
      <c r="L33" s="585"/>
      <c r="M33" s="585"/>
      <c r="N33" s="585"/>
      <c r="O33" s="585"/>
      <c r="P33" s="585"/>
      <c r="Q33" s="585"/>
      <c r="R33" s="585"/>
      <c r="S33" s="585"/>
      <c r="T33" s="585"/>
      <c r="U33" s="585"/>
      <c r="V33" s="585"/>
      <c r="W33" s="585"/>
      <c r="X33" s="585"/>
      <c r="Y33" s="585"/>
      <c r="Z33" s="585"/>
      <c r="AA33" s="585"/>
      <c r="AB33" s="585"/>
      <c r="AC33" s="585"/>
      <c r="AD33" s="585"/>
      <c r="AE33" s="585"/>
      <c r="AF33" s="585"/>
      <c r="AG33" s="585"/>
      <c r="AH33" s="585"/>
      <c r="AI33" s="585"/>
      <c r="AJ33" s="585"/>
      <c r="AK33" s="585"/>
      <c r="AL33" s="585"/>
      <c r="AM33" s="585"/>
      <c r="AN33" s="586"/>
    </row>
    <row r="34" spans="1:40" ht="11.65" customHeight="1" x14ac:dyDescent="0.2">
      <c r="A34" s="584"/>
      <c r="B34" s="585"/>
      <c r="C34" s="585"/>
      <c r="D34" s="585"/>
      <c r="E34" s="585"/>
      <c r="F34" s="585"/>
      <c r="G34" s="585"/>
      <c r="H34" s="585"/>
      <c r="I34" s="585"/>
      <c r="J34" s="585"/>
      <c r="K34" s="585"/>
      <c r="L34" s="585"/>
      <c r="M34" s="585"/>
      <c r="N34" s="585"/>
      <c r="O34" s="585"/>
      <c r="P34" s="585"/>
      <c r="Q34" s="585"/>
      <c r="R34" s="585"/>
      <c r="S34" s="585"/>
      <c r="T34" s="585"/>
      <c r="U34" s="585"/>
      <c r="V34" s="585"/>
      <c r="W34" s="585"/>
      <c r="X34" s="585"/>
      <c r="Y34" s="585"/>
      <c r="Z34" s="585"/>
      <c r="AA34" s="585"/>
      <c r="AB34" s="585"/>
      <c r="AC34" s="585"/>
      <c r="AD34" s="585"/>
      <c r="AE34" s="585"/>
      <c r="AF34" s="585"/>
      <c r="AG34" s="585"/>
      <c r="AH34" s="585"/>
      <c r="AI34" s="585"/>
      <c r="AJ34" s="585"/>
      <c r="AK34" s="585"/>
      <c r="AL34" s="585"/>
      <c r="AM34" s="585"/>
      <c r="AN34" s="586"/>
    </row>
    <row r="35" spans="1:40" ht="11.65" customHeight="1" x14ac:dyDescent="0.2">
      <c r="A35" s="584"/>
      <c r="B35" s="585"/>
      <c r="C35" s="585"/>
      <c r="D35" s="585"/>
      <c r="E35" s="585"/>
      <c r="F35" s="585"/>
      <c r="G35" s="585"/>
      <c r="H35" s="585"/>
      <c r="I35" s="585"/>
      <c r="J35" s="585"/>
      <c r="K35" s="585"/>
      <c r="L35" s="585"/>
      <c r="M35" s="585"/>
      <c r="N35" s="585"/>
      <c r="O35" s="585"/>
      <c r="P35" s="585"/>
      <c r="Q35" s="585"/>
      <c r="R35" s="585"/>
      <c r="S35" s="585"/>
      <c r="T35" s="585"/>
      <c r="U35" s="585"/>
      <c r="V35" s="585"/>
      <c r="W35" s="585"/>
      <c r="X35" s="585"/>
      <c r="Y35" s="585"/>
      <c r="Z35" s="585"/>
      <c r="AA35" s="585"/>
      <c r="AB35" s="585"/>
      <c r="AC35" s="585"/>
      <c r="AD35" s="585"/>
      <c r="AE35" s="585"/>
      <c r="AF35" s="585"/>
      <c r="AG35" s="585"/>
      <c r="AH35" s="585"/>
      <c r="AI35" s="585"/>
      <c r="AJ35" s="585"/>
      <c r="AK35" s="585"/>
      <c r="AL35" s="585"/>
      <c r="AM35" s="585"/>
      <c r="AN35" s="586"/>
    </row>
    <row r="36" spans="1:40" ht="11.65" customHeight="1" x14ac:dyDescent="0.2">
      <c r="A36" s="584"/>
      <c r="B36" s="585"/>
      <c r="C36" s="585"/>
      <c r="D36" s="585"/>
      <c r="E36" s="585"/>
      <c r="F36" s="585"/>
      <c r="G36" s="585"/>
      <c r="H36" s="585"/>
      <c r="I36" s="585"/>
      <c r="J36" s="585"/>
      <c r="K36" s="585"/>
      <c r="L36" s="585"/>
      <c r="M36" s="585"/>
      <c r="N36" s="585"/>
      <c r="O36" s="585"/>
      <c r="P36" s="585"/>
      <c r="Q36" s="585"/>
      <c r="R36" s="585"/>
      <c r="S36" s="585"/>
      <c r="T36" s="585"/>
      <c r="U36" s="585"/>
      <c r="V36" s="585"/>
      <c r="W36" s="585"/>
      <c r="X36" s="585"/>
      <c r="Y36" s="585"/>
      <c r="Z36" s="585"/>
      <c r="AA36" s="585"/>
      <c r="AB36" s="585"/>
      <c r="AC36" s="585"/>
      <c r="AD36" s="585"/>
      <c r="AE36" s="585"/>
      <c r="AF36" s="585"/>
      <c r="AG36" s="585"/>
      <c r="AH36" s="585"/>
      <c r="AI36" s="585"/>
      <c r="AJ36" s="585"/>
      <c r="AK36" s="585"/>
      <c r="AL36" s="585"/>
      <c r="AM36" s="585"/>
      <c r="AN36" s="586"/>
    </row>
    <row r="37" spans="1:40" ht="11.65" customHeight="1" x14ac:dyDescent="0.2">
      <c r="A37" s="584"/>
      <c r="B37" s="585"/>
      <c r="C37" s="585"/>
      <c r="D37" s="585"/>
      <c r="E37" s="585"/>
      <c r="F37" s="585"/>
      <c r="G37" s="585"/>
      <c r="H37" s="585"/>
      <c r="I37" s="585"/>
      <c r="J37" s="585"/>
      <c r="K37" s="585"/>
      <c r="L37" s="585"/>
      <c r="M37" s="585"/>
      <c r="N37" s="585"/>
      <c r="O37" s="585"/>
      <c r="P37" s="585"/>
      <c r="Q37" s="585"/>
      <c r="R37" s="585"/>
      <c r="S37" s="585"/>
      <c r="T37" s="585"/>
      <c r="U37" s="585"/>
      <c r="V37" s="585"/>
      <c r="W37" s="585"/>
      <c r="X37" s="585"/>
      <c r="Y37" s="585"/>
      <c r="Z37" s="585"/>
      <c r="AA37" s="585"/>
      <c r="AB37" s="585"/>
      <c r="AC37" s="585"/>
      <c r="AD37" s="585"/>
      <c r="AE37" s="585"/>
      <c r="AF37" s="585"/>
      <c r="AG37" s="585"/>
      <c r="AH37" s="585"/>
      <c r="AI37" s="585"/>
      <c r="AJ37" s="585"/>
      <c r="AK37" s="585"/>
      <c r="AL37" s="585"/>
      <c r="AM37" s="585"/>
      <c r="AN37" s="586"/>
    </row>
    <row r="38" spans="1:40" ht="11.65" customHeight="1" x14ac:dyDescent="0.2">
      <c r="A38" s="584"/>
      <c r="B38" s="585"/>
      <c r="C38" s="585"/>
      <c r="D38" s="585"/>
      <c r="E38" s="585"/>
      <c r="F38" s="585"/>
      <c r="G38" s="585"/>
      <c r="H38" s="585"/>
      <c r="I38" s="585"/>
      <c r="J38" s="585"/>
      <c r="K38" s="585"/>
      <c r="L38" s="585"/>
      <c r="M38" s="585"/>
      <c r="N38" s="585"/>
      <c r="O38" s="585"/>
      <c r="P38" s="585"/>
      <c r="Q38" s="585"/>
      <c r="R38" s="585"/>
      <c r="S38" s="585"/>
      <c r="T38" s="585"/>
      <c r="U38" s="585"/>
      <c r="V38" s="585"/>
      <c r="W38" s="585"/>
      <c r="X38" s="585"/>
      <c r="Y38" s="585"/>
      <c r="Z38" s="585"/>
      <c r="AA38" s="585"/>
      <c r="AB38" s="585"/>
      <c r="AC38" s="585"/>
      <c r="AD38" s="585"/>
      <c r="AE38" s="585"/>
      <c r="AF38" s="585"/>
      <c r="AG38" s="585"/>
      <c r="AH38" s="585"/>
      <c r="AI38" s="585"/>
      <c r="AJ38" s="585"/>
      <c r="AK38" s="585"/>
      <c r="AL38" s="585"/>
      <c r="AM38" s="585"/>
      <c r="AN38" s="586"/>
    </row>
    <row r="39" spans="1:40" ht="11.65" customHeight="1" x14ac:dyDescent="0.2">
      <c r="A39" s="584"/>
      <c r="B39" s="585"/>
      <c r="C39" s="585"/>
      <c r="D39" s="585"/>
      <c r="E39" s="585"/>
      <c r="F39" s="585"/>
      <c r="G39" s="585"/>
      <c r="H39" s="585"/>
      <c r="I39" s="585"/>
      <c r="J39" s="585"/>
      <c r="K39" s="585"/>
      <c r="L39" s="585"/>
      <c r="M39" s="585"/>
      <c r="N39" s="585"/>
      <c r="O39" s="585"/>
      <c r="P39" s="585"/>
      <c r="Q39" s="585"/>
      <c r="R39" s="585"/>
      <c r="S39" s="585"/>
      <c r="T39" s="585"/>
      <c r="U39" s="585"/>
      <c r="V39" s="585"/>
      <c r="W39" s="585"/>
      <c r="X39" s="585"/>
      <c r="Y39" s="585"/>
      <c r="Z39" s="585"/>
      <c r="AA39" s="585"/>
      <c r="AB39" s="585"/>
      <c r="AC39" s="585"/>
      <c r="AD39" s="585"/>
      <c r="AE39" s="585"/>
      <c r="AF39" s="585"/>
      <c r="AG39" s="585"/>
      <c r="AH39" s="585"/>
      <c r="AI39" s="585"/>
      <c r="AJ39" s="585"/>
      <c r="AK39" s="585"/>
      <c r="AL39" s="585"/>
      <c r="AM39" s="585"/>
      <c r="AN39" s="586"/>
    </row>
    <row r="40" spans="1:40" ht="11.65" customHeight="1" x14ac:dyDescent="0.2">
      <c r="A40" s="584"/>
      <c r="B40" s="585"/>
      <c r="C40" s="585"/>
      <c r="D40" s="585"/>
      <c r="E40" s="585"/>
      <c r="F40" s="585"/>
      <c r="G40" s="585"/>
      <c r="H40" s="585"/>
      <c r="I40" s="585"/>
      <c r="J40" s="585"/>
      <c r="K40" s="585"/>
      <c r="L40" s="585"/>
      <c r="M40" s="585"/>
      <c r="N40" s="585"/>
      <c r="O40" s="585"/>
      <c r="P40" s="585"/>
      <c r="Q40" s="585"/>
      <c r="R40" s="585"/>
      <c r="S40" s="585"/>
      <c r="T40" s="585"/>
      <c r="U40" s="585"/>
      <c r="V40" s="585"/>
      <c r="W40" s="585"/>
      <c r="X40" s="585"/>
      <c r="Y40" s="585"/>
      <c r="Z40" s="585"/>
      <c r="AA40" s="585"/>
      <c r="AB40" s="585"/>
      <c r="AC40" s="585"/>
      <c r="AD40" s="585"/>
      <c r="AE40" s="585"/>
      <c r="AF40" s="585"/>
      <c r="AG40" s="585"/>
      <c r="AH40" s="585"/>
      <c r="AI40" s="585"/>
      <c r="AJ40" s="585"/>
      <c r="AK40" s="585"/>
      <c r="AL40" s="585"/>
      <c r="AM40" s="585"/>
      <c r="AN40" s="586"/>
    </row>
    <row r="41" spans="1:40" ht="11.65" customHeight="1" x14ac:dyDescent="0.2">
      <c r="A41" s="584"/>
      <c r="B41" s="585"/>
      <c r="C41" s="585"/>
      <c r="D41" s="585"/>
      <c r="E41" s="585"/>
      <c r="F41" s="585"/>
      <c r="G41" s="585"/>
      <c r="H41" s="585"/>
      <c r="I41" s="585"/>
      <c r="J41" s="585"/>
      <c r="K41" s="585"/>
      <c r="L41" s="585"/>
      <c r="M41" s="585"/>
      <c r="N41" s="585"/>
      <c r="O41" s="585"/>
      <c r="P41" s="585"/>
      <c r="Q41" s="585"/>
      <c r="R41" s="585"/>
      <c r="S41" s="585"/>
      <c r="T41" s="585"/>
      <c r="U41" s="585"/>
      <c r="V41" s="585"/>
      <c r="W41" s="585"/>
      <c r="X41" s="585"/>
      <c r="Y41" s="585"/>
      <c r="Z41" s="585"/>
      <c r="AA41" s="585"/>
      <c r="AB41" s="585"/>
      <c r="AC41" s="585"/>
      <c r="AD41" s="585"/>
      <c r="AE41" s="585"/>
      <c r="AF41" s="585"/>
      <c r="AG41" s="585"/>
      <c r="AH41" s="585"/>
      <c r="AI41" s="585"/>
      <c r="AJ41" s="585"/>
      <c r="AK41" s="585"/>
      <c r="AL41" s="585"/>
      <c r="AM41" s="585"/>
      <c r="AN41" s="586"/>
    </row>
    <row r="42" spans="1:40" ht="11.65" customHeight="1" x14ac:dyDescent="0.2">
      <c r="A42" s="584"/>
      <c r="B42" s="585"/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5"/>
      <c r="N42" s="585"/>
      <c r="O42" s="585"/>
      <c r="P42" s="585"/>
      <c r="Q42" s="585"/>
      <c r="R42" s="585"/>
      <c r="S42" s="585"/>
      <c r="T42" s="585"/>
      <c r="U42" s="585"/>
      <c r="V42" s="585"/>
      <c r="W42" s="585"/>
      <c r="X42" s="585"/>
      <c r="Y42" s="585"/>
      <c r="Z42" s="585"/>
      <c r="AA42" s="585"/>
      <c r="AB42" s="585"/>
      <c r="AC42" s="585"/>
      <c r="AD42" s="585"/>
      <c r="AE42" s="585"/>
      <c r="AF42" s="585"/>
      <c r="AG42" s="585"/>
      <c r="AH42" s="585"/>
      <c r="AI42" s="585"/>
      <c r="AJ42" s="585"/>
      <c r="AK42" s="585"/>
      <c r="AL42" s="585"/>
      <c r="AM42" s="585"/>
      <c r="AN42" s="586"/>
    </row>
    <row r="43" spans="1:40" ht="11.65" customHeight="1" x14ac:dyDescent="0.2">
      <c r="A43" s="584"/>
      <c r="B43" s="585"/>
      <c r="C43" s="585"/>
      <c r="D43" s="585"/>
      <c r="E43" s="585"/>
      <c r="F43" s="585"/>
      <c r="G43" s="585"/>
      <c r="H43" s="585"/>
      <c r="I43" s="585"/>
      <c r="J43" s="585"/>
      <c r="K43" s="585"/>
      <c r="L43" s="585"/>
      <c r="M43" s="585"/>
      <c r="N43" s="585"/>
      <c r="O43" s="585"/>
      <c r="P43" s="585"/>
      <c r="Q43" s="585"/>
      <c r="R43" s="585"/>
      <c r="S43" s="585"/>
      <c r="T43" s="585"/>
      <c r="U43" s="585"/>
      <c r="V43" s="585"/>
      <c r="W43" s="585"/>
      <c r="X43" s="585"/>
      <c r="Y43" s="585"/>
      <c r="Z43" s="585"/>
      <c r="AA43" s="585"/>
      <c r="AB43" s="585"/>
      <c r="AC43" s="585"/>
      <c r="AD43" s="585"/>
      <c r="AE43" s="585"/>
      <c r="AF43" s="585"/>
      <c r="AG43" s="585"/>
      <c r="AH43" s="585"/>
      <c r="AI43" s="585"/>
      <c r="AJ43" s="585"/>
      <c r="AK43" s="585"/>
      <c r="AL43" s="585"/>
      <c r="AM43" s="585"/>
      <c r="AN43" s="586"/>
    </row>
    <row r="44" spans="1:40" ht="11.65" customHeight="1" x14ac:dyDescent="0.2">
      <c r="A44" s="584"/>
      <c r="B44" s="585"/>
      <c r="C44" s="585"/>
      <c r="D44" s="585"/>
      <c r="E44" s="585"/>
      <c r="F44" s="585"/>
      <c r="G44" s="585"/>
      <c r="H44" s="585"/>
      <c r="I44" s="585"/>
      <c r="J44" s="585"/>
      <c r="K44" s="585"/>
      <c r="L44" s="585"/>
      <c r="M44" s="585"/>
      <c r="N44" s="585"/>
      <c r="O44" s="585"/>
      <c r="P44" s="585"/>
      <c r="Q44" s="585"/>
      <c r="R44" s="585"/>
      <c r="S44" s="585"/>
      <c r="T44" s="585"/>
      <c r="U44" s="585"/>
      <c r="V44" s="585"/>
      <c r="W44" s="585"/>
      <c r="X44" s="585"/>
      <c r="Y44" s="585"/>
      <c r="Z44" s="585"/>
      <c r="AA44" s="585"/>
      <c r="AB44" s="585"/>
      <c r="AC44" s="585"/>
      <c r="AD44" s="585"/>
      <c r="AE44" s="585"/>
      <c r="AF44" s="585"/>
      <c r="AG44" s="585"/>
      <c r="AH44" s="585"/>
      <c r="AI44" s="585"/>
      <c r="AJ44" s="585"/>
      <c r="AK44" s="585"/>
      <c r="AL44" s="585"/>
      <c r="AM44" s="585"/>
      <c r="AN44" s="586"/>
    </row>
    <row r="45" spans="1:40" ht="11.65" customHeight="1" x14ac:dyDescent="0.2">
      <c r="A45" s="584"/>
      <c r="B45" s="585"/>
      <c r="C45" s="585"/>
      <c r="D45" s="585"/>
      <c r="E45" s="585"/>
      <c r="F45" s="585"/>
      <c r="G45" s="585"/>
      <c r="H45" s="585"/>
      <c r="I45" s="585"/>
      <c r="J45" s="585"/>
      <c r="K45" s="585"/>
      <c r="L45" s="585"/>
      <c r="M45" s="585"/>
      <c r="N45" s="585"/>
      <c r="O45" s="585"/>
      <c r="P45" s="585"/>
      <c r="Q45" s="585"/>
      <c r="R45" s="585"/>
      <c r="S45" s="585"/>
      <c r="T45" s="585"/>
      <c r="U45" s="585"/>
      <c r="V45" s="585"/>
      <c r="W45" s="585"/>
      <c r="X45" s="585"/>
      <c r="Y45" s="585"/>
      <c r="Z45" s="585"/>
      <c r="AA45" s="585"/>
      <c r="AB45" s="585"/>
      <c r="AC45" s="585"/>
      <c r="AD45" s="585"/>
      <c r="AE45" s="585"/>
      <c r="AF45" s="585"/>
      <c r="AG45" s="585"/>
      <c r="AH45" s="585"/>
      <c r="AI45" s="585"/>
      <c r="AJ45" s="585"/>
      <c r="AK45" s="585"/>
      <c r="AL45" s="585"/>
      <c r="AM45" s="585"/>
      <c r="AN45" s="586"/>
    </row>
    <row r="46" spans="1:40" ht="11.65" customHeight="1" x14ac:dyDescent="0.2">
      <c r="A46" s="584"/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5"/>
      <c r="P46" s="585"/>
      <c r="Q46" s="585"/>
      <c r="R46" s="585"/>
      <c r="S46" s="585"/>
      <c r="T46" s="585"/>
      <c r="U46" s="585"/>
      <c r="V46" s="585"/>
      <c r="W46" s="585"/>
      <c r="X46" s="585"/>
      <c r="Y46" s="585"/>
      <c r="Z46" s="585"/>
      <c r="AA46" s="585"/>
      <c r="AB46" s="585"/>
      <c r="AC46" s="585"/>
      <c r="AD46" s="585"/>
      <c r="AE46" s="585"/>
      <c r="AF46" s="585"/>
      <c r="AG46" s="585"/>
      <c r="AH46" s="585"/>
      <c r="AI46" s="585"/>
      <c r="AJ46" s="585"/>
      <c r="AK46" s="585"/>
      <c r="AL46" s="585"/>
      <c r="AM46" s="585"/>
      <c r="AN46" s="586"/>
    </row>
    <row r="47" spans="1:40" ht="11.65" customHeight="1" x14ac:dyDescent="0.2">
      <c r="A47" s="584"/>
      <c r="B47" s="585"/>
      <c r="C47" s="585"/>
      <c r="D47" s="585"/>
      <c r="E47" s="585"/>
      <c r="F47" s="585"/>
      <c r="G47" s="585"/>
      <c r="H47" s="585"/>
      <c r="I47" s="585"/>
      <c r="J47" s="585"/>
      <c r="K47" s="585"/>
      <c r="L47" s="585"/>
      <c r="M47" s="585"/>
      <c r="N47" s="585"/>
      <c r="O47" s="585"/>
      <c r="P47" s="585"/>
      <c r="Q47" s="585"/>
      <c r="R47" s="585"/>
      <c r="S47" s="585"/>
      <c r="T47" s="585"/>
      <c r="U47" s="585"/>
      <c r="V47" s="585"/>
      <c r="W47" s="585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  <c r="AH47" s="585"/>
      <c r="AI47" s="585"/>
      <c r="AJ47" s="585"/>
      <c r="AK47" s="585"/>
      <c r="AL47" s="585"/>
      <c r="AM47" s="585"/>
      <c r="AN47" s="586"/>
    </row>
    <row r="48" spans="1:40" ht="11.65" customHeight="1" x14ac:dyDescent="0.2">
      <c r="A48" s="584"/>
      <c r="B48" s="585"/>
      <c r="C48" s="585"/>
      <c r="D48" s="585"/>
      <c r="E48" s="585"/>
      <c r="F48" s="585"/>
      <c r="G48" s="585"/>
      <c r="H48" s="585"/>
      <c r="I48" s="585"/>
      <c r="J48" s="585"/>
      <c r="K48" s="585"/>
      <c r="L48" s="585"/>
      <c r="M48" s="585"/>
      <c r="N48" s="585"/>
      <c r="O48" s="585"/>
      <c r="P48" s="585"/>
      <c r="Q48" s="585"/>
      <c r="R48" s="585"/>
      <c r="S48" s="585"/>
      <c r="T48" s="585"/>
      <c r="U48" s="585"/>
      <c r="V48" s="585"/>
      <c r="W48" s="585"/>
      <c r="X48" s="585"/>
      <c r="Y48" s="585"/>
      <c r="Z48" s="585"/>
      <c r="AA48" s="585"/>
      <c r="AB48" s="585"/>
      <c r="AC48" s="585"/>
      <c r="AD48" s="585"/>
      <c r="AE48" s="585"/>
      <c r="AF48" s="585"/>
      <c r="AG48" s="585"/>
      <c r="AH48" s="585"/>
      <c r="AI48" s="585"/>
      <c r="AJ48" s="585"/>
      <c r="AK48" s="585"/>
      <c r="AL48" s="585"/>
      <c r="AM48" s="585"/>
      <c r="AN48" s="586"/>
    </row>
    <row r="49" spans="1:40" ht="11.65" customHeight="1" x14ac:dyDescent="0.2">
      <c r="A49" s="584"/>
      <c r="B49" s="585"/>
      <c r="C49" s="585"/>
      <c r="D49" s="585"/>
      <c r="E49" s="585"/>
      <c r="F49" s="585"/>
      <c r="G49" s="585"/>
      <c r="H49" s="585"/>
      <c r="I49" s="585"/>
      <c r="J49" s="585"/>
      <c r="K49" s="585"/>
      <c r="L49" s="585"/>
      <c r="M49" s="585"/>
      <c r="N49" s="585"/>
      <c r="O49" s="585"/>
      <c r="P49" s="585"/>
      <c r="Q49" s="585"/>
      <c r="R49" s="585"/>
      <c r="S49" s="585"/>
      <c r="T49" s="585"/>
      <c r="U49" s="585"/>
      <c r="V49" s="585"/>
      <c r="W49" s="585"/>
      <c r="X49" s="585"/>
      <c r="Y49" s="585"/>
      <c r="Z49" s="585"/>
      <c r="AA49" s="585"/>
      <c r="AB49" s="585"/>
      <c r="AC49" s="585"/>
      <c r="AD49" s="585"/>
      <c r="AE49" s="585"/>
      <c r="AF49" s="585"/>
      <c r="AG49" s="585"/>
      <c r="AH49" s="585"/>
      <c r="AI49" s="585"/>
      <c r="AJ49" s="585"/>
      <c r="AK49" s="585"/>
      <c r="AL49" s="585"/>
      <c r="AM49" s="585"/>
      <c r="AN49" s="586"/>
    </row>
    <row r="50" spans="1:40" ht="11.65" customHeight="1" x14ac:dyDescent="0.2">
      <c r="A50" s="584"/>
      <c r="B50" s="585"/>
      <c r="C50" s="585"/>
      <c r="D50" s="585"/>
      <c r="E50" s="585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5"/>
      <c r="R50" s="585"/>
      <c r="S50" s="585"/>
      <c r="T50" s="585"/>
      <c r="U50" s="585"/>
      <c r="V50" s="585"/>
      <c r="W50" s="585"/>
      <c r="X50" s="585"/>
      <c r="Y50" s="585"/>
      <c r="Z50" s="585"/>
      <c r="AA50" s="585"/>
      <c r="AB50" s="585"/>
      <c r="AC50" s="585"/>
      <c r="AD50" s="585"/>
      <c r="AE50" s="585"/>
      <c r="AF50" s="585"/>
      <c r="AG50" s="585"/>
      <c r="AH50" s="585"/>
      <c r="AI50" s="585"/>
      <c r="AJ50" s="585"/>
      <c r="AK50" s="585"/>
      <c r="AL50" s="585"/>
      <c r="AM50" s="585"/>
      <c r="AN50" s="586"/>
    </row>
    <row r="51" spans="1:40" ht="11.65" customHeight="1" x14ac:dyDescent="0.2">
      <c r="A51" s="584"/>
      <c r="B51" s="585"/>
      <c r="C51" s="585"/>
      <c r="D51" s="585"/>
      <c r="E51" s="585"/>
      <c r="F51" s="585"/>
      <c r="G51" s="585"/>
      <c r="H51" s="585"/>
      <c r="I51" s="585"/>
      <c r="J51" s="585"/>
      <c r="K51" s="585"/>
      <c r="L51" s="585"/>
      <c r="M51" s="585"/>
      <c r="N51" s="585"/>
      <c r="O51" s="585"/>
      <c r="P51" s="585"/>
      <c r="Q51" s="585"/>
      <c r="R51" s="585"/>
      <c r="S51" s="585"/>
      <c r="T51" s="585"/>
      <c r="U51" s="585"/>
      <c r="V51" s="585"/>
      <c r="W51" s="585"/>
      <c r="X51" s="585"/>
      <c r="Y51" s="585"/>
      <c r="Z51" s="585"/>
      <c r="AA51" s="585"/>
      <c r="AB51" s="585"/>
      <c r="AC51" s="585"/>
      <c r="AD51" s="585"/>
      <c r="AE51" s="585"/>
      <c r="AF51" s="585"/>
      <c r="AG51" s="585"/>
      <c r="AH51" s="585"/>
      <c r="AI51" s="585"/>
      <c r="AJ51" s="585"/>
      <c r="AK51" s="585"/>
      <c r="AL51" s="585"/>
      <c r="AM51" s="585"/>
      <c r="AN51" s="586"/>
    </row>
    <row r="52" spans="1:40" ht="11.65" customHeight="1" x14ac:dyDescent="0.2">
      <c r="A52" s="584"/>
      <c r="B52" s="585"/>
      <c r="C52" s="585"/>
      <c r="D52" s="585"/>
      <c r="E52" s="585"/>
      <c r="F52" s="585"/>
      <c r="G52" s="585"/>
      <c r="H52" s="585"/>
      <c r="I52" s="585"/>
      <c r="J52" s="585"/>
      <c r="K52" s="585"/>
      <c r="L52" s="585"/>
      <c r="M52" s="585"/>
      <c r="N52" s="585"/>
      <c r="O52" s="585"/>
      <c r="P52" s="585"/>
      <c r="Q52" s="585"/>
      <c r="R52" s="585"/>
      <c r="S52" s="585"/>
      <c r="T52" s="585"/>
      <c r="U52" s="585"/>
      <c r="V52" s="585"/>
      <c r="W52" s="585"/>
      <c r="X52" s="585"/>
      <c r="Y52" s="585"/>
      <c r="Z52" s="585"/>
      <c r="AA52" s="585"/>
      <c r="AB52" s="585"/>
      <c r="AC52" s="585"/>
      <c r="AD52" s="585"/>
      <c r="AE52" s="585"/>
      <c r="AF52" s="585"/>
      <c r="AG52" s="585"/>
      <c r="AH52" s="585"/>
      <c r="AI52" s="585"/>
      <c r="AJ52" s="585"/>
      <c r="AK52" s="585"/>
      <c r="AL52" s="585"/>
      <c r="AM52" s="585"/>
      <c r="AN52" s="586"/>
    </row>
    <row r="53" spans="1:40" ht="11.65" customHeight="1" x14ac:dyDescent="0.2">
      <c r="A53" s="584"/>
      <c r="B53" s="585"/>
      <c r="C53" s="585"/>
      <c r="D53" s="585"/>
      <c r="E53" s="585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85"/>
      <c r="Q53" s="585"/>
      <c r="R53" s="585"/>
      <c r="S53" s="585"/>
      <c r="T53" s="585"/>
      <c r="U53" s="585"/>
      <c r="V53" s="585"/>
      <c r="W53" s="585"/>
      <c r="X53" s="585"/>
      <c r="Y53" s="585"/>
      <c r="Z53" s="585"/>
      <c r="AA53" s="585"/>
      <c r="AB53" s="585"/>
      <c r="AC53" s="585"/>
      <c r="AD53" s="585"/>
      <c r="AE53" s="585"/>
      <c r="AF53" s="585"/>
      <c r="AG53" s="585"/>
      <c r="AH53" s="585"/>
      <c r="AI53" s="585"/>
      <c r="AJ53" s="585"/>
      <c r="AK53" s="585"/>
      <c r="AL53" s="585"/>
      <c r="AM53" s="585"/>
      <c r="AN53" s="586"/>
    </row>
    <row r="54" spans="1:40" ht="11.65" customHeight="1" x14ac:dyDescent="0.2">
      <c r="A54" s="584"/>
      <c r="B54" s="585"/>
      <c r="C54" s="585"/>
      <c r="D54" s="585"/>
      <c r="E54" s="585"/>
      <c r="F54" s="585"/>
      <c r="G54" s="585"/>
      <c r="H54" s="585"/>
      <c r="I54" s="585"/>
      <c r="J54" s="585"/>
      <c r="K54" s="585"/>
      <c r="L54" s="585"/>
      <c r="M54" s="585"/>
      <c r="N54" s="585"/>
      <c r="O54" s="585"/>
      <c r="P54" s="585"/>
      <c r="Q54" s="585"/>
      <c r="R54" s="585"/>
      <c r="S54" s="585"/>
      <c r="T54" s="585"/>
      <c r="U54" s="585"/>
      <c r="V54" s="585"/>
      <c r="W54" s="585"/>
      <c r="X54" s="585"/>
      <c r="Y54" s="585"/>
      <c r="Z54" s="585"/>
      <c r="AA54" s="585"/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5"/>
      <c r="AN54" s="586"/>
    </row>
    <row r="55" spans="1:40" ht="11.65" customHeight="1" x14ac:dyDescent="0.2">
      <c r="A55" s="584"/>
      <c r="B55" s="585"/>
      <c r="C55" s="585"/>
      <c r="D55" s="585"/>
      <c r="E55" s="585"/>
      <c r="F55" s="585"/>
      <c r="G55" s="585"/>
      <c r="H55" s="585"/>
      <c r="I55" s="585"/>
      <c r="J55" s="585"/>
      <c r="K55" s="585"/>
      <c r="L55" s="585"/>
      <c r="M55" s="585"/>
      <c r="N55" s="585"/>
      <c r="O55" s="585"/>
      <c r="P55" s="585"/>
      <c r="Q55" s="585"/>
      <c r="R55" s="585"/>
      <c r="S55" s="585"/>
      <c r="T55" s="585"/>
      <c r="U55" s="585"/>
      <c r="V55" s="585"/>
      <c r="W55" s="585"/>
      <c r="X55" s="585"/>
      <c r="Y55" s="585"/>
      <c r="Z55" s="585"/>
      <c r="AA55" s="585"/>
      <c r="AB55" s="585"/>
      <c r="AC55" s="585"/>
      <c r="AD55" s="585"/>
      <c r="AE55" s="585"/>
      <c r="AF55" s="585"/>
      <c r="AG55" s="585"/>
      <c r="AH55" s="585"/>
      <c r="AI55" s="585"/>
      <c r="AJ55" s="585"/>
      <c r="AK55" s="585"/>
      <c r="AL55" s="585"/>
      <c r="AM55" s="585"/>
      <c r="AN55" s="586"/>
    </row>
    <row r="56" spans="1:40" ht="11.65" customHeight="1" x14ac:dyDescent="0.2">
      <c r="A56" s="584"/>
      <c r="B56" s="585"/>
      <c r="C56" s="585"/>
      <c r="D56" s="585"/>
      <c r="E56" s="585"/>
      <c r="F56" s="585"/>
      <c r="G56" s="585"/>
      <c r="H56" s="585"/>
      <c r="I56" s="585"/>
      <c r="J56" s="585"/>
      <c r="K56" s="585"/>
      <c r="L56" s="585"/>
      <c r="M56" s="585"/>
      <c r="N56" s="585"/>
      <c r="O56" s="585"/>
      <c r="P56" s="585"/>
      <c r="Q56" s="585"/>
      <c r="R56" s="585"/>
      <c r="S56" s="585"/>
      <c r="T56" s="585"/>
      <c r="U56" s="585"/>
      <c r="V56" s="585"/>
      <c r="W56" s="585"/>
      <c r="X56" s="585"/>
      <c r="Y56" s="585"/>
      <c r="Z56" s="585"/>
      <c r="AA56" s="585"/>
      <c r="AB56" s="585"/>
      <c r="AC56" s="585"/>
      <c r="AD56" s="585"/>
      <c r="AE56" s="585"/>
      <c r="AF56" s="585"/>
      <c r="AG56" s="585"/>
      <c r="AH56" s="585"/>
      <c r="AI56" s="585"/>
      <c r="AJ56" s="585"/>
      <c r="AK56" s="585"/>
      <c r="AL56" s="585"/>
      <c r="AM56" s="585"/>
      <c r="AN56" s="586"/>
    </row>
    <row r="57" spans="1:40" ht="11.65" customHeight="1" x14ac:dyDescent="0.2">
      <c r="A57" s="584"/>
      <c r="B57" s="585"/>
      <c r="C57" s="585"/>
      <c r="D57" s="585"/>
      <c r="E57" s="585"/>
      <c r="F57" s="585"/>
      <c r="G57" s="585"/>
      <c r="H57" s="585"/>
      <c r="I57" s="585"/>
      <c r="J57" s="585"/>
      <c r="K57" s="585"/>
      <c r="L57" s="585"/>
      <c r="M57" s="585"/>
      <c r="N57" s="585"/>
      <c r="O57" s="585"/>
      <c r="P57" s="585"/>
      <c r="Q57" s="585"/>
      <c r="R57" s="585"/>
      <c r="S57" s="585"/>
      <c r="T57" s="585"/>
      <c r="U57" s="585"/>
      <c r="V57" s="585"/>
      <c r="W57" s="585"/>
      <c r="X57" s="585"/>
      <c r="Y57" s="585"/>
      <c r="Z57" s="585"/>
      <c r="AA57" s="585"/>
      <c r="AB57" s="585"/>
      <c r="AC57" s="585"/>
      <c r="AD57" s="585"/>
      <c r="AE57" s="585"/>
      <c r="AF57" s="585"/>
      <c r="AG57" s="585"/>
      <c r="AH57" s="585"/>
      <c r="AI57" s="585"/>
      <c r="AJ57" s="585"/>
      <c r="AK57" s="585"/>
      <c r="AL57" s="585"/>
      <c r="AM57" s="585"/>
      <c r="AN57" s="586"/>
    </row>
    <row r="58" spans="1:40" ht="11.65" customHeight="1" x14ac:dyDescent="0.2">
      <c r="A58" s="584"/>
      <c r="B58" s="585"/>
      <c r="C58" s="585"/>
      <c r="D58" s="585"/>
      <c r="E58" s="585"/>
      <c r="F58" s="585"/>
      <c r="G58" s="585"/>
      <c r="H58" s="585"/>
      <c r="I58" s="585"/>
      <c r="J58" s="585"/>
      <c r="K58" s="585"/>
      <c r="L58" s="585"/>
      <c r="M58" s="585"/>
      <c r="N58" s="585"/>
      <c r="O58" s="585"/>
      <c r="P58" s="585"/>
      <c r="Q58" s="585"/>
      <c r="R58" s="585"/>
      <c r="S58" s="585"/>
      <c r="T58" s="585"/>
      <c r="U58" s="585"/>
      <c r="V58" s="585"/>
      <c r="W58" s="585"/>
      <c r="X58" s="585"/>
      <c r="Y58" s="585"/>
      <c r="Z58" s="585"/>
      <c r="AA58" s="585"/>
      <c r="AB58" s="585"/>
      <c r="AC58" s="585"/>
      <c r="AD58" s="585"/>
      <c r="AE58" s="585"/>
      <c r="AF58" s="585"/>
      <c r="AG58" s="585"/>
      <c r="AH58" s="585"/>
      <c r="AI58" s="585"/>
      <c r="AJ58" s="585"/>
      <c r="AK58" s="585"/>
      <c r="AL58" s="585"/>
      <c r="AM58" s="585"/>
      <c r="AN58" s="586"/>
    </row>
    <row r="59" spans="1:40" ht="11.65" customHeight="1" x14ac:dyDescent="0.2">
      <c r="A59" s="584"/>
      <c r="B59" s="585"/>
      <c r="C59" s="585"/>
      <c r="D59" s="585"/>
      <c r="E59" s="585"/>
      <c r="F59" s="585"/>
      <c r="G59" s="585"/>
      <c r="H59" s="585"/>
      <c r="I59" s="585"/>
      <c r="J59" s="585"/>
      <c r="K59" s="585"/>
      <c r="L59" s="585"/>
      <c r="M59" s="585"/>
      <c r="N59" s="585"/>
      <c r="O59" s="585"/>
      <c r="P59" s="585"/>
      <c r="Q59" s="585"/>
      <c r="R59" s="585"/>
      <c r="S59" s="585"/>
      <c r="T59" s="585"/>
      <c r="U59" s="585"/>
      <c r="V59" s="585"/>
      <c r="W59" s="585"/>
      <c r="X59" s="585"/>
      <c r="Y59" s="585"/>
      <c r="Z59" s="585"/>
      <c r="AA59" s="585"/>
      <c r="AB59" s="585"/>
      <c r="AC59" s="585"/>
      <c r="AD59" s="585"/>
      <c r="AE59" s="585"/>
      <c r="AF59" s="585"/>
      <c r="AG59" s="585"/>
      <c r="AH59" s="585"/>
      <c r="AI59" s="585"/>
      <c r="AJ59" s="585"/>
      <c r="AK59" s="585"/>
      <c r="AL59" s="585"/>
      <c r="AM59" s="585"/>
      <c r="AN59" s="586"/>
    </row>
    <row r="60" spans="1:40" ht="11.65" customHeight="1" x14ac:dyDescent="0.2">
      <c r="A60" s="584"/>
      <c r="B60" s="585"/>
      <c r="C60" s="585"/>
      <c r="D60" s="585"/>
      <c r="E60" s="585"/>
      <c r="F60" s="585"/>
      <c r="G60" s="585"/>
      <c r="H60" s="585"/>
      <c r="I60" s="585"/>
      <c r="J60" s="585"/>
      <c r="K60" s="585"/>
      <c r="L60" s="585"/>
      <c r="M60" s="585"/>
      <c r="N60" s="585"/>
      <c r="O60" s="585"/>
      <c r="P60" s="585"/>
      <c r="Q60" s="585"/>
      <c r="R60" s="585"/>
      <c r="S60" s="585"/>
      <c r="T60" s="585"/>
      <c r="U60" s="585"/>
      <c r="V60" s="585"/>
      <c r="W60" s="585"/>
      <c r="X60" s="585"/>
      <c r="Y60" s="585"/>
      <c r="Z60" s="585"/>
      <c r="AA60" s="585"/>
      <c r="AB60" s="585"/>
      <c r="AC60" s="585"/>
      <c r="AD60" s="585"/>
      <c r="AE60" s="585"/>
      <c r="AF60" s="585"/>
      <c r="AG60" s="585"/>
      <c r="AH60" s="585"/>
      <c r="AI60" s="585"/>
      <c r="AJ60" s="585"/>
      <c r="AK60" s="585"/>
      <c r="AL60" s="585"/>
      <c r="AM60" s="585"/>
      <c r="AN60" s="586"/>
    </row>
    <row r="61" spans="1:40" ht="11.65" customHeight="1" x14ac:dyDescent="0.2">
      <c r="A61" s="584"/>
      <c r="B61" s="585"/>
      <c r="C61" s="585"/>
      <c r="D61" s="585"/>
      <c r="E61" s="585"/>
      <c r="F61" s="585"/>
      <c r="G61" s="585"/>
      <c r="H61" s="585"/>
      <c r="I61" s="585"/>
      <c r="J61" s="585"/>
      <c r="K61" s="585"/>
      <c r="L61" s="585"/>
      <c r="M61" s="585"/>
      <c r="N61" s="585"/>
      <c r="O61" s="585"/>
      <c r="P61" s="585"/>
      <c r="Q61" s="585"/>
      <c r="R61" s="585"/>
      <c r="S61" s="585"/>
      <c r="T61" s="585"/>
      <c r="U61" s="585"/>
      <c r="V61" s="585"/>
      <c r="W61" s="585"/>
      <c r="X61" s="585"/>
      <c r="Y61" s="585"/>
      <c r="Z61" s="585"/>
      <c r="AA61" s="585"/>
      <c r="AB61" s="585"/>
      <c r="AC61" s="585"/>
      <c r="AD61" s="585"/>
      <c r="AE61" s="585"/>
      <c r="AF61" s="585"/>
      <c r="AG61" s="585"/>
      <c r="AH61" s="585"/>
      <c r="AI61" s="585"/>
      <c r="AJ61" s="585"/>
      <c r="AK61" s="585"/>
      <c r="AL61" s="585"/>
      <c r="AM61" s="585"/>
      <c r="AN61" s="586"/>
    </row>
    <row r="62" spans="1:40" ht="11.65" customHeight="1" thickBot="1" x14ac:dyDescent="0.25">
      <c r="A62" s="587"/>
      <c r="B62" s="588"/>
      <c r="C62" s="588"/>
      <c r="D62" s="588"/>
      <c r="E62" s="588"/>
      <c r="F62" s="588"/>
      <c r="G62" s="588"/>
      <c r="H62" s="588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Y62" s="588"/>
      <c r="Z62" s="588"/>
      <c r="AA62" s="588"/>
      <c r="AB62" s="588"/>
      <c r="AC62" s="588"/>
      <c r="AD62" s="588"/>
      <c r="AE62" s="588"/>
      <c r="AF62" s="588"/>
      <c r="AG62" s="588"/>
      <c r="AH62" s="588"/>
      <c r="AI62" s="588"/>
      <c r="AJ62" s="588"/>
      <c r="AK62" s="588"/>
      <c r="AL62" s="588"/>
      <c r="AM62" s="588"/>
      <c r="AN62" s="589"/>
    </row>
    <row r="63" spans="1:40" ht="11.65" customHeight="1" thickBo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</row>
    <row r="64" spans="1:40" ht="11.65" customHeight="1" x14ac:dyDescent="0.2">
      <c r="A64" s="606"/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599"/>
      <c r="O64" s="599"/>
      <c r="P64" s="599"/>
      <c r="Q64" s="599"/>
      <c r="R64" s="599"/>
      <c r="S64" s="599"/>
      <c r="T64" s="599"/>
      <c r="U64" s="599"/>
      <c r="V64" s="599"/>
      <c r="W64" s="599"/>
      <c r="X64" s="599"/>
      <c r="Y64" s="599"/>
      <c r="Z64" s="599"/>
      <c r="AA64" s="599"/>
      <c r="AB64" s="599"/>
      <c r="AC64" s="599"/>
      <c r="AD64" s="599"/>
      <c r="AE64" s="599"/>
      <c r="AF64" s="599"/>
      <c r="AG64" s="599"/>
      <c r="AH64" s="599"/>
      <c r="AI64" s="599"/>
      <c r="AJ64" s="599"/>
      <c r="AK64" s="599"/>
      <c r="AL64" s="599"/>
      <c r="AM64" s="599"/>
      <c r="AN64" s="600"/>
    </row>
    <row r="65" spans="1:40" ht="11.65" customHeight="1" x14ac:dyDescent="0.2">
      <c r="A65" s="596" t="s">
        <v>27</v>
      </c>
      <c r="B65" s="597"/>
      <c r="C65" s="598"/>
      <c r="D65" s="594" t="s">
        <v>402</v>
      </c>
      <c r="E65" s="594"/>
      <c r="F65" s="594"/>
      <c r="G65" s="594"/>
      <c r="H65" s="594"/>
      <c r="I65" s="594" t="s">
        <v>401</v>
      </c>
      <c r="J65" s="594"/>
      <c r="K65" s="594"/>
      <c r="L65" s="594"/>
      <c r="M65" s="594"/>
      <c r="N65" s="594"/>
      <c r="O65" s="594"/>
      <c r="P65" s="594" t="s">
        <v>400</v>
      </c>
      <c r="Q65" s="594"/>
      <c r="R65" s="594"/>
      <c r="S65" s="594"/>
      <c r="T65" s="594"/>
      <c r="U65" s="594" t="s">
        <v>14</v>
      </c>
      <c r="V65" s="594"/>
      <c r="W65" s="594"/>
      <c r="X65" s="594"/>
      <c r="Y65" s="594"/>
      <c r="Z65" s="594" t="s">
        <v>15</v>
      </c>
      <c r="AA65" s="594"/>
      <c r="AB65" s="594"/>
      <c r="AC65" s="594"/>
      <c r="AD65" s="594"/>
      <c r="AE65" s="594" t="s">
        <v>16</v>
      </c>
      <c r="AF65" s="594"/>
      <c r="AG65" s="594"/>
      <c r="AH65" s="594"/>
      <c r="AI65" s="594"/>
      <c r="AJ65" s="594"/>
      <c r="AK65" s="594"/>
      <c r="AL65" s="594"/>
      <c r="AM65" s="594"/>
      <c r="AN65" s="595"/>
    </row>
    <row r="66" spans="1:40" ht="11.65" customHeight="1" x14ac:dyDescent="0.2">
      <c r="A66" s="596" t="s">
        <v>26</v>
      </c>
      <c r="B66" s="597"/>
      <c r="C66" s="598"/>
      <c r="D66" s="594" t="s">
        <v>397</v>
      </c>
      <c r="E66" s="594"/>
      <c r="F66" s="594"/>
      <c r="G66" s="594"/>
      <c r="H66" s="594"/>
      <c r="I66" s="594" t="s">
        <v>403</v>
      </c>
      <c r="J66" s="594"/>
      <c r="K66" s="594"/>
      <c r="L66" s="594"/>
      <c r="M66" s="594"/>
      <c r="N66" s="594"/>
      <c r="O66" s="594"/>
      <c r="P66" s="594" t="s">
        <v>400</v>
      </c>
      <c r="Q66" s="594"/>
      <c r="R66" s="594"/>
      <c r="S66" s="594"/>
      <c r="T66" s="594"/>
      <c r="U66" s="594" t="s">
        <v>14</v>
      </c>
      <c r="V66" s="594"/>
      <c r="W66" s="594"/>
      <c r="X66" s="594"/>
      <c r="Y66" s="594"/>
      <c r="Z66" s="594" t="s">
        <v>15</v>
      </c>
      <c r="AA66" s="594"/>
      <c r="AB66" s="594"/>
      <c r="AC66" s="594"/>
      <c r="AD66" s="594"/>
      <c r="AE66" s="594" t="s">
        <v>16</v>
      </c>
      <c r="AF66" s="594"/>
      <c r="AG66" s="594"/>
      <c r="AH66" s="594"/>
      <c r="AI66" s="594"/>
      <c r="AJ66" s="594"/>
      <c r="AK66" s="594"/>
      <c r="AL66" s="594"/>
      <c r="AM66" s="594"/>
      <c r="AN66" s="595"/>
    </row>
    <row r="67" spans="1:40" ht="11.65" customHeight="1" thickBot="1" x14ac:dyDescent="0.25">
      <c r="A67" s="590" t="s">
        <v>394</v>
      </c>
      <c r="B67" s="591"/>
      <c r="C67" s="592"/>
      <c r="D67" s="593" t="s">
        <v>396</v>
      </c>
      <c r="E67" s="593"/>
      <c r="F67" s="593"/>
      <c r="G67" s="593"/>
      <c r="H67" s="593"/>
      <c r="I67" s="593" t="s">
        <v>398</v>
      </c>
      <c r="J67" s="593"/>
      <c r="K67" s="593"/>
      <c r="L67" s="593"/>
      <c r="M67" s="593"/>
      <c r="N67" s="593"/>
      <c r="O67" s="593"/>
      <c r="P67" s="593" t="s">
        <v>395</v>
      </c>
      <c r="Q67" s="593"/>
      <c r="R67" s="593"/>
      <c r="S67" s="593"/>
      <c r="T67" s="593"/>
      <c r="U67" s="593" t="s">
        <v>14</v>
      </c>
      <c r="V67" s="593"/>
      <c r="W67" s="593"/>
      <c r="X67" s="593"/>
      <c r="Y67" s="593"/>
      <c r="Z67" s="593" t="s">
        <v>15</v>
      </c>
      <c r="AA67" s="593"/>
      <c r="AB67" s="593"/>
      <c r="AC67" s="593"/>
      <c r="AD67" s="593"/>
      <c r="AE67" s="593" t="s">
        <v>16</v>
      </c>
      <c r="AF67" s="593"/>
      <c r="AG67" s="593"/>
      <c r="AH67" s="593"/>
      <c r="AI67" s="593"/>
      <c r="AJ67" s="604"/>
      <c r="AK67" s="604"/>
      <c r="AL67" s="604"/>
      <c r="AM67" s="604"/>
      <c r="AN67" s="605"/>
    </row>
    <row r="68" spans="1:40" ht="15.75" customHeight="1" thickBot="1" x14ac:dyDescent="0.25">
      <c r="A68" s="602" t="s">
        <v>17</v>
      </c>
      <c r="B68" s="601"/>
      <c r="C68" s="601"/>
      <c r="D68" s="601" t="s">
        <v>18</v>
      </c>
      <c r="E68" s="601"/>
      <c r="F68" s="601"/>
      <c r="G68" s="601"/>
      <c r="H68" s="601"/>
      <c r="I68" s="601" t="s">
        <v>39</v>
      </c>
      <c r="J68" s="601"/>
      <c r="K68" s="601"/>
      <c r="L68" s="601"/>
      <c r="M68" s="601"/>
      <c r="N68" s="601"/>
      <c r="O68" s="601"/>
      <c r="P68" s="601" t="s">
        <v>19</v>
      </c>
      <c r="Q68" s="601"/>
      <c r="R68" s="601"/>
      <c r="S68" s="601"/>
      <c r="T68" s="601"/>
      <c r="U68" s="601" t="s">
        <v>20</v>
      </c>
      <c r="V68" s="601"/>
      <c r="W68" s="601"/>
      <c r="X68" s="601"/>
      <c r="Y68" s="601"/>
      <c r="Z68" s="601" t="s">
        <v>21</v>
      </c>
      <c r="AA68" s="601"/>
      <c r="AB68" s="601"/>
      <c r="AC68" s="601"/>
      <c r="AD68" s="601"/>
      <c r="AE68" s="601" t="s">
        <v>22</v>
      </c>
      <c r="AF68" s="601"/>
      <c r="AG68" s="601"/>
      <c r="AH68" s="601"/>
      <c r="AI68" s="601"/>
      <c r="AJ68" s="601" t="s">
        <v>23</v>
      </c>
      <c r="AK68" s="601"/>
      <c r="AL68" s="601"/>
      <c r="AM68" s="601"/>
      <c r="AN68" s="603"/>
    </row>
  </sheetData>
  <mergeCells count="41">
    <mergeCell ref="A64:C64"/>
    <mergeCell ref="D64:H64"/>
    <mergeCell ref="I64:O64"/>
    <mergeCell ref="P64:T64"/>
    <mergeCell ref="U64:Y64"/>
    <mergeCell ref="Z68:AD68"/>
    <mergeCell ref="AE68:AI68"/>
    <mergeCell ref="AE66:AI66"/>
    <mergeCell ref="AJ66:AN66"/>
    <mergeCell ref="D65:H65"/>
    <mergeCell ref="I65:O65"/>
    <mergeCell ref="P65:T65"/>
    <mergeCell ref="U65:Y65"/>
    <mergeCell ref="AJ68:AN68"/>
    <mergeCell ref="AJ67:AN67"/>
    <mergeCell ref="Z66:AD66"/>
    <mergeCell ref="Z65:AD65"/>
    <mergeCell ref="AE65:AI65"/>
    <mergeCell ref="AE67:AI67"/>
    <mergeCell ref="A65:C65"/>
    <mergeCell ref="D68:H68"/>
    <mergeCell ref="I68:O68"/>
    <mergeCell ref="P68:T68"/>
    <mergeCell ref="U68:Y68"/>
    <mergeCell ref="A68:C68"/>
    <mergeCell ref="A7:AN62"/>
    <mergeCell ref="A67:C67"/>
    <mergeCell ref="D67:H67"/>
    <mergeCell ref="I67:O67"/>
    <mergeCell ref="P67:T67"/>
    <mergeCell ref="U67:Y67"/>
    <mergeCell ref="Z67:AD67"/>
    <mergeCell ref="AJ65:AN65"/>
    <mergeCell ref="A66:C66"/>
    <mergeCell ref="D66:H66"/>
    <mergeCell ref="I66:O66"/>
    <mergeCell ref="P66:T66"/>
    <mergeCell ref="Z64:AD64"/>
    <mergeCell ref="AE64:AI64"/>
    <mergeCell ref="AJ64:AN64"/>
    <mergeCell ref="U66:Y66"/>
  </mergeCells>
  <dataValidations disablePrompts="1" count="1">
    <dataValidation type="list" allowBlank="1" showInputMessage="1" showErrorMessage="1" sqref="WCP983093:WCQ983096 KG51:KH54 UC51:UD54 ADY51:ADZ54 ANU51:ANV54 AXQ51:AXR54 BHM51:BHN54 BRI51:BRJ54 CBE51:CBF54 CLA51:CLB54 CUW51:CUX54 DES51:DET54 DOO51:DOP54 DYK51:DYL54 EIG51:EIH54 ESC51:ESD54 FBY51:FBZ54 FLU51:FLV54 FVQ51:FVR54 GFM51:GFN54 GPI51:GPJ54 GZE51:GZF54 HJA51:HJB54 HSW51:HSX54 ICS51:ICT54 IMO51:IMP54 IWK51:IWL54 JGG51:JGH54 JQC51:JQD54 JZY51:JZZ54 KJU51:KJV54 KTQ51:KTR54 LDM51:LDN54 LNI51:LNJ54 LXE51:LXF54 MHA51:MHB54 MQW51:MQX54 NAS51:NAT54 NKO51:NKP54 NUK51:NUL54 OEG51:OEH54 OOC51:OOD54 OXY51:OXZ54 PHU51:PHV54 PRQ51:PRR54 QBM51:QBN54 QLI51:QLJ54 QVE51:QVF54 RFA51:RFB54 ROW51:ROX54 RYS51:RYT54 SIO51:SIP54 SSK51:SSL54 TCG51:TCH54 TMC51:TMD54 TVY51:TVZ54 UFU51:UFV54 UPQ51:UPR54 UZM51:UZN54 VJI51:VJJ54 VTE51:VTF54 WDA51:WDB54 WMW51:WMX54 WWS51:WWT54 AK65589:AL65592 KG65589:KH65592 UC65589:UD65592 ADY65589:ADZ65592 ANU65589:ANV65592 AXQ65589:AXR65592 BHM65589:BHN65592 BRI65589:BRJ65592 CBE65589:CBF65592 CLA65589:CLB65592 CUW65589:CUX65592 DES65589:DET65592 DOO65589:DOP65592 DYK65589:DYL65592 EIG65589:EIH65592 ESC65589:ESD65592 FBY65589:FBZ65592 FLU65589:FLV65592 FVQ65589:FVR65592 GFM65589:GFN65592 GPI65589:GPJ65592 GZE65589:GZF65592 HJA65589:HJB65592 HSW65589:HSX65592 ICS65589:ICT65592 IMO65589:IMP65592 IWK65589:IWL65592 JGG65589:JGH65592 JQC65589:JQD65592 JZY65589:JZZ65592 KJU65589:KJV65592 KTQ65589:KTR65592 LDM65589:LDN65592 LNI65589:LNJ65592 LXE65589:LXF65592 MHA65589:MHB65592 MQW65589:MQX65592 NAS65589:NAT65592 NKO65589:NKP65592 NUK65589:NUL65592 OEG65589:OEH65592 OOC65589:OOD65592 OXY65589:OXZ65592 PHU65589:PHV65592 PRQ65589:PRR65592 QBM65589:QBN65592 QLI65589:QLJ65592 QVE65589:QVF65592 RFA65589:RFB65592 ROW65589:ROX65592 RYS65589:RYT65592 SIO65589:SIP65592 SSK65589:SSL65592 TCG65589:TCH65592 TMC65589:TMD65592 TVY65589:TVZ65592 UFU65589:UFV65592 UPQ65589:UPR65592 UZM65589:UZN65592 VJI65589:VJJ65592 VTE65589:VTF65592 WDA65589:WDB65592 WMW65589:WMX65592 WWS65589:WWT65592 AK131125:AL131128 KG131125:KH131128 UC131125:UD131128 ADY131125:ADZ131128 ANU131125:ANV131128 AXQ131125:AXR131128 BHM131125:BHN131128 BRI131125:BRJ131128 CBE131125:CBF131128 CLA131125:CLB131128 CUW131125:CUX131128 DES131125:DET131128 DOO131125:DOP131128 DYK131125:DYL131128 EIG131125:EIH131128 ESC131125:ESD131128 FBY131125:FBZ131128 FLU131125:FLV131128 FVQ131125:FVR131128 GFM131125:GFN131128 GPI131125:GPJ131128 GZE131125:GZF131128 HJA131125:HJB131128 HSW131125:HSX131128 ICS131125:ICT131128 IMO131125:IMP131128 IWK131125:IWL131128 JGG131125:JGH131128 JQC131125:JQD131128 JZY131125:JZZ131128 KJU131125:KJV131128 KTQ131125:KTR131128 LDM131125:LDN131128 LNI131125:LNJ131128 LXE131125:LXF131128 MHA131125:MHB131128 MQW131125:MQX131128 NAS131125:NAT131128 NKO131125:NKP131128 NUK131125:NUL131128 OEG131125:OEH131128 OOC131125:OOD131128 OXY131125:OXZ131128 PHU131125:PHV131128 PRQ131125:PRR131128 QBM131125:QBN131128 QLI131125:QLJ131128 QVE131125:QVF131128 RFA131125:RFB131128 ROW131125:ROX131128 RYS131125:RYT131128 SIO131125:SIP131128 SSK131125:SSL131128 TCG131125:TCH131128 TMC131125:TMD131128 TVY131125:TVZ131128 UFU131125:UFV131128 UPQ131125:UPR131128 UZM131125:UZN131128 VJI131125:VJJ131128 VTE131125:VTF131128 WDA131125:WDB131128 WMW131125:WMX131128 WWS131125:WWT131128 AK196661:AL196664 KG196661:KH196664 UC196661:UD196664 ADY196661:ADZ196664 ANU196661:ANV196664 AXQ196661:AXR196664 BHM196661:BHN196664 BRI196661:BRJ196664 CBE196661:CBF196664 CLA196661:CLB196664 CUW196661:CUX196664 DES196661:DET196664 DOO196661:DOP196664 DYK196661:DYL196664 EIG196661:EIH196664 ESC196661:ESD196664 FBY196661:FBZ196664 FLU196661:FLV196664 FVQ196661:FVR196664 GFM196661:GFN196664 GPI196661:GPJ196664 GZE196661:GZF196664 HJA196661:HJB196664 HSW196661:HSX196664 ICS196661:ICT196664 IMO196661:IMP196664 IWK196661:IWL196664 JGG196661:JGH196664 JQC196661:JQD196664 JZY196661:JZZ196664 KJU196661:KJV196664 KTQ196661:KTR196664 LDM196661:LDN196664 LNI196661:LNJ196664 LXE196661:LXF196664 MHA196661:MHB196664 MQW196661:MQX196664 NAS196661:NAT196664 NKO196661:NKP196664 NUK196661:NUL196664 OEG196661:OEH196664 OOC196661:OOD196664 OXY196661:OXZ196664 PHU196661:PHV196664 PRQ196661:PRR196664 QBM196661:QBN196664 QLI196661:QLJ196664 QVE196661:QVF196664 RFA196661:RFB196664 ROW196661:ROX196664 RYS196661:RYT196664 SIO196661:SIP196664 SSK196661:SSL196664 TCG196661:TCH196664 TMC196661:TMD196664 TVY196661:TVZ196664 UFU196661:UFV196664 UPQ196661:UPR196664 UZM196661:UZN196664 VJI196661:VJJ196664 VTE196661:VTF196664 WDA196661:WDB196664 WMW196661:WMX196664 WWS196661:WWT196664 AK262197:AL262200 KG262197:KH262200 UC262197:UD262200 ADY262197:ADZ262200 ANU262197:ANV262200 AXQ262197:AXR262200 BHM262197:BHN262200 BRI262197:BRJ262200 CBE262197:CBF262200 CLA262197:CLB262200 CUW262197:CUX262200 DES262197:DET262200 DOO262197:DOP262200 DYK262197:DYL262200 EIG262197:EIH262200 ESC262197:ESD262200 FBY262197:FBZ262200 FLU262197:FLV262200 FVQ262197:FVR262200 GFM262197:GFN262200 GPI262197:GPJ262200 GZE262197:GZF262200 HJA262197:HJB262200 HSW262197:HSX262200 ICS262197:ICT262200 IMO262197:IMP262200 IWK262197:IWL262200 JGG262197:JGH262200 JQC262197:JQD262200 JZY262197:JZZ262200 KJU262197:KJV262200 KTQ262197:KTR262200 LDM262197:LDN262200 LNI262197:LNJ262200 LXE262197:LXF262200 MHA262197:MHB262200 MQW262197:MQX262200 NAS262197:NAT262200 NKO262197:NKP262200 NUK262197:NUL262200 OEG262197:OEH262200 OOC262197:OOD262200 OXY262197:OXZ262200 PHU262197:PHV262200 PRQ262197:PRR262200 QBM262197:QBN262200 QLI262197:QLJ262200 QVE262197:QVF262200 RFA262197:RFB262200 ROW262197:ROX262200 RYS262197:RYT262200 SIO262197:SIP262200 SSK262197:SSL262200 TCG262197:TCH262200 TMC262197:TMD262200 TVY262197:TVZ262200 UFU262197:UFV262200 UPQ262197:UPR262200 UZM262197:UZN262200 VJI262197:VJJ262200 VTE262197:VTF262200 WDA262197:WDB262200 WMW262197:WMX262200 WWS262197:WWT262200 AK327733:AL327736 KG327733:KH327736 UC327733:UD327736 ADY327733:ADZ327736 ANU327733:ANV327736 AXQ327733:AXR327736 BHM327733:BHN327736 BRI327733:BRJ327736 CBE327733:CBF327736 CLA327733:CLB327736 CUW327733:CUX327736 DES327733:DET327736 DOO327733:DOP327736 DYK327733:DYL327736 EIG327733:EIH327736 ESC327733:ESD327736 FBY327733:FBZ327736 FLU327733:FLV327736 FVQ327733:FVR327736 GFM327733:GFN327736 GPI327733:GPJ327736 GZE327733:GZF327736 HJA327733:HJB327736 HSW327733:HSX327736 ICS327733:ICT327736 IMO327733:IMP327736 IWK327733:IWL327736 JGG327733:JGH327736 JQC327733:JQD327736 JZY327733:JZZ327736 KJU327733:KJV327736 KTQ327733:KTR327736 LDM327733:LDN327736 LNI327733:LNJ327736 LXE327733:LXF327736 MHA327733:MHB327736 MQW327733:MQX327736 NAS327733:NAT327736 NKO327733:NKP327736 NUK327733:NUL327736 OEG327733:OEH327736 OOC327733:OOD327736 OXY327733:OXZ327736 PHU327733:PHV327736 PRQ327733:PRR327736 QBM327733:QBN327736 QLI327733:QLJ327736 QVE327733:QVF327736 RFA327733:RFB327736 ROW327733:ROX327736 RYS327733:RYT327736 SIO327733:SIP327736 SSK327733:SSL327736 TCG327733:TCH327736 TMC327733:TMD327736 TVY327733:TVZ327736 UFU327733:UFV327736 UPQ327733:UPR327736 UZM327733:UZN327736 VJI327733:VJJ327736 VTE327733:VTF327736 WDA327733:WDB327736 WMW327733:WMX327736 WWS327733:WWT327736 AK393269:AL393272 KG393269:KH393272 UC393269:UD393272 ADY393269:ADZ393272 ANU393269:ANV393272 AXQ393269:AXR393272 BHM393269:BHN393272 BRI393269:BRJ393272 CBE393269:CBF393272 CLA393269:CLB393272 CUW393269:CUX393272 DES393269:DET393272 DOO393269:DOP393272 DYK393269:DYL393272 EIG393269:EIH393272 ESC393269:ESD393272 FBY393269:FBZ393272 FLU393269:FLV393272 FVQ393269:FVR393272 GFM393269:GFN393272 GPI393269:GPJ393272 GZE393269:GZF393272 HJA393269:HJB393272 HSW393269:HSX393272 ICS393269:ICT393272 IMO393269:IMP393272 IWK393269:IWL393272 JGG393269:JGH393272 JQC393269:JQD393272 JZY393269:JZZ393272 KJU393269:KJV393272 KTQ393269:KTR393272 LDM393269:LDN393272 LNI393269:LNJ393272 LXE393269:LXF393272 MHA393269:MHB393272 MQW393269:MQX393272 NAS393269:NAT393272 NKO393269:NKP393272 NUK393269:NUL393272 OEG393269:OEH393272 OOC393269:OOD393272 OXY393269:OXZ393272 PHU393269:PHV393272 PRQ393269:PRR393272 QBM393269:QBN393272 QLI393269:QLJ393272 QVE393269:QVF393272 RFA393269:RFB393272 ROW393269:ROX393272 RYS393269:RYT393272 SIO393269:SIP393272 SSK393269:SSL393272 TCG393269:TCH393272 TMC393269:TMD393272 TVY393269:TVZ393272 UFU393269:UFV393272 UPQ393269:UPR393272 UZM393269:UZN393272 VJI393269:VJJ393272 VTE393269:VTF393272 WDA393269:WDB393272 WMW393269:WMX393272 WWS393269:WWT393272 AK458805:AL458808 KG458805:KH458808 UC458805:UD458808 ADY458805:ADZ458808 ANU458805:ANV458808 AXQ458805:AXR458808 BHM458805:BHN458808 BRI458805:BRJ458808 CBE458805:CBF458808 CLA458805:CLB458808 CUW458805:CUX458808 DES458805:DET458808 DOO458805:DOP458808 DYK458805:DYL458808 EIG458805:EIH458808 ESC458805:ESD458808 FBY458805:FBZ458808 FLU458805:FLV458808 FVQ458805:FVR458808 GFM458805:GFN458808 GPI458805:GPJ458808 GZE458805:GZF458808 HJA458805:HJB458808 HSW458805:HSX458808 ICS458805:ICT458808 IMO458805:IMP458808 IWK458805:IWL458808 JGG458805:JGH458808 JQC458805:JQD458808 JZY458805:JZZ458808 KJU458805:KJV458808 KTQ458805:KTR458808 LDM458805:LDN458808 LNI458805:LNJ458808 LXE458805:LXF458808 MHA458805:MHB458808 MQW458805:MQX458808 NAS458805:NAT458808 NKO458805:NKP458808 NUK458805:NUL458808 OEG458805:OEH458808 OOC458805:OOD458808 OXY458805:OXZ458808 PHU458805:PHV458808 PRQ458805:PRR458808 QBM458805:QBN458808 QLI458805:QLJ458808 QVE458805:QVF458808 RFA458805:RFB458808 ROW458805:ROX458808 RYS458805:RYT458808 SIO458805:SIP458808 SSK458805:SSL458808 TCG458805:TCH458808 TMC458805:TMD458808 TVY458805:TVZ458808 UFU458805:UFV458808 UPQ458805:UPR458808 UZM458805:UZN458808 VJI458805:VJJ458808 VTE458805:VTF458808 WDA458805:WDB458808 WMW458805:WMX458808 WWS458805:WWT458808 AK524341:AL524344 KG524341:KH524344 UC524341:UD524344 ADY524341:ADZ524344 ANU524341:ANV524344 AXQ524341:AXR524344 BHM524341:BHN524344 BRI524341:BRJ524344 CBE524341:CBF524344 CLA524341:CLB524344 CUW524341:CUX524344 DES524341:DET524344 DOO524341:DOP524344 DYK524341:DYL524344 EIG524341:EIH524344 ESC524341:ESD524344 FBY524341:FBZ524344 FLU524341:FLV524344 FVQ524341:FVR524344 GFM524341:GFN524344 GPI524341:GPJ524344 GZE524341:GZF524344 HJA524341:HJB524344 HSW524341:HSX524344 ICS524341:ICT524344 IMO524341:IMP524344 IWK524341:IWL524344 JGG524341:JGH524344 JQC524341:JQD524344 JZY524341:JZZ524344 KJU524341:KJV524344 KTQ524341:KTR524344 LDM524341:LDN524344 LNI524341:LNJ524344 LXE524341:LXF524344 MHA524341:MHB524344 MQW524341:MQX524344 NAS524341:NAT524344 NKO524341:NKP524344 NUK524341:NUL524344 OEG524341:OEH524344 OOC524341:OOD524344 OXY524341:OXZ524344 PHU524341:PHV524344 PRQ524341:PRR524344 QBM524341:QBN524344 QLI524341:QLJ524344 QVE524341:QVF524344 RFA524341:RFB524344 ROW524341:ROX524344 RYS524341:RYT524344 SIO524341:SIP524344 SSK524341:SSL524344 TCG524341:TCH524344 TMC524341:TMD524344 TVY524341:TVZ524344 UFU524341:UFV524344 UPQ524341:UPR524344 UZM524341:UZN524344 VJI524341:VJJ524344 VTE524341:VTF524344 WDA524341:WDB524344 WMW524341:WMX524344 WWS524341:WWT524344 AK589877:AL589880 KG589877:KH589880 UC589877:UD589880 ADY589877:ADZ589880 ANU589877:ANV589880 AXQ589877:AXR589880 BHM589877:BHN589880 BRI589877:BRJ589880 CBE589877:CBF589880 CLA589877:CLB589880 CUW589877:CUX589880 DES589877:DET589880 DOO589877:DOP589880 DYK589877:DYL589880 EIG589877:EIH589880 ESC589877:ESD589880 FBY589877:FBZ589880 FLU589877:FLV589880 FVQ589877:FVR589880 GFM589877:GFN589880 GPI589877:GPJ589880 GZE589877:GZF589880 HJA589877:HJB589880 HSW589877:HSX589880 ICS589877:ICT589880 IMO589877:IMP589880 IWK589877:IWL589880 JGG589877:JGH589880 JQC589877:JQD589880 JZY589877:JZZ589880 KJU589877:KJV589880 KTQ589877:KTR589880 LDM589877:LDN589880 LNI589877:LNJ589880 LXE589877:LXF589880 MHA589877:MHB589880 MQW589877:MQX589880 NAS589877:NAT589880 NKO589877:NKP589880 NUK589877:NUL589880 OEG589877:OEH589880 OOC589877:OOD589880 OXY589877:OXZ589880 PHU589877:PHV589880 PRQ589877:PRR589880 QBM589877:QBN589880 QLI589877:QLJ589880 QVE589877:QVF589880 RFA589877:RFB589880 ROW589877:ROX589880 RYS589877:RYT589880 SIO589877:SIP589880 SSK589877:SSL589880 TCG589877:TCH589880 TMC589877:TMD589880 TVY589877:TVZ589880 UFU589877:UFV589880 UPQ589877:UPR589880 UZM589877:UZN589880 VJI589877:VJJ589880 VTE589877:VTF589880 WDA589877:WDB589880 WMW589877:WMX589880 WWS589877:WWT589880 AK655413:AL655416 KG655413:KH655416 UC655413:UD655416 ADY655413:ADZ655416 ANU655413:ANV655416 AXQ655413:AXR655416 BHM655413:BHN655416 BRI655413:BRJ655416 CBE655413:CBF655416 CLA655413:CLB655416 CUW655413:CUX655416 DES655413:DET655416 DOO655413:DOP655416 DYK655413:DYL655416 EIG655413:EIH655416 ESC655413:ESD655416 FBY655413:FBZ655416 FLU655413:FLV655416 FVQ655413:FVR655416 GFM655413:GFN655416 GPI655413:GPJ655416 GZE655413:GZF655416 HJA655413:HJB655416 HSW655413:HSX655416 ICS655413:ICT655416 IMO655413:IMP655416 IWK655413:IWL655416 JGG655413:JGH655416 JQC655413:JQD655416 JZY655413:JZZ655416 KJU655413:KJV655416 KTQ655413:KTR655416 LDM655413:LDN655416 LNI655413:LNJ655416 LXE655413:LXF655416 MHA655413:MHB655416 MQW655413:MQX655416 NAS655413:NAT655416 NKO655413:NKP655416 NUK655413:NUL655416 OEG655413:OEH655416 OOC655413:OOD655416 OXY655413:OXZ655416 PHU655413:PHV655416 PRQ655413:PRR655416 QBM655413:QBN655416 QLI655413:QLJ655416 QVE655413:QVF655416 RFA655413:RFB655416 ROW655413:ROX655416 RYS655413:RYT655416 SIO655413:SIP655416 SSK655413:SSL655416 TCG655413:TCH655416 TMC655413:TMD655416 TVY655413:TVZ655416 UFU655413:UFV655416 UPQ655413:UPR655416 UZM655413:UZN655416 VJI655413:VJJ655416 VTE655413:VTF655416 WDA655413:WDB655416 WMW655413:WMX655416 WWS655413:WWT655416 AK720949:AL720952 KG720949:KH720952 UC720949:UD720952 ADY720949:ADZ720952 ANU720949:ANV720952 AXQ720949:AXR720952 BHM720949:BHN720952 BRI720949:BRJ720952 CBE720949:CBF720952 CLA720949:CLB720952 CUW720949:CUX720952 DES720949:DET720952 DOO720949:DOP720952 DYK720949:DYL720952 EIG720949:EIH720952 ESC720949:ESD720952 FBY720949:FBZ720952 FLU720949:FLV720952 FVQ720949:FVR720952 GFM720949:GFN720952 GPI720949:GPJ720952 GZE720949:GZF720952 HJA720949:HJB720952 HSW720949:HSX720952 ICS720949:ICT720952 IMO720949:IMP720952 IWK720949:IWL720952 JGG720949:JGH720952 JQC720949:JQD720952 JZY720949:JZZ720952 KJU720949:KJV720952 KTQ720949:KTR720952 LDM720949:LDN720952 LNI720949:LNJ720952 LXE720949:LXF720952 MHA720949:MHB720952 MQW720949:MQX720952 NAS720949:NAT720952 NKO720949:NKP720952 NUK720949:NUL720952 OEG720949:OEH720952 OOC720949:OOD720952 OXY720949:OXZ720952 PHU720949:PHV720952 PRQ720949:PRR720952 QBM720949:QBN720952 QLI720949:QLJ720952 QVE720949:QVF720952 RFA720949:RFB720952 ROW720949:ROX720952 RYS720949:RYT720952 SIO720949:SIP720952 SSK720949:SSL720952 TCG720949:TCH720952 TMC720949:TMD720952 TVY720949:TVZ720952 UFU720949:UFV720952 UPQ720949:UPR720952 UZM720949:UZN720952 VJI720949:VJJ720952 VTE720949:VTF720952 WDA720949:WDB720952 WMW720949:WMX720952 WWS720949:WWT720952 AK786485:AL786488 KG786485:KH786488 UC786485:UD786488 ADY786485:ADZ786488 ANU786485:ANV786488 AXQ786485:AXR786488 BHM786485:BHN786488 BRI786485:BRJ786488 CBE786485:CBF786488 CLA786485:CLB786488 CUW786485:CUX786488 DES786485:DET786488 DOO786485:DOP786488 DYK786485:DYL786488 EIG786485:EIH786488 ESC786485:ESD786488 FBY786485:FBZ786488 FLU786485:FLV786488 FVQ786485:FVR786488 GFM786485:GFN786488 GPI786485:GPJ786488 GZE786485:GZF786488 HJA786485:HJB786488 HSW786485:HSX786488 ICS786485:ICT786488 IMO786485:IMP786488 IWK786485:IWL786488 JGG786485:JGH786488 JQC786485:JQD786488 JZY786485:JZZ786488 KJU786485:KJV786488 KTQ786485:KTR786488 LDM786485:LDN786488 LNI786485:LNJ786488 LXE786485:LXF786488 MHA786485:MHB786488 MQW786485:MQX786488 NAS786485:NAT786488 NKO786485:NKP786488 NUK786485:NUL786488 OEG786485:OEH786488 OOC786485:OOD786488 OXY786485:OXZ786488 PHU786485:PHV786488 PRQ786485:PRR786488 QBM786485:QBN786488 QLI786485:QLJ786488 QVE786485:QVF786488 RFA786485:RFB786488 ROW786485:ROX786488 RYS786485:RYT786488 SIO786485:SIP786488 SSK786485:SSL786488 TCG786485:TCH786488 TMC786485:TMD786488 TVY786485:TVZ786488 UFU786485:UFV786488 UPQ786485:UPR786488 UZM786485:UZN786488 VJI786485:VJJ786488 VTE786485:VTF786488 WDA786485:WDB786488 WMW786485:WMX786488 WWS786485:WWT786488 AK852021:AL852024 KG852021:KH852024 UC852021:UD852024 ADY852021:ADZ852024 ANU852021:ANV852024 AXQ852021:AXR852024 BHM852021:BHN852024 BRI852021:BRJ852024 CBE852021:CBF852024 CLA852021:CLB852024 CUW852021:CUX852024 DES852021:DET852024 DOO852021:DOP852024 DYK852021:DYL852024 EIG852021:EIH852024 ESC852021:ESD852024 FBY852021:FBZ852024 FLU852021:FLV852024 FVQ852021:FVR852024 GFM852021:GFN852024 GPI852021:GPJ852024 GZE852021:GZF852024 HJA852021:HJB852024 HSW852021:HSX852024 ICS852021:ICT852024 IMO852021:IMP852024 IWK852021:IWL852024 JGG852021:JGH852024 JQC852021:JQD852024 JZY852021:JZZ852024 KJU852021:KJV852024 KTQ852021:KTR852024 LDM852021:LDN852024 LNI852021:LNJ852024 LXE852021:LXF852024 MHA852021:MHB852024 MQW852021:MQX852024 NAS852021:NAT852024 NKO852021:NKP852024 NUK852021:NUL852024 OEG852021:OEH852024 OOC852021:OOD852024 OXY852021:OXZ852024 PHU852021:PHV852024 PRQ852021:PRR852024 QBM852021:QBN852024 QLI852021:QLJ852024 QVE852021:QVF852024 RFA852021:RFB852024 ROW852021:ROX852024 RYS852021:RYT852024 SIO852021:SIP852024 SSK852021:SSL852024 TCG852021:TCH852024 TMC852021:TMD852024 TVY852021:TVZ852024 UFU852021:UFV852024 UPQ852021:UPR852024 UZM852021:UZN852024 VJI852021:VJJ852024 VTE852021:VTF852024 WDA852021:WDB852024 WMW852021:WMX852024 WWS852021:WWT852024 AK917557:AL917560 KG917557:KH917560 UC917557:UD917560 ADY917557:ADZ917560 ANU917557:ANV917560 AXQ917557:AXR917560 BHM917557:BHN917560 BRI917557:BRJ917560 CBE917557:CBF917560 CLA917557:CLB917560 CUW917557:CUX917560 DES917557:DET917560 DOO917557:DOP917560 DYK917557:DYL917560 EIG917557:EIH917560 ESC917557:ESD917560 FBY917557:FBZ917560 FLU917557:FLV917560 FVQ917557:FVR917560 GFM917557:GFN917560 GPI917557:GPJ917560 GZE917557:GZF917560 HJA917557:HJB917560 HSW917557:HSX917560 ICS917557:ICT917560 IMO917557:IMP917560 IWK917557:IWL917560 JGG917557:JGH917560 JQC917557:JQD917560 JZY917557:JZZ917560 KJU917557:KJV917560 KTQ917557:KTR917560 LDM917557:LDN917560 LNI917557:LNJ917560 LXE917557:LXF917560 MHA917557:MHB917560 MQW917557:MQX917560 NAS917557:NAT917560 NKO917557:NKP917560 NUK917557:NUL917560 OEG917557:OEH917560 OOC917557:OOD917560 OXY917557:OXZ917560 PHU917557:PHV917560 PRQ917557:PRR917560 QBM917557:QBN917560 QLI917557:QLJ917560 QVE917557:QVF917560 RFA917557:RFB917560 ROW917557:ROX917560 RYS917557:RYT917560 SIO917557:SIP917560 SSK917557:SSL917560 TCG917557:TCH917560 TMC917557:TMD917560 TVY917557:TVZ917560 UFU917557:UFV917560 UPQ917557:UPR917560 UZM917557:UZN917560 VJI917557:VJJ917560 VTE917557:VTF917560 WDA917557:WDB917560 WMW917557:WMX917560 WWS917557:WWT917560 AK983093:AL983096 KG983093:KH983096 UC983093:UD983096 ADY983093:ADZ983096 ANU983093:ANV983096 AXQ983093:AXR983096 BHM983093:BHN983096 BRI983093:BRJ983096 CBE983093:CBF983096 CLA983093:CLB983096 CUW983093:CUX983096 DES983093:DET983096 DOO983093:DOP983096 DYK983093:DYL983096 EIG983093:EIH983096 ESC983093:ESD983096 FBY983093:FBZ983096 FLU983093:FLV983096 FVQ983093:FVR983096 GFM983093:GFN983096 GPI983093:GPJ983096 GZE983093:GZF983096 HJA983093:HJB983096 HSW983093:HSX983096 ICS983093:ICT983096 IMO983093:IMP983096 IWK983093:IWL983096 JGG983093:JGH983096 JQC983093:JQD983096 JZY983093:JZZ983096 KJU983093:KJV983096 KTQ983093:KTR983096 LDM983093:LDN983096 LNI983093:LNJ983096 LXE983093:LXF983096 MHA983093:MHB983096 MQW983093:MQX983096 NAS983093:NAT983096 NKO983093:NKP983096 NUK983093:NUL983096 OEG983093:OEH983096 OOC983093:OOD983096 OXY983093:OXZ983096 PHU983093:PHV983096 PRQ983093:PRR983096 QBM983093:QBN983096 QLI983093:QLJ983096 QVE983093:QVF983096 RFA983093:RFB983096 ROW983093:ROX983096 RYS983093:RYT983096 SIO983093:SIP983096 SSK983093:SSL983096 TCG983093:TCH983096 TMC983093:TMD983096 TVY983093:TVZ983096 UFU983093:UFV983096 UPQ983093:UPR983096 UZM983093:UZN983096 VJI983093:VJJ983096 VTE983093:VTF983096 WDA983093:WDB983096 WMW983093:WMX983096 WWS983093:WWT983096 WML983093:WMM983096 JK51:JL54 TG51:TH54 ADC51:ADD54 AMY51:AMZ54 AWU51:AWV54 BGQ51:BGR54 BQM51:BQN54 CAI51:CAJ54 CKE51:CKF54 CUA51:CUB54 DDW51:DDX54 DNS51:DNT54 DXO51:DXP54 EHK51:EHL54 ERG51:ERH54 FBC51:FBD54 FKY51:FKZ54 FUU51:FUV54 GEQ51:GER54 GOM51:GON54 GYI51:GYJ54 HIE51:HIF54 HSA51:HSB54 IBW51:IBX54 ILS51:ILT54 IVO51:IVP54 JFK51:JFL54 JPG51:JPH54 JZC51:JZD54 KIY51:KIZ54 KSU51:KSV54 LCQ51:LCR54 LMM51:LMN54 LWI51:LWJ54 MGE51:MGF54 MQA51:MQB54 MZW51:MZX54 NJS51:NJT54 NTO51:NTP54 ODK51:ODL54 ONG51:ONH54 OXC51:OXD54 PGY51:PGZ54 PQU51:PQV54 QAQ51:QAR54 QKM51:QKN54 QUI51:QUJ54 REE51:REF54 ROA51:ROB54 RXW51:RXX54 SHS51:SHT54 SRO51:SRP54 TBK51:TBL54 TLG51:TLH54 TVC51:TVD54 UEY51:UEZ54 UOU51:UOV54 UYQ51:UYR54 VIM51:VIN54 VSI51:VSJ54 WCE51:WCF54 WMA51:WMB54 WVW51:WVX54 O65589:P65592 JK65589:JL65592 TG65589:TH65592 ADC65589:ADD65592 AMY65589:AMZ65592 AWU65589:AWV65592 BGQ65589:BGR65592 BQM65589:BQN65592 CAI65589:CAJ65592 CKE65589:CKF65592 CUA65589:CUB65592 DDW65589:DDX65592 DNS65589:DNT65592 DXO65589:DXP65592 EHK65589:EHL65592 ERG65589:ERH65592 FBC65589:FBD65592 FKY65589:FKZ65592 FUU65589:FUV65592 GEQ65589:GER65592 GOM65589:GON65592 GYI65589:GYJ65592 HIE65589:HIF65592 HSA65589:HSB65592 IBW65589:IBX65592 ILS65589:ILT65592 IVO65589:IVP65592 JFK65589:JFL65592 JPG65589:JPH65592 JZC65589:JZD65592 KIY65589:KIZ65592 KSU65589:KSV65592 LCQ65589:LCR65592 LMM65589:LMN65592 LWI65589:LWJ65592 MGE65589:MGF65592 MQA65589:MQB65592 MZW65589:MZX65592 NJS65589:NJT65592 NTO65589:NTP65592 ODK65589:ODL65592 ONG65589:ONH65592 OXC65589:OXD65592 PGY65589:PGZ65592 PQU65589:PQV65592 QAQ65589:QAR65592 QKM65589:QKN65592 QUI65589:QUJ65592 REE65589:REF65592 ROA65589:ROB65592 RXW65589:RXX65592 SHS65589:SHT65592 SRO65589:SRP65592 TBK65589:TBL65592 TLG65589:TLH65592 TVC65589:TVD65592 UEY65589:UEZ65592 UOU65589:UOV65592 UYQ65589:UYR65592 VIM65589:VIN65592 VSI65589:VSJ65592 WCE65589:WCF65592 WMA65589:WMB65592 WVW65589:WVX65592 O131125:P131128 JK131125:JL131128 TG131125:TH131128 ADC131125:ADD131128 AMY131125:AMZ131128 AWU131125:AWV131128 BGQ131125:BGR131128 BQM131125:BQN131128 CAI131125:CAJ131128 CKE131125:CKF131128 CUA131125:CUB131128 DDW131125:DDX131128 DNS131125:DNT131128 DXO131125:DXP131128 EHK131125:EHL131128 ERG131125:ERH131128 FBC131125:FBD131128 FKY131125:FKZ131128 FUU131125:FUV131128 GEQ131125:GER131128 GOM131125:GON131128 GYI131125:GYJ131128 HIE131125:HIF131128 HSA131125:HSB131128 IBW131125:IBX131128 ILS131125:ILT131128 IVO131125:IVP131128 JFK131125:JFL131128 JPG131125:JPH131128 JZC131125:JZD131128 KIY131125:KIZ131128 KSU131125:KSV131128 LCQ131125:LCR131128 LMM131125:LMN131128 LWI131125:LWJ131128 MGE131125:MGF131128 MQA131125:MQB131128 MZW131125:MZX131128 NJS131125:NJT131128 NTO131125:NTP131128 ODK131125:ODL131128 ONG131125:ONH131128 OXC131125:OXD131128 PGY131125:PGZ131128 PQU131125:PQV131128 QAQ131125:QAR131128 QKM131125:QKN131128 QUI131125:QUJ131128 REE131125:REF131128 ROA131125:ROB131128 RXW131125:RXX131128 SHS131125:SHT131128 SRO131125:SRP131128 TBK131125:TBL131128 TLG131125:TLH131128 TVC131125:TVD131128 UEY131125:UEZ131128 UOU131125:UOV131128 UYQ131125:UYR131128 VIM131125:VIN131128 VSI131125:VSJ131128 WCE131125:WCF131128 WMA131125:WMB131128 WVW131125:WVX131128 O196661:P196664 JK196661:JL196664 TG196661:TH196664 ADC196661:ADD196664 AMY196661:AMZ196664 AWU196661:AWV196664 BGQ196661:BGR196664 BQM196661:BQN196664 CAI196661:CAJ196664 CKE196661:CKF196664 CUA196661:CUB196664 DDW196661:DDX196664 DNS196661:DNT196664 DXO196661:DXP196664 EHK196661:EHL196664 ERG196661:ERH196664 FBC196661:FBD196664 FKY196661:FKZ196664 FUU196661:FUV196664 GEQ196661:GER196664 GOM196661:GON196664 GYI196661:GYJ196664 HIE196661:HIF196664 HSA196661:HSB196664 IBW196661:IBX196664 ILS196661:ILT196664 IVO196661:IVP196664 JFK196661:JFL196664 JPG196661:JPH196664 JZC196661:JZD196664 KIY196661:KIZ196664 KSU196661:KSV196664 LCQ196661:LCR196664 LMM196661:LMN196664 LWI196661:LWJ196664 MGE196661:MGF196664 MQA196661:MQB196664 MZW196661:MZX196664 NJS196661:NJT196664 NTO196661:NTP196664 ODK196661:ODL196664 ONG196661:ONH196664 OXC196661:OXD196664 PGY196661:PGZ196664 PQU196661:PQV196664 QAQ196661:QAR196664 QKM196661:QKN196664 QUI196661:QUJ196664 REE196661:REF196664 ROA196661:ROB196664 RXW196661:RXX196664 SHS196661:SHT196664 SRO196661:SRP196664 TBK196661:TBL196664 TLG196661:TLH196664 TVC196661:TVD196664 UEY196661:UEZ196664 UOU196661:UOV196664 UYQ196661:UYR196664 VIM196661:VIN196664 VSI196661:VSJ196664 WCE196661:WCF196664 WMA196661:WMB196664 WVW196661:WVX196664 O262197:P262200 JK262197:JL262200 TG262197:TH262200 ADC262197:ADD262200 AMY262197:AMZ262200 AWU262197:AWV262200 BGQ262197:BGR262200 BQM262197:BQN262200 CAI262197:CAJ262200 CKE262197:CKF262200 CUA262197:CUB262200 DDW262197:DDX262200 DNS262197:DNT262200 DXO262197:DXP262200 EHK262197:EHL262200 ERG262197:ERH262200 FBC262197:FBD262200 FKY262197:FKZ262200 FUU262197:FUV262200 GEQ262197:GER262200 GOM262197:GON262200 GYI262197:GYJ262200 HIE262197:HIF262200 HSA262197:HSB262200 IBW262197:IBX262200 ILS262197:ILT262200 IVO262197:IVP262200 JFK262197:JFL262200 JPG262197:JPH262200 JZC262197:JZD262200 KIY262197:KIZ262200 KSU262197:KSV262200 LCQ262197:LCR262200 LMM262197:LMN262200 LWI262197:LWJ262200 MGE262197:MGF262200 MQA262197:MQB262200 MZW262197:MZX262200 NJS262197:NJT262200 NTO262197:NTP262200 ODK262197:ODL262200 ONG262197:ONH262200 OXC262197:OXD262200 PGY262197:PGZ262200 PQU262197:PQV262200 QAQ262197:QAR262200 QKM262197:QKN262200 QUI262197:QUJ262200 REE262197:REF262200 ROA262197:ROB262200 RXW262197:RXX262200 SHS262197:SHT262200 SRO262197:SRP262200 TBK262197:TBL262200 TLG262197:TLH262200 TVC262197:TVD262200 UEY262197:UEZ262200 UOU262197:UOV262200 UYQ262197:UYR262200 VIM262197:VIN262200 VSI262197:VSJ262200 WCE262197:WCF262200 WMA262197:WMB262200 WVW262197:WVX262200 O327733:P327736 JK327733:JL327736 TG327733:TH327736 ADC327733:ADD327736 AMY327733:AMZ327736 AWU327733:AWV327736 BGQ327733:BGR327736 BQM327733:BQN327736 CAI327733:CAJ327736 CKE327733:CKF327736 CUA327733:CUB327736 DDW327733:DDX327736 DNS327733:DNT327736 DXO327733:DXP327736 EHK327733:EHL327736 ERG327733:ERH327736 FBC327733:FBD327736 FKY327733:FKZ327736 FUU327733:FUV327736 GEQ327733:GER327736 GOM327733:GON327736 GYI327733:GYJ327736 HIE327733:HIF327736 HSA327733:HSB327736 IBW327733:IBX327736 ILS327733:ILT327736 IVO327733:IVP327736 JFK327733:JFL327736 JPG327733:JPH327736 JZC327733:JZD327736 KIY327733:KIZ327736 KSU327733:KSV327736 LCQ327733:LCR327736 LMM327733:LMN327736 LWI327733:LWJ327736 MGE327733:MGF327736 MQA327733:MQB327736 MZW327733:MZX327736 NJS327733:NJT327736 NTO327733:NTP327736 ODK327733:ODL327736 ONG327733:ONH327736 OXC327733:OXD327736 PGY327733:PGZ327736 PQU327733:PQV327736 QAQ327733:QAR327736 QKM327733:QKN327736 QUI327733:QUJ327736 REE327733:REF327736 ROA327733:ROB327736 RXW327733:RXX327736 SHS327733:SHT327736 SRO327733:SRP327736 TBK327733:TBL327736 TLG327733:TLH327736 TVC327733:TVD327736 UEY327733:UEZ327736 UOU327733:UOV327736 UYQ327733:UYR327736 VIM327733:VIN327736 VSI327733:VSJ327736 WCE327733:WCF327736 WMA327733:WMB327736 WVW327733:WVX327736 O393269:P393272 JK393269:JL393272 TG393269:TH393272 ADC393269:ADD393272 AMY393269:AMZ393272 AWU393269:AWV393272 BGQ393269:BGR393272 BQM393269:BQN393272 CAI393269:CAJ393272 CKE393269:CKF393272 CUA393269:CUB393272 DDW393269:DDX393272 DNS393269:DNT393272 DXO393269:DXP393272 EHK393269:EHL393272 ERG393269:ERH393272 FBC393269:FBD393272 FKY393269:FKZ393272 FUU393269:FUV393272 GEQ393269:GER393272 GOM393269:GON393272 GYI393269:GYJ393272 HIE393269:HIF393272 HSA393269:HSB393272 IBW393269:IBX393272 ILS393269:ILT393272 IVO393269:IVP393272 JFK393269:JFL393272 JPG393269:JPH393272 JZC393269:JZD393272 KIY393269:KIZ393272 KSU393269:KSV393272 LCQ393269:LCR393272 LMM393269:LMN393272 LWI393269:LWJ393272 MGE393269:MGF393272 MQA393269:MQB393272 MZW393269:MZX393272 NJS393269:NJT393272 NTO393269:NTP393272 ODK393269:ODL393272 ONG393269:ONH393272 OXC393269:OXD393272 PGY393269:PGZ393272 PQU393269:PQV393272 QAQ393269:QAR393272 QKM393269:QKN393272 QUI393269:QUJ393272 REE393269:REF393272 ROA393269:ROB393272 RXW393269:RXX393272 SHS393269:SHT393272 SRO393269:SRP393272 TBK393269:TBL393272 TLG393269:TLH393272 TVC393269:TVD393272 UEY393269:UEZ393272 UOU393269:UOV393272 UYQ393269:UYR393272 VIM393269:VIN393272 VSI393269:VSJ393272 WCE393269:WCF393272 WMA393269:WMB393272 WVW393269:WVX393272 O458805:P458808 JK458805:JL458808 TG458805:TH458808 ADC458805:ADD458808 AMY458805:AMZ458808 AWU458805:AWV458808 BGQ458805:BGR458808 BQM458805:BQN458808 CAI458805:CAJ458808 CKE458805:CKF458808 CUA458805:CUB458808 DDW458805:DDX458808 DNS458805:DNT458808 DXO458805:DXP458808 EHK458805:EHL458808 ERG458805:ERH458808 FBC458805:FBD458808 FKY458805:FKZ458808 FUU458805:FUV458808 GEQ458805:GER458808 GOM458805:GON458808 GYI458805:GYJ458808 HIE458805:HIF458808 HSA458805:HSB458808 IBW458805:IBX458808 ILS458805:ILT458808 IVO458805:IVP458808 JFK458805:JFL458808 JPG458805:JPH458808 JZC458805:JZD458808 KIY458805:KIZ458808 KSU458805:KSV458808 LCQ458805:LCR458808 LMM458805:LMN458808 LWI458805:LWJ458808 MGE458805:MGF458808 MQA458805:MQB458808 MZW458805:MZX458808 NJS458805:NJT458808 NTO458805:NTP458808 ODK458805:ODL458808 ONG458805:ONH458808 OXC458805:OXD458808 PGY458805:PGZ458808 PQU458805:PQV458808 QAQ458805:QAR458808 QKM458805:QKN458808 QUI458805:QUJ458808 REE458805:REF458808 ROA458805:ROB458808 RXW458805:RXX458808 SHS458805:SHT458808 SRO458805:SRP458808 TBK458805:TBL458808 TLG458805:TLH458808 TVC458805:TVD458808 UEY458805:UEZ458808 UOU458805:UOV458808 UYQ458805:UYR458808 VIM458805:VIN458808 VSI458805:VSJ458808 WCE458805:WCF458808 WMA458805:WMB458808 WVW458805:WVX458808 O524341:P524344 JK524341:JL524344 TG524341:TH524344 ADC524341:ADD524344 AMY524341:AMZ524344 AWU524341:AWV524344 BGQ524341:BGR524344 BQM524341:BQN524344 CAI524341:CAJ524344 CKE524341:CKF524344 CUA524341:CUB524344 DDW524341:DDX524344 DNS524341:DNT524344 DXO524341:DXP524344 EHK524341:EHL524344 ERG524341:ERH524344 FBC524341:FBD524344 FKY524341:FKZ524344 FUU524341:FUV524344 GEQ524341:GER524344 GOM524341:GON524344 GYI524341:GYJ524344 HIE524341:HIF524344 HSA524341:HSB524344 IBW524341:IBX524344 ILS524341:ILT524344 IVO524341:IVP524344 JFK524341:JFL524344 JPG524341:JPH524344 JZC524341:JZD524344 KIY524341:KIZ524344 KSU524341:KSV524344 LCQ524341:LCR524344 LMM524341:LMN524344 LWI524341:LWJ524344 MGE524341:MGF524344 MQA524341:MQB524344 MZW524341:MZX524344 NJS524341:NJT524344 NTO524341:NTP524344 ODK524341:ODL524344 ONG524341:ONH524344 OXC524341:OXD524344 PGY524341:PGZ524344 PQU524341:PQV524344 QAQ524341:QAR524344 QKM524341:QKN524344 QUI524341:QUJ524344 REE524341:REF524344 ROA524341:ROB524344 RXW524341:RXX524344 SHS524341:SHT524344 SRO524341:SRP524344 TBK524341:TBL524344 TLG524341:TLH524344 TVC524341:TVD524344 UEY524341:UEZ524344 UOU524341:UOV524344 UYQ524341:UYR524344 VIM524341:VIN524344 VSI524341:VSJ524344 WCE524341:WCF524344 WMA524341:WMB524344 WVW524341:WVX524344 O589877:P589880 JK589877:JL589880 TG589877:TH589880 ADC589877:ADD589880 AMY589877:AMZ589880 AWU589877:AWV589880 BGQ589877:BGR589880 BQM589877:BQN589880 CAI589877:CAJ589880 CKE589877:CKF589880 CUA589877:CUB589880 DDW589877:DDX589880 DNS589877:DNT589880 DXO589877:DXP589880 EHK589877:EHL589880 ERG589877:ERH589880 FBC589877:FBD589880 FKY589877:FKZ589880 FUU589877:FUV589880 GEQ589877:GER589880 GOM589877:GON589880 GYI589877:GYJ589880 HIE589877:HIF589880 HSA589877:HSB589880 IBW589877:IBX589880 ILS589877:ILT589880 IVO589877:IVP589880 JFK589877:JFL589880 JPG589877:JPH589880 JZC589877:JZD589880 KIY589877:KIZ589880 KSU589877:KSV589880 LCQ589877:LCR589880 LMM589877:LMN589880 LWI589877:LWJ589880 MGE589877:MGF589880 MQA589877:MQB589880 MZW589877:MZX589880 NJS589877:NJT589880 NTO589877:NTP589880 ODK589877:ODL589880 ONG589877:ONH589880 OXC589877:OXD589880 PGY589877:PGZ589880 PQU589877:PQV589880 QAQ589877:QAR589880 QKM589877:QKN589880 QUI589877:QUJ589880 REE589877:REF589880 ROA589877:ROB589880 RXW589877:RXX589880 SHS589877:SHT589880 SRO589877:SRP589880 TBK589877:TBL589880 TLG589877:TLH589880 TVC589877:TVD589880 UEY589877:UEZ589880 UOU589877:UOV589880 UYQ589877:UYR589880 VIM589877:VIN589880 VSI589877:VSJ589880 WCE589877:WCF589880 WMA589877:WMB589880 WVW589877:WVX589880 O655413:P655416 JK655413:JL655416 TG655413:TH655416 ADC655413:ADD655416 AMY655413:AMZ655416 AWU655413:AWV655416 BGQ655413:BGR655416 BQM655413:BQN655416 CAI655413:CAJ655416 CKE655413:CKF655416 CUA655413:CUB655416 DDW655413:DDX655416 DNS655413:DNT655416 DXO655413:DXP655416 EHK655413:EHL655416 ERG655413:ERH655416 FBC655413:FBD655416 FKY655413:FKZ655416 FUU655413:FUV655416 GEQ655413:GER655416 GOM655413:GON655416 GYI655413:GYJ655416 HIE655413:HIF655416 HSA655413:HSB655416 IBW655413:IBX655416 ILS655413:ILT655416 IVO655413:IVP655416 JFK655413:JFL655416 JPG655413:JPH655416 JZC655413:JZD655416 KIY655413:KIZ655416 KSU655413:KSV655416 LCQ655413:LCR655416 LMM655413:LMN655416 LWI655413:LWJ655416 MGE655413:MGF655416 MQA655413:MQB655416 MZW655413:MZX655416 NJS655413:NJT655416 NTO655413:NTP655416 ODK655413:ODL655416 ONG655413:ONH655416 OXC655413:OXD655416 PGY655413:PGZ655416 PQU655413:PQV655416 QAQ655413:QAR655416 QKM655413:QKN655416 QUI655413:QUJ655416 REE655413:REF655416 ROA655413:ROB655416 RXW655413:RXX655416 SHS655413:SHT655416 SRO655413:SRP655416 TBK655413:TBL655416 TLG655413:TLH655416 TVC655413:TVD655416 UEY655413:UEZ655416 UOU655413:UOV655416 UYQ655413:UYR655416 VIM655413:VIN655416 VSI655413:VSJ655416 WCE655413:WCF655416 WMA655413:WMB655416 WVW655413:WVX655416 O720949:P720952 JK720949:JL720952 TG720949:TH720952 ADC720949:ADD720952 AMY720949:AMZ720952 AWU720949:AWV720952 BGQ720949:BGR720952 BQM720949:BQN720952 CAI720949:CAJ720952 CKE720949:CKF720952 CUA720949:CUB720952 DDW720949:DDX720952 DNS720949:DNT720952 DXO720949:DXP720952 EHK720949:EHL720952 ERG720949:ERH720952 FBC720949:FBD720952 FKY720949:FKZ720952 FUU720949:FUV720952 GEQ720949:GER720952 GOM720949:GON720952 GYI720949:GYJ720952 HIE720949:HIF720952 HSA720949:HSB720952 IBW720949:IBX720952 ILS720949:ILT720952 IVO720949:IVP720952 JFK720949:JFL720952 JPG720949:JPH720952 JZC720949:JZD720952 KIY720949:KIZ720952 KSU720949:KSV720952 LCQ720949:LCR720952 LMM720949:LMN720952 LWI720949:LWJ720952 MGE720949:MGF720952 MQA720949:MQB720952 MZW720949:MZX720952 NJS720949:NJT720952 NTO720949:NTP720952 ODK720949:ODL720952 ONG720949:ONH720952 OXC720949:OXD720952 PGY720949:PGZ720952 PQU720949:PQV720952 QAQ720949:QAR720952 QKM720949:QKN720952 QUI720949:QUJ720952 REE720949:REF720952 ROA720949:ROB720952 RXW720949:RXX720952 SHS720949:SHT720952 SRO720949:SRP720952 TBK720949:TBL720952 TLG720949:TLH720952 TVC720949:TVD720952 UEY720949:UEZ720952 UOU720949:UOV720952 UYQ720949:UYR720952 VIM720949:VIN720952 VSI720949:VSJ720952 WCE720949:WCF720952 WMA720949:WMB720952 WVW720949:WVX720952 O786485:P786488 JK786485:JL786488 TG786485:TH786488 ADC786485:ADD786488 AMY786485:AMZ786488 AWU786485:AWV786488 BGQ786485:BGR786488 BQM786485:BQN786488 CAI786485:CAJ786488 CKE786485:CKF786488 CUA786485:CUB786488 DDW786485:DDX786488 DNS786485:DNT786488 DXO786485:DXP786488 EHK786485:EHL786488 ERG786485:ERH786488 FBC786485:FBD786488 FKY786485:FKZ786488 FUU786485:FUV786488 GEQ786485:GER786488 GOM786485:GON786488 GYI786485:GYJ786488 HIE786485:HIF786488 HSA786485:HSB786488 IBW786485:IBX786488 ILS786485:ILT786488 IVO786485:IVP786488 JFK786485:JFL786488 JPG786485:JPH786488 JZC786485:JZD786488 KIY786485:KIZ786488 KSU786485:KSV786488 LCQ786485:LCR786488 LMM786485:LMN786488 LWI786485:LWJ786488 MGE786485:MGF786488 MQA786485:MQB786488 MZW786485:MZX786488 NJS786485:NJT786488 NTO786485:NTP786488 ODK786485:ODL786488 ONG786485:ONH786488 OXC786485:OXD786488 PGY786485:PGZ786488 PQU786485:PQV786488 QAQ786485:QAR786488 QKM786485:QKN786488 QUI786485:QUJ786488 REE786485:REF786488 ROA786485:ROB786488 RXW786485:RXX786488 SHS786485:SHT786488 SRO786485:SRP786488 TBK786485:TBL786488 TLG786485:TLH786488 TVC786485:TVD786488 UEY786485:UEZ786488 UOU786485:UOV786488 UYQ786485:UYR786488 VIM786485:VIN786488 VSI786485:VSJ786488 WCE786485:WCF786488 WMA786485:WMB786488 WVW786485:WVX786488 O852021:P852024 JK852021:JL852024 TG852021:TH852024 ADC852021:ADD852024 AMY852021:AMZ852024 AWU852021:AWV852024 BGQ852021:BGR852024 BQM852021:BQN852024 CAI852021:CAJ852024 CKE852021:CKF852024 CUA852021:CUB852024 DDW852021:DDX852024 DNS852021:DNT852024 DXO852021:DXP852024 EHK852021:EHL852024 ERG852021:ERH852024 FBC852021:FBD852024 FKY852021:FKZ852024 FUU852021:FUV852024 GEQ852021:GER852024 GOM852021:GON852024 GYI852021:GYJ852024 HIE852021:HIF852024 HSA852021:HSB852024 IBW852021:IBX852024 ILS852021:ILT852024 IVO852021:IVP852024 JFK852021:JFL852024 JPG852021:JPH852024 JZC852021:JZD852024 KIY852021:KIZ852024 KSU852021:KSV852024 LCQ852021:LCR852024 LMM852021:LMN852024 LWI852021:LWJ852024 MGE852021:MGF852024 MQA852021:MQB852024 MZW852021:MZX852024 NJS852021:NJT852024 NTO852021:NTP852024 ODK852021:ODL852024 ONG852021:ONH852024 OXC852021:OXD852024 PGY852021:PGZ852024 PQU852021:PQV852024 QAQ852021:QAR852024 QKM852021:QKN852024 QUI852021:QUJ852024 REE852021:REF852024 ROA852021:ROB852024 RXW852021:RXX852024 SHS852021:SHT852024 SRO852021:SRP852024 TBK852021:TBL852024 TLG852021:TLH852024 TVC852021:TVD852024 UEY852021:UEZ852024 UOU852021:UOV852024 UYQ852021:UYR852024 VIM852021:VIN852024 VSI852021:VSJ852024 WCE852021:WCF852024 WMA852021:WMB852024 WVW852021:WVX852024 O917557:P917560 JK917557:JL917560 TG917557:TH917560 ADC917557:ADD917560 AMY917557:AMZ917560 AWU917557:AWV917560 BGQ917557:BGR917560 BQM917557:BQN917560 CAI917557:CAJ917560 CKE917557:CKF917560 CUA917557:CUB917560 DDW917557:DDX917560 DNS917557:DNT917560 DXO917557:DXP917560 EHK917557:EHL917560 ERG917557:ERH917560 FBC917557:FBD917560 FKY917557:FKZ917560 FUU917557:FUV917560 GEQ917557:GER917560 GOM917557:GON917560 GYI917557:GYJ917560 HIE917557:HIF917560 HSA917557:HSB917560 IBW917557:IBX917560 ILS917557:ILT917560 IVO917557:IVP917560 JFK917557:JFL917560 JPG917557:JPH917560 JZC917557:JZD917560 KIY917557:KIZ917560 KSU917557:KSV917560 LCQ917557:LCR917560 LMM917557:LMN917560 LWI917557:LWJ917560 MGE917557:MGF917560 MQA917557:MQB917560 MZW917557:MZX917560 NJS917557:NJT917560 NTO917557:NTP917560 ODK917557:ODL917560 ONG917557:ONH917560 OXC917557:OXD917560 PGY917557:PGZ917560 PQU917557:PQV917560 QAQ917557:QAR917560 QKM917557:QKN917560 QUI917557:QUJ917560 REE917557:REF917560 ROA917557:ROB917560 RXW917557:RXX917560 SHS917557:SHT917560 SRO917557:SRP917560 TBK917557:TBL917560 TLG917557:TLH917560 TVC917557:TVD917560 UEY917557:UEZ917560 UOU917557:UOV917560 UYQ917557:UYR917560 VIM917557:VIN917560 VSI917557:VSJ917560 WCE917557:WCF917560 WMA917557:WMB917560 WVW917557:WVX917560 O983093:P983096 JK983093:JL983096 TG983093:TH983096 ADC983093:ADD983096 AMY983093:AMZ983096 AWU983093:AWV983096 BGQ983093:BGR983096 BQM983093:BQN983096 CAI983093:CAJ983096 CKE983093:CKF983096 CUA983093:CUB983096 DDW983093:DDX983096 DNS983093:DNT983096 DXO983093:DXP983096 EHK983093:EHL983096 ERG983093:ERH983096 FBC983093:FBD983096 FKY983093:FKZ983096 FUU983093:FUV983096 GEQ983093:GER983096 GOM983093:GON983096 GYI983093:GYJ983096 HIE983093:HIF983096 HSA983093:HSB983096 IBW983093:IBX983096 ILS983093:ILT983096 IVO983093:IVP983096 JFK983093:JFL983096 JPG983093:JPH983096 JZC983093:JZD983096 KIY983093:KIZ983096 KSU983093:KSV983096 LCQ983093:LCR983096 LMM983093:LMN983096 LWI983093:LWJ983096 MGE983093:MGF983096 MQA983093:MQB983096 MZW983093:MZX983096 NJS983093:NJT983096 NTO983093:NTP983096 ODK983093:ODL983096 ONG983093:ONH983096 OXC983093:OXD983096 PGY983093:PGZ983096 PQU983093:PQV983096 QAQ983093:QAR983096 QKM983093:QKN983096 QUI983093:QUJ983096 REE983093:REF983096 ROA983093:ROB983096 RXW983093:RXX983096 SHS983093:SHT983096 SRO983093:SRP983096 TBK983093:TBL983096 TLG983093:TLH983096 TVC983093:TVD983096 UEY983093:UEZ983096 UOU983093:UOV983096 UYQ983093:UYR983096 VIM983093:VIN983096 VSI983093:VSJ983096 WCE983093:WCF983096 WMA983093:WMB983096 WVW983093:WVX983096 WWH983093:WWI983096 JV51:JW54 TR51:TS54 ADN51:ADO54 ANJ51:ANK54 AXF51:AXG54 BHB51:BHC54 BQX51:BQY54 CAT51:CAU54 CKP51:CKQ54 CUL51:CUM54 DEH51:DEI54 DOD51:DOE54 DXZ51:DYA54 EHV51:EHW54 ERR51:ERS54 FBN51:FBO54 FLJ51:FLK54 FVF51:FVG54 GFB51:GFC54 GOX51:GOY54 GYT51:GYU54 HIP51:HIQ54 HSL51:HSM54 ICH51:ICI54 IMD51:IME54 IVZ51:IWA54 JFV51:JFW54 JPR51:JPS54 JZN51:JZO54 KJJ51:KJK54 KTF51:KTG54 LDB51:LDC54 LMX51:LMY54 LWT51:LWU54 MGP51:MGQ54 MQL51:MQM54 NAH51:NAI54 NKD51:NKE54 NTZ51:NUA54 ODV51:ODW54 ONR51:ONS54 OXN51:OXO54 PHJ51:PHK54 PRF51:PRG54 QBB51:QBC54 QKX51:QKY54 QUT51:QUU54 REP51:REQ54 ROL51:ROM54 RYH51:RYI54 SID51:SIE54 SRZ51:SSA54 TBV51:TBW54 TLR51:TLS54 TVN51:TVO54 UFJ51:UFK54 UPF51:UPG54 UZB51:UZC54 VIX51:VIY54 VST51:VSU54 WCP51:WCQ54 WML51:WMM54 WWH51:WWI54 Z65589:AA65592 JV65589:JW65592 TR65589:TS65592 ADN65589:ADO65592 ANJ65589:ANK65592 AXF65589:AXG65592 BHB65589:BHC65592 BQX65589:BQY65592 CAT65589:CAU65592 CKP65589:CKQ65592 CUL65589:CUM65592 DEH65589:DEI65592 DOD65589:DOE65592 DXZ65589:DYA65592 EHV65589:EHW65592 ERR65589:ERS65592 FBN65589:FBO65592 FLJ65589:FLK65592 FVF65589:FVG65592 GFB65589:GFC65592 GOX65589:GOY65592 GYT65589:GYU65592 HIP65589:HIQ65592 HSL65589:HSM65592 ICH65589:ICI65592 IMD65589:IME65592 IVZ65589:IWA65592 JFV65589:JFW65592 JPR65589:JPS65592 JZN65589:JZO65592 KJJ65589:KJK65592 KTF65589:KTG65592 LDB65589:LDC65592 LMX65589:LMY65592 LWT65589:LWU65592 MGP65589:MGQ65592 MQL65589:MQM65592 NAH65589:NAI65592 NKD65589:NKE65592 NTZ65589:NUA65592 ODV65589:ODW65592 ONR65589:ONS65592 OXN65589:OXO65592 PHJ65589:PHK65592 PRF65589:PRG65592 QBB65589:QBC65592 QKX65589:QKY65592 QUT65589:QUU65592 REP65589:REQ65592 ROL65589:ROM65592 RYH65589:RYI65592 SID65589:SIE65592 SRZ65589:SSA65592 TBV65589:TBW65592 TLR65589:TLS65592 TVN65589:TVO65592 UFJ65589:UFK65592 UPF65589:UPG65592 UZB65589:UZC65592 VIX65589:VIY65592 VST65589:VSU65592 WCP65589:WCQ65592 WML65589:WMM65592 WWH65589:WWI65592 Z131125:AA131128 JV131125:JW131128 TR131125:TS131128 ADN131125:ADO131128 ANJ131125:ANK131128 AXF131125:AXG131128 BHB131125:BHC131128 BQX131125:BQY131128 CAT131125:CAU131128 CKP131125:CKQ131128 CUL131125:CUM131128 DEH131125:DEI131128 DOD131125:DOE131128 DXZ131125:DYA131128 EHV131125:EHW131128 ERR131125:ERS131128 FBN131125:FBO131128 FLJ131125:FLK131128 FVF131125:FVG131128 GFB131125:GFC131128 GOX131125:GOY131128 GYT131125:GYU131128 HIP131125:HIQ131128 HSL131125:HSM131128 ICH131125:ICI131128 IMD131125:IME131128 IVZ131125:IWA131128 JFV131125:JFW131128 JPR131125:JPS131128 JZN131125:JZO131128 KJJ131125:KJK131128 KTF131125:KTG131128 LDB131125:LDC131128 LMX131125:LMY131128 LWT131125:LWU131128 MGP131125:MGQ131128 MQL131125:MQM131128 NAH131125:NAI131128 NKD131125:NKE131128 NTZ131125:NUA131128 ODV131125:ODW131128 ONR131125:ONS131128 OXN131125:OXO131128 PHJ131125:PHK131128 PRF131125:PRG131128 QBB131125:QBC131128 QKX131125:QKY131128 QUT131125:QUU131128 REP131125:REQ131128 ROL131125:ROM131128 RYH131125:RYI131128 SID131125:SIE131128 SRZ131125:SSA131128 TBV131125:TBW131128 TLR131125:TLS131128 TVN131125:TVO131128 UFJ131125:UFK131128 UPF131125:UPG131128 UZB131125:UZC131128 VIX131125:VIY131128 VST131125:VSU131128 WCP131125:WCQ131128 WML131125:WMM131128 WWH131125:WWI131128 Z196661:AA196664 JV196661:JW196664 TR196661:TS196664 ADN196661:ADO196664 ANJ196661:ANK196664 AXF196661:AXG196664 BHB196661:BHC196664 BQX196661:BQY196664 CAT196661:CAU196664 CKP196661:CKQ196664 CUL196661:CUM196664 DEH196661:DEI196664 DOD196661:DOE196664 DXZ196661:DYA196664 EHV196661:EHW196664 ERR196661:ERS196664 FBN196661:FBO196664 FLJ196661:FLK196664 FVF196661:FVG196664 GFB196661:GFC196664 GOX196661:GOY196664 GYT196661:GYU196664 HIP196661:HIQ196664 HSL196661:HSM196664 ICH196661:ICI196664 IMD196661:IME196664 IVZ196661:IWA196664 JFV196661:JFW196664 JPR196661:JPS196664 JZN196661:JZO196664 KJJ196661:KJK196664 KTF196661:KTG196664 LDB196661:LDC196664 LMX196661:LMY196664 LWT196661:LWU196664 MGP196661:MGQ196664 MQL196661:MQM196664 NAH196661:NAI196664 NKD196661:NKE196664 NTZ196661:NUA196664 ODV196661:ODW196664 ONR196661:ONS196664 OXN196661:OXO196664 PHJ196661:PHK196664 PRF196661:PRG196664 QBB196661:QBC196664 QKX196661:QKY196664 QUT196661:QUU196664 REP196661:REQ196664 ROL196661:ROM196664 RYH196661:RYI196664 SID196661:SIE196664 SRZ196661:SSA196664 TBV196661:TBW196664 TLR196661:TLS196664 TVN196661:TVO196664 UFJ196661:UFK196664 UPF196661:UPG196664 UZB196661:UZC196664 VIX196661:VIY196664 VST196661:VSU196664 WCP196661:WCQ196664 WML196661:WMM196664 WWH196661:WWI196664 Z262197:AA262200 JV262197:JW262200 TR262197:TS262200 ADN262197:ADO262200 ANJ262197:ANK262200 AXF262197:AXG262200 BHB262197:BHC262200 BQX262197:BQY262200 CAT262197:CAU262200 CKP262197:CKQ262200 CUL262197:CUM262200 DEH262197:DEI262200 DOD262197:DOE262200 DXZ262197:DYA262200 EHV262197:EHW262200 ERR262197:ERS262200 FBN262197:FBO262200 FLJ262197:FLK262200 FVF262197:FVG262200 GFB262197:GFC262200 GOX262197:GOY262200 GYT262197:GYU262200 HIP262197:HIQ262200 HSL262197:HSM262200 ICH262197:ICI262200 IMD262197:IME262200 IVZ262197:IWA262200 JFV262197:JFW262200 JPR262197:JPS262200 JZN262197:JZO262200 KJJ262197:KJK262200 KTF262197:KTG262200 LDB262197:LDC262200 LMX262197:LMY262200 LWT262197:LWU262200 MGP262197:MGQ262200 MQL262197:MQM262200 NAH262197:NAI262200 NKD262197:NKE262200 NTZ262197:NUA262200 ODV262197:ODW262200 ONR262197:ONS262200 OXN262197:OXO262200 PHJ262197:PHK262200 PRF262197:PRG262200 QBB262197:QBC262200 QKX262197:QKY262200 QUT262197:QUU262200 REP262197:REQ262200 ROL262197:ROM262200 RYH262197:RYI262200 SID262197:SIE262200 SRZ262197:SSA262200 TBV262197:TBW262200 TLR262197:TLS262200 TVN262197:TVO262200 UFJ262197:UFK262200 UPF262197:UPG262200 UZB262197:UZC262200 VIX262197:VIY262200 VST262197:VSU262200 WCP262197:WCQ262200 WML262197:WMM262200 WWH262197:WWI262200 Z327733:AA327736 JV327733:JW327736 TR327733:TS327736 ADN327733:ADO327736 ANJ327733:ANK327736 AXF327733:AXG327736 BHB327733:BHC327736 BQX327733:BQY327736 CAT327733:CAU327736 CKP327733:CKQ327736 CUL327733:CUM327736 DEH327733:DEI327736 DOD327733:DOE327736 DXZ327733:DYA327736 EHV327733:EHW327736 ERR327733:ERS327736 FBN327733:FBO327736 FLJ327733:FLK327736 FVF327733:FVG327736 GFB327733:GFC327736 GOX327733:GOY327736 GYT327733:GYU327736 HIP327733:HIQ327736 HSL327733:HSM327736 ICH327733:ICI327736 IMD327733:IME327736 IVZ327733:IWA327736 JFV327733:JFW327736 JPR327733:JPS327736 JZN327733:JZO327736 KJJ327733:KJK327736 KTF327733:KTG327736 LDB327733:LDC327736 LMX327733:LMY327736 LWT327733:LWU327736 MGP327733:MGQ327736 MQL327733:MQM327736 NAH327733:NAI327736 NKD327733:NKE327736 NTZ327733:NUA327736 ODV327733:ODW327736 ONR327733:ONS327736 OXN327733:OXO327736 PHJ327733:PHK327736 PRF327733:PRG327736 QBB327733:QBC327736 QKX327733:QKY327736 QUT327733:QUU327736 REP327733:REQ327736 ROL327733:ROM327736 RYH327733:RYI327736 SID327733:SIE327736 SRZ327733:SSA327736 TBV327733:TBW327736 TLR327733:TLS327736 TVN327733:TVO327736 UFJ327733:UFK327736 UPF327733:UPG327736 UZB327733:UZC327736 VIX327733:VIY327736 VST327733:VSU327736 WCP327733:WCQ327736 WML327733:WMM327736 WWH327733:WWI327736 Z393269:AA393272 JV393269:JW393272 TR393269:TS393272 ADN393269:ADO393272 ANJ393269:ANK393272 AXF393269:AXG393272 BHB393269:BHC393272 BQX393269:BQY393272 CAT393269:CAU393272 CKP393269:CKQ393272 CUL393269:CUM393272 DEH393269:DEI393272 DOD393269:DOE393272 DXZ393269:DYA393272 EHV393269:EHW393272 ERR393269:ERS393272 FBN393269:FBO393272 FLJ393269:FLK393272 FVF393269:FVG393272 GFB393269:GFC393272 GOX393269:GOY393272 GYT393269:GYU393272 HIP393269:HIQ393272 HSL393269:HSM393272 ICH393269:ICI393272 IMD393269:IME393272 IVZ393269:IWA393272 JFV393269:JFW393272 JPR393269:JPS393272 JZN393269:JZO393272 KJJ393269:KJK393272 KTF393269:KTG393272 LDB393269:LDC393272 LMX393269:LMY393272 LWT393269:LWU393272 MGP393269:MGQ393272 MQL393269:MQM393272 NAH393269:NAI393272 NKD393269:NKE393272 NTZ393269:NUA393272 ODV393269:ODW393272 ONR393269:ONS393272 OXN393269:OXO393272 PHJ393269:PHK393272 PRF393269:PRG393272 QBB393269:QBC393272 QKX393269:QKY393272 QUT393269:QUU393272 REP393269:REQ393272 ROL393269:ROM393272 RYH393269:RYI393272 SID393269:SIE393272 SRZ393269:SSA393272 TBV393269:TBW393272 TLR393269:TLS393272 TVN393269:TVO393272 UFJ393269:UFK393272 UPF393269:UPG393272 UZB393269:UZC393272 VIX393269:VIY393272 VST393269:VSU393272 WCP393269:WCQ393272 WML393269:WMM393272 WWH393269:WWI393272 Z458805:AA458808 JV458805:JW458808 TR458805:TS458808 ADN458805:ADO458808 ANJ458805:ANK458808 AXF458805:AXG458808 BHB458805:BHC458808 BQX458805:BQY458808 CAT458805:CAU458808 CKP458805:CKQ458808 CUL458805:CUM458808 DEH458805:DEI458808 DOD458805:DOE458808 DXZ458805:DYA458808 EHV458805:EHW458808 ERR458805:ERS458808 FBN458805:FBO458808 FLJ458805:FLK458808 FVF458805:FVG458808 GFB458805:GFC458808 GOX458805:GOY458808 GYT458805:GYU458808 HIP458805:HIQ458808 HSL458805:HSM458808 ICH458805:ICI458808 IMD458805:IME458808 IVZ458805:IWA458808 JFV458805:JFW458808 JPR458805:JPS458808 JZN458805:JZO458808 KJJ458805:KJK458808 KTF458805:KTG458808 LDB458805:LDC458808 LMX458805:LMY458808 LWT458805:LWU458808 MGP458805:MGQ458808 MQL458805:MQM458808 NAH458805:NAI458808 NKD458805:NKE458808 NTZ458805:NUA458808 ODV458805:ODW458808 ONR458805:ONS458808 OXN458805:OXO458808 PHJ458805:PHK458808 PRF458805:PRG458808 QBB458805:QBC458808 QKX458805:QKY458808 QUT458805:QUU458808 REP458805:REQ458808 ROL458805:ROM458808 RYH458805:RYI458808 SID458805:SIE458808 SRZ458805:SSA458808 TBV458805:TBW458808 TLR458805:TLS458808 TVN458805:TVO458808 UFJ458805:UFK458808 UPF458805:UPG458808 UZB458805:UZC458808 VIX458805:VIY458808 VST458805:VSU458808 WCP458805:WCQ458808 WML458805:WMM458808 WWH458805:WWI458808 Z524341:AA524344 JV524341:JW524344 TR524341:TS524344 ADN524341:ADO524344 ANJ524341:ANK524344 AXF524341:AXG524344 BHB524341:BHC524344 BQX524341:BQY524344 CAT524341:CAU524344 CKP524341:CKQ524344 CUL524341:CUM524344 DEH524341:DEI524344 DOD524341:DOE524344 DXZ524341:DYA524344 EHV524341:EHW524344 ERR524341:ERS524344 FBN524341:FBO524344 FLJ524341:FLK524344 FVF524341:FVG524344 GFB524341:GFC524344 GOX524341:GOY524344 GYT524341:GYU524344 HIP524341:HIQ524344 HSL524341:HSM524344 ICH524341:ICI524344 IMD524341:IME524344 IVZ524341:IWA524344 JFV524341:JFW524344 JPR524341:JPS524344 JZN524341:JZO524344 KJJ524341:KJK524344 KTF524341:KTG524344 LDB524341:LDC524344 LMX524341:LMY524344 LWT524341:LWU524344 MGP524341:MGQ524344 MQL524341:MQM524344 NAH524341:NAI524344 NKD524341:NKE524344 NTZ524341:NUA524344 ODV524341:ODW524344 ONR524341:ONS524344 OXN524341:OXO524344 PHJ524341:PHK524344 PRF524341:PRG524344 QBB524341:QBC524344 QKX524341:QKY524344 QUT524341:QUU524344 REP524341:REQ524344 ROL524341:ROM524344 RYH524341:RYI524344 SID524341:SIE524344 SRZ524341:SSA524344 TBV524341:TBW524344 TLR524341:TLS524344 TVN524341:TVO524344 UFJ524341:UFK524344 UPF524341:UPG524344 UZB524341:UZC524344 VIX524341:VIY524344 VST524341:VSU524344 WCP524341:WCQ524344 WML524341:WMM524344 WWH524341:WWI524344 Z589877:AA589880 JV589877:JW589880 TR589877:TS589880 ADN589877:ADO589880 ANJ589877:ANK589880 AXF589877:AXG589880 BHB589877:BHC589880 BQX589877:BQY589880 CAT589877:CAU589880 CKP589877:CKQ589880 CUL589877:CUM589880 DEH589877:DEI589880 DOD589877:DOE589880 DXZ589877:DYA589880 EHV589877:EHW589880 ERR589877:ERS589880 FBN589877:FBO589880 FLJ589877:FLK589880 FVF589877:FVG589880 GFB589877:GFC589880 GOX589877:GOY589880 GYT589877:GYU589880 HIP589877:HIQ589880 HSL589877:HSM589880 ICH589877:ICI589880 IMD589877:IME589880 IVZ589877:IWA589880 JFV589877:JFW589880 JPR589877:JPS589880 JZN589877:JZO589880 KJJ589877:KJK589880 KTF589877:KTG589880 LDB589877:LDC589880 LMX589877:LMY589880 LWT589877:LWU589880 MGP589877:MGQ589880 MQL589877:MQM589880 NAH589877:NAI589880 NKD589877:NKE589880 NTZ589877:NUA589880 ODV589877:ODW589880 ONR589877:ONS589880 OXN589877:OXO589880 PHJ589877:PHK589880 PRF589877:PRG589880 QBB589877:QBC589880 QKX589877:QKY589880 QUT589877:QUU589880 REP589877:REQ589880 ROL589877:ROM589880 RYH589877:RYI589880 SID589877:SIE589880 SRZ589877:SSA589880 TBV589877:TBW589880 TLR589877:TLS589880 TVN589877:TVO589880 UFJ589877:UFK589880 UPF589877:UPG589880 UZB589877:UZC589880 VIX589877:VIY589880 VST589877:VSU589880 WCP589877:WCQ589880 WML589877:WMM589880 WWH589877:WWI589880 Z655413:AA655416 JV655413:JW655416 TR655413:TS655416 ADN655413:ADO655416 ANJ655413:ANK655416 AXF655413:AXG655416 BHB655413:BHC655416 BQX655413:BQY655416 CAT655413:CAU655416 CKP655413:CKQ655416 CUL655413:CUM655416 DEH655413:DEI655416 DOD655413:DOE655416 DXZ655413:DYA655416 EHV655413:EHW655416 ERR655413:ERS655416 FBN655413:FBO655416 FLJ655413:FLK655416 FVF655413:FVG655416 GFB655413:GFC655416 GOX655413:GOY655416 GYT655413:GYU655416 HIP655413:HIQ655416 HSL655413:HSM655416 ICH655413:ICI655416 IMD655413:IME655416 IVZ655413:IWA655416 JFV655413:JFW655416 JPR655413:JPS655416 JZN655413:JZO655416 KJJ655413:KJK655416 KTF655413:KTG655416 LDB655413:LDC655416 LMX655413:LMY655416 LWT655413:LWU655416 MGP655413:MGQ655416 MQL655413:MQM655416 NAH655413:NAI655416 NKD655413:NKE655416 NTZ655413:NUA655416 ODV655413:ODW655416 ONR655413:ONS655416 OXN655413:OXO655416 PHJ655413:PHK655416 PRF655413:PRG655416 QBB655413:QBC655416 QKX655413:QKY655416 QUT655413:QUU655416 REP655413:REQ655416 ROL655413:ROM655416 RYH655413:RYI655416 SID655413:SIE655416 SRZ655413:SSA655416 TBV655413:TBW655416 TLR655413:TLS655416 TVN655413:TVO655416 UFJ655413:UFK655416 UPF655413:UPG655416 UZB655413:UZC655416 VIX655413:VIY655416 VST655413:VSU655416 WCP655413:WCQ655416 WML655413:WMM655416 WWH655413:WWI655416 Z720949:AA720952 JV720949:JW720952 TR720949:TS720952 ADN720949:ADO720952 ANJ720949:ANK720952 AXF720949:AXG720952 BHB720949:BHC720952 BQX720949:BQY720952 CAT720949:CAU720952 CKP720949:CKQ720952 CUL720949:CUM720952 DEH720949:DEI720952 DOD720949:DOE720952 DXZ720949:DYA720952 EHV720949:EHW720952 ERR720949:ERS720952 FBN720949:FBO720952 FLJ720949:FLK720952 FVF720949:FVG720952 GFB720949:GFC720952 GOX720949:GOY720952 GYT720949:GYU720952 HIP720949:HIQ720952 HSL720949:HSM720952 ICH720949:ICI720952 IMD720949:IME720952 IVZ720949:IWA720952 JFV720949:JFW720952 JPR720949:JPS720952 JZN720949:JZO720952 KJJ720949:KJK720952 KTF720949:KTG720952 LDB720949:LDC720952 LMX720949:LMY720952 LWT720949:LWU720952 MGP720949:MGQ720952 MQL720949:MQM720952 NAH720949:NAI720952 NKD720949:NKE720952 NTZ720949:NUA720952 ODV720949:ODW720952 ONR720949:ONS720952 OXN720949:OXO720952 PHJ720949:PHK720952 PRF720949:PRG720952 QBB720949:QBC720952 QKX720949:QKY720952 QUT720949:QUU720952 REP720949:REQ720952 ROL720949:ROM720952 RYH720949:RYI720952 SID720949:SIE720952 SRZ720949:SSA720952 TBV720949:TBW720952 TLR720949:TLS720952 TVN720949:TVO720952 UFJ720949:UFK720952 UPF720949:UPG720952 UZB720949:UZC720952 VIX720949:VIY720952 VST720949:VSU720952 WCP720949:WCQ720952 WML720949:WMM720952 WWH720949:WWI720952 Z786485:AA786488 JV786485:JW786488 TR786485:TS786488 ADN786485:ADO786488 ANJ786485:ANK786488 AXF786485:AXG786488 BHB786485:BHC786488 BQX786485:BQY786488 CAT786485:CAU786488 CKP786485:CKQ786488 CUL786485:CUM786488 DEH786485:DEI786488 DOD786485:DOE786488 DXZ786485:DYA786488 EHV786485:EHW786488 ERR786485:ERS786488 FBN786485:FBO786488 FLJ786485:FLK786488 FVF786485:FVG786488 GFB786485:GFC786488 GOX786485:GOY786488 GYT786485:GYU786488 HIP786485:HIQ786488 HSL786485:HSM786488 ICH786485:ICI786488 IMD786485:IME786488 IVZ786485:IWA786488 JFV786485:JFW786488 JPR786485:JPS786488 JZN786485:JZO786488 KJJ786485:KJK786488 KTF786485:KTG786488 LDB786485:LDC786488 LMX786485:LMY786488 LWT786485:LWU786488 MGP786485:MGQ786488 MQL786485:MQM786488 NAH786485:NAI786488 NKD786485:NKE786488 NTZ786485:NUA786488 ODV786485:ODW786488 ONR786485:ONS786488 OXN786485:OXO786488 PHJ786485:PHK786488 PRF786485:PRG786488 QBB786485:QBC786488 QKX786485:QKY786488 QUT786485:QUU786488 REP786485:REQ786488 ROL786485:ROM786488 RYH786485:RYI786488 SID786485:SIE786488 SRZ786485:SSA786488 TBV786485:TBW786488 TLR786485:TLS786488 TVN786485:TVO786488 UFJ786485:UFK786488 UPF786485:UPG786488 UZB786485:UZC786488 VIX786485:VIY786488 VST786485:VSU786488 WCP786485:WCQ786488 WML786485:WMM786488 WWH786485:WWI786488 Z852021:AA852024 JV852021:JW852024 TR852021:TS852024 ADN852021:ADO852024 ANJ852021:ANK852024 AXF852021:AXG852024 BHB852021:BHC852024 BQX852021:BQY852024 CAT852021:CAU852024 CKP852021:CKQ852024 CUL852021:CUM852024 DEH852021:DEI852024 DOD852021:DOE852024 DXZ852021:DYA852024 EHV852021:EHW852024 ERR852021:ERS852024 FBN852021:FBO852024 FLJ852021:FLK852024 FVF852021:FVG852024 GFB852021:GFC852024 GOX852021:GOY852024 GYT852021:GYU852024 HIP852021:HIQ852024 HSL852021:HSM852024 ICH852021:ICI852024 IMD852021:IME852024 IVZ852021:IWA852024 JFV852021:JFW852024 JPR852021:JPS852024 JZN852021:JZO852024 KJJ852021:KJK852024 KTF852021:KTG852024 LDB852021:LDC852024 LMX852021:LMY852024 LWT852021:LWU852024 MGP852021:MGQ852024 MQL852021:MQM852024 NAH852021:NAI852024 NKD852021:NKE852024 NTZ852021:NUA852024 ODV852021:ODW852024 ONR852021:ONS852024 OXN852021:OXO852024 PHJ852021:PHK852024 PRF852021:PRG852024 QBB852021:QBC852024 QKX852021:QKY852024 QUT852021:QUU852024 REP852021:REQ852024 ROL852021:ROM852024 RYH852021:RYI852024 SID852021:SIE852024 SRZ852021:SSA852024 TBV852021:TBW852024 TLR852021:TLS852024 TVN852021:TVO852024 UFJ852021:UFK852024 UPF852021:UPG852024 UZB852021:UZC852024 VIX852021:VIY852024 VST852021:VSU852024 WCP852021:WCQ852024 WML852021:WMM852024 WWH852021:WWI852024 Z917557:AA917560 JV917557:JW917560 TR917557:TS917560 ADN917557:ADO917560 ANJ917557:ANK917560 AXF917557:AXG917560 BHB917557:BHC917560 BQX917557:BQY917560 CAT917557:CAU917560 CKP917557:CKQ917560 CUL917557:CUM917560 DEH917557:DEI917560 DOD917557:DOE917560 DXZ917557:DYA917560 EHV917557:EHW917560 ERR917557:ERS917560 FBN917557:FBO917560 FLJ917557:FLK917560 FVF917557:FVG917560 GFB917557:GFC917560 GOX917557:GOY917560 GYT917557:GYU917560 HIP917557:HIQ917560 HSL917557:HSM917560 ICH917557:ICI917560 IMD917557:IME917560 IVZ917557:IWA917560 JFV917557:JFW917560 JPR917557:JPS917560 JZN917557:JZO917560 KJJ917557:KJK917560 KTF917557:KTG917560 LDB917557:LDC917560 LMX917557:LMY917560 LWT917557:LWU917560 MGP917557:MGQ917560 MQL917557:MQM917560 NAH917557:NAI917560 NKD917557:NKE917560 NTZ917557:NUA917560 ODV917557:ODW917560 ONR917557:ONS917560 OXN917557:OXO917560 PHJ917557:PHK917560 PRF917557:PRG917560 QBB917557:QBC917560 QKX917557:QKY917560 QUT917557:QUU917560 REP917557:REQ917560 ROL917557:ROM917560 RYH917557:RYI917560 SID917557:SIE917560 SRZ917557:SSA917560 TBV917557:TBW917560 TLR917557:TLS917560 TVN917557:TVO917560 UFJ917557:UFK917560 UPF917557:UPG917560 UZB917557:UZC917560 VIX917557:VIY917560 VST917557:VSU917560 WCP917557:WCQ917560 WML917557:WMM917560 WWH917557:WWI917560 Z983093:AA983096 JV983093:JW983096 TR983093:TS983096 ADN983093:ADO983096 ANJ983093:ANK983096 AXF983093:AXG983096 BHB983093:BHC983096 BQX983093:BQY983096 CAT983093:CAU983096 CKP983093:CKQ983096 CUL983093:CUM983096 DEH983093:DEI983096 DOD983093:DOE983096 DXZ983093:DYA983096 EHV983093:EHW983096 ERR983093:ERS983096 FBN983093:FBO983096 FLJ983093:FLK983096 FVF983093:FVG983096 GFB983093:GFC983096 GOX983093:GOY983096 GYT983093:GYU983096 HIP983093:HIQ983096 HSL983093:HSM983096 ICH983093:ICI983096 IMD983093:IME983096 IVZ983093:IWA983096 JFV983093:JFW983096 JPR983093:JPS983096 JZN983093:JZO983096 KJJ983093:KJK983096 KTF983093:KTG983096 LDB983093:LDC983096 LMX983093:LMY983096 LWT983093:LWU983096 MGP983093:MGQ983096 MQL983093:MQM983096 NAH983093:NAI983096 NKD983093:NKE983096 NTZ983093:NUA983096 ODV983093:ODW983096 ONR983093:ONS983096 OXN983093:OXO983096 PHJ983093:PHK983096 PRF983093:PRG983096 QBB983093:QBC983096 QKX983093:QKY983096 QUT983093:QUU983096 REP983093:REQ983096 ROL983093:ROM983096 RYH983093:RYI983096 SID983093:SIE983096 SRZ983093:SSA983096 TBV983093:TBW983096 TLR983093:TLS983096 TVN983093:TVO983096 UFJ983093:UFK983096 UPF983093:UPG983096 UZB983093:UZC983096 VIX983093:VIY983096 VST983093:VSU983096">
      <formula1>"YES,NO"</formula1>
    </dataValidation>
  </dataValidations>
  <printOptions horizontalCentered="1" verticalCentered="1"/>
  <pageMargins left="0" right="0" top="0" bottom="0" header="0" footer="0"/>
  <pageSetup paperSize="9" scale="96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P69"/>
  <sheetViews>
    <sheetView view="pageBreakPreview" topLeftCell="A34" zoomScale="130" zoomScaleNormal="115" zoomScaleSheetLayoutView="130" workbookViewId="0">
      <selection sqref="A1:XFD5"/>
    </sheetView>
  </sheetViews>
  <sheetFormatPr defaultRowHeight="12" customHeight="1" x14ac:dyDescent="0.2"/>
  <cols>
    <col min="1" max="39" width="2.42578125" style="8" customWidth="1"/>
    <col min="40" max="40" width="3.42578125" style="8" bestFit="1" customWidth="1"/>
    <col min="41" max="256" width="9.140625" style="8"/>
    <col min="257" max="295" width="2.42578125" style="8" customWidth="1"/>
    <col min="296" max="296" width="3.42578125" style="8" bestFit="1" customWidth="1"/>
    <col min="297" max="512" width="9.140625" style="8"/>
    <col min="513" max="551" width="2.42578125" style="8" customWidth="1"/>
    <col min="552" max="552" width="3.42578125" style="8" bestFit="1" customWidth="1"/>
    <col min="553" max="768" width="9.140625" style="8"/>
    <col min="769" max="807" width="2.42578125" style="8" customWidth="1"/>
    <col min="808" max="808" width="3.42578125" style="8" bestFit="1" customWidth="1"/>
    <col min="809" max="1024" width="9.140625" style="8"/>
    <col min="1025" max="1063" width="2.42578125" style="8" customWidth="1"/>
    <col min="1064" max="1064" width="3.42578125" style="8" bestFit="1" customWidth="1"/>
    <col min="1065" max="1280" width="9.140625" style="8"/>
    <col min="1281" max="1319" width="2.42578125" style="8" customWidth="1"/>
    <col min="1320" max="1320" width="3.42578125" style="8" bestFit="1" customWidth="1"/>
    <col min="1321" max="1536" width="9.140625" style="8"/>
    <col min="1537" max="1575" width="2.42578125" style="8" customWidth="1"/>
    <col min="1576" max="1576" width="3.42578125" style="8" bestFit="1" customWidth="1"/>
    <col min="1577" max="1792" width="9.140625" style="8"/>
    <col min="1793" max="1831" width="2.42578125" style="8" customWidth="1"/>
    <col min="1832" max="1832" width="3.42578125" style="8" bestFit="1" customWidth="1"/>
    <col min="1833" max="2048" width="9.140625" style="8"/>
    <col min="2049" max="2087" width="2.42578125" style="8" customWidth="1"/>
    <col min="2088" max="2088" width="3.42578125" style="8" bestFit="1" customWidth="1"/>
    <col min="2089" max="2304" width="9.140625" style="8"/>
    <col min="2305" max="2343" width="2.42578125" style="8" customWidth="1"/>
    <col min="2344" max="2344" width="3.42578125" style="8" bestFit="1" customWidth="1"/>
    <col min="2345" max="2560" width="9.140625" style="8"/>
    <col min="2561" max="2599" width="2.42578125" style="8" customWidth="1"/>
    <col min="2600" max="2600" width="3.42578125" style="8" bestFit="1" customWidth="1"/>
    <col min="2601" max="2816" width="9.140625" style="8"/>
    <col min="2817" max="2855" width="2.42578125" style="8" customWidth="1"/>
    <col min="2856" max="2856" width="3.42578125" style="8" bestFit="1" customWidth="1"/>
    <col min="2857" max="3072" width="9.140625" style="8"/>
    <col min="3073" max="3111" width="2.42578125" style="8" customWidth="1"/>
    <col min="3112" max="3112" width="3.42578125" style="8" bestFit="1" customWidth="1"/>
    <col min="3113" max="3328" width="9.140625" style="8"/>
    <col min="3329" max="3367" width="2.42578125" style="8" customWidth="1"/>
    <col min="3368" max="3368" width="3.42578125" style="8" bestFit="1" customWidth="1"/>
    <col min="3369" max="3584" width="9.140625" style="8"/>
    <col min="3585" max="3623" width="2.42578125" style="8" customWidth="1"/>
    <col min="3624" max="3624" width="3.42578125" style="8" bestFit="1" customWidth="1"/>
    <col min="3625" max="3840" width="9.140625" style="8"/>
    <col min="3841" max="3879" width="2.42578125" style="8" customWidth="1"/>
    <col min="3880" max="3880" width="3.42578125" style="8" bestFit="1" customWidth="1"/>
    <col min="3881" max="4096" width="9.140625" style="8"/>
    <col min="4097" max="4135" width="2.42578125" style="8" customWidth="1"/>
    <col min="4136" max="4136" width="3.42578125" style="8" bestFit="1" customWidth="1"/>
    <col min="4137" max="4352" width="9.140625" style="8"/>
    <col min="4353" max="4391" width="2.42578125" style="8" customWidth="1"/>
    <col min="4392" max="4392" width="3.42578125" style="8" bestFit="1" customWidth="1"/>
    <col min="4393" max="4608" width="9.140625" style="8"/>
    <col min="4609" max="4647" width="2.42578125" style="8" customWidth="1"/>
    <col min="4648" max="4648" width="3.42578125" style="8" bestFit="1" customWidth="1"/>
    <col min="4649" max="4864" width="9.140625" style="8"/>
    <col min="4865" max="4903" width="2.42578125" style="8" customWidth="1"/>
    <col min="4904" max="4904" width="3.42578125" style="8" bestFit="1" customWidth="1"/>
    <col min="4905" max="5120" width="9.140625" style="8"/>
    <col min="5121" max="5159" width="2.42578125" style="8" customWidth="1"/>
    <col min="5160" max="5160" width="3.42578125" style="8" bestFit="1" customWidth="1"/>
    <col min="5161" max="5376" width="9.140625" style="8"/>
    <col min="5377" max="5415" width="2.42578125" style="8" customWidth="1"/>
    <col min="5416" max="5416" width="3.42578125" style="8" bestFit="1" customWidth="1"/>
    <col min="5417" max="5632" width="9.140625" style="8"/>
    <col min="5633" max="5671" width="2.42578125" style="8" customWidth="1"/>
    <col min="5672" max="5672" width="3.42578125" style="8" bestFit="1" customWidth="1"/>
    <col min="5673" max="5888" width="9.140625" style="8"/>
    <col min="5889" max="5927" width="2.42578125" style="8" customWidth="1"/>
    <col min="5928" max="5928" width="3.42578125" style="8" bestFit="1" customWidth="1"/>
    <col min="5929" max="6144" width="9.140625" style="8"/>
    <col min="6145" max="6183" width="2.42578125" style="8" customWidth="1"/>
    <col min="6184" max="6184" width="3.42578125" style="8" bestFit="1" customWidth="1"/>
    <col min="6185" max="6400" width="9.140625" style="8"/>
    <col min="6401" max="6439" width="2.42578125" style="8" customWidth="1"/>
    <col min="6440" max="6440" width="3.42578125" style="8" bestFit="1" customWidth="1"/>
    <col min="6441" max="6656" width="9.140625" style="8"/>
    <col min="6657" max="6695" width="2.42578125" style="8" customWidth="1"/>
    <col min="6696" max="6696" width="3.42578125" style="8" bestFit="1" customWidth="1"/>
    <col min="6697" max="6912" width="9.140625" style="8"/>
    <col min="6913" max="6951" width="2.42578125" style="8" customWidth="1"/>
    <col min="6952" max="6952" width="3.42578125" style="8" bestFit="1" customWidth="1"/>
    <col min="6953" max="7168" width="9.140625" style="8"/>
    <col min="7169" max="7207" width="2.42578125" style="8" customWidth="1"/>
    <col min="7208" max="7208" width="3.42578125" style="8" bestFit="1" customWidth="1"/>
    <col min="7209" max="7424" width="9.140625" style="8"/>
    <col min="7425" max="7463" width="2.42578125" style="8" customWidth="1"/>
    <col min="7464" max="7464" width="3.42578125" style="8" bestFit="1" customWidth="1"/>
    <col min="7465" max="7680" width="9.140625" style="8"/>
    <col min="7681" max="7719" width="2.42578125" style="8" customWidth="1"/>
    <col min="7720" max="7720" width="3.42578125" style="8" bestFit="1" customWidth="1"/>
    <col min="7721" max="7936" width="9.140625" style="8"/>
    <col min="7937" max="7975" width="2.42578125" style="8" customWidth="1"/>
    <col min="7976" max="7976" width="3.42578125" style="8" bestFit="1" customWidth="1"/>
    <col min="7977" max="8192" width="9.140625" style="8"/>
    <col min="8193" max="8231" width="2.42578125" style="8" customWidth="1"/>
    <col min="8232" max="8232" width="3.42578125" style="8" bestFit="1" customWidth="1"/>
    <col min="8233" max="8448" width="9.140625" style="8"/>
    <col min="8449" max="8487" width="2.42578125" style="8" customWidth="1"/>
    <col min="8488" max="8488" width="3.42578125" style="8" bestFit="1" customWidth="1"/>
    <col min="8489" max="8704" width="9.140625" style="8"/>
    <col min="8705" max="8743" width="2.42578125" style="8" customWidth="1"/>
    <col min="8744" max="8744" width="3.42578125" style="8" bestFit="1" customWidth="1"/>
    <col min="8745" max="8960" width="9.140625" style="8"/>
    <col min="8961" max="8999" width="2.42578125" style="8" customWidth="1"/>
    <col min="9000" max="9000" width="3.42578125" style="8" bestFit="1" customWidth="1"/>
    <col min="9001" max="9216" width="9.140625" style="8"/>
    <col min="9217" max="9255" width="2.42578125" style="8" customWidth="1"/>
    <col min="9256" max="9256" width="3.42578125" style="8" bestFit="1" customWidth="1"/>
    <col min="9257" max="9472" width="9.140625" style="8"/>
    <col min="9473" max="9511" width="2.42578125" style="8" customWidth="1"/>
    <col min="9512" max="9512" width="3.42578125" style="8" bestFit="1" customWidth="1"/>
    <col min="9513" max="9728" width="9.140625" style="8"/>
    <col min="9729" max="9767" width="2.42578125" style="8" customWidth="1"/>
    <col min="9768" max="9768" width="3.42578125" style="8" bestFit="1" customWidth="1"/>
    <col min="9769" max="9984" width="9.140625" style="8"/>
    <col min="9985" max="10023" width="2.42578125" style="8" customWidth="1"/>
    <col min="10024" max="10024" width="3.42578125" style="8" bestFit="1" customWidth="1"/>
    <col min="10025" max="10240" width="9.140625" style="8"/>
    <col min="10241" max="10279" width="2.42578125" style="8" customWidth="1"/>
    <col min="10280" max="10280" width="3.42578125" style="8" bestFit="1" customWidth="1"/>
    <col min="10281" max="10496" width="9.140625" style="8"/>
    <col min="10497" max="10535" width="2.42578125" style="8" customWidth="1"/>
    <col min="10536" max="10536" width="3.42578125" style="8" bestFit="1" customWidth="1"/>
    <col min="10537" max="10752" width="9.140625" style="8"/>
    <col min="10753" max="10791" width="2.42578125" style="8" customWidth="1"/>
    <col min="10792" max="10792" width="3.42578125" style="8" bestFit="1" customWidth="1"/>
    <col min="10793" max="11008" width="9.140625" style="8"/>
    <col min="11009" max="11047" width="2.42578125" style="8" customWidth="1"/>
    <col min="11048" max="11048" width="3.42578125" style="8" bestFit="1" customWidth="1"/>
    <col min="11049" max="11264" width="9.140625" style="8"/>
    <col min="11265" max="11303" width="2.42578125" style="8" customWidth="1"/>
    <col min="11304" max="11304" width="3.42578125" style="8" bestFit="1" customWidth="1"/>
    <col min="11305" max="11520" width="9.140625" style="8"/>
    <col min="11521" max="11559" width="2.42578125" style="8" customWidth="1"/>
    <col min="11560" max="11560" width="3.42578125" style="8" bestFit="1" customWidth="1"/>
    <col min="11561" max="11776" width="9.140625" style="8"/>
    <col min="11777" max="11815" width="2.42578125" style="8" customWidth="1"/>
    <col min="11816" max="11816" width="3.42578125" style="8" bestFit="1" customWidth="1"/>
    <col min="11817" max="12032" width="9.140625" style="8"/>
    <col min="12033" max="12071" width="2.42578125" style="8" customWidth="1"/>
    <col min="12072" max="12072" width="3.42578125" style="8" bestFit="1" customWidth="1"/>
    <col min="12073" max="12288" width="9.140625" style="8"/>
    <col min="12289" max="12327" width="2.42578125" style="8" customWidth="1"/>
    <col min="12328" max="12328" width="3.42578125" style="8" bestFit="1" customWidth="1"/>
    <col min="12329" max="12544" width="9.140625" style="8"/>
    <col min="12545" max="12583" width="2.42578125" style="8" customWidth="1"/>
    <col min="12584" max="12584" width="3.42578125" style="8" bestFit="1" customWidth="1"/>
    <col min="12585" max="12800" width="9.140625" style="8"/>
    <col min="12801" max="12839" width="2.42578125" style="8" customWidth="1"/>
    <col min="12840" max="12840" width="3.42578125" style="8" bestFit="1" customWidth="1"/>
    <col min="12841" max="13056" width="9.140625" style="8"/>
    <col min="13057" max="13095" width="2.42578125" style="8" customWidth="1"/>
    <col min="13096" max="13096" width="3.42578125" style="8" bestFit="1" customWidth="1"/>
    <col min="13097" max="13312" width="9.140625" style="8"/>
    <col min="13313" max="13351" width="2.42578125" style="8" customWidth="1"/>
    <col min="13352" max="13352" width="3.42578125" style="8" bestFit="1" customWidth="1"/>
    <col min="13353" max="13568" width="9.140625" style="8"/>
    <col min="13569" max="13607" width="2.42578125" style="8" customWidth="1"/>
    <col min="13608" max="13608" width="3.42578125" style="8" bestFit="1" customWidth="1"/>
    <col min="13609" max="13824" width="9.140625" style="8"/>
    <col min="13825" max="13863" width="2.42578125" style="8" customWidth="1"/>
    <col min="13864" max="13864" width="3.42578125" style="8" bestFit="1" customWidth="1"/>
    <col min="13865" max="14080" width="9.140625" style="8"/>
    <col min="14081" max="14119" width="2.42578125" style="8" customWidth="1"/>
    <col min="14120" max="14120" width="3.42578125" style="8" bestFit="1" customWidth="1"/>
    <col min="14121" max="14336" width="9.140625" style="8"/>
    <col min="14337" max="14375" width="2.42578125" style="8" customWidth="1"/>
    <col min="14376" max="14376" width="3.42578125" style="8" bestFit="1" customWidth="1"/>
    <col min="14377" max="14592" width="9.140625" style="8"/>
    <col min="14593" max="14631" width="2.42578125" style="8" customWidth="1"/>
    <col min="14632" max="14632" width="3.42578125" style="8" bestFit="1" customWidth="1"/>
    <col min="14633" max="14848" width="9.140625" style="8"/>
    <col min="14849" max="14887" width="2.42578125" style="8" customWidth="1"/>
    <col min="14888" max="14888" width="3.42578125" style="8" bestFit="1" customWidth="1"/>
    <col min="14889" max="15104" width="9.140625" style="8"/>
    <col min="15105" max="15143" width="2.42578125" style="8" customWidth="1"/>
    <col min="15144" max="15144" width="3.42578125" style="8" bestFit="1" customWidth="1"/>
    <col min="15145" max="15360" width="9.140625" style="8"/>
    <col min="15361" max="15399" width="2.42578125" style="8" customWidth="1"/>
    <col min="15400" max="15400" width="3.42578125" style="8" bestFit="1" customWidth="1"/>
    <col min="15401" max="15616" width="9.140625" style="8"/>
    <col min="15617" max="15655" width="2.42578125" style="8" customWidth="1"/>
    <col min="15656" max="15656" width="3.42578125" style="8" bestFit="1" customWidth="1"/>
    <col min="15657" max="15872" width="9.140625" style="8"/>
    <col min="15873" max="15911" width="2.42578125" style="8" customWidth="1"/>
    <col min="15912" max="15912" width="3.42578125" style="8" bestFit="1" customWidth="1"/>
    <col min="15913" max="16128" width="9.140625" style="8"/>
    <col min="16129" max="16167" width="2.42578125" style="8" customWidth="1"/>
    <col min="16168" max="16168" width="3.42578125" style="8" bestFit="1" customWidth="1"/>
    <col min="16169" max="16384" width="9.140625" style="8"/>
  </cols>
  <sheetData>
    <row r="1" spans="1:42" s="323" customFormat="1" ht="15.75" thickBot="1" x14ac:dyDescent="0.3">
      <c r="A1" s="312" t="s">
        <v>467</v>
      </c>
      <c r="B1" s="313"/>
      <c r="C1" s="314"/>
      <c r="D1" s="314"/>
      <c r="E1" s="315"/>
      <c r="F1" s="315"/>
      <c r="G1" s="316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</row>
    <row r="2" spans="1:42" s="323" customFormat="1" ht="15.75" thickBot="1" x14ac:dyDescent="0.3">
      <c r="A2" s="312" t="s">
        <v>468</v>
      </c>
      <c r="B2" s="313"/>
      <c r="C2" s="314"/>
      <c r="D2" s="314"/>
      <c r="E2" s="315"/>
      <c r="F2" s="315"/>
      <c r="G2" s="316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</row>
    <row r="3" spans="1:42" s="323" customFormat="1" ht="15.75" thickBot="1" x14ac:dyDescent="0.3">
      <c r="A3" s="312" t="s">
        <v>469</v>
      </c>
      <c r="B3" s="313"/>
      <c r="C3" s="314"/>
      <c r="D3" s="314"/>
      <c r="E3" s="315"/>
      <c r="F3" s="315"/>
      <c r="G3" s="316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</row>
    <row r="4" spans="1:42" s="323" customFormat="1" ht="15.75" thickBot="1" x14ac:dyDescent="0.3">
      <c r="A4" s="324" t="s">
        <v>470</v>
      </c>
      <c r="B4" s="313"/>
      <c r="C4" s="314"/>
      <c r="D4" s="314"/>
      <c r="E4" s="315"/>
      <c r="F4" s="315"/>
      <c r="G4" s="316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</row>
    <row r="5" spans="1:42" s="323" customFormat="1" ht="15.75" thickBot="1" x14ac:dyDescent="0.3">
      <c r="A5" s="324" t="s">
        <v>471</v>
      </c>
      <c r="B5" s="313"/>
      <c r="C5" s="314"/>
      <c r="D5" s="314"/>
      <c r="E5" s="315"/>
      <c r="F5" s="315"/>
      <c r="G5" s="316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</row>
    <row r="6" spans="1:42" ht="11.65" customHeight="1" thickBot="1" x14ac:dyDescent="0.25">
      <c r="A6" s="9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1"/>
      <c r="U6" s="12"/>
      <c r="V6" s="12"/>
      <c r="W6" s="13"/>
      <c r="X6" s="14"/>
      <c r="Y6" s="14"/>
      <c r="Z6" s="14"/>
      <c r="AA6" s="14"/>
      <c r="AB6" s="14"/>
      <c r="AC6" s="11"/>
      <c r="AD6" s="12"/>
      <c r="AE6" s="12"/>
      <c r="AF6" s="14"/>
      <c r="AG6" s="14"/>
      <c r="AH6" s="14"/>
      <c r="AI6" s="14"/>
      <c r="AJ6" s="14"/>
      <c r="AK6" s="14"/>
      <c r="AL6" s="15"/>
      <c r="AM6" s="12"/>
      <c r="AN6" s="10"/>
    </row>
    <row r="7" spans="1:42" ht="11.65" customHeight="1" x14ac:dyDescent="0.2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8"/>
    </row>
    <row r="8" spans="1:42" ht="11.65" customHeight="1" x14ac:dyDescent="0.2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2" ht="11.65" customHeight="1" x14ac:dyDescent="0.2">
      <c r="A9" s="19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18" t="s">
        <v>24</v>
      </c>
      <c r="Q9" s="618"/>
      <c r="R9" s="618"/>
      <c r="S9" s="618"/>
      <c r="T9" s="618"/>
      <c r="U9" s="618"/>
      <c r="V9" s="618"/>
      <c r="W9" s="618"/>
      <c r="X9" s="618"/>
      <c r="Y9" s="618"/>
      <c r="Z9" s="618"/>
      <c r="AA9" s="1"/>
      <c r="AB9" s="1"/>
      <c r="AC9" s="1"/>
      <c r="AD9" s="1"/>
      <c r="AE9" s="1"/>
      <c r="AF9" s="1"/>
      <c r="AG9" s="1"/>
      <c r="AH9" s="1"/>
      <c r="AI9" s="1"/>
      <c r="AJ9" s="1"/>
      <c r="AK9" s="2"/>
      <c r="AL9" s="2"/>
      <c r="AM9" s="2"/>
      <c r="AN9" s="3"/>
    </row>
    <row r="10" spans="1:42" ht="11.65" customHeight="1" x14ac:dyDescent="0.2">
      <c r="A10" s="19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"/>
      <c r="AL10" s="2"/>
      <c r="AM10" s="2"/>
      <c r="AN10" s="3"/>
    </row>
    <row r="11" spans="1:42" ht="11.65" customHeight="1" x14ac:dyDescent="0.2">
      <c r="A11" s="19"/>
      <c r="B11" s="2"/>
      <c r="C11" s="2"/>
      <c r="D11" s="1"/>
      <c r="E11" s="619" t="s">
        <v>25</v>
      </c>
      <c r="F11" s="620"/>
      <c r="G11" s="621" t="s">
        <v>26</v>
      </c>
      <c r="H11" s="622"/>
      <c r="I11" s="623"/>
      <c r="J11" s="621" t="s">
        <v>27</v>
      </c>
      <c r="K11" s="622"/>
      <c r="L11" s="623"/>
      <c r="M11" s="621" t="s">
        <v>28</v>
      </c>
      <c r="N11" s="622"/>
      <c r="O11" s="623"/>
      <c r="P11" s="621" t="s">
        <v>29</v>
      </c>
      <c r="Q11" s="622"/>
      <c r="R11" s="623"/>
      <c r="S11" s="4"/>
      <c r="T11" s="4"/>
      <c r="U11" s="4"/>
      <c r="V11" s="4"/>
      <c r="W11" s="4"/>
      <c r="X11" s="624" t="s">
        <v>25</v>
      </c>
      <c r="Y11" s="617"/>
      <c r="Z11" s="616" t="s">
        <v>26</v>
      </c>
      <c r="AA11" s="617"/>
      <c r="AB11" s="617"/>
      <c r="AC11" s="616" t="s">
        <v>27</v>
      </c>
      <c r="AD11" s="617"/>
      <c r="AE11" s="617"/>
      <c r="AF11" s="616" t="s">
        <v>28</v>
      </c>
      <c r="AG11" s="617"/>
      <c r="AH11" s="617"/>
      <c r="AI11" s="616" t="s">
        <v>29</v>
      </c>
      <c r="AJ11" s="617"/>
      <c r="AK11" s="617"/>
      <c r="AL11" s="2"/>
      <c r="AM11" s="2"/>
      <c r="AN11" s="3"/>
    </row>
    <row r="12" spans="1:42" ht="11.65" customHeight="1" x14ac:dyDescent="0.2">
      <c r="A12" s="19"/>
      <c r="B12" s="2"/>
      <c r="C12" s="2"/>
      <c r="D12" s="1"/>
      <c r="E12" s="610">
        <v>1</v>
      </c>
      <c r="F12" s="611"/>
      <c r="G12" s="607" t="s">
        <v>399</v>
      </c>
      <c r="H12" s="608"/>
      <c r="I12" s="609"/>
      <c r="J12" s="607"/>
      <c r="K12" s="608"/>
      <c r="L12" s="609"/>
      <c r="M12" s="607"/>
      <c r="N12" s="608"/>
      <c r="O12" s="609"/>
      <c r="P12" s="607"/>
      <c r="Q12" s="608"/>
      <c r="R12" s="609"/>
      <c r="S12" s="4"/>
      <c r="T12" s="4"/>
      <c r="U12" s="4"/>
      <c r="V12" s="4"/>
      <c r="W12" s="4"/>
      <c r="X12" s="614">
        <v>51</v>
      </c>
      <c r="Y12" s="615"/>
      <c r="Z12" s="612"/>
      <c r="AA12" s="613"/>
      <c r="AB12" s="613"/>
      <c r="AC12" s="612"/>
      <c r="AD12" s="613"/>
      <c r="AE12" s="613"/>
      <c r="AF12" s="612"/>
      <c r="AG12" s="613"/>
      <c r="AH12" s="613"/>
      <c r="AI12" s="612"/>
      <c r="AJ12" s="613"/>
      <c r="AK12" s="613"/>
      <c r="AL12" s="2"/>
      <c r="AM12" s="2"/>
      <c r="AN12" s="3"/>
    </row>
    <row r="13" spans="1:42" ht="11.65" customHeight="1" x14ac:dyDescent="0.2">
      <c r="A13" s="19"/>
      <c r="B13" s="2"/>
      <c r="C13" s="2"/>
      <c r="D13" s="1"/>
      <c r="E13" s="610">
        <v>2</v>
      </c>
      <c r="F13" s="611"/>
      <c r="G13" s="607" t="s">
        <v>399</v>
      </c>
      <c r="H13" s="608"/>
      <c r="I13" s="609"/>
      <c r="J13" s="607"/>
      <c r="K13" s="608"/>
      <c r="L13" s="609"/>
      <c r="M13" s="607"/>
      <c r="N13" s="608"/>
      <c r="O13" s="609"/>
      <c r="P13" s="607"/>
      <c r="Q13" s="608"/>
      <c r="R13" s="609"/>
      <c r="S13" s="4"/>
      <c r="T13" s="4"/>
      <c r="U13" s="4"/>
      <c r="V13" s="4"/>
      <c r="W13" s="4"/>
      <c r="X13" s="614">
        <v>52</v>
      </c>
      <c r="Y13" s="615"/>
      <c r="Z13" s="612"/>
      <c r="AA13" s="613"/>
      <c r="AB13" s="613"/>
      <c r="AC13" s="612"/>
      <c r="AD13" s="613"/>
      <c r="AE13" s="613"/>
      <c r="AF13" s="612"/>
      <c r="AG13" s="613"/>
      <c r="AH13" s="613"/>
      <c r="AI13" s="612"/>
      <c r="AJ13" s="613"/>
      <c r="AK13" s="613"/>
      <c r="AL13" s="2"/>
      <c r="AM13" s="2"/>
      <c r="AN13" s="3"/>
    </row>
    <row r="14" spans="1:42" ht="11.65" customHeight="1" x14ac:dyDescent="0.2">
      <c r="A14" s="19"/>
      <c r="B14" s="2"/>
      <c r="C14" s="2"/>
      <c r="D14" s="1"/>
      <c r="E14" s="610">
        <v>3</v>
      </c>
      <c r="F14" s="611"/>
      <c r="G14" s="607" t="s">
        <v>399</v>
      </c>
      <c r="H14" s="608"/>
      <c r="I14" s="609"/>
      <c r="J14" s="607"/>
      <c r="K14" s="608"/>
      <c r="L14" s="609"/>
      <c r="M14" s="607"/>
      <c r="N14" s="608"/>
      <c r="O14" s="609"/>
      <c r="P14" s="607"/>
      <c r="Q14" s="608"/>
      <c r="R14" s="609"/>
      <c r="S14" s="4"/>
      <c r="T14" s="4"/>
      <c r="U14" s="4"/>
      <c r="V14" s="4"/>
      <c r="W14" s="4"/>
      <c r="X14" s="614">
        <v>53</v>
      </c>
      <c r="Y14" s="615"/>
      <c r="Z14" s="612"/>
      <c r="AA14" s="613"/>
      <c r="AB14" s="613"/>
      <c r="AC14" s="612"/>
      <c r="AD14" s="613"/>
      <c r="AE14" s="613"/>
      <c r="AF14" s="612"/>
      <c r="AG14" s="613"/>
      <c r="AH14" s="613"/>
      <c r="AI14" s="612"/>
      <c r="AJ14" s="613"/>
      <c r="AK14" s="613"/>
      <c r="AL14" s="2"/>
      <c r="AM14" s="2"/>
      <c r="AN14" s="3"/>
    </row>
    <row r="15" spans="1:42" ht="11.65" customHeight="1" x14ac:dyDescent="0.2">
      <c r="A15" s="19"/>
      <c r="B15" s="2"/>
      <c r="C15" s="2"/>
      <c r="D15" s="1"/>
      <c r="E15" s="610">
        <v>4</v>
      </c>
      <c r="F15" s="611"/>
      <c r="G15" s="607" t="s">
        <v>399</v>
      </c>
      <c r="H15" s="608"/>
      <c r="I15" s="609"/>
      <c r="J15" s="607"/>
      <c r="K15" s="608"/>
      <c r="L15" s="609"/>
      <c r="M15" s="607"/>
      <c r="N15" s="608"/>
      <c r="O15" s="609"/>
      <c r="P15" s="607"/>
      <c r="Q15" s="608"/>
      <c r="R15" s="609"/>
      <c r="S15" s="4"/>
      <c r="T15" s="4"/>
      <c r="U15" s="4"/>
      <c r="V15" s="4"/>
      <c r="W15" s="4"/>
      <c r="X15" s="614">
        <v>54</v>
      </c>
      <c r="Y15" s="615"/>
      <c r="Z15" s="612"/>
      <c r="AA15" s="613"/>
      <c r="AB15" s="613"/>
      <c r="AC15" s="612"/>
      <c r="AD15" s="613"/>
      <c r="AE15" s="613"/>
      <c r="AF15" s="612"/>
      <c r="AG15" s="613"/>
      <c r="AH15" s="613"/>
      <c r="AI15" s="612"/>
      <c r="AJ15" s="613"/>
      <c r="AK15" s="613"/>
      <c r="AL15" s="2"/>
      <c r="AM15" s="2"/>
      <c r="AN15" s="3"/>
    </row>
    <row r="16" spans="1:42" ht="11.65" customHeight="1" x14ac:dyDescent="0.2">
      <c r="A16" s="19"/>
      <c r="B16" s="2"/>
      <c r="C16" s="2"/>
      <c r="D16" s="1"/>
      <c r="E16" s="610">
        <v>5</v>
      </c>
      <c r="F16" s="611"/>
      <c r="G16" s="607" t="s">
        <v>399</v>
      </c>
      <c r="H16" s="608"/>
      <c r="I16" s="609"/>
      <c r="J16" s="607"/>
      <c r="K16" s="608"/>
      <c r="L16" s="609"/>
      <c r="M16" s="607"/>
      <c r="N16" s="608"/>
      <c r="O16" s="609"/>
      <c r="P16" s="607"/>
      <c r="Q16" s="608"/>
      <c r="R16" s="609"/>
      <c r="S16" s="4"/>
      <c r="T16" s="4"/>
      <c r="U16" s="4"/>
      <c r="V16" s="4"/>
      <c r="W16" s="4"/>
      <c r="X16" s="614">
        <v>55</v>
      </c>
      <c r="Y16" s="615"/>
      <c r="Z16" s="612"/>
      <c r="AA16" s="613"/>
      <c r="AB16" s="613"/>
      <c r="AC16" s="612"/>
      <c r="AD16" s="613"/>
      <c r="AE16" s="613"/>
      <c r="AF16" s="612"/>
      <c r="AG16" s="613"/>
      <c r="AH16" s="613"/>
      <c r="AI16" s="612"/>
      <c r="AJ16" s="613"/>
      <c r="AK16" s="613"/>
      <c r="AL16" s="2"/>
      <c r="AM16" s="2"/>
      <c r="AN16" s="3"/>
    </row>
    <row r="17" spans="1:40" ht="11.65" customHeight="1" x14ac:dyDescent="0.2">
      <c r="A17" s="19"/>
      <c r="B17" s="2"/>
      <c r="C17" s="2"/>
      <c r="D17" s="1"/>
      <c r="E17" s="610">
        <v>6</v>
      </c>
      <c r="F17" s="611"/>
      <c r="G17" s="607" t="s">
        <v>399</v>
      </c>
      <c r="H17" s="608"/>
      <c r="I17" s="609"/>
      <c r="J17" s="607"/>
      <c r="K17" s="608"/>
      <c r="L17" s="609"/>
      <c r="M17" s="607"/>
      <c r="N17" s="608"/>
      <c r="O17" s="609"/>
      <c r="P17" s="607"/>
      <c r="Q17" s="608"/>
      <c r="R17" s="609"/>
      <c r="S17" s="4"/>
      <c r="T17" s="4"/>
      <c r="U17" s="4"/>
      <c r="V17" s="4"/>
      <c r="W17" s="4"/>
      <c r="X17" s="614">
        <v>56</v>
      </c>
      <c r="Y17" s="615"/>
      <c r="Z17" s="612"/>
      <c r="AA17" s="613"/>
      <c r="AB17" s="613"/>
      <c r="AC17" s="612"/>
      <c r="AD17" s="613"/>
      <c r="AE17" s="613"/>
      <c r="AF17" s="612"/>
      <c r="AG17" s="613"/>
      <c r="AH17" s="613"/>
      <c r="AI17" s="612"/>
      <c r="AJ17" s="613"/>
      <c r="AK17" s="613"/>
      <c r="AL17" s="2"/>
      <c r="AM17" s="2"/>
      <c r="AN17" s="3"/>
    </row>
    <row r="18" spans="1:40" ht="11.65" customHeight="1" x14ac:dyDescent="0.2">
      <c r="A18" s="19"/>
      <c r="B18" s="2"/>
      <c r="C18" s="2"/>
      <c r="D18" s="1"/>
      <c r="E18" s="610">
        <v>7</v>
      </c>
      <c r="F18" s="611"/>
      <c r="G18" s="607" t="s">
        <v>399</v>
      </c>
      <c r="H18" s="608"/>
      <c r="I18" s="609"/>
      <c r="J18" s="607"/>
      <c r="K18" s="608"/>
      <c r="L18" s="609"/>
      <c r="M18" s="607"/>
      <c r="N18" s="608"/>
      <c r="O18" s="609"/>
      <c r="P18" s="607"/>
      <c r="Q18" s="608"/>
      <c r="R18" s="609"/>
      <c r="S18" s="4"/>
      <c r="T18" s="4"/>
      <c r="U18" s="4"/>
      <c r="V18" s="4"/>
      <c r="W18" s="4"/>
      <c r="X18" s="614">
        <v>57</v>
      </c>
      <c r="Y18" s="615"/>
      <c r="Z18" s="612"/>
      <c r="AA18" s="613"/>
      <c r="AB18" s="613"/>
      <c r="AC18" s="612"/>
      <c r="AD18" s="613"/>
      <c r="AE18" s="613"/>
      <c r="AF18" s="612"/>
      <c r="AG18" s="613"/>
      <c r="AH18" s="613"/>
      <c r="AI18" s="612"/>
      <c r="AJ18" s="613"/>
      <c r="AK18" s="613"/>
      <c r="AL18" s="2"/>
      <c r="AM18" s="2"/>
      <c r="AN18" s="3"/>
    </row>
    <row r="19" spans="1:40" ht="11.65" customHeight="1" x14ac:dyDescent="0.2">
      <c r="A19" s="19"/>
      <c r="B19" s="2"/>
      <c r="C19" s="2"/>
      <c r="D19" s="1"/>
      <c r="E19" s="610">
        <v>8</v>
      </c>
      <c r="F19" s="611"/>
      <c r="G19" s="607" t="s">
        <v>399</v>
      </c>
      <c r="H19" s="608"/>
      <c r="I19" s="609"/>
      <c r="J19" s="607"/>
      <c r="K19" s="608"/>
      <c r="L19" s="609"/>
      <c r="M19" s="607"/>
      <c r="N19" s="608"/>
      <c r="O19" s="609"/>
      <c r="P19" s="607"/>
      <c r="Q19" s="608"/>
      <c r="R19" s="609"/>
      <c r="S19" s="4"/>
      <c r="T19" s="4"/>
      <c r="U19" s="4"/>
      <c r="V19" s="4"/>
      <c r="W19" s="4"/>
      <c r="X19" s="614">
        <v>58</v>
      </c>
      <c r="Y19" s="615"/>
      <c r="Z19" s="612"/>
      <c r="AA19" s="613"/>
      <c r="AB19" s="613"/>
      <c r="AC19" s="612"/>
      <c r="AD19" s="613"/>
      <c r="AE19" s="613"/>
      <c r="AF19" s="612"/>
      <c r="AG19" s="613"/>
      <c r="AH19" s="613"/>
      <c r="AI19" s="612"/>
      <c r="AJ19" s="613"/>
      <c r="AK19" s="613"/>
      <c r="AL19" s="2"/>
      <c r="AM19" s="2"/>
      <c r="AN19" s="3"/>
    </row>
    <row r="20" spans="1:40" ht="11.65" customHeight="1" x14ac:dyDescent="0.2">
      <c r="A20" s="19"/>
      <c r="B20" s="2"/>
      <c r="C20" s="2"/>
      <c r="D20" s="1"/>
      <c r="E20" s="610">
        <v>9</v>
      </c>
      <c r="F20" s="611"/>
      <c r="G20" s="607" t="s">
        <v>399</v>
      </c>
      <c r="H20" s="608"/>
      <c r="I20" s="609"/>
      <c r="J20" s="607"/>
      <c r="K20" s="608"/>
      <c r="L20" s="609"/>
      <c r="M20" s="607"/>
      <c r="N20" s="608"/>
      <c r="O20" s="609"/>
      <c r="P20" s="607"/>
      <c r="Q20" s="608"/>
      <c r="R20" s="609"/>
      <c r="S20" s="4"/>
      <c r="T20" s="4"/>
      <c r="U20" s="4"/>
      <c r="V20" s="4"/>
      <c r="W20" s="4"/>
      <c r="X20" s="614">
        <v>59</v>
      </c>
      <c r="Y20" s="615"/>
      <c r="Z20" s="612"/>
      <c r="AA20" s="613"/>
      <c r="AB20" s="613"/>
      <c r="AC20" s="612"/>
      <c r="AD20" s="613"/>
      <c r="AE20" s="613"/>
      <c r="AF20" s="612"/>
      <c r="AG20" s="613"/>
      <c r="AH20" s="613"/>
      <c r="AI20" s="612"/>
      <c r="AJ20" s="613"/>
      <c r="AK20" s="613"/>
      <c r="AL20" s="2"/>
      <c r="AM20" s="2"/>
      <c r="AN20" s="3"/>
    </row>
    <row r="21" spans="1:40" ht="11.65" customHeight="1" x14ac:dyDescent="0.2">
      <c r="A21" s="19"/>
      <c r="B21" s="2"/>
      <c r="C21" s="2"/>
      <c r="D21" s="1"/>
      <c r="E21" s="610">
        <v>10</v>
      </c>
      <c r="F21" s="611"/>
      <c r="G21" s="607" t="s">
        <v>399</v>
      </c>
      <c r="H21" s="608"/>
      <c r="I21" s="609"/>
      <c r="J21" s="607"/>
      <c r="K21" s="608"/>
      <c r="L21" s="609"/>
      <c r="M21" s="607"/>
      <c r="N21" s="608"/>
      <c r="O21" s="609"/>
      <c r="P21" s="607"/>
      <c r="Q21" s="608"/>
      <c r="R21" s="609"/>
      <c r="S21" s="4"/>
      <c r="T21" s="4"/>
      <c r="U21" s="4"/>
      <c r="V21" s="4"/>
      <c r="W21" s="4"/>
      <c r="X21" s="614">
        <v>60</v>
      </c>
      <c r="Y21" s="615"/>
      <c r="Z21" s="612"/>
      <c r="AA21" s="613"/>
      <c r="AB21" s="613"/>
      <c r="AC21" s="612"/>
      <c r="AD21" s="613"/>
      <c r="AE21" s="613"/>
      <c r="AF21" s="612"/>
      <c r="AG21" s="613"/>
      <c r="AH21" s="613"/>
      <c r="AI21" s="612"/>
      <c r="AJ21" s="613"/>
      <c r="AK21" s="613"/>
      <c r="AL21" s="2"/>
      <c r="AM21" s="2"/>
      <c r="AN21" s="3"/>
    </row>
    <row r="22" spans="1:40" ht="11.65" customHeight="1" x14ac:dyDescent="0.2">
      <c r="A22" s="19"/>
      <c r="B22" s="2"/>
      <c r="C22" s="2"/>
      <c r="D22" s="1"/>
      <c r="E22" s="610">
        <v>11</v>
      </c>
      <c r="F22" s="611"/>
      <c r="G22" s="607" t="s">
        <v>399</v>
      </c>
      <c r="H22" s="608"/>
      <c r="I22" s="609"/>
      <c r="J22" s="607"/>
      <c r="K22" s="608"/>
      <c r="L22" s="609"/>
      <c r="M22" s="607"/>
      <c r="N22" s="608"/>
      <c r="O22" s="609"/>
      <c r="P22" s="607"/>
      <c r="Q22" s="608"/>
      <c r="R22" s="609"/>
      <c r="S22" s="4"/>
      <c r="T22" s="4"/>
      <c r="U22" s="4"/>
      <c r="V22" s="4"/>
      <c r="W22" s="4"/>
      <c r="X22" s="614">
        <v>61</v>
      </c>
      <c r="Y22" s="615"/>
      <c r="Z22" s="612"/>
      <c r="AA22" s="613"/>
      <c r="AB22" s="613"/>
      <c r="AC22" s="612"/>
      <c r="AD22" s="613"/>
      <c r="AE22" s="613"/>
      <c r="AF22" s="612"/>
      <c r="AG22" s="613"/>
      <c r="AH22" s="613"/>
      <c r="AI22" s="612"/>
      <c r="AJ22" s="613"/>
      <c r="AK22" s="613"/>
      <c r="AL22" s="2"/>
      <c r="AM22" s="2"/>
      <c r="AN22" s="3"/>
    </row>
    <row r="23" spans="1:40" ht="11.65" customHeight="1" x14ac:dyDescent="0.2">
      <c r="A23" s="19"/>
      <c r="B23" s="2"/>
      <c r="C23" s="2"/>
      <c r="D23" s="1"/>
      <c r="E23" s="610">
        <v>12</v>
      </c>
      <c r="F23" s="611"/>
      <c r="G23" s="607" t="s">
        <v>399</v>
      </c>
      <c r="H23" s="608"/>
      <c r="I23" s="609"/>
      <c r="J23" s="607"/>
      <c r="K23" s="608"/>
      <c r="L23" s="609"/>
      <c r="M23" s="607"/>
      <c r="N23" s="608"/>
      <c r="O23" s="609"/>
      <c r="P23" s="607"/>
      <c r="Q23" s="608"/>
      <c r="R23" s="609"/>
      <c r="S23" s="4"/>
      <c r="T23" s="4"/>
      <c r="U23" s="4"/>
      <c r="V23" s="4"/>
      <c r="W23" s="4"/>
      <c r="X23" s="614">
        <v>62</v>
      </c>
      <c r="Y23" s="615"/>
      <c r="Z23" s="612"/>
      <c r="AA23" s="613"/>
      <c r="AB23" s="613"/>
      <c r="AC23" s="612"/>
      <c r="AD23" s="613"/>
      <c r="AE23" s="613"/>
      <c r="AF23" s="612"/>
      <c r="AG23" s="613"/>
      <c r="AH23" s="613"/>
      <c r="AI23" s="612"/>
      <c r="AJ23" s="613"/>
      <c r="AK23" s="613"/>
      <c r="AL23" s="2"/>
      <c r="AM23" s="2"/>
      <c r="AN23" s="3"/>
    </row>
    <row r="24" spans="1:40" ht="11.65" customHeight="1" x14ac:dyDescent="0.2">
      <c r="A24" s="19"/>
      <c r="B24" s="2"/>
      <c r="C24" s="2"/>
      <c r="D24" s="1"/>
      <c r="E24" s="610">
        <v>13</v>
      </c>
      <c r="F24" s="611"/>
      <c r="G24" s="607" t="s">
        <v>399</v>
      </c>
      <c r="H24" s="608"/>
      <c r="I24" s="609"/>
      <c r="J24" s="607"/>
      <c r="K24" s="608"/>
      <c r="L24" s="609"/>
      <c r="M24" s="607"/>
      <c r="N24" s="608"/>
      <c r="O24" s="609"/>
      <c r="P24" s="607"/>
      <c r="Q24" s="608"/>
      <c r="R24" s="609"/>
      <c r="S24" s="4"/>
      <c r="T24" s="4"/>
      <c r="U24" s="4"/>
      <c r="V24" s="4"/>
      <c r="W24" s="4"/>
      <c r="X24" s="614">
        <v>63</v>
      </c>
      <c r="Y24" s="615"/>
      <c r="Z24" s="612"/>
      <c r="AA24" s="613"/>
      <c r="AB24" s="613"/>
      <c r="AC24" s="612"/>
      <c r="AD24" s="613"/>
      <c r="AE24" s="613"/>
      <c r="AF24" s="612"/>
      <c r="AG24" s="613"/>
      <c r="AH24" s="613"/>
      <c r="AI24" s="612"/>
      <c r="AJ24" s="613"/>
      <c r="AK24" s="613"/>
      <c r="AL24" s="2"/>
      <c r="AM24" s="2"/>
      <c r="AN24" s="3"/>
    </row>
    <row r="25" spans="1:40" ht="11.65" customHeight="1" x14ac:dyDescent="0.2">
      <c r="A25" s="19"/>
      <c r="B25" s="2"/>
      <c r="C25" s="2"/>
      <c r="D25" s="1"/>
      <c r="E25" s="610">
        <v>14</v>
      </c>
      <c r="F25" s="611"/>
      <c r="G25" s="607" t="s">
        <v>399</v>
      </c>
      <c r="H25" s="608"/>
      <c r="I25" s="609"/>
      <c r="J25" s="607"/>
      <c r="K25" s="608"/>
      <c r="L25" s="609"/>
      <c r="M25" s="607"/>
      <c r="N25" s="608"/>
      <c r="O25" s="609"/>
      <c r="P25" s="607"/>
      <c r="Q25" s="608"/>
      <c r="R25" s="609"/>
      <c r="S25" s="4"/>
      <c r="T25" s="4"/>
      <c r="U25" s="4"/>
      <c r="V25" s="4"/>
      <c r="W25" s="4"/>
      <c r="X25" s="614">
        <v>64</v>
      </c>
      <c r="Y25" s="615"/>
      <c r="Z25" s="612"/>
      <c r="AA25" s="613"/>
      <c r="AB25" s="613"/>
      <c r="AC25" s="612"/>
      <c r="AD25" s="613"/>
      <c r="AE25" s="613"/>
      <c r="AF25" s="612"/>
      <c r="AG25" s="613"/>
      <c r="AH25" s="613"/>
      <c r="AI25" s="612"/>
      <c r="AJ25" s="613"/>
      <c r="AK25" s="613"/>
      <c r="AL25" s="2"/>
      <c r="AM25" s="2"/>
      <c r="AN25" s="3"/>
    </row>
    <row r="26" spans="1:40" ht="11.65" customHeight="1" x14ac:dyDescent="0.2">
      <c r="A26" s="19"/>
      <c r="B26" s="2"/>
      <c r="C26" s="2"/>
      <c r="D26" s="1"/>
      <c r="E26" s="610">
        <v>15</v>
      </c>
      <c r="F26" s="611"/>
      <c r="G26" s="607" t="s">
        <v>399</v>
      </c>
      <c r="H26" s="608"/>
      <c r="I26" s="609"/>
      <c r="J26" s="607"/>
      <c r="K26" s="608"/>
      <c r="L26" s="609"/>
      <c r="M26" s="607"/>
      <c r="N26" s="608"/>
      <c r="O26" s="609"/>
      <c r="P26" s="607"/>
      <c r="Q26" s="608"/>
      <c r="R26" s="609"/>
      <c r="S26" s="4"/>
      <c r="T26" s="4"/>
      <c r="U26" s="4"/>
      <c r="V26" s="4"/>
      <c r="W26" s="4"/>
      <c r="X26" s="614">
        <v>65</v>
      </c>
      <c r="Y26" s="615"/>
      <c r="Z26" s="612"/>
      <c r="AA26" s="613"/>
      <c r="AB26" s="613"/>
      <c r="AC26" s="612"/>
      <c r="AD26" s="613"/>
      <c r="AE26" s="613"/>
      <c r="AF26" s="612"/>
      <c r="AG26" s="613"/>
      <c r="AH26" s="613"/>
      <c r="AI26" s="612"/>
      <c r="AJ26" s="613"/>
      <c r="AK26" s="613"/>
      <c r="AL26" s="2"/>
      <c r="AM26" s="2"/>
      <c r="AN26" s="3"/>
    </row>
    <row r="27" spans="1:40" ht="11.65" customHeight="1" x14ac:dyDescent="0.2">
      <c r="A27" s="19"/>
      <c r="B27" s="2"/>
      <c r="C27" s="2"/>
      <c r="D27" s="1"/>
      <c r="E27" s="610">
        <v>16</v>
      </c>
      <c r="F27" s="611"/>
      <c r="G27" s="607" t="s">
        <v>399</v>
      </c>
      <c r="H27" s="608"/>
      <c r="I27" s="609"/>
      <c r="J27" s="607"/>
      <c r="K27" s="608"/>
      <c r="L27" s="609"/>
      <c r="M27" s="607"/>
      <c r="N27" s="608"/>
      <c r="O27" s="609"/>
      <c r="P27" s="607"/>
      <c r="Q27" s="608"/>
      <c r="R27" s="609"/>
      <c r="S27" s="4"/>
      <c r="T27" s="4"/>
      <c r="U27" s="4"/>
      <c r="V27" s="4"/>
      <c r="W27" s="4"/>
      <c r="X27" s="614">
        <v>66</v>
      </c>
      <c r="Y27" s="615"/>
      <c r="Z27" s="612"/>
      <c r="AA27" s="613"/>
      <c r="AB27" s="613"/>
      <c r="AC27" s="612"/>
      <c r="AD27" s="613"/>
      <c r="AE27" s="613"/>
      <c r="AF27" s="612"/>
      <c r="AG27" s="613"/>
      <c r="AH27" s="613"/>
      <c r="AI27" s="612"/>
      <c r="AJ27" s="613"/>
      <c r="AK27" s="613"/>
      <c r="AL27" s="2"/>
      <c r="AM27" s="2"/>
      <c r="AN27" s="3"/>
    </row>
    <row r="28" spans="1:40" ht="11.65" customHeight="1" x14ac:dyDescent="0.2">
      <c r="A28" s="19"/>
      <c r="B28" s="2"/>
      <c r="C28" s="2"/>
      <c r="D28" s="1"/>
      <c r="E28" s="610">
        <v>17</v>
      </c>
      <c r="F28" s="611"/>
      <c r="G28" s="607" t="s">
        <v>399</v>
      </c>
      <c r="H28" s="608"/>
      <c r="I28" s="609"/>
      <c r="J28" s="607"/>
      <c r="K28" s="608"/>
      <c r="L28" s="609"/>
      <c r="M28" s="607"/>
      <c r="N28" s="608"/>
      <c r="O28" s="609"/>
      <c r="P28" s="607"/>
      <c r="Q28" s="608"/>
      <c r="R28" s="609"/>
      <c r="S28" s="4"/>
      <c r="T28" s="4"/>
      <c r="U28" s="4"/>
      <c r="V28" s="4"/>
      <c r="W28" s="4"/>
      <c r="X28" s="614">
        <v>67</v>
      </c>
      <c r="Y28" s="615"/>
      <c r="Z28" s="612"/>
      <c r="AA28" s="613"/>
      <c r="AB28" s="613"/>
      <c r="AC28" s="612"/>
      <c r="AD28" s="613"/>
      <c r="AE28" s="613"/>
      <c r="AF28" s="612"/>
      <c r="AG28" s="613"/>
      <c r="AH28" s="613"/>
      <c r="AI28" s="612"/>
      <c r="AJ28" s="613"/>
      <c r="AK28" s="613"/>
      <c r="AL28" s="2"/>
      <c r="AM28" s="2"/>
      <c r="AN28" s="3"/>
    </row>
    <row r="29" spans="1:40" ht="11.65" customHeight="1" x14ac:dyDescent="0.2">
      <c r="A29" s="19"/>
      <c r="B29" s="2"/>
      <c r="C29" s="2"/>
      <c r="D29" s="1"/>
      <c r="E29" s="610">
        <v>18</v>
      </c>
      <c r="F29" s="611"/>
      <c r="G29" s="607" t="s">
        <v>399</v>
      </c>
      <c r="H29" s="608"/>
      <c r="I29" s="609"/>
      <c r="J29" s="607"/>
      <c r="K29" s="608"/>
      <c r="L29" s="609"/>
      <c r="M29" s="607"/>
      <c r="N29" s="608"/>
      <c r="O29" s="609"/>
      <c r="P29" s="607"/>
      <c r="Q29" s="608"/>
      <c r="R29" s="609"/>
      <c r="S29" s="4"/>
      <c r="T29" s="4"/>
      <c r="U29" s="4"/>
      <c r="V29" s="4"/>
      <c r="W29" s="4"/>
      <c r="X29" s="614">
        <v>68</v>
      </c>
      <c r="Y29" s="615"/>
      <c r="Z29" s="612"/>
      <c r="AA29" s="613"/>
      <c r="AB29" s="613"/>
      <c r="AC29" s="612"/>
      <c r="AD29" s="613"/>
      <c r="AE29" s="613"/>
      <c r="AF29" s="612"/>
      <c r="AG29" s="613"/>
      <c r="AH29" s="613"/>
      <c r="AI29" s="612"/>
      <c r="AJ29" s="613"/>
      <c r="AK29" s="613"/>
      <c r="AL29" s="2"/>
      <c r="AM29" s="2"/>
      <c r="AN29" s="3"/>
    </row>
    <row r="30" spans="1:40" ht="11.65" customHeight="1" x14ac:dyDescent="0.2">
      <c r="A30" s="19"/>
      <c r="B30" s="2"/>
      <c r="C30" s="2"/>
      <c r="D30" s="1"/>
      <c r="E30" s="610">
        <v>19</v>
      </c>
      <c r="F30" s="611"/>
      <c r="G30" s="607" t="s">
        <v>399</v>
      </c>
      <c r="H30" s="608"/>
      <c r="I30" s="609"/>
      <c r="J30" s="607"/>
      <c r="K30" s="608"/>
      <c r="L30" s="609"/>
      <c r="M30" s="607"/>
      <c r="N30" s="608"/>
      <c r="O30" s="609"/>
      <c r="P30" s="607"/>
      <c r="Q30" s="608"/>
      <c r="R30" s="609"/>
      <c r="S30" s="4"/>
      <c r="T30" s="4"/>
      <c r="U30" s="4"/>
      <c r="V30" s="4"/>
      <c r="W30" s="4"/>
      <c r="X30" s="614">
        <v>69</v>
      </c>
      <c r="Y30" s="615"/>
      <c r="Z30" s="612"/>
      <c r="AA30" s="613"/>
      <c r="AB30" s="613"/>
      <c r="AC30" s="612"/>
      <c r="AD30" s="613"/>
      <c r="AE30" s="613"/>
      <c r="AF30" s="612"/>
      <c r="AG30" s="613"/>
      <c r="AH30" s="613"/>
      <c r="AI30" s="612"/>
      <c r="AJ30" s="613"/>
      <c r="AK30" s="613"/>
      <c r="AL30" s="2"/>
      <c r="AM30" s="2"/>
      <c r="AN30" s="3"/>
    </row>
    <row r="31" spans="1:40" ht="11.65" customHeight="1" x14ac:dyDescent="0.2">
      <c r="A31" s="19"/>
      <c r="B31" s="2"/>
      <c r="C31" s="2"/>
      <c r="D31" s="1"/>
      <c r="E31" s="610">
        <v>20</v>
      </c>
      <c r="F31" s="611"/>
      <c r="G31" s="607" t="s">
        <v>399</v>
      </c>
      <c r="H31" s="608"/>
      <c r="I31" s="609"/>
      <c r="J31" s="607"/>
      <c r="K31" s="608"/>
      <c r="L31" s="609"/>
      <c r="M31" s="607"/>
      <c r="N31" s="608"/>
      <c r="O31" s="609"/>
      <c r="P31" s="607"/>
      <c r="Q31" s="608"/>
      <c r="R31" s="609"/>
      <c r="S31" s="4"/>
      <c r="T31" s="4"/>
      <c r="U31" s="4"/>
      <c r="V31" s="4"/>
      <c r="W31" s="4"/>
      <c r="X31" s="614">
        <v>70</v>
      </c>
      <c r="Y31" s="615"/>
      <c r="Z31" s="612"/>
      <c r="AA31" s="613"/>
      <c r="AB31" s="613"/>
      <c r="AC31" s="612"/>
      <c r="AD31" s="613"/>
      <c r="AE31" s="613"/>
      <c r="AF31" s="612"/>
      <c r="AG31" s="613"/>
      <c r="AH31" s="613"/>
      <c r="AI31" s="612"/>
      <c r="AJ31" s="613"/>
      <c r="AK31" s="613"/>
      <c r="AL31" s="2"/>
      <c r="AM31" s="2"/>
      <c r="AN31" s="3"/>
    </row>
    <row r="32" spans="1:40" ht="11.65" customHeight="1" x14ac:dyDescent="0.2">
      <c r="A32" s="19"/>
      <c r="B32" s="2"/>
      <c r="C32" s="2"/>
      <c r="D32" s="1"/>
      <c r="E32" s="610">
        <v>21</v>
      </c>
      <c r="F32" s="611"/>
      <c r="G32" s="607" t="s">
        <v>399</v>
      </c>
      <c r="H32" s="608"/>
      <c r="I32" s="609"/>
      <c r="J32" s="607"/>
      <c r="K32" s="608"/>
      <c r="L32" s="609"/>
      <c r="M32" s="607"/>
      <c r="N32" s="608"/>
      <c r="O32" s="609"/>
      <c r="P32" s="607"/>
      <c r="Q32" s="608"/>
      <c r="R32" s="609"/>
      <c r="S32" s="4"/>
      <c r="T32" s="4"/>
      <c r="U32" s="4"/>
      <c r="V32" s="4"/>
      <c r="W32" s="4"/>
      <c r="X32" s="614">
        <v>71</v>
      </c>
      <c r="Y32" s="615"/>
      <c r="Z32" s="612"/>
      <c r="AA32" s="613"/>
      <c r="AB32" s="613"/>
      <c r="AC32" s="612"/>
      <c r="AD32" s="613"/>
      <c r="AE32" s="613"/>
      <c r="AF32" s="612"/>
      <c r="AG32" s="613"/>
      <c r="AH32" s="613"/>
      <c r="AI32" s="612"/>
      <c r="AJ32" s="613"/>
      <c r="AK32" s="613"/>
      <c r="AL32" s="2"/>
      <c r="AM32" s="2"/>
      <c r="AN32" s="3"/>
    </row>
    <row r="33" spans="1:40" ht="11.65" customHeight="1" x14ac:dyDescent="0.2">
      <c r="A33" s="19"/>
      <c r="B33" s="2"/>
      <c r="C33" s="2"/>
      <c r="D33" s="1"/>
      <c r="E33" s="610">
        <v>22</v>
      </c>
      <c r="F33" s="611"/>
      <c r="G33" s="607" t="s">
        <v>399</v>
      </c>
      <c r="H33" s="608"/>
      <c r="I33" s="609"/>
      <c r="J33" s="607"/>
      <c r="K33" s="608"/>
      <c r="L33" s="609"/>
      <c r="M33" s="607"/>
      <c r="N33" s="608"/>
      <c r="O33" s="609"/>
      <c r="P33" s="607"/>
      <c r="Q33" s="608"/>
      <c r="R33" s="609"/>
      <c r="S33" s="4"/>
      <c r="T33" s="4"/>
      <c r="U33" s="4"/>
      <c r="V33" s="4"/>
      <c r="W33" s="4"/>
      <c r="X33" s="614">
        <v>72</v>
      </c>
      <c r="Y33" s="615"/>
      <c r="Z33" s="612"/>
      <c r="AA33" s="613"/>
      <c r="AB33" s="613"/>
      <c r="AC33" s="612"/>
      <c r="AD33" s="613"/>
      <c r="AE33" s="613"/>
      <c r="AF33" s="612"/>
      <c r="AG33" s="613"/>
      <c r="AH33" s="613"/>
      <c r="AI33" s="612"/>
      <c r="AJ33" s="613"/>
      <c r="AK33" s="613"/>
      <c r="AL33" s="2"/>
      <c r="AM33" s="2"/>
      <c r="AN33" s="3"/>
    </row>
    <row r="34" spans="1:40" ht="11.65" customHeight="1" x14ac:dyDescent="0.2">
      <c r="A34" s="19"/>
      <c r="B34" s="2"/>
      <c r="C34" s="2"/>
      <c r="D34" s="1"/>
      <c r="E34" s="610">
        <v>23</v>
      </c>
      <c r="F34" s="611"/>
      <c r="G34" s="607" t="s">
        <v>399</v>
      </c>
      <c r="H34" s="608"/>
      <c r="I34" s="609"/>
      <c r="J34" s="607"/>
      <c r="K34" s="608"/>
      <c r="L34" s="609"/>
      <c r="M34" s="607"/>
      <c r="N34" s="608"/>
      <c r="O34" s="609"/>
      <c r="P34" s="607"/>
      <c r="Q34" s="608"/>
      <c r="R34" s="609"/>
      <c r="S34" s="4"/>
      <c r="T34" s="4"/>
      <c r="U34" s="4"/>
      <c r="V34" s="4"/>
      <c r="W34" s="4"/>
      <c r="X34" s="614">
        <v>73</v>
      </c>
      <c r="Y34" s="615"/>
      <c r="Z34" s="612"/>
      <c r="AA34" s="613"/>
      <c r="AB34" s="613"/>
      <c r="AC34" s="612"/>
      <c r="AD34" s="613"/>
      <c r="AE34" s="613"/>
      <c r="AF34" s="612"/>
      <c r="AG34" s="613"/>
      <c r="AH34" s="613"/>
      <c r="AI34" s="612"/>
      <c r="AJ34" s="613"/>
      <c r="AK34" s="613"/>
      <c r="AL34" s="2"/>
      <c r="AM34" s="2"/>
      <c r="AN34" s="3"/>
    </row>
    <row r="35" spans="1:40" ht="11.65" customHeight="1" x14ac:dyDescent="0.2">
      <c r="A35" s="19"/>
      <c r="B35" s="2"/>
      <c r="C35" s="2"/>
      <c r="D35" s="1"/>
      <c r="E35" s="610">
        <v>24</v>
      </c>
      <c r="F35" s="611"/>
      <c r="G35" s="607" t="s">
        <v>399</v>
      </c>
      <c r="H35" s="608"/>
      <c r="I35" s="609"/>
      <c r="J35" s="607"/>
      <c r="K35" s="608"/>
      <c r="L35" s="609"/>
      <c r="M35" s="607"/>
      <c r="N35" s="608"/>
      <c r="O35" s="609"/>
      <c r="P35" s="607"/>
      <c r="Q35" s="608"/>
      <c r="R35" s="609"/>
      <c r="S35" s="4"/>
      <c r="T35" s="4"/>
      <c r="U35" s="4"/>
      <c r="V35" s="4"/>
      <c r="W35" s="4"/>
      <c r="X35" s="614">
        <v>74</v>
      </c>
      <c r="Y35" s="615"/>
      <c r="Z35" s="612"/>
      <c r="AA35" s="613"/>
      <c r="AB35" s="613"/>
      <c r="AC35" s="612"/>
      <c r="AD35" s="613"/>
      <c r="AE35" s="613"/>
      <c r="AF35" s="612"/>
      <c r="AG35" s="613"/>
      <c r="AH35" s="613"/>
      <c r="AI35" s="612"/>
      <c r="AJ35" s="613"/>
      <c r="AK35" s="613"/>
      <c r="AL35" s="2"/>
      <c r="AM35" s="2"/>
      <c r="AN35" s="3"/>
    </row>
    <row r="36" spans="1:40" ht="11.65" customHeight="1" x14ac:dyDescent="0.2">
      <c r="A36" s="19"/>
      <c r="B36" s="2"/>
      <c r="C36" s="2"/>
      <c r="D36" s="1"/>
      <c r="E36" s="610">
        <v>25</v>
      </c>
      <c r="F36" s="611"/>
      <c r="G36" s="607" t="s">
        <v>399</v>
      </c>
      <c r="H36" s="608"/>
      <c r="I36" s="609"/>
      <c r="J36" s="607"/>
      <c r="K36" s="608"/>
      <c r="L36" s="609"/>
      <c r="M36" s="607"/>
      <c r="N36" s="608"/>
      <c r="O36" s="609"/>
      <c r="P36" s="607"/>
      <c r="Q36" s="608"/>
      <c r="R36" s="609"/>
      <c r="S36" s="4"/>
      <c r="T36" s="4"/>
      <c r="U36" s="4"/>
      <c r="V36" s="4"/>
      <c r="W36" s="4"/>
      <c r="X36" s="614">
        <v>75</v>
      </c>
      <c r="Y36" s="615"/>
      <c r="Z36" s="612"/>
      <c r="AA36" s="613"/>
      <c r="AB36" s="613"/>
      <c r="AC36" s="612"/>
      <c r="AD36" s="613"/>
      <c r="AE36" s="613"/>
      <c r="AF36" s="612"/>
      <c r="AG36" s="613"/>
      <c r="AH36" s="613"/>
      <c r="AI36" s="612"/>
      <c r="AJ36" s="613"/>
      <c r="AK36" s="613"/>
      <c r="AL36" s="2"/>
      <c r="AM36" s="2"/>
      <c r="AN36" s="3"/>
    </row>
    <row r="37" spans="1:40" ht="11.65" customHeight="1" x14ac:dyDescent="0.2">
      <c r="A37" s="19"/>
      <c r="B37" s="2"/>
      <c r="C37" s="2"/>
      <c r="D37" s="1"/>
      <c r="E37" s="610">
        <v>26</v>
      </c>
      <c r="F37" s="611"/>
      <c r="G37" s="607" t="s">
        <v>399</v>
      </c>
      <c r="H37" s="608"/>
      <c r="I37" s="609"/>
      <c r="J37" s="607"/>
      <c r="K37" s="608"/>
      <c r="L37" s="609"/>
      <c r="M37" s="607"/>
      <c r="N37" s="608"/>
      <c r="O37" s="609"/>
      <c r="P37" s="607"/>
      <c r="Q37" s="608"/>
      <c r="R37" s="609"/>
      <c r="S37" s="4"/>
      <c r="T37" s="4"/>
      <c r="U37" s="4"/>
      <c r="V37" s="4"/>
      <c r="W37" s="4"/>
      <c r="X37" s="614">
        <v>76</v>
      </c>
      <c r="Y37" s="615"/>
      <c r="Z37" s="612"/>
      <c r="AA37" s="613"/>
      <c r="AB37" s="613"/>
      <c r="AC37" s="612"/>
      <c r="AD37" s="613"/>
      <c r="AE37" s="613"/>
      <c r="AF37" s="612"/>
      <c r="AG37" s="613"/>
      <c r="AH37" s="613"/>
      <c r="AI37" s="612"/>
      <c r="AJ37" s="613"/>
      <c r="AK37" s="613"/>
      <c r="AL37" s="2"/>
      <c r="AM37" s="2"/>
      <c r="AN37" s="3"/>
    </row>
    <row r="38" spans="1:40" ht="11.65" customHeight="1" x14ac:dyDescent="0.2">
      <c r="A38" s="19"/>
      <c r="B38" s="2"/>
      <c r="C38" s="2"/>
      <c r="D38" s="1"/>
      <c r="E38" s="610">
        <v>27</v>
      </c>
      <c r="F38" s="611"/>
      <c r="G38" s="607" t="s">
        <v>399</v>
      </c>
      <c r="H38" s="608"/>
      <c r="I38" s="609"/>
      <c r="J38" s="607"/>
      <c r="K38" s="608"/>
      <c r="L38" s="609"/>
      <c r="M38" s="607"/>
      <c r="N38" s="608"/>
      <c r="O38" s="609"/>
      <c r="P38" s="607"/>
      <c r="Q38" s="608"/>
      <c r="R38" s="609"/>
      <c r="S38" s="4"/>
      <c r="T38" s="4"/>
      <c r="U38" s="4"/>
      <c r="V38" s="4"/>
      <c r="W38" s="4"/>
      <c r="X38" s="614">
        <v>77</v>
      </c>
      <c r="Y38" s="615"/>
      <c r="Z38" s="612"/>
      <c r="AA38" s="613"/>
      <c r="AB38" s="613"/>
      <c r="AC38" s="612"/>
      <c r="AD38" s="613"/>
      <c r="AE38" s="613"/>
      <c r="AF38" s="612"/>
      <c r="AG38" s="613"/>
      <c r="AH38" s="613"/>
      <c r="AI38" s="612"/>
      <c r="AJ38" s="613"/>
      <c r="AK38" s="613"/>
      <c r="AL38" s="2"/>
      <c r="AM38" s="2"/>
      <c r="AN38" s="3"/>
    </row>
    <row r="39" spans="1:40" ht="11.65" customHeight="1" x14ac:dyDescent="0.2">
      <c r="A39" s="19"/>
      <c r="B39" s="2"/>
      <c r="C39" s="2"/>
      <c r="D39" s="1"/>
      <c r="E39" s="610">
        <v>28</v>
      </c>
      <c r="F39" s="611"/>
      <c r="G39" s="607" t="s">
        <v>399</v>
      </c>
      <c r="H39" s="608"/>
      <c r="I39" s="609"/>
      <c r="J39" s="607"/>
      <c r="K39" s="608"/>
      <c r="L39" s="609"/>
      <c r="M39" s="607"/>
      <c r="N39" s="608"/>
      <c r="O39" s="609"/>
      <c r="P39" s="607"/>
      <c r="Q39" s="608"/>
      <c r="R39" s="609"/>
      <c r="S39" s="4"/>
      <c r="T39" s="4"/>
      <c r="U39" s="4"/>
      <c r="V39" s="4"/>
      <c r="W39" s="4"/>
      <c r="X39" s="614">
        <v>78</v>
      </c>
      <c r="Y39" s="615"/>
      <c r="Z39" s="612"/>
      <c r="AA39" s="613"/>
      <c r="AB39" s="613"/>
      <c r="AC39" s="612"/>
      <c r="AD39" s="613"/>
      <c r="AE39" s="613"/>
      <c r="AF39" s="612"/>
      <c r="AG39" s="613"/>
      <c r="AH39" s="613"/>
      <c r="AI39" s="612"/>
      <c r="AJ39" s="613"/>
      <c r="AK39" s="613"/>
      <c r="AL39" s="2"/>
      <c r="AM39" s="2"/>
      <c r="AN39" s="3"/>
    </row>
    <row r="40" spans="1:40" ht="11.65" customHeight="1" x14ac:dyDescent="0.2">
      <c r="A40" s="19"/>
      <c r="B40" s="2"/>
      <c r="C40" s="2"/>
      <c r="D40" s="1"/>
      <c r="E40" s="610">
        <v>29</v>
      </c>
      <c r="F40" s="611"/>
      <c r="G40" s="607" t="s">
        <v>399</v>
      </c>
      <c r="H40" s="608"/>
      <c r="I40" s="609"/>
      <c r="J40" s="607"/>
      <c r="K40" s="608"/>
      <c r="L40" s="609"/>
      <c r="M40" s="607"/>
      <c r="N40" s="608"/>
      <c r="O40" s="609"/>
      <c r="P40" s="607"/>
      <c r="Q40" s="608"/>
      <c r="R40" s="609"/>
      <c r="S40" s="4"/>
      <c r="T40" s="4"/>
      <c r="U40" s="4"/>
      <c r="V40" s="4"/>
      <c r="W40" s="4"/>
      <c r="X40" s="614">
        <v>79</v>
      </c>
      <c r="Y40" s="615"/>
      <c r="Z40" s="612"/>
      <c r="AA40" s="613"/>
      <c r="AB40" s="613"/>
      <c r="AC40" s="612"/>
      <c r="AD40" s="613"/>
      <c r="AE40" s="613"/>
      <c r="AF40" s="612"/>
      <c r="AG40" s="613"/>
      <c r="AH40" s="613"/>
      <c r="AI40" s="612"/>
      <c r="AJ40" s="613"/>
      <c r="AK40" s="613"/>
      <c r="AL40" s="2"/>
      <c r="AM40" s="2"/>
      <c r="AN40" s="3"/>
    </row>
    <row r="41" spans="1:40" ht="11.65" customHeight="1" x14ac:dyDescent="0.2">
      <c r="A41" s="19"/>
      <c r="B41" s="2"/>
      <c r="C41" s="2"/>
      <c r="D41" s="1"/>
      <c r="E41" s="610">
        <v>30</v>
      </c>
      <c r="F41" s="611"/>
      <c r="G41" s="607" t="s">
        <v>399</v>
      </c>
      <c r="H41" s="608"/>
      <c r="I41" s="609"/>
      <c r="J41" s="607"/>
      <c r="K41" s="608"/>
      <c r="L41" s="609"/>
      <c r="M41" s="607"/>
      <c r="N41" s="608"/>
      <c r="O41" s="609"/>
      <c r="P41" s="607"/>
      <c r="Q41" s="608"/>
      <c r="R41" s="609"/>
      <c r="S41" s="4"/>
      <c r="T41" s="4"/>
      <c r="U41" s="4"/>
      <c r="V41" s="4"/>
      <c r="W41" s="4"/>
      <c r="X41" s="614">
        <v>80</v>
      </c>
      <c r="Y41" s="615"/>
      <c r="Z41" s="612"/>
      <c r="AA41" s="613"/>
      <c r="AB41" s="613"/>
      <c r="AC41" s="612"/>
      <c r="AD41" s="613"/>
      <c r="AE41" s="613"/>
      <c r="AF41" s="612"/>
      <c r="AG41" s="613"/>
      <c r="AH41" s="613"/>
      <c r="AI41" s="612"/>
      <c r="AJ41" s="613"/>
      <c r="AK41" s="613"/>
      <c r="AL41" s="2"/>
      <c r="AM41" s="2"/>
      <c r="AN41" s="3"/>
    </row>
    <row r="42" spans="1:40" ht="11.65" customHeight="1" x14ac:dyDescent="0.2">
      <c r="A42" s="19"/>
      <c r="B42" s="2"/>
      <c r="C42" s="2"/>
      <c r="D42" s="1"/>
      <c r="E42" s="610">
        <v>31</v>
      </c>
      <c r="F42" s="611"/>
      <c r="G42" s="607" t="s">
        <v>399</v>
      </c>
      <c r="H42" s="608"/>
      <c r="I42" s="609"/>
      <c r="J42" s="607"/>
      <c r="K42" s="608"/>
      <c r="L42" s="609"/>
      <c r="M42" s="607"/>
      <c r="N42" s="608"/>
      <c r="O42" s="609"/>
      <c r="P42" s="607"/>
      <c r="Q42" s="608"/>
      <c r="R42" s="609"/>
      <c r="S42" s="4"/>
      <c r="T42" s="4"/>
      <c r="U42" s="4"/>
      <c r="V42" s="4"/>
      <c r="W42" s="4"/>
      <c r="X42" s="614">
        <v>81</v>
      </c>
      <c r="Y42" s="615"/>
      <c r="Z42" s="612"/>
      <c r="AA42" s="613"/>
      <c r="AB42" s="613"/>
      <c r="AC42" s="612"/>
      <c r="AD42" s="613"/>
      <c r="AE42" s="613"/>
      <c r="AF42" s="612"/>
      <c r="AG42" s="613"/>
      <c r="AH42" s="613"/>
      <c r="AI42" s="612"/>
      <c r="AJ42" s="613"/>
      <c r="AK42" s="613"/>
      <c r="AL42" s="2"/>
      <c r="AM42" s="2"/>
      <c r="AN42" s="3"/>
    </row>
    <row r="43" spans="1:40" ht="11.65" customHeight="1" x14ac:dyDescent="0.2">
      <c r="A43" s="19"/>
      <c r="B43" s="2"/>
      <c r="C43" s="2"/>
      <c r="D43" s="1"/>
      <c r="E43" s="610">
        <v>32</v>
      </c>
      <c r="F43" s="611"/>
      <c r="G43" s="607" t="s">
        <v>399</v>
      </c>
      <c r="H43" s="608"/>
      <c r="I43" s="609"/>
      <c r="J43" s="607"/>
      <c r="K43" s="608"/>
      <c r="L43" s="609"/>
      <c r="M43" s="607"/>
      <c r="N43" s="608"/>
      <c r="O43" s="609"/>
      <c r="P43" s="607"/>
      <c r="Q43" s="608"/>
      <c r="R43" s="609"/>
      <c r="S43" s="4"/>
      <c r="T43" s="4"/>
      <c r="U43" s="4"/>
      <c r="V43" s="4"/>
      <c r="W43" s="4"/>
      <c r="X43" s="614">
        <v>82</v>
      </c>
      <c r="Y43" s="615"/>
      <c r="Z43" s="612"/>
      <c r="AA43" s="613"/>
      <c r="AB43" s="613"/>
      <c r="AC43" s="612"/>
      <c r="AD43" s="613"/>
      <c r="AE43" s="613"/>
      <c r="AF43" s="612"/>
      <c r="AG43" s="613"/>
      <c r="AH43" s="613"/>
      <c r="AI43" s="612"/>
      <c r="AJ43" s="613"/>
      <c r="AK43" s="613"/>
      <c r="AL43" s="2"/>
      <c r="AM43" s="2"/>
      <c r="AN43" s="3"/>
    </row>
    <row r="44" spans="1:40" ht="11.65" customHeight="1" x14ac:dyDescent="0.2">
      <c r="A44" s="19"/>
      <c r="B44" s="2"/>
      <c r="C44" s="2"/>
      <c r="D44" s="1"/>
      <c r="E44" s="610">
        <v>33</v>
      </c>
      <c r="F44" s="611"/>
      <c r="G44" s="607" t="s">
        <v>399</v>
      </c>
      <c r="H44" s="608"/>
      <c r="I44" s="609"/>
      <c r="J44" s="607"/>
      <c r="K44" s="608"/>
      <c r="L44" s="609"/>
      <c r="M44" s="607"/>
      <c r="N44" s="608"/>
      <c r="O44" s="609"/>
      <c r="P44" s="607"/>
      <c r="Q44" s="608"/>
      <c r="R44" s="609"/>
      <c r="S44" s="4"/>
      <c r="T44" s="4"/>
      <c r="U44" s="4"/>
      <c r="V44" s="4"/>
      <c r="W44" s="4"/>
      <c r="X44" s="614">
        <v>83</v>
      </c>
      <c r="Y44" s="615"/>
      <c r="Z44" s="612"/>
      <c r="AA44" s="613"/>
      <c r="AB44" s="613"/>
      <c r="AC44" s="612"/>
      <c r="AD44" s="613"/>
      <c r="AE44" s="613"/>
      <c r="AF44" s="612"/>
      <c r="AG44" s="613"/>
      <c r="AH44" s="613"/>
      <c r="AI44" s="612"/>
      <c r="AJ44" s="613"/>
      <c r="AK44" s="613"/>
      <c r="AL44" s="2"/>
      <c r="AM44" s="2"/>
      <c r="AN44" s="3"/>
    </row>
    <row r="45" spans="1:40" ht="11.65" customHeight="1" x14ac:dyDescent="0.2">
      <c r="A45" s="19"/>
      <c r="B45" s="2"/>
      <c r="C45" s="2"/>
      <c r="D45" s="1"/>
      <c r="E45" s="610">
        <v>34</v>
      </c>
      <c r="F45" s="611"/>
      <c r="G45" s="607" t="s">
        <v>399</v>
      </c>
      <c r="H45" s="608"/>
      <c r="I45" s="609"/>
      <c r="J45" s="607"/>
      <c r="K45" s="608"/>
      <c r="L45" s="609"/>
      <c r="M45" s="607"/>
      <c r="N45" s="608"/>
      <c r="O45" s="609"/>
      <c r="P45" s="607"/>
      <c r="Q45" s="608"/>
      <c r="R45" s="609"/>
      <c r="S45" s="4"/>
      <c r="T45" s="4"/>
      <c r="U45" s="4"/>
      <c r="V45" s="4"/>
      <c r="W45" s="4"/>
      <c r="X45" s="614">
        <v>84</v>
      </c>
      <c r="Y45" s="615"/>
      <c r="Z45" s="612"/>
      <c r="AA45" s="613"/>
      <c r="AB45" s="613"/>
      <c r="AC45" s="612"/>
      <c r="AD45" s="613"/>
      <c r="AE45" s="613"/>
      <c r="AF45" s="612"/>
      <c r="AG45" s="613"/>
      <c r="AH45" s="613"/>
      <c r="AI45" s="612"/>
      <c r="AJ45" s="613"/>
      <c r="AK45" s="613"/>
      <c r="AL45" s="2"/>
      <c r="AM45" s="2"/>
      <c r="AN45" s="3"/>
    </row>
    <row r="46" spans="1:40" ht="11.65" customHeight="1" x14ac:dyDescent="0.2">
      <c r="A46" s="19"/>
      <c r="B46" s="2"/>
      <c r="C46" s="2"/>
      <c r="D46" s="1"/>
      <c r="E46" s="610">
        <v>35</v>
      </c>
      <c r="F46" s="611"/>
      <c r="G46" s="607" t="s">
        <v>399</v>
      </c>
      <c r="H46" s="608"/>
      <c r="I46" s="609"/>
      <c r="J46" s="607"/>
      <c r="K46" s="608"/>
      <c r="L46" s="609"/>
      <c r="M46" s="607"/>
      <c r="N46" s="608"/>
      <c r="O46" s="609"/>
      <c r="P46" s="607"/>
      <c r="Q46" s="608"/>
      <c r="R46" s="609"/>
      <c r="S46" s="4"/>
      <c r="T46" s="4"/>
      <c r="U46" s="4"/>
      <c r="V46" s="4"/>
      <c r="W46" s="4"/>
      <c r="X46" s="614">
        <v>85</v>
      </c>
      <c r="Y46" s="615"/>
      <c r="Z46" s="612"/>
      <c r="AA46" s="613"/>
      <c r="AB46" s="613"/>
      <c r="AC46" s="612"/>
      <c r="AD46" s="613"/>
      <c r="AE46" s="613"/>
      <c r="AF46" s="612"/>
      <c r="AG46" s="613"/>
      <c r="AH46" s="613"/>
      <c r="AI46" s="612"/>
      <c r="AJ46" s="613"/>
      <c r="AK46" s="613"/>
      <c r="AL46" s="2"/>
      <c r="AM46" s="2"/>
      <c r="AN46" s="3"/>
    </row>
    <row r="47" spans="1:40" ht="11.65" customHeight="1" x14ac:dyDescent="0.2">
      <c r="A47" s="19"/>
      <c r="B47" s="2"/>
      <c r="C47" s="2"/>
      <c r="D47" s="1"/>
      <c r="E47" s="610">
        <v>36</v>
      </c>
      <c r="F47" s="611"/>
      <c r="G47" s="607" t="s">
        <v>399</v>
      </c>
      <c r="H47" s="608"/>
      <c r="I47" s="609"/>
      <c r="J47" s="607"/>
      <c r="K47" s="608"/>
      <c r="L47" s="609"/>
      <c r="M47" s="607"/>
      <c r="N47" s="608"/>
      <c r="O47" s="609"/>
      <c r="P47" s="607"/>
      <c r="Q47" s="608"/>
      <c r="R47" s="609"/>
      <c r="S47" s="4"/>
      <c r="T47" s="4"/>
      <c r="U47" s="4"/>
      <c r="V47" s="4"/>
      <c r="W47" s="4"/>
      <c r="X47" s="614">
        <v>86</v>
      </c>
      <c r="Y47" s="615"/>
      <c r="Z47" s="612"/>
      <c r="AA47" s="613"/>
      <c r="AB47" s="613"/>
      <c r="AC47" s="612"/>
      <c r="AD47" s="613"/>
      <c r="AE47" s="613"/>
      <c r="AF47" s="612"/>
      <c r="AG47" s="613"/>
      <c r="AH47" s="613"/>
      <c r="AI47" s="612"/>
      <c r="AJ47" s="613"/>
      <c r="AK47" s="613"/>
      <c r="AL47" s="2"/>
      <c r="AM47" s="2"/>
      <c r="AN47" s="3"/>
    </row>
    <row r="48" spans="1:40" ht="11.65" customHeight="1" x14ac:dyDescent="0.2">
      <c r="A48" s="19"/>
      <c r="B48" s="2"/>
      <c r="C48" s="2"/>
      <c r="D48" s="1"/>
      <c r="E48" s="610">
        <v>37</v>
      </c>
      <c r="F48" s="611"/>
      <c r="G48" s="607" t="s">
        <v>399</v>
      </c>
      <c r="H48" s="608"/>
      <c r="I48" s="609"/>
      <c r="J48" s="607"/>
      <c r="K48" s="608"/>
      <c r="L48" s="609"/>
      <c r="M48" s="607"/>
      <c r="N48" s="608"/>
      <c r="O48" s="609"/>
      <c r="P48" s="607"/>
      <c r="Q48" s="608"/>
      <c r="R48" s="609"/>
      <c r="S48" s="4"/>
      <c r="T48" s="4"/>
      <c r="U48" s="4"/>
      <c r="V48" s="4"/>
      <c r="W48" s="4"/>
      <c r="X48" s="614">
        <v>87</v>
      </c>
      <c r="Y48" s="615"/>
      <c r="Z48" s="612"/>
      <c r="AA48" s="613"/>
      <c r="AB48" s="613"/>
      <c r="AC48" s="612"/>
      <c r="AD48" s="613"/>
      <c r="AE48" s="613"/>
      <c r="AF48" s="612"/>
      <c r="AG48" s="613"/>
      <c r="AH48" s="613"/>
      <c r="AI48" s="612"/>
      <c r="AJ48" s="613"/>
      <c r="AK48" s="613"/>
      <c r="AL48" s="2"/>
      <c r="AM48" s="2"/>
      <c r="AN48" s="3"/>
    </row>
    <row r="49" spans="1:40" ht="11.65" customHeight="1" x14ac:dyDescent="0.2">
      <c r="A49" s="19"/>
      <c r="B49" s="2"/>
      <c r="C49" s="2"/>
      <c r="D49" s="1"/>
      <c r="E49" s="610">
        <v>38</v>
      </c>
      <c r="F49" s="611"/>
      <c r="G49" s="607" t="s">
        <v>399</v>
      </c>
      <c r="H49" s="608"/>
      <c r="I49" s="609"/>
      <c r="J49" s="607"/>
      <c r="K49" s="608"/>
      <c r="L49" s="609"/>
      <c r="M49" s="607"/>
      <c r="N49" s="608"/>
      <c r="O49" s="609"/>
      <c r="P49" s="607"/>
      <c r="Q49" s="608"/>
      <c r="R49" s="609"/>
      <c r="S49" s="4"/>
      <c r="T49" s="4"/>
      <c r="U49" s="4"/>
      <c r="V49" s="4"/>
      <c r="W49" s="4"/>
      <c r="X49" s="614">
        <v>88</v>
      </c>
      <c r="Y49" s="615"/>
      <c r="Z49" s="612"/>
      <c r="AA49" s="613"/>
      <c r="AB49" s="613"/>
      <c r="AC49" s="612"/>
      <c r="AD49" s="613"/>
      <c r="AE49" s="613"/>
      <c r="AF49" s="612"/>
      <c r="AG49" s="613"/>
      <c r="AH49" s="613"/>
      <c r="AI49" s="612"/>
      <c r="AJ49" s="613"/>
      <c r="AK49" s="613"/>
      <c r="AL49" s="2"/>
      <c r="AM49" s="2"/>
      <c r="AN49" s="3"/>
    </row>
    <row r="50" spans="1:40" ht="11.65" customHeight="1" x14ac:dyDescent="0.2">
      <c r="A50" s="19"/>
      <c r="B50" s="2"/>
      <c r="C50" s="2"/>
      <c r="D50" s="1"/>
      <c r="E50" s="610">
        <v>39</v>
      </c>
      <c r="F50" s="611"/>
      <c r="G50" s="607" t="s">
        <v>399</v>
      </c>
      <c r="H50" s="608"/>
      <c r="I50" s="609"/>
      <c r="J50" s="607"/>
      <c r="K50" s="608"/>
      <c r="L50" s="609"/>
      <c r="M50" s="607"/>
      <c r="N50" s="608"/>
      <c r="O50" s="609"/>
      <c r="P50" s="607"/>
      <c r="Q50" s="608"/>
      <c r="R50" s="609"/>
      <c r="S50" s="4"/>
      <c r="T50" s="4"/>
      <c r="U50" s="4"/>
      <c r="V50" s="4"/>
      <c r="W50" s="4"/>
      <c r="X50" s="614">
        <v>89</v>
      </c>
      <c r="Y50" s="615"/>
      <c r="Z50" s="612"/>
      <c r="AA50" s="613"/>
      <c r="AB50" s="613"/>
      <c r="AC50" s="612"/>
      <c r="AD50" s="613"/>
      <c r="AE50" s="613"/>
      <c r="AF50" s="612"/>
      <c r="AG50" s="613"/>
      <c r="AH50" s="613"/>
      <c r="AI50" s="612"/>
      <c r="AJ50" s="613"/>
      <c r="AK50" s="613"/>
      <c r="AL50" s="2"/>
      <c r="AM50" s="2"/>
      <c r="AN50" s="3"/>
    </row>
    <row r="51" spans="1:40" ht="11.65" customHeight="1" x14ac:dyDescent="0.2">
      <c r="A51" s="19"/>
      <c r="B51" s="2"/>
      <c r="C51" s="2"/>
      <c r="D51" s="1"/>
      <c r="E51" s="610">
        <v>40</v>
      </c>
      <c r="F51" s="611"/>
      <c r="G51" s="607" t="s">
        <v>399</v>
      </c>
      <c r="H51" s="608"/>
      <c r="I51" s="609"/>
      <c r="J51" s="607"/>
      <c r="K51" s="608"/>
      <c r="L51" s="609"/>
      <c r="M51" s="607"/>
      <c r="N51" s="608"/>
      <c r="O51" s="609"/>
      <c r="P51" s="607"/>
      <c r="Q51" s="608"/>
      <c r="R51" s="609"/>
      <c r="S51" s="4"/>
      <c r="T51" s="4"/>
      <c r="U51" s="4"/>
      <c r="V51" s="4"/>
      <c r="W51" s="4"/>
      <c r="X51" s="614">
        <v>90</v>
      </c>
      <c r="Y51" s="615"/>
      <c r="Z51" s="612"/>
      <c r="AA51" s="613"/>
      <c r="AB51" s="613"/>
      <c r="AC51" s="612"/>
      <c r="AD51" s="613"/>
      <c r="AE51" s="613"/>
      <c r="AF51" s="612"/>
      <c r="AG51" s="613"/>
      <c r="AH51" s="613"/>
      <c r="AI51" s="612"/>
      <c r="AJ51" s="613"/>
      <c r="AK51" s="613"/>
      <c r="AL51" s="2"/>
      <c r="AM51" s="2"/>
      <c r="AN51" s="3"/>
    </row>
    <row r="52" spans="1:40" ht="11.65" customHeight="1" x14ac:dyDescent="0.2">
      <c r="A52" s="19"/>
      <c r="B52" s="2"/>
      <c r="C52" s="2"/>
      <c r="D52" s="1"/>
      <c r="E52" s="610">
        <v>41</v>
      </c>
      <c r="F52" s="611"/>
      <c r="G52" s="607" t="s">
        <v>399</v>
      </c>
      <c r="H52" s="608"/>
      <c r="I52" s="609"/>
      <c r="J52" s="607"/>
      <c r="K52" s="608"/>
      <c r="L52" s="609"/>
      <c r="M52" s="607"/>
      <c r="N52" s="608"/>
      <c r="O52" s="609"/>
      <c r="P52" s="607"/>
      <c r="Q52" s="608"/>
      <c r="R52" s="609"/>
      <c r="S52" s="4"/>
      <c r="T52" s="4"/>
      <c r="U52" s="4"/>
      <c r="V52" s="4"/>
      <c r="W52" s="4"/>
      <c r="X52" s="614">
        <v>91</v>
      </c>
      <c r="Y52" s="615"/>
      <c r="Z52" s="612"/>
      <c r="AA52" s="613"/>
      <c r="AB52" s="613"/>
      <c r="AC52" s="612"/>
      <c r="AD52" s="613"/>
      <c r="AE52" s="613"/>
      <c r="AF52" s="612"/>
      <c r="AG52" s="613"/>
      <c r="AH52" s="613"/>
      <c r="AI52" s="612"/>
      <c r="AJ52" s="613"/>
      <c r="AK52" s="613"/>
      <c r="AL52" s="2"/>
      <c r="AM52" s="2"/>
      <c r="AN52" s="3"/>
    </row>
    <row r="53" spans="1:40" ht="11.65" customHeight="1" x14ac:dyDescent="0.2">
      <c r="A53" s="19"/>
      <c r="B53" s="2"/>
      <c r="C53" s="2"/>
      <c r="D53" s="1"/>
      <c r="E53" s="610">
        <v>42</v>
      </c>
      <c r="F53" s="611"/>
      <c r="G53" s="607" t="s">
        <v>399</v>
      </c>
      <c r="H53" s="608"/>
      <c r="I53" s="609"/>
      <c r="J53" s="607"/>
      <c r="K53" s="608"/>
      <c r="L53" s="609"/>
      <c r="M53" s="607"/>
      <c r="N53" s="608"/>
      <c r="O53" s="609"/>
      <c r="P53" s="607"/>
      <c r="Q53" s="608"/>
      <c r="R53" s="609"/>
      <c r="S53" s="4"/>
      <c r="T53" s="4"/>
      <c r="U53" s="4"/>
      <c r="V53" s="4"/>
      <c r="W53" s="4"/>
      <c r="X53" s="614">
        <v>92</v>
      </c>
      <c r="Y53" s="615"/>
      <c r="Z53" s="612"/>
      <c r="AA53" s="613"/>
      <c r="AB53" s="613"/>
      <c r="AC53" s="612"/>
      <c r="AD53" s="613"/>
      <c r="AE53" s="613"/>
      <c r="AF53" s="612"/>
      <c r="AG53" s="613"/>
      <c r="AH53" s="613"/>
      <c r="AI53" s="612"/>
      <c r="AJ53" s="613"/>
      <c r="AK53" s="613"/>
      <c r="AL53" s="2"/>
      <c r="AM53" s="2"/>
      <c r="AN53" s="3"/>
    </row>
    <row r="54" spans="1:40" ht="11.65" customHeight="1" x14ac:dyDescent="0.2">
      <c r="A54" s="19"/>
      <c r="B54" s="2"/>
      <c r="C54" s="2"/>
      <c r="D54" s="1"/>
      <c r="E54" s="610">
        <v>43</v>
      </c>
      <c r="F54" s="611"/>
      <c r="G54" s="607" t="s">
        <v>399</v>
      </c>
      <c r="H54" s="608"/>
      <c r="I54" s="609"/>
      <c r="J54" s="607"/>
      <c r="K54" s="608"/>
      <c r="L54" s="609"/>
      <c r="M54" s="607"/>
      <c r="N54" s="608"/>
      <c r="O54" s="609"/>
      <c r="P54" s="607"/>
      <c r="Q54" s="608"/>
      <c r="R54" s="609"/>
      <c r="S54" s="4"/>
      <c r="T54" s="4"/>
      <c r="U54" s="4"/>
      <c r="V54" s="4"/>
      <c r="W54" s="4"/>
      <c r="X54" s="614">
        <v>93</v>
      </c>
      <c r="Y54" s="615"/>
      <c r="Z54" s="612"/>
      <c r="AA54" s="613"/>
      <c r="AB54" s="613"/>
      <c r="AC54" s="612"/>
      <c r="AD54" s="613"/>
      <c r="AE54" s="613"/>
      <c r="AF54" s="612"/>
      <c r="AG54" s="613"/>
      <c r="AH54" s="613"/>
      <c r="AI54" s="612"/>
      <c r="AJ54" s="613"/>
      <c r="AK54" s="613"/>
      <c r="AL54" s="2"/>
      <c r="AM54" s="2"/>
      <c r="AN54" s="3"/>
    </row>
    <row r="55" spans="1:40" ht="11.65" customHeight="1" x14ac:dyDescent="0.2">
      <c r="A55" s="19"/>
      <c r="B55" s="2"/>
      <c r="C55" s="2"/>
      <c r="D55" s="1"/>
      <c r="E55" s="610">
        <v>44</v>
      </c>
      <c r="F55" s="611"/>
      <c r="G55" s="607" t="s">
        <v>399</v>
      </c>
      <c r="H55" s="608"/>
      <c r="I55" s="609"/>
      <c r="J55" s="607"/>
      <c r="K55" s="608"/>
      <c r="L55" s="609"/>
      <c r="M55" s="607"/>
      <c r="N55" s="608"/>
      <c r="O55" s="609"/>
      <c r="P55" s="607"/>
      <c r="Q55" s="608"/>
      <c r="R55" s="609"/>
      <c r="S55" s="4"/>
      <c r="T55" s="4"/>
      <c r="U55" s="4"/>
      <c r="V55" s="4"/>
      <c r="W55" s="4"/>
      <c r="X55" s="614">
        <v>94</v>
      </c>
      <c r="Y55" s="615"/>
      <c r="Z55" s="612"/>
      <c r="AA55" s="613"/>
      <c r="AB55" s="613"/>
      <c r="AC55" s="612"/>
      <c r="AD55" s="613"/>
      <c r="AE55" s="613"/>
      <c r="AF55" s="612"/>
      <c r="AG55" s="613"/>
      <c r="AH55" s="613"/>
      <c r="AI55" s="612"/>
      <c r="AJ55" s="613"/>
      <c r="AK55" s="613"/>
      <c r="AL55" s="2"/>
      <c r="AM55" s="2"/>
      <c r="AN55" s="3"/>
    </row>
    <row r="56" spans="1:40" ht="11.65" customHeight="1" x14ac:dyDescent="0.2">
      <c r="A56" s="19"/>
      <c r="B56" s="2"/>
      <c r="C56" s="2"/>
      <c r="D56" s="1"/>
      <c r="E56" s="610">
        <v>45</v>
      </c>
      <c r="F56" s="611"/>
      <c r="G56" s="607" t="s">
        <v>399</v>
      </c>
      <c r="H56" s="608"/>
      <c r="I56" s="609"/>
      <c r="J56" s="607"/>
      <c r="K56" s="608"/>
      <c r="L56" s="609"/>
      <c r="M56" s="607"/>
      <c r="N56" s="608"/>
      <c r="O56" s="609"/>
      <c r="P56" s="607"/>
      <c r="Q56" s="608"/>
      <c r="R56" s="609"/>
      <c r="S56" s="4"/>
      <c r="T56" s="4"/>
      <c r="U56" s="4"/>
      <c r="V56" s="4"/>
      <c r="W56" s="4"/>
      <c r="X56" s="614">
        <v>95</v>
      </c>
      <c r="Y56" s="615"/>
      <c r="Z56" s="612"/>
      <c r="AA56" s="613"/>
      <c r="AB56" s="613"/>
      <c r="AC56" s="612"/>
      <c r="AD56" s="613"/>
      <c r="AE56" s="613"/>
      <c r="AF56" s="612"/>
      <c r="AG56" s="613"/>
      <c r="AH56" s="613"/>
      <c r="AI56" s="612"/>
      <c r="AJ56" s="613"/>
      <c r="AK56" s="613"/>
      <c r="AL56" s="2"/>
      <c r="AM56" s="2"/>
      <c r="AN56" s="3"/>
    </row>
    <row r="57" spans="1:40" ht="11.65" customHeight="1" x14ac:dyDescent="0.2">
      <c r="A57" s="19"/>
      <c r="B57" s="2"/>
      <c r="C57" s="2"/>
      <c r="D57" s="1"/>
      <c r="E57" s="610">
        <v>46</v>
      </c>
      <c r="F57" s="611"/>
      <c r="G57" s="607" t="s">
        <v>399</v>
      </c>
      <c r="H57" s="608"/>
      <c r="I57" s="609"/>
      <c r="J57" s="607"/>
      <c r="K57" s="608"/>
      <c r="L57" s="609"/>
      <c r="M57" s="607"/>
      <c r="N57" s="608"/>
      <c r="O57" s="609"/>
      <c r="P57" s="607"/>
      <c r="Q57" s="608"/>
      <c r="R57" s="609"/>
      <c r="S57" s="4"/>
      <c r="T57" s="4"/>
      <c r="U57" s="4"/>
      <c r="V57" s="4"/>
      <c r="W57" s="4"/>
      <c r="X57" s="614">
        <v>96</v>
      </c>
      <c r="Y57" s="615"/>
      <c r="Z57" s="612"/>
      <c r="AA57" s="613"/>
      <c r="AB57" s="613"/>
      <c r="AC57" s="612"/>
      <c r="AD57" s="613"/>
      <c r="AE57" s="613"/>
      <c r="AF57" s="612"/>
      <c r="AG57" s="613"/>
      <c r="AH57" s="613"/>
      <c r="AI57" s="612"/>
      <c r="AJ57" s="613"/>
      <c r="AK57" s="613"/>
      <c r="AL57" s="2"/>
      <c r="AM57" s="2"/>
      <c r="AN57" s="3"/>
    </row>
    <row r="58" spans="1:40" ht="11.65" customHeight="1" x14ac:dyDescent="0.2">
      <c r="A58" s="19"/>
      <c r="B58" s="2"/>
      <c r="C58" s="2"/>
      <c r="D58" s="1"/>
      <c r="E58" s="610">
        <v>47</v>
      </c>
      <c r="F58" s="611"/>
      <c r="G58" s="607" t="s">
        <v>399</v>
      </c>
      <c r="H58" s="608"/>
      <c r="I58" s="609"/>
      <c r="J58" s="607"/>
      <c r="K58" s="608"/>
      <c r="L58" s="609"/>
      <c r="M58" s="607"/>
      <c r="N58" s="608"/>
      <c r="O58" s="609"/>
      <c r="P58" s="607"/>
      <c r="Q58" s="608"/>
      <c r="R58" s="609"/>
      <c r="S58" s="4"/>
      <c r="T58" s="4"/>
      <c r="U58" s="4"/>
      <c r="V58" s="4"/>
      <c r="W58" s="4"/>
      <c r="X58" s="614">
        <v>97</v>
      </c>
      <c r="Y58" s="615"/>
      <c r="Z58" s="612"/>
      <c r="AA58" s="613"/>
      <c r="AB58" s="613"/>
      <c r="AC58" s="612"/>
      <c r="AD58" s="613"/>
      <c r="AE58" s="613"/>
      <c r="AF58" s="612"/>
      <c r="AG58" s="613"/>
      <c r="AH58" s="613"/>
      <c r="AI58" s="612"/>
      <c r="AJ58" s="613"/>
      <c r="AK58" s="613"/>
      <c r="AL58" s="2"/>
      <c r="AM58" s="2"/>
      <c r="AN58" s="3"/>
    </row>
    <row r="59" spans="1:40" ht="11.65" customHeight="1" x14ac:dyDescent="0.2">
      <c r="A59" s="19"/>
      <c r="B59" s="2"/>
      <c r="C59" s="2"/>
      <c r="D59" s="1"/>
      <c r="E59" s="610">
        <v>48</v>
      </c>
      <c r="F59" s="611"/>
      <c r="G59" s="607" t="s">
        <v>399</v>
      </c>
      <c r="H59" s="608"/>
      <c r="I59" s="609"/>
      <c r="J59" s="607"/>
      <c r="K59" s="608"/>
      <c r="L59" s="609"/>
      <c r="M59" s="607"/>
      <c r="N59" s="608"/>
      <c r="O59" s="609"/>
      <c r="P59" s="607"/>
      <c r="Q59" s="608"/>
      <c r="R59" s="609"/>
      <c r="S59" s="4"/>
      <c r="T59" s="4"/>
      <c r="U59" s="4"/>
      <c r="V59" s="4"/>
      <c r="W59" s="4"/>
      <c r="X59" s="614">
        <v>98</v>
      </c>
      <c r="Y59" s="615"/>
      <c r="Z59" s="612"/>
      <c r="AA59" s="613"/>
      <c r="AB59" s="613"/>
      <c r="AC59" s="612"/>
      <c r="AD59" s="613"/>
      <c r="AE59" s="613"/>
      <c r="AF59" s="612"/>
      <c r="AG59" s="613"/>
      <c r="AH59" s="613"/>
      <c r="AI59" s="612"/>
      <c r="AJ59" s="613"/>
      <c r="AK59" s="613"/>
      <c r="AL59" s="2"/>
      <c r="AM59" s="2"/>
      <c r="AN59" s="3"/>
    </row>
    <row r="60" spans="1:40" ht="11.65" customHeight="1" x14ac:dyDescent="0.2">
      <c r="A60" s="19"/>
      <c r="B60" s="2"/>
      <c r="C60" s="2"/>
      <c r="D60" s="1"/>
      <c r="E60" s="610">
        <v>49</v>
      </c>
      <c r="F60" s="611"/>
      <c r="G60" s="607" t="s">
        <v>399</v>
      </c>
      <c r="H60" s="608"/>
      <c r="I60" s="609"/>
      <c r="J60" s="607"/>
      <c r="K60" s="608"/>
      <c r="L60" s="609"/>
      <c r="M60" s="607"/>
      <c r="N60" s="608"/>
      <c r="O60" s="609"/>
      <c r="P60" s="607"/>
      <c r="Q60" s="608"/>
      <c r="R60" s="609"/>
      <c r="S60" s="4"/>
      <c r="T60" s="1"/>
      <c r="U60" s="4"/>
      <c r="V60" s="4"/>
      <c r="W60" s="4"/>
      <c r="X60" s="614">
        <v>99</v>
      </c>
      <c r="Y60" s="615"/>
      <c r="Z60" s="612"/>
      <c r="AA60" s="613"/>
      <c r="AB60" s="613"/>
      <c r="AC60" s="612"/>
      <c r="AD60" s="613"/>
      <c r="AE60" s="613"/>
      <c r="AF60" s="612"/>
      <c r="AG60" s="613"/>
      <c r="AH60" s="613"/>
      <c r="AI60" s="612"/>
      <c r="AJ60" s="613"/>
      <c r="AK60" s="613"/>
      <c r="AL60" s="2"/>
      <c r="AM60" s="2"/>
      <c r="AN60" s="3"/>
    </row>
    <row r="61" spans="1:40" ht="11.65" customHeight="1" x14ac:dyDescent="0.2">
      <c r="A61" s="19"/>
      <c r="B61" s="1"/>
      <c r="C61" s="5"/>
      <c r="D61" s="1"/>
      <c r="E61" s="610">
        <v>50</v>
      </c>
      <c r="F61" s="611"/>
      <c r="G61" s="607"/>
      <c r="H61" s="608"/>
      <c r="I61" s="609"/>
      <c r="J61" s="607"/>
      <c r="K61" s="608"/>
      <c r="L61" s="609"/>
      <c r="M61" s="607"/>
      <c r="N61" s="608"/>
      <c r="O61" s="609"/>
      <c r="P61" s="607"/>
      <c r="Q61" s="608"/>
      <c r="R61" s="609"/>
      <c r="S61" s="4"/>
      <c r="T61" s="1"/>
      <c r="U61" s="4"/>
      <c r="V61" s="4"/>
      <c r="W61" s="4"/>
      <c r="X61" s="614">
        <v>100</v>
      </c>
      <c r="Y61" s="615"/>
      <c r="Z61" s="612"/>
      <c r="AA61" s="613"/>
      <c r="AB61" s="613"/>
      <c r="AC61" s="612"/>
      <c r="AD61" s="613"/>
      <c r="AE61" s="613"/>
      <c r="AF61" s="612"/>
      <c r="AG61" s="613"/>
      <c r="AH61" s="613"/>
      <c r="AI61" s="612"/>
      <c r="AJ61" s="613"/>
      <c r="AK61" s="613"/>
      <c r="AL61" s="6"/>
      <c r="AM61" s="6"/>
      <c r="AN61" s="7"/>
    </row>
    <row r="62" spans="1:40" ht="11.65" customHeight="1" x14ac:dyDescent="0.2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1"/>
    </row>
    <row r="63" spans="1:40" ht="11.65" customHeight="1" x14ac:dyDescent="0.2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1"/>
    </row>
    <row r="64" spans="1:40" ht="11.65" customHeight="1" x14ac:dyDescent="0.2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1"/>
    </row>
    <row r="65" spans="1:40" ht="11.65" customHeight="1" x14ac:dyDescent="0.2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1"/>
    </row>
    <row r="66" spans="1:40" ht="11.65" customHeight="1" x14ac:dyDescent="0.2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1"/>
    </row>
    <row r="67" spans="1:40" ht="11.65" customHeight="1" x14ac:dyDescent="0.2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1"/>
    </row>
    <row r="68" spans="1:40" ht="11.65" customHeight="1" x14ac:dyDescent="0.2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1"/>
    </row>
    <row r="69" spans="1:40" ht="11.65" customHeight="1" thickBot="1" x14ac:dyDescent="0.25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4"/>
    </row>
  </sheetData>
  <mergeCells count="511">
    <mergeCell ref="Z11:AB11"/>
    <mergeCell ref="AC11:AE11"/>
    <mergeCell ref="AF11:AH11"/>
    <mergeCell ref="AI11:AK11"/>
    <mergeCell ref="X12:Y12"/>
    <mergeCell ref="P9:Z9"/>
    <mergeCell ref="E11:F11"/>
    <mergeCell ref="G11:I11"/>
    <mergeCell ref="J11:L11"/>
    <mergeCell ref="M11:O11"/>
    <mergeCell ref="P11:R11"/>
    <mergeCell ref="X11:Y11"/>
    <mergeCell ref="J12:L12"/>
    <mergeCell ref="G12:I12"/>
    <mergeCell ref="E12:F12"/>
    <mergeCell ref="Z13:AB13"/>
    <mergeCell ref="AC13:AE13"/>
    <mergeCell ref="AF13:AH13"/>
    <mergeCell ref="AI13:AK13"/>
    <mergeCell ref="X14:Y14"/>
    <mergeCell ref="Z12:AB12"/>
    <mergeCell ref="AC12:AE12"/>
    <mergeCell ref="AF12:AH12"/>
    <mergeCell ref="AI12:AK12"/>
    <mergeCell ref="X13:Y13"/>
    <mergeCell ref="Z15:AB15"/>
    <mergeCell ref="AC15:AE15"/>
    <mergeCell ref="AF15:AH15"/>
    <mergeCell ref="AI15:AK15"/>
    <mergeCell ref="X16:Y16"/>
    <mergeCell ref="Z14:AB14"/>
    <mergeCell ref="AC14:AE14"/>
    <mergeCell ref="AF14:AH14"/>
    <mergeCell ref="AI14:AK14"/>
    <mergeCell ref="X15:Y15"/>
    <mergeCell ref="Z17:AB17"/>
    <mergeCell ref="AC17:AE17"/>
    <mergeCell ref="AF17:AH17"/>
    <mergeCell ref="AI17:AK17"/>
    <mergeCell ref="X18:Y18"/>
    <mergeCell ref="Z16:AB16"/>
    <mergeCell ref="AC16:AE16"/>
    <mergeCell ref="AF16:AH16"/>
    <mergeCell ref="AI16:AK16"/>
    <mergeCell ref="X17:Y17"/>
    <mergeCell ref="Z19:AB19"/>
    <mergeCell ref="AC19:AE19"/>
    <mergeCell ref="AF19:AH19"/>
    <mergeCell ref="AI19:AK19"/>
    <mergeCell ref="X20:Y20"/>
    <mergeCell ref="Z18:AB18"/>
    <mergeCell ref="AC18:AE18"/>
    <mergeCell ref="AF18:AH18"/>
    <mergeCell ref="AI18:AK18"/>
    <mergeCell ref="X19:Y19"/>
    <mergeCell ref="Z21:AB21"/>
    <mergeCell ref="AC21:AE21"/>
    <mergeCell ref="AF21:AH21"/>
    <mergeCell ref="AI21:AK21"/>
    <mergeCell ref="X22:Y22"/>
    <mergeCell ref="Z20:AB20"/>
    <mergeCell ref="AC20:AE20"/>
    <mergeCell ref="AF20:AH20"/>
    <mergeCell ref="AI20:AK20"/>
    <mergeCell ref="X21:Y21"/>
    <mergeCell ref="Z23:AB23"/>
    <mergeCell ref="AC23:AE23"/>
    <mergeCell ref="AF23:AH23"/>
    <mergeCell ref="AI23:AK23"/>
    <mergeCell ref="X24:Y24"/>
    <mergeCell ref="Z22:AB22"/>
    <mergeCell ref="AC22:AE22"/>
    <mergeCell ref="AF22:AH22"/>
    <mergeCell ref="AI22:AK22"/>
    <mergeCell ref="X23:Y23"/>
    <mergeCell ref="Z25:AB25"/>
    <mergeCell ref="AC25:AE25"/>
    <mergeCell ref="AF25:AH25"/>
    <mergeCell ref="AI25:AK25"/>
    <mergeCell ref="X26:Y26"/>
    <mergeCell ref="Z24:AB24"/>
    <mergeCell ref="AC24:AE24"/>
    <mergeCell ref="AF24:AH24"/>
    <mergeCell ref="AI24:AK24"/>
    <mergeCell ref="X25:Y25"/>
    <mergeCell ref="Z27:AB27"/>
    <mergeCell ref="AC27:AE27"/>
    <mergeCell ref="AF27:AH27"/>
    <mergeCell ref="AI27:AK27"/>
    <mergeCell ref="X28:Y28"/>
    <mergeCell ref="Z26:AB26"/>
    <mergeCell ref="AC26:AE26"/>
    <mergeCell ref="AF26:AH26"/>
    <mergeCell ref="AI26:AK26"/>
    <mergeCell ref="X27:Y27"/>
    <mergeCell ref="AC29:AE29"/>
    <mergeCell ref="AF29:AH29"/>
    <mergeCell ref="AI29:AK29"/>
    <mergeCell ref="X30:Y30"/>
    <mergeCell ref="Z28:AB28"/>
    <mergeCell ref="AC28:AE28"/>
    <mergeCell ref="AF28:AH28"/>
    <mergeCell ref="AI28:AK28"/>
    <mergeCell ref="X29:Y29"/>
    <mergeCell ref="AC31:AE31"/>
    <mergeCell ref="AF31:AH31"/>
    <mergeCell ref="AI31:AK31"/>
    <mergeCell ref="X32:Y32"/>
    <mergeCell ref="Z30:AB30"/>
    <mergeCell ref="AC30:AE30"/>
    <mergeCell ref="AF30:AH30"/>
    <mergeCell ref="AI30:AK30"/>
    <mergeCell ref="X31:Y31"/>
    <mergeCell ref="AC33:AE33"/>
    <mergeCell ref="AF33:AH33"/>
    <mergeCell ref="AI33:AK33"/>
    <mergeCell ref="X34:Y34"/>
    <mergeCell ref="Z32:AB32"/>
    <mergeCell ref="AC32:AE32"/>
    <mergeCell ref="AF32:AH32"/>
    <mergeCell ref="AI32:AK32"/>
    <mergeCell ref="X33:Y33"/>
    <mergeCell ref="AC35:AE35"/>
    <mergeCell ref="AF35:AH35"/>
    <mergeCell ref="AI35:AK35"/>
    <mergeCell ref="X36:Y36"/>
    <mergeCell ref="Z34:AB34"/>
    <mergeCell ref="AC34:AE34"/>
    <mergeCell ref="AF34:AH34"/>
    <mergeCell ref="AI34:AK34"/>
    <mergeCell ref="X35:Y35"/>
    <mergeCell ref="AC37:AE37"/>
    <mergeCell ref="AF37:AH37"/>
    <mergeCell ref="AI37:AK37"/>
    <mergeCell ref="X38:Y38"/>
    <mergeCell ref="Z36:AB36"/>
    <mergeCell ref="AC36:AE36"/>
    <mergeCell ref="AF36:AH36"/>
    <mergeCell ref="AI36:AK36"/>
    <mergeCell ref="X37:Y37"/>
    <mergeCell ref="AC39:AE39"/>
    <mergeCell ref="AF39:AH39"/>
    <mergeCell ref="AI39:AK39"/>
    <mergeCell ref="X40:Y40"/>
    <mergeCell ref="Z38:AB38"/>
    <mergeCell ref="AC38:AE38"/>
    <mergeCell ref="AF38:AH38"/>
    <mergeCell ref="AI38:AK38"/>
    <mergeCell ref="X39:Y39"/>
    <mergeCell ref="AC41:AE41"/>
    <mergeCell ref="AF41:AH41"/>
    <mergeCell ref="AI41:AK41"/>
    <mergeCell ref="X42:Y42"/>
    <mergeCell ref="Z40:AB40"/>
    <mergeCell ref="AC40:AE40"/>
    <mergeCell ref="AF40:AH40"/>
    <mergeCell ref="AI40:AK40"/>
    <mergeCell ref="X41:Y41"/>
    <mergeCell ref="AC43:AE43"/>
    <mergeCell ref="AF43:AH43"/>
    <mergeCell ref="AI43:AK43"/>
    <mergeCell ref="X44:Y44"/>
    <mergeCell ref="Z42:AB42"/>
    <mergeCell ref="AC42:AE42"/>
    <mergeCell ref="AF42:AH42"/>
    <mergeCell ref="AI42:AK42"/>
    <mergeCell ref="X43:Y43"/>
    <mergeCell ref="AC45:AE45"/>
    <mergeCell ref="AF45:AH45"/>
    <mergeCell ref="AI45:AK45"/>
    <mergeCell ref="X46:Y46"/>
    <mergeCell ref="Z44:AB44"/>
    <mergeCell ref="AC44:AE44"/>
    <mergeCell ref="AF44:AH44"/>
    <mergeCell ref="AI44:AK44"/>
    <mergeCell ref="X45:Y45"/>
    <mergeCell ref="AC47:AE47"/>
    <mergeCell ref="AF47:AH47"/>
    <mergeCell ref="AI47:AK47"/>
    <mergeCell ref="X48:Y48"/>
    <mergeCell ref="Z46:AB46"/>
    <mergeCell ref="AC46:AE46"/>
    <mergeCell ref="AF46:AH46"/>
    <mergeCell ref="AI46:AK46"/>
    <mergeCell ref="X47:Y47"/>
    <mergeCell ref="AC49:AE49"/>
    <mergeCell ref="AF49:AH49"/>
    <mergeCell ref="AI49:AK49"/>
    <mergeCell ref="X50:Y50"/>
    <mergeCell ref="Z48:AB48"/>
    <mergeCell ref="AC48:AE48"/>
    <mergeCell ref="AF48:AH48"/>
    <mergeCell ref="AI48:AK48"/>
    <mergeCell ref="X49:Y49"/>
    <mergeCell ref="AC51:AE51"/>
    <mergeCell ref="AF51:AH51"/>
    <mergeCell ref="AI51:AK51"/>
    <mergeCell ref="X52:Y52"/>
    <mergeCell ref="Z50:AB50"/>
    <mergeCell ref="AC50:AE50"/>
    <mergeCell ref="AF50:AH50"/>
    <mergeCell ref="AI50:AK50"/>
    <mergeCell ref="X51:Y51"/>
    <mergeCell ref="AC53:AE53"/>
    <mergeCell ref="AF53:AH53"/>
    <mergeCell ref="AI53:AK53"/>
    <mergeCell ref="X54:Y54"/>
    <mergeCell ref="Z52:AB52"/>
    <mergeCell ref="AC52:AE52"/>
    <mergeCell ref="AF52:AH52"/>
    <mergeCell ref="AI52:AK52"/>
    <mergeCell ref="X53:Y53"/>
    <mergeCell ref="AC55:AE55"/>
    <mergeCell ref="AF55:AH55"/>
    <mergeCell ref="AI55:AK55"/>
    <mergeCell ref="X56:Y56"/>
    <mergeCell ref="Z54:AB54"/>
    <mergeCell ref="AC54:AE54"/>
    <mergeCell ref="AF54:AH54"/>
    <mergeCell ref="AI54:AK54"/>
    <mergeCell ref="X55:Y55"/>
    <mergeCell ref="AC57:AE57"/>
    <mergeCell ref="AF57:AH57"/>
    <mergeCell ref="AI57:AK57"/>
    <mergeCell ref="X58:Y58"/>
    <mergeCell ref="Z56:AB56"/>
    <mergeCell ref="AC56:AE56"/>
    <mergeCell ref="AF56:AH56"/>
    <mergeCell ref="AI56:AK56"/>
    <mergeCell ref="X57:Y57"/>
    <mergeCell ref="AC61:AE61"/>
    <mergeCell ref="AF61:AH61"/>
    <mergeCell ref="AI61:AK61"/>
    <mergeCell ref="P12:R12"/>
    <mergeCell ref="M12:O12"/>
    <mergeCell ref="P14:R14"/>
    <mergeCell ref="M14:O14"/>
    <mergeCell ref="P16:R16"/>
    <mergeCell ref="M16:O16"/>
    <mergeCell ref="Z60:AB60"/>
    <mergeCell ref="AC60:AE60"/>
    <mergeCell ref="AF60:AH60"/>
    <mergeCell ref="AI60:AK60"/>
    <mergeCell ref="X61:Y61"/>
    <mergeCell ref="Z59:AB59"/>
    <mergeCell ref="AC59:AE59"/>
    <mergeCell ref="AF59:AH59"/>
    <mergeCell ref="AI59:AK59"/>
    <mergeCell ref="X60:Y60"/>
    <mergeCell ref="Z58:AB58"/>
    <mergeCell ref="AC58:AE58"/>
    <mergeCell ref="AF58:AH58"/>
    <mergeCell ref="AI58:AK58"/>
    <mergeCell ref="X59:Y59"/>
    <mergeCell ref="P13:R13"/>
    <mergeCell ref="M13:O13"/>
    <mergeCell ref="J13:L13"/>
    <mergeCell ref="G13:I13"/>
    <mergeCell ref="E13:F13"/>
    <mergeCell ref="Z61:AB61"/>
    <mergeCell ref="Z57:AB57"/>
    <mergeCell ref="Z55:AB55"/>
    <mergeCell ref="Z53:AB53"/>
    <mergeCell ref="Z51:AB51"/>
    <mergeCell ref="Z49:AB49"/>
    <mergeCell ref="Z47:AB47"/>
    <mergeCell ref="Z45:AB45"/>
    <mergeCell ref="Z43:AB43"/>
    <mergeCell ref="Z41:AB41"/>
    <mergeCell ref="Z39:AB39"/>
    <mergeCell ref="Z37:AB37"/>
    <mergeCell ref="Z35:AB35"/>
    <mergeCell ref="Z33:AB33"/>
    <mergeCell ref="Z31:AB31"/>
    <mergeCell ref="Z29:AB29"/>
    <mergeCell ref="J16:L16"/>
    <mergeCell ref="G16:I16"/>
    <mergeCell ref="E16:F16"/>
    <mergeCell ref="P17:R17"/>
    <mergeCell ref="M17:O17"/>
    <mergeCell ref="J17:L17"/>
    <mergeCell ref="G17:I17"/>
    <mergeCell ref="E17:F17"/>
    <mergeCell ref="J14:L14"/>
    <mergeCell ref="G14:I14"/>
    <mergeCell ref="E14:F14"/>
    <mergeCell ref="P15:R15"/>
    <mergeCell ref="M15:O15"/>
    <mergeCell ref="J15:L15"/>
    <mergeCell ref="G15:I15"/>
    <mergeCell ref="E15:F15"/>
    <mergeCell ref="P18:R18"/>
    <mergeCell ref="M18:O18"/>
    <mergeCell ref="J18:L18"/>
    <mergeCell ref="G18:I18"/>
    <mergeCell ref="E18:F18"/>
    <mergeCell ref="P19:R19"/>
    <mergeCell ref="M19:O19"/>
    <mergeCell ref="J19:L19"/>
    <mergeCell ref="G19:I19"/>
    <mergeCell ref="E19:F19"/>
    <mergeCell ref="P20:R20"/>
    <mergeCell ref="M20:O20"/>
    <mergeCell ref="J20:L20"/>
    <mergeCell ref="G20:I20"/>
    <mergeCell ref="E20:F20"/>
    <mergeCell ref="P21:R21"/>
    <mergeCell ref="M21:O21"/>
    <mergeCell ref="J21:L21"/>
    <mergeCell ref="G21:I21"/>
    <mergeCell ref="E21:F21"/>
    <mergeCell ref="P22:R22"/>
    <mergeCell ref="M22:O22"/>
    <mergeCell ref="J22:L22"/>
    <mergeCell ref="G22:I22"/>
    <mergeCell ref="E22:F22"/>
    <mergeCell ref="P23:R23"/>
    <mergeCell ref="M23:O23"/>
    <mergeCell ref="J23:L23"/>
    <mergeCell ref="G23:I23"/>
    <mergeCell ref="E23:F23"/>
    <mergeCell ref="P24:R24"/>
    <mergeCell ref="M24:O24"/>
    <mergeCell ref="J24:L24"/>
    <mergeCell ref="G24:I24"/>
    <mergeCell ref="E24:F24"/>
    <mergeCell ref="P25:R25"/>
    <mergeCell ref="M25:O25"/>
    <mergeCell ref="J25:L25"/>
    <mergeCell ref="G25:I25"/>
    <mergeCell ref="E25:F25"/>
    <mergeCell ref="P26:R26"/>
    <mergeCell ref="M26:O26"/>
    <mergeCell ref="J26:L26"/>
    <mergeCell ref="G26:I26"/>
    <mergeCell ref="E26:F26"/>
    <mergeCell ref="P27:R27"/>
    <mergeCell ref="M27:O27"/>
    <mergeCell ref="J27:L27"/>
    <mergeCell ref="G27:I27"/>
    <mergeCell ref="E27:F27"/>
    <mergeCell ref="P28:R28"/>
    <mergeCell ref="M28:O28"/>
    <mergeCell ref="J28:L28"/>
    <mergeCell ref="G28:I28"/>
    <mergeCell ref="E28:F28"/>
    <mergeCell ref="P29:R29"/>
    <mergeCell ref="M29:O29"/>
    <mergeCell ref="J29:L29"/>
    <mergeCell ref="G29:I29"/>
    <mergeCell ref="E29:F29"/>
    <mergeCell ref="P30:R30"/>
    <mergeCell ref="M30:O30"/>
    <mergeCell ref="J30:L30"/>
    <mergeCell ref="G30:I30"/>
    <mergeCell ref="E30:F30"/>
    <mergeCell ref="P31:R31"/>
    <mergeCell ref="M31:O31"/>
    <mergeCell ref="J31:L31"/>
    <mergeCell ref="G31:I31"/>
    <mergeCell ref="E31:F31"/>
    <mergeCell ref="P32:R32"/>
    <mergeCell ref="M32:O32"/>
    <mergeCell ref="J32:L32"/>
    <mergeCell ref="G32:I32"/>
    <mergeCell ref="E32:F32"/>
    <mergeCell ref="P33:R33"/>
    <mergeCell ref="M33:O33"/>
    <mergeCell ref="J33:L33"/>
    <mergeCell ref="G33:I33"/>
    <mergeCell ref="E33:F33"/>
    <mergeCell ref="P34:R34"/>
    <mergeCell ref="M34:O34"/>
    <mergeCell ref="J34:L34"/>
    <mergeCell ref="G34:I34"/>
    <mergeCell ref="E34:F34"/>
    <mergeCell ref="P35:R35"/>
    <mergeCell ref="M35:O35"/>
    <mergeCell ref="J35:L35"/>
    <mergeCell ref="G35:I35"/>
    <mergeCell ref="E35:F35"/>
    <mergeCell ref="P36:R36"/>
    <mergeCell ref="M36:O36"/>
    <mergeCell ref="J36:L36"/>
    <mergeCell ref="G36:I36"/>
    <mergeCell ref="E36:F36"/>
    <mergeCell ref="P37:R37"/>
    <mergeCell ref="M37:O37"/>
    <mergeCell ref="J37:L37"/>
    <mergeCell ref="G37:I37"/>
    <mergeCell ref="E37:F37"/>
    <mergeCell ref="P38:R38"/>
    <mergeCell ref="M38:O38"/>
    <mergeCell ref="J38:L38"/>
    <mergeCell ref="G38:I38"/>
    <mergeCell ref="E38:F38"/>
    <mergeCell ref="P39:R39"/>
    <mergeCell ref="M39:O39"/>
    <mergeCell ref="J39:L39"/>
    <mergeCell ref="G39:I39"/>
    <mergeCell ref="E39:F39"/>
    <mergeCell ref="P40:R40"/>
    <mergeCell ref="M40:O40"/>
    <mergeCell ref="J40:L40"/>
    <mergeCell ref="G40:I40"/>
    <mergeCell ref="E40:F40"/>
    <mergeCell ref="P41:R41"/>
    <mergeCell ref="M41:O41"/>
    <mergeCell ref="J41:L41"/>
    <mergeCell ref="G41:I41"/>
    <mergeCell ref="E41:F41"/>
    <mergeCell ref="P42:R42"/>
    <mergeCell ref="M42:O42"/>
    <mergeCell ref="J42:L42"/>
    <mergeCell ref="G42:I42"/>
    <mergeCell ref="E42:F42"/>
    <mergeCell ref="P43:R43"/>
    <mergeCell ref="M43:O43"/>
    <mergeCell ref="J43:L43"/>
    <mergeCell ref="G43:I43"/>
    <mergeCell ref="E43:F43"/>
    <mergeCell ref="P44:R44"/>
    <mergeCell ref="M44:O44"/>
    <mergeCell ref="J44:L44"/>
    <mergeCell ref="G44:I44"/>
    <mergeCell ref="E44:F44"/>
    <mergeCell ref="P45:R45"/>
    <mergeCell ref="M45:O45"/>
    <mergeCell ref="J45:L45"/>
    <mergeCell ref="G45:I45"/>
    <mergeCell ref="E45:F45"/>
    <mergeCell ref="P46:R46"/>
    <mergeCell ref="M46:O46"/>
    <mergeCell ref="J46:L46"/>
    <mergeCell ref="G46:I46"/>
    <mergeCell ref="E46:F46"/>
    <mergeCell ref="P47:R47"/>
    <mergeCell ref="M47:O47"/>
    <mergeCell ref="J47:L47"/>
    <mergeCell ref="G47:I47"/>
    <mergeCell ref="E47:F47"/>
    <mergeCell ref="P48:R48"/>
    <mergeCell ref="M48:O48"/>
    <mergeCell ref="J48:L48"/>
    <mergeCell ref="G48:I48"/>
    <mergeCell ref="E48:F48"/>
    <mergeCell ref="P49:R49"/>
    <mergeCell ref="M49:O49"/>
    <mergeCell ref="J49:L49"/>
    <mergeCell ref="G49:I49"/>
    <mergeCell ref="E49:F49"/>
    <mergeCell ref="P50:R50"/>
    <mergeCell ref="M50:O50"/>
    <mergeCell ref="J50:L50"/>
    <mergeCell ref="G50:I50"/>
    <mergeCell ref="E50:F50"/>
    <mergeCell ref="P51:R51"/>
    <mergeCell ref="M51:O51"/>
    <mergeCell ref="J51:L51"/>
    <mergeCell ref="G51:I51"/>
    <mergeCell ref="E51:F51"/>
    <mergeCell ref="P52:R52"/>
    <mergeCell ref="M52:O52"/>
    <mergeCell ref="J52:L52"/>
    <mergeCell ref="G52:I52"/>
    <mergeCell ref="E52:F52"/>
    <mergeCell ref="P53:R53"/>
    <mergeCell ref="M53:O53"/>
    <mergeCell ref="J53:L53"/>
    <mergeCell ref="G53:I53"/>
    <mergeCell ref="E53:F53"/>
    <mergeCell ref="P54:R54"/>
    <mergeCell ref="M54:O54"/>
    <mergeCell ref="J54:L54"/>
    <mergeCell ref="G54:I54"/>
    <mergeCell ref="E54:F54"/>
    <mergeCell ref="P55:R55"/>
    <mergeCell ref="M55:O55"/>
    <mergeCell ref="J55:L55"/>
    <mergeCell ref="G55:I55"/>
    <mergeCell ref="E55:F55"/>
    <mergeCell ref="P56:R56"/>
    <mergeCell ref="M56:O56"/>
    <mergeCell ref="J56:L56"/>
    <mergeCell ref="G56:I56"/>
    <mergeCell ref="E56:F56"/>
    <mergeCell ref="P57:R57"/>
    <mergeCell ref="M57:O57"/>
    <mergeCell ref="J57:L57"/>
    <mergeCell ref="G57:I57"/>
    <mergeCell ref="E57:F57"/>
    <mergeCell ref="P58:R58"/>
    <mergeCell ref="M58:O58"/>
    <mergeCell ref="J58:L58"/>
    <mergeCell ref="G58:I58"/>
    <mergeCell ref="E58:F58"/>
    <mergeCell ref="P59:R59"/>
    <mergeCell ref="M59:O59"/>
    <mergeCell ref="J59:L59"/>
    <mergeCell ref="G59:I59"/>
    <mergeCell ref="E59:F59"/>
    <mergeCell ref="P60:R60"/>
    <mergeCell ref="M60:O60"/>
    <mergeCell ref="J60:L60"/>
    <mergeCell ref="G60:I60"/>
    <mergeCell ref="E60:F60"/>
    <mergeCell ref="P61:R61"/>
    <mergeCell ref="M61:O61"/>
    <mergeCell ref="J61:L61"/>
    <mergeCell ref="G61:I61"/>
    <mergeCell ref="E61:F61"/>
  </mergeCells>
  <dataValidations disablePrompts="1" count="1">
    <dataValidation type="list" allowBlank="1" showInputMessage="1" showErrorMessage="1" sqref="WCP983094:WCQ983097 KG51:KH54 UC51:UD54 ADY51:ADZ54 ANU51:ANV54 AXQ51:AXR54 BHM51:BHN54 BRI51:BRJ54 CBE51:CBF54 CLA51:CLB54 CUW51:CUX54 DES51:DET54 DOO51:DOP54 DYK51:DYL54 EIG51:EIH54 ESC51:ESD54 FBY51:FBZ54 FLU51:FLV54 FVQ51:FVR54 GFM51:GFN54 GPI51:GPJ54 GZE51:GZF54 HJA51:HJB54 HSW51:HSX54 ICS51:ICT54 IMO51:IMP54 IWK51:IWL54 JGG51:JGH54 JQC51:JQD54 JZY51:JZZ54 KJU51:KJV54 KTQ51:KTR54 LDM51:LDN54 LNI51:LNJ54 LXE51:LXF54 MHA51:MHB54 MQW51:MQX54 NAS51:NAT54 NKO51:NKP54 NUK51:NUL54 OEG51:OEH54 OOC51:OOD54 OXY51:OXZ54 PHU51:PHV54 PRQ51:PRR54 QBM51:QBN54 QLI51:QLJ54 QVE51:QVF54 RFA51:RFB54 ROW51:ROX54 RYS51:RYT54 SIO51:SIP54 SSK51:SSL54 TCG51:TCH54 TMC51:TMD54 TVY51:TVZ54 UFU51:UFV54 UPQ51:UPR54 UZM51:UZN54 VJI51:VJJ54 VTE51:VTF54 WDA51:WDB54 WMW51:WMX54 WWS51:WWT54 AK65590:AL65593 KG65590:KH65593 UC65590:UD65593 ADY65590:ADZ65593 ANU65590:ANV65593 AXQ65590:AXR65593 BHM65590:BHN65593 BRI65590:BRJ65593 CBE65590:CBF65593 CLA65590:CLB65593 CUW65590:CUX65593 DES65590:DET65593 DOO65590:DOP65593 DYK65590:DYL65593 EIG65590:EIH65593 ESC65590:ESD65593 FBY65590:FBZ65593 FLU65590:FLV65593 FVQ65590:FVR65593 GFM65590:GFN65593 GPI65590:GPJ65593 GZE65590:GZF65593 HJA65590:HJB65593 HSW65590:HSX65593 ICS65590:ICT65593 IMO65590:IMP65593 IWK65590:IWL65593 JGG65590:JGH65593 JQC65590:JQD65593 JZY65590:JZZ65593 KJU65590:KJV65593 KTQ65590:KTR65593 LDM65590:LDN65593 LNI65590:LNJ65593 LXE65590:LXF65593 MHA65590:MHB65593 MQW65590:MQX65593 NAS65590:NAT65593 NKO65590:NKP65593 NUK65590:NUL65593 OEG65590:OEH65593 OOC65590:OOD65593 OXY65590:OXZ65593 PHU65590:PHV65593 PRQ65590:PRR65593 QBM65590:QBN65593 QLI65590:QLJ65593 QVE65590:QVF65593 RFA65590:RFB65593 ROW65590:ROX65593 RYS65590:RYT65593 SIO65590:SIP65593 SSK65590:SSL65593 TCG65590:TCH65593 TMC65590:TMD65593 TVY65590:TVZ65593 UFU65590:UFV65593 UPQ65590:UPR65593 UZM65590:UZN65593 VJI65590:VJJ65593 VTE65590:VTF65593 WDA65590:WDB65593 WMW65590:WMX65593 WWS65590:WWT65593 AK131126:AL131129 KG131126:KH131129 UC131126:UD131129 ADY131126:ADZ131129 ANU131126:ANV131129 AXQ131126:AXR131129 BHM131126:BHN131129 BRI131126:BRJ131129 CBE131126:CBF131129 CLA131126:CLB131129 CUW131126:CUX131129 DES131126:DET131129 DOO131126:DOP131129 DYK131126:DYL131129 EIG131126:EIH131129 ESC131126:ESD131129 FBY131126:FBZ131129 FLU131126:FLV131129 FVQ131126:FVR131129 GFM131126:GFN131129 GPI131126:GPJ131129 GZE131126:GZF131129 HJA131126:HJB131129 HSW131126:HSX131129 ICS131126:ICT131129 IMO131126:IMP131129 IWK131126:IWL131129 JGG131126:JGH131129 JQC131126:JQD131129 JZY131126:JZZ131129 KJU131126:KJV131129 KTQ131126:KTR131129 LDM131126:LDN131129 LNI131126:LNJ131129 LXE131126:LXF131129 MHA131126:MHB131129 MQW131126:MQX131129 NAS131126:NAT131129 NKO131126:NKP131129 NUK131126:NUL131129 OEG131126:OEH131129 OOC131126:OOD131129 OXY131126:OXZ131129 PHU131126:PHV131129 PRQ131126:PRR131129 QBM131126:QBN131129 QLI131126:QLJ131129 QVE131126:QVF131129 RFA131126:RFB131129 ROW131126:ROX131129 RYS131126:RYT131129 SIO131126:SIP131129 SSK131126:SSL131129 TCG131126:TCH131129 TMC131126:TMD131129 TVY131126:TVZ131129 UFU131126:UFV131129 UPQ131126:UPR131129 UZM131126:UZN131129 VJI131126:VJJ131129 VTE131126:VTF131129 WDA131126:WDB131129 WMW131126:WMX131129 WWS131126:WWT131129 AK196662:AL196665 KG196662:KH196665 UC196662:UD196665 ADY196662:ADZ196665 ANU196662:ANV196665 AXQ196662:AXR196665 BHM196662:BHN196665 BRI196662:BRJ196665 CBE196662:CBF196665 CLA196662:CLB196665 CUW196662:CUX196665 DES196662:DET196665 DOO196662:DOP196665 DYK196662:DYL196665 EIG196662:EIH196665 ESC196662:ESD196665 FBY196662:FBZ196665 FLU196662:FLV196665 FVQ196662:FVR196665 GFM196662:GFN196665 GPI196662:GPJ196665 GZE196662:GZF196665 HJA196662:HJB196665 HSW196662:HSX196665 ICS196662:ICT196665 IMO196662:IMP196665 IWK196662:IWL196665 JGG196662:JGH196665 JQC196662:JQD196665 JZY196662:JZZ196665 KJU196662:KJV196665 KTQ196662:KTR196665 LDM196662:LDN196665 LNI196662:LNJ196665 LXE196662:LXF196665 MHA196662:MHB196665 MQW196662:MQX196665 NAS196662:NAT196665 NKO196662:NKP196665 NUK196662:NUL196665 OEG196662:OEH196665 OOC196662:OOD196665 OXY196662:OXZ196665 PHU196662:PHV196665 PRQ196662:PRR196665 QBM196662:QBN196665 QLI196662:QLJ196665 QVE196662:QVF196665 RFA196662:RFB196665 ROW196662:ROX196665 RYS196662:RYT196665 SIO196662:SIP196665 SSK196662:SSL196665 TCG196662:TCH196665 TMC196662:TMD196665 TVY196662:TVZ196665 UFU196662:UFV196665 UPQ196662:UPR196665 UZM196662:UZN196665 VJI196662:VJJ196665 VTE196662:VTF196665 WDA196662:WDB196665 WMW196662:WMX196665 WWS196662:WWT196665 AK262198:AL262201 KG262198:KH262201 UC262198:UD262201 ADY262198:ADZ262201 ANU262198:ANV262201 AXQ262198:AXR262201 BHM262198:BHN262201 BRI262198:BRJ262201 CBE262198:CBF262201 CLA262198:CLB262201 CUW262198:CUX262201 DES262198:DET262201 DOO262198:DOP262201 DYK262198:DYL262201 EIG262198:EIH262201 ESC262198:ESD262201 FBY262198:FBZ262201 FLU262198:FLV262201 FVQ262198:FVR262201 GFM262198:GFN262201 GPI262198:GPJ262201 GZE262198:GZF262201 HJA262198:HJB262201 HSW262198:HSX262201 ICS262198:ICT262201 IMO262198:IMP262201 IWK262198:IWL262201 JGG262198:JGH262201 JQC262198:JQD262201 JZY262198:JZZ262201 KJU262198:KJV262201 KTQ262198:KTR262201 LDM262198:LDN262201 LNI262198:LNJ262201 LXE262198:LXF262201 MHA262198:MHB262201 MQW262198:MQX262201 NAS262198:NAT262201 NKO262198:NKP262201 NUK262198:NUL262201 OEG262198:OEH262201 OOC262198:OOD262201 OXY262198:OXZ262201 PHU262198:PHV262201 PRQ262198:PRR262201 QBM262198:QBN262201 QLI262198:QLJ262201 QVE262198:QVF262201 RFA262198:RFB262201 ROW262198:ROX262201 RYS262198:RYT262201 SIO262198:SIP262201 SSK262198:SSL262201 TCG262198:TCH262201 TMC262198:TMD262201 TVY262198:TVZ262201 UFU262198:UFV262201 UPQ262198:UPR262201 UZM262198:UZN262201 VJI262198:VJJ262201 VTE262198:VTF262201 WDA262198:WDB262201 WMW262198:WMX262201 WWS262198:WWT262201 AK327734:AL327737 KG327734:KH327737 UC327734:UD327737 ADY327734:ADZ327737 ANU327734:ANV327737 AXQ327734:AXR327737 BHM327734:BHN327737 BRI327734:BRJ327737 CBE327734:CBF327737 CLA327734:CLB327737 CUW327734:CUX327737 DES327734:DET327737 DOO327734:DOP327737 DYK327734:DYL327737 EIG327734:EIH327737 ESC327734:ESD327737 FBY327734:FBZ327737 FLU327734:FLV327737 FVQ327734:FVR327737 GFM327734:GFN327737 GPI327734:GPJ327737 GZE327734:GZF327737 HJA327734:HJB327737 HSW327734:HSX327737 ICS327734:ICT327737 IMO327734:IMP327737 IWK327734:IWL327737 JGG327734:JGH327737 JQC327734:JQD327737 JZY327734:JZZ327737 KJU327734:KJV327737 KTQ327734:KTR327737 LDM327734:LDN327737 LNI327734:LNJ327737 LXE327734:LXF327737 MHA327734:MHB327737 MQW327734:MQX327737 NAS327734:NAT327737 NKO327734:NKP327737 NUK327734:NUL327737 OEG327734:OEH327737 OOC327734:OOD327737 OXY327734:OXZ327737 PHU327734:PHV327737 PRQ327734:PRR327737 QBM327734:QBN327737 QLI327734:QLJ327737 QVE327734:QVF327737 RFA327734:RFB327737 ROW327734:ROX327737 RYS327734:RYT327737 SIO327734:SIP327737 SSK327734:SSL327737 TCG327734:TCH327737 TMC327734:TMD327737 TVY327734:TVZ327737 UFU327734:UFV327737 UPQ327734:UPR327737 UZM327734:UZN327737 VJI327734:VJJ327737 VTE327734:VTF327737 WDA327734:WDB327737 WMW327734:WMX327737 WWS327734:WWT327737 AK393270:AL393273 KG393270:KH393273 UC393270:UD393273 ADY393270:ADZ393273 ANU393270:ANV393273 AXQ393270:AXR393273 BHM393270:BHN393273 BRI393270:BRJ393273 CBE393270:CBF393273 CLA393270:CLB393273 CUW393270:CUX393273 DES393270:DET393273 DOO393270:DOP393273 DYK393270:DYL393273 EIG393270:EIH393273 ESC393270:ESD393273 FBY393270:FBZ393273 FLU393270:FLV393273 FVQ393270:FVR393273 GFM393270:GFN393273 GPI393270:GPJ393273 GZE393270:GZF393273 HJA393270:HJB393273 HSW393270:HSX393273 ICS393270:ICT393273 IMO393270:IMP393273 IWK393270:IWL393273 JGG393270:JGH393273 JQC393270:JQD393273 JZY393270:JZZ393273 KJU393270:KJV393273 KTQ393270:KTR393273 LDM393270:LDN393273 LNI393270:LNJ393273 LXE393270:LXF393273 MHA393270:MHB393273 MQW393270:MQX393273 NAS393270:NAT393273 NKO393270:NKP393273 NUK393270:NUL393273 OEG393270:OEH393273 OOC393270:OOD393273 OXY393270:OXZ393273 PHU393270:PHV393273 PRQ393270:PRR393273 QBM393270:QBN393273 QLI393270:QLJ393273 QVE393270:QVF393273 RFA393270:RFB393273 ROW393270:ROX393273 RYS393270:RYT393273 SIO393270:SIP393273 SSK393270:SSL393273 TCG393270:TCH393273 TMC393270:TMD393273 TVY393270:TVZ393273 UFU393270:UFV393273 UPQ393270:UPR393273 UZM393270:UZN393273 VJI393270:VJJ393273 VTE393270:VTF393273 WDA393270:WDB393273 WMW393270:WMX393273 WWS393270:WWT393273 AK458806:AL458809 KG458806:KH458809 UC458806:UD458809 ADY458806:ADZ458809 ANU458806:ANV458809 AXQ458806:AXR458809 BHM458806:BHN458809 BRI458806:BRJ458809 CBE458806:CBF458809 CLA458806:CLB458809 CUW458806:CUX458809 DES458806:DET458809 DOO458806:DOP458809 DYK458806:DYL458809 EIG458806:EIH458809 ESC458806:ESD458809 FBY458806:FBZ458809 FLU458806:FLV458809 FVQ458806:FVR458809 GFM458806:GFN458809 GPI458806:GPJ458809 GZE458806:GZF458809 HJA458806:HJB458809 HSW458806:HSX458809 ICS458806:ICT458809 IMO458806:IMP458809 IWK458806:IWL458809 JGG458806:JGH458809 JQC458806:JQD458809 JZY458806:JZZ458809 KJU458806:KJV458809 KTQ458806:KTR458809 LDM458806:LDN458809 LNI458806:LNJ458809 LXE458806:LXF458809 MHA458806:MHB458809 MQW458806:MQX458809 NAS458806:NAT458809 NKO458806:NKP458809 NUK458806:NUL458809 OEG458806:OEH458809 OOC458806:OOD458809 OXY458806:OXZ458809 PHU458806:PHV458809 PRQ458806:PRR458809 QBM458806:QBN458809 QLI458806:QLJ458809 QVE458806:QVF458809 RFA458806:RFB458809 ROW458806:ROX458809 RYS458806:RYT458809 SIO458806:SIP458809 SSK458806:SSL458809 TCG458806:TCH458809 TMC458806:TMD458809 TVY458806:TVZ458809 UFU458806:UFV458809 UPQ458806:UPR458809 UZM458806:UZN458809 VJI458806:VJJ458809 VTE458806:VTF458809 WDA458806:WDB458809 WMW458806:WMX458809 WWS458806:WWT458809 AK524342:AL524345 KG524342:KH524345 UC524342:UD524345 ADY524342:ADZ524345 ANU524342:ANV524345 AXQ524342:AXR524345 BHM524342:BHN524345 BRI524342:BRJ524345 CBE524342:CBF524345 CLA524342:CLB524345 CUW524342:CUX524345 DES524342:DET524345 DOO524342:DOP524345 DYK524342:DYL524345 EIG524342:EIH524345 ESC524342:ESD524345 FBY524342:FBZ524345 FLU524342:FLV524345 FVQ524342:FVR524345 GFM524342:GFN524345 GPI524342:GPJ524345 GZE524342:GZF524345 HJA524342:HJB524345 HSW524342:HSX524345 ICS524342:ICT524345 IMO524342:IMP524345 IWK524342:IWL524345 JGG524342:JGH524345 JQC524342:JQD524345 JZY524342:JZZ524345 KJU524342:KJV524345 KTQ524342:KTR524345 LDM524342:LDN524345 LNI524342:LNJ524345 LXE524342:LXF524345 MHA524342:MHB524345 MQW524342:MQX524345 NAS524342:NAT524345 NKO524342:NKP524345 NUK524342:NUL524345 OEG524342:OEH524345 OOC524342:OOD524345 OXY524342:OXZ524345 PHU524342:PHV524345 PRQ524342:PRR524345 QBM524342:QBN524345 QLI524342:QLJ524345 QVE524342:QVF524345 RFA524342:RFB524345 ROW524342:ROX524345 RYS524342:RYT524345 SIO524342:SIP524345 SSK524342:SSL524345 TCG524342:TCH524345 TMC524342:TMD524345 TVY524342:TVZ524345 UFU524342:UFV524345 UPQ524342:UPR524345 UZM524342:UZN524345 VJI524342:VJJ524345 VTE524342:VTF524345 WDA524342:WDB524345 WMW524342:WMX524345 WWS524342:WWT524345 AK589878:AL589881 KG589878:KH589881 UC589878:UD589881 ADY589878:ADZ589881 ANU589878:ANV589881 AXQ589878:AXR589881 BHM589878:BHN589881 BRI589878:BRJ589881 CBE589878:CBF589881 CLA589878:CLB589881 CUW589878:CUX589881 DES589878:DET589881 DOO589878:DOP589881 DYK589878:DYL589881 EIG589878:EIH589881 ESC589878:ESD589881 FBY589878:FBZ589881 FLU589878:FLV589881 FVQ589878:FVR589881 GFM589878:GFN589881 GPI589878:GPJ589881 GZE589878:GZF589881 HJA589878:HJB589881 HSW589878:HSX589881 ICS589878:ICT589881 IMO589878:IMP589881 IWK589878:IWL589881 JGG589878:JGH589881 JQC589878:JQD589881 JZY589878:JZZ589881 KJU589878:KJV589881 KTQ589878:KTR589881 LDM589878:LDN589881 LNI589878:LNJ589881 LXE589878:LXF589881 MHA589878:MHB589881 MQW589878:MQX589881 NAS589878:NAT589881 NKO589878:NKP589881 NUK589878:NUL589881 OEG589878:OEH589881 OOC589878:OOD589881 OXY589878:OXZ589881 PHU589878:PHV589881 PRQ589878:PRR589881 QBM589878:QBN589881 QLI589878:QLJ589881 QVE589878:QVF589881 RFA589878:RFB589881 ROW589878:ROX589881 RYS589878:RYT589881 SIO589878:SIP589881 SSK589878:SSL589881 TCG589878:TCH589881 TMC589878:TMD589881 TVY589878:TVZ589881 UFU589878:UFV589881 UPQ589878:UPR589881 UZM589878:UZN589881 VJI589878:VJJ589881 VTE589878:VTF589881 WDA589878:WDB589881 WMW589878:WMX589881 WWS589878:WWT589881 AK655414:AL655417 KG655414:KH655417 UC655414:UD655417 ADY655414:ADZ655417 ANU655414:ANV655417 AXQ655414:AXR655417 BHM655414:BHN655417 BRI655414:BRJ655417 CBE655414:CBF655417 CLA655414:CLB655417 CUW655414:CUX655417 DES655414:DET655417 DOO655414:DOP655417 DYK655414:DYL655417 EIG655414:EIH655417 ESC655414:ESD655417 FBY655414:FBZ655417 FLU655414:FLV655417 FVQ655414:FVR655417 GFM655414:GFN655417 GPI655414:GPJ655417 GZE655414:GZF655417 HJA655414:HJB655417 HSW655414:HSX655417 ICS655414:ICT655417 IMO655414:IMP655417 IWK655414:IWL655417 JGG655414:JGH655417 JQC655414:JQD655417 JZY655414:JZZ655417 KJU655414:KJV655417 KTQ655414:KTR655417 LDM655414:LDN655417 LNI655414:LNJ655417 LXE655414:LXF655417 MHA655414:MHB655417 MQW655414:MQX655417 NAS655414:NAT655417 NKO655414:NKP655417 NUK655414:NUL655417 OEG655414:OEH655417 OOC655414:OOD655417 OXY655414:OXZ655417 PHU655414:PHV655417 PRQ655414:PRR655417 QBM655414:QBN655417 QLI655414:QLJ655417 QVE655414:QVF655417 RFA655414:RFB655417 ROW655414:ROX655417 RYS655414:RYT655417 SIO655414:SIP655417 SSK655414:SSL655417 TCG655414:TCH655417 TMC655414:TMD655417 TVY655414:TVZ655417 UFU655414:UFV655417 UPQ655414:UPR655417 UZM655414:UZN655417 VJI655414:VJJ655417 VTE655414:VTF655417 WDA655414:WDB655417 WMW655414:WMX655417 WWS655414:WWT655417 AK720950:AL720953 KG720950:KH720953 UC720950:UD720953 ADY720950:ADZ720953 ANU720950:ANV720953 AXQ720950:AXR720953 BHM720950:BHN720953 BRI720950:BRJ720953 CBE720950:CBF720953 CLA720950:CLB720953 CUW720950:CUX720953 DES720950:DET720953 DOO720950:DOP720953 DYK720950:DYL720953 EIG720950:EIH720953 ESC720950:ESD720953 FBY720950:FBZ720953 FLU720950:FLV720953 FVQ720950:FVR720953 GFM720950:GFN720953 GPI720950:GPJ720953 GZE720950:GZF720953 HJA720950:HJB720953 HSW720950:HSX720953 ICS720950:ICT720953 IMO720950:IMP720953 IWK720950:IWL720953 JGG720950:JGH720953 JQC720950:JQD720953 JZY720950:JZZ720953 KJU720950:KJV720953 KTQ720950:KTR720953 LDM720950:LDN720953 LNI720950:LNJ720953 LXE720950:LXF720953 MHA720950:MHB720953 MQW720950:MQX720953 NAS720950:NAT720953 NKO720950:NKP720953 NUK720950:NUL720953 OEG720950:OEH720953 OOC720950:OOD720953 OXY720950:OXZ720953 PHU720950:PHV720953 PRQ720950:PRR720953 QBM720950:QBN720953 QLI720950:QLJ720953 QVE720950:QVF720953 RFA720950:RFB720953 ROW720950:ROX720953 RYS720950:RYT720953 SIO720950:SIP720953 SSK720950:SSL720953 TCG720950:TCH720953 TMC720950:TMD720953 TVY720950:TVZ720953 UFU720950:UFV720953 UPQ720950:UPR720953 UZM720950:UZN720953 VJI720950:VJJ720953 VTE720950:VTF720953 WDA720950:WDB720953 WMW720950:WMX720953 WWS720950:WWT720953 AK786486:AL786489 KG786486:KH786489 UC786486:UD786489 ADY786486:ADZ786489 ANU786486:ANV786489 AXQ786486:AXR786489 BHM786486:BHN786489 BRI786486:BRJ786489 CBE786486:CBF786489 CLA786486:CLB786489 CUW786486:CUX786489 DES786486:DET786489 DOO786486:DOP786489 DYK786486:DYL786489 EIG786486:EIH786489 ESC786486:ESD786489 FBY786486:FBZ786489 FLU786486:FLV786489 FVQ786486:FVR786489 GFM786486:GFN786489 GPI786486:GPJ786489 GZE786486:GZF786489 HJA786486:HJB786489 HSW786486:HSX786489 ICS786486:ICT786489 IMO786486:IMP786489 IWK786486:IWL786489 JGG786486:JGH786489 JQC786486:JQD786489 JZY786486:JZZ786489 KJU786486:KJV786489 KTQ786486:KTR786489 LDM786486:LDN786489 LNI786486:LNJ786489 LXE786486:LXF786489 MHA786486:MHB786489 MQW786486:MQX786489 NAS786486:NAT786489 NKO786486:NKP786489 NUK786486:NUL786489 OEG786486:OEH786489 OOC786486:OOD786489 OXY786486:OXZ786489 PHU786486:PHV786489 PRQ786486:PRR786489 QBM786486:QBN786489 QLI786486:QLJ786489 QVE786486:QVF786489 RFA786486:RFB786489 ROW786486:ROX786489 RYS786486:RYT786489 SIO786486:SIP786489 SSK786486:SSL786489 TCG786486:TCH786489 TMC786486:TMD786489 TVY786486:TVZ786489 UFU786486:UFV786489 UPQ786486:UPR786489 UZM786486:UZN786489 VJI786486:VJJ786489 VTE786486:VTF786489 WDA786486:WDB786489 WMW786486:WMX786489 WWS786486:WWT786489 AK852022:AL852025 KG852022:KH852025 UC852022:UD852025 ADY852022:ADZ852025 ANU852022:ANV852025 AXQ852022:AXR852025 BHM852022:BHN852025 BRI852022:BRJ852025 CBE852022:CBF852025 CLA852022:CLB852025 CUW852022:CUX852025 DES852022:DET852025 DOO852022:DOP852025 DYK852022:DYL852025 EIG852022:EIH852025 ESC852022:ESD852025 FBY852022:FBZ852025 FLU852022:FLV852025 FVQ852022:FVR852025 GFM852022:GFN852025 GPI852022:GPJ852025 GZE852022:GZF852025 HJA852022:HJB852025 HSW852022:HSX852025 ICS852022:ICT852025 IMO852022:IMP852025 IWK852022:IWL852025 JGG852022:JGH852025 JQC852022:JQD852025 JZY852022:JZZ852025 KJU852022:KJV852025 KTQ852022:KTR852025 LDM852022:LDN852025 LNI852022:LNJ852025 LXE852022:LXF852025 MHA852022:MHB852025 MQW852022:MQX852025 NAS852022:NAT852025 NKO852022:NKP852025 NUK852022:NUL852025 OEG852022:OEH852025 OOC852022:OOD852025 OXY852022:OXZ852025 PHU852022:PHV852025 PRQ852022:PRR852025 QBM852022:QBN852025 QLI852022:QLJ852025 QVE852022:QVF852025 RFA852022:RFB852025 ROW852022:ROX852025 RYS852022:RYT852025 SIO852022:SIP852025 SSK852022:SSL852025 TCG852022:TCH852025 TMC852022:TMD852025 TVY852022:TVZ852025 UFU852022:UFV852025 UPQ852022:UPR852025 UZM852022:UZN852025 VJI852022:VJJ852025 VTE852022:VTF852025 WDA852022:WDB852025 WMW852022:WMX852025 WWS852022:WWT852025 AK917558:AL917561 KG917558:KH917561 UC917558:UD917561 ADY917558:ADZ917561 ANU917558:ANV917561 AXQ917558:AXR917561 BHM917558:BHN917561 BRI917558:BRJ917561 CBE917558:CBF917561 CLA917558:CLB917561 CUW917558:CUX917561 DES917558:DET917561 DOO917558:DOP917561 DYK917558:DYL917561 EIG917558:EIH917561 ESC917558:ESD917561 FBY917558:FBZ917561 FLU917558:FLV917561 FVQ917558:FVR917561 GFM917558:GFN917561 GPI917558:GPJ917561 GZE917558:GZF917561 HJA917558:HJB917561 HSW917558:HSX917561 ICS917558:ICT917561 IMO917558:IMP917561 IWK917558:IWL917561 JGG917558:JGH917561 JQC917558:JQD917561 JZY917558:JZZ917561 KJU917558:KJV917561 KTQ917558:KTR917561 LDM917558:LDN917561 LNI917558:LNJ917561 LXE917558:LXF917561 MHA917558:MHB917561 MQW917558:MQX917561 NAS917558:NAT917561 NKO917558:NKP917561 NUK917558:NUL917561 OEG917558:OEH917561 OOC917558:OOD917561 OXY917558:OXZ917561 PHU917558:PHV917561 PRQ917558:PRR917561 QBM917558:QBN917561 QLI917558:QLJ917561 QVE917558:QVF917561 RFA917558:RFB917561 ROW917558:ROX917561 RYS917558:RYT917561 SIO917558:SIP917561 SSK917558:SSL917561 TCG917558:TCH917561 TMC917558:TMD917561 TVY917558:TVZ917561 UFU917558:UFV917561 UPQ917558:UPR917561 UZM917558:UZN917561 VJI917558:VJJ917561 VTE917558:VTF917561 WDA917558:WDB917561 WMW917558:WMX917561 WWS917558:WWT917561 AK983094:AL983097 KG983094:KH983097 UC983094:UD983097 ADY983094:ADZ983097 ANU983094:ANV983097 AXQ983094:AXR983097 BHM983094:BHN983097 BRI983094:BRJ983097 CBE983094:CBF983097 CLA983094:CLB983097 CUW983094:CUX983097 DES983094:DET983097 DOO983094:DOP983097 DYK983094:DYL983097 EIG983094:EIH983097 ESC983094:ESD983097 FBY983094:FBZ983097 FLU983094:FLV983097 FVQ983094:FVR983097 GFM983094:GFN983097 GPI983094:GPJ983097 GZE983094:GZF983097 HJA983094:HJB983097 HSW983094:HSX983097 ICS983094:ICT983097 IMO983094:IMP983097 IWK983094:IWL983097 JGG983094:JGH983097 JQC983094:JQD983097 JZY983094:JZZ983097 KJU983094:KJV983097 KTQ983094:KTR983097 LDM983094:LDN983097 LNI983094:LNJ983097 LXE983094:LXF983097 MHA983094:MHB983097 MQW983094:MQX983097 NAS983094:NAT983097 NKO983094:NKP983097 NUK983094:NUL983097 OEG983094:OEH983097 OOC983094:OOD983097 OXY983094:OXZ983097 PHU983094:PHV983097 PRQ983094:PRR983097 QBM983094:QBN983097 QLI983094:QLJ983097 QVE983094:QVF983097 RFA983094:RFB983097 ROW983094:ROX983097 RYS983094:RYT983097 SIO983094:SIP983097 SSK983094:SSL983097 TCG983094:TCH983097 TMC983094:TMD983097 TVY983094:TVZ983097 UFU983094:UFV983097 UPQ983094:UPR983097 UZM983094:UZN983097 VJI983094:VJJ983097 VTE983094:VTF983097 WDA983094:WDB983097 WMW983094:WMX983097 WWS983094:WWT983097 WML983094:WMM983097 JK51:JL54 TG51:TH54 ADC51:ADD54 AMY51:AMZ54 AWU51:AWV54 BGQ51:BGR54 BQM51:BQN54 CAI51:CAJ54 CKE51:CKF54 CUA51:CUB54 DDW51:DDX54 DNS51:DNT54 DXO51:DXP54 EHK51:EHL54 ERG51:ERH54 FBC51:FBD54 FKY51:FKZ54 FUU51:FUV54 GEQ51:GER54 GOM51:GON54 GYI51:GYJ54 HIE51:HIF54 HSA51:HSB54 IBW51:IBX54 ILS51:ILT54 IVO51:IVP54 JFK51:JFL54 JPG51:JPH54 JZC51:JZD54 KIY51:KIZ54 KSU51:KSV54 LCQ51:LCR54 LMM51:LMN54 LWI51:LWJ54 MGE51:MGF54 MQA51:MQB54 MZW51:MZX54 NJS51:NJT54 NTO51:NTP54 ODK51:ODL54 ONG51:ONH54 OXC51:OXD54 PGY51:PGZ54 PQU51:PQV54 QAQ51:QAR54 QKM51:QKN54 QUI51:QUJ54 REE51:REF54 ROA51:ROB54 RXW51:RXX54 SHS51:SHT54 SRO51:SRP54 TBK51:TBL54 TLG51:TLH54 TVC51:TVD54 UEY51:UEZ54 UOU51:UOV54 UYQ51:UYR54 VIM51:VIN54 VSI51:VSJ54 WCE51:WCF54 WMA51:WMB54 WVW51:WVX54 O65590:P65593 JK65590:JL65593 TG65590:TH65593 ADC65590:ADD65593 AMY65590:AMZ65593 AWU65590:AWV65593 BGQ65590:BGR65593 BQM65590:BQN65593 CAI65590:CAJ65593 CKE65590:CKF65593 CUA65590:CUB65593 DDW65590:DDX65593 DNS65590:DNT65593 DXO65590:DXP65593 EHK65590:EHL65593 ERG65590:ERH65593 FBC65590:FBD65593 FKY65590:FKZ65593 FUU65590:FUV65593 GEQ65590:GER65593 GOM65590:GON65593 GYI65590:GYJ65593 HIE65590:HIF65593 HSA65590:HSB65593 IBW65590:IBX65593 ILS65590:ILT65593 IVO65590:IVP65593 JFK65590:JFL65593 JPG65590:JPH65593 JZC65590:JZD65593 KIY65590:KIZ65593 KSU65590:KSV65593 LCQ65590:LCR65593 LMM65590:LMN65593 LWI65590:LWJ65593 MGE65590:MGF65593 MQA65590:MQB65593 MZW65590:MZX65593 NJS65590:NJT65593 NTO65590:NTP65593 ODK65590:ODL65593 ONG65590:ONH65593 OXC65590:OXD65593 PGY65590:PGZ65593 PQU65590:PQV65593 QAQ65590:QAR65593 QKM65590:QKN65593 QUI65590:QUJ65593 REE65590:REF65593 ROA65590:ROB65593 RXW65590:RXX65593 SHS65590:SHT65593 SRO65590:SRP65593 TBK65590:TBL65593 TLG65590:TLH65593 TVC65590:TVD65593 UEY65590:UEZ65593 UOU65590:UOV65593 UYQ65590:UYR65593 VIM65590:VIN65593 VSI65590:VSJ65593 WCE65590:WCF65593 WMA65590:WMB65593 WVW65590:WVX65593 O131126:P131129 JK131126:JL131129 TG131126:TH131129 ADC131126:ADD131129 AMY131126:AMZ131129 AWU131126:AWV131129 BGQ131126:BGR131129 BQM131126:BQN131129 CAI131126:CAJ131129 CKE131126:CKF131129 CUA131126:CUB131129 DDW131126:DDX131129 DNS131126:DNT131129 DXO131126:DXP131129 EHK131126:EHL131129 ERG131126:ERH131129 FBC131126:FBD131129 FKY131126:FKZ131129 FUU131126:FUV131129 GEQ131126:GER131129 GOM131126:GON131129 GYI131126:GYJ131129 HIE131126:HIF131129 HSA131126:HSB131129 IBW131126:IBX131129 ILS131126:ILT131129 IVO131126:IVP131129 JFK131126:JFL131129 JPG131126:JPH131129 JZC131126:JZD131129 KIY131126:KIZ131129 KSU131126:KSV131129 LCQ131126:LCR131129 LMM131126:LMN131129 LWI131126:LWJ131129 MGE131126:MGF131129 MQA131126:MQB131129 MZW131126:MZX131129 NJS131126:NJT131129 NTO131126:NTP131129 ODK131126:ODL131129 ONG131126:ONH131129 OXC131126:OXD131129 PGY131126:PGZ131129 PQU131126:PQV131129 QAQ131126:QAR131129 QKM131126:QKN131129 QUI131126:QUJ131129 REE131126:REF131129 ROA131126:ROB131129 RXW131126:RXX131129 SHS131126:SHT131129 SRO131126:SRP131129 TBK131126:TBL131129 TLG131126:TLH131129 TVC131126:TVD131129 UEY131126:UEZ131129 UOU131126:UOV131129 UYQ131126:UYR131129 VIM131126:VIN131129 VSI131126:VSJ131129 WCE131126:WCF131129 WMA131126:WMB131129 WVW131126:WVX131129 O196662:P196665 JK196662:JL196665 TG196662:TH196665 ADC196662:ADD196665 AMY196662:AMZ196665 AWU196662:AWV196665 BGQ196662:BGR196665 BQM196662:BQN196665 CAI196662:CAJ196665 CKE196662:CKF196665 CUA196662:CUB196665 DDW196662:DDX196665 DNS196662:DNT196665 DXO196662:DXP196665 EHK196662:EHL196665 ERG196662:ERH196665 FBC196662:FBD196665 FKY196662:FKZ196665 FUU196662:FUV196665 GEQ196662:GER196665 GOM196662:GON196665 GYI196662:GYJ196665 HIE196662:HIF196665 HSA196662:HSB196665 IBW196662:IBX196665 ILS196662:ILT196665 IVO196662:IVP196665 JFK196662:JFL196665 JPG196662:JPH196665 JZC196662:JZD196665 KIY196662:KIZ196665 KSU196662:KSV196665 LCQ196662:LCR196665 LMM196662:LMN196665 LWI196662:LWJ196665 MGE196662:MGF196665 MQA196662:MQB196665 MZW196662:MZX196665 NJS196662:NJT196665 NTO196662:NTP196665 ODK196662:ODL196665 ONG196662:ONH196665 OXC196662:OXD196665 PGY196662:PGZ196665 PQU196662:PQV196665 QAQ196662:QAR196665 QKM196662:QKN196665 QUI196662:QUJ196665 REE196662:REF196665 ROA196662:ROB196665 RXW196662:RXX196665 SHS196662:SHT196665 SRO196662:SRP196665 TBK196662:TBL196665 TLG196662:TLH196665 TVC196662:TVD196665 UEY196662:UEZ196665 UOU196662:UOV196665 UYQ196662:UYR196665 VIM196662:VIN196665 VSI196662:VSJ196665 WCE196662:WCF196665 WMA196662:WMB196665 WVW196662:WVX196665 O262198:P262201 JK262198:JL262201 TG262198:TH262201 ADC262198:ADD262201 AMY262198:AMZ262201 AWU262198:AWV262201 BGQ262198:BGR262201 BQM262198:BQN262201 CAI262198:CAJ262201 CKE262198:CKF262201 CUA262198:CUB262201 DDW262198:DDX262201 DNS262198:DNT262201 DXO262198:DXP262201 EHK262198:EHL262201 ERG262198:ERH262201 FBC262198:FBD262201 FKY262198:FKZ262201 FUU262198:FUV262201 GEQ262198:GER262201 GOM262198:GON262201 GYI262198:GYJ262201 HIE262198:HIF262201 HSA262198:HSB262201 IBW262198:IBX262201 ILS262198:ILT262201 IVO262198:IVP262201 JFK262198:JFL262201 JPG262198:JPH262201 JZC262198:JZD262201 KIY262198:KIZ262201 KSU262198:KSV262201 LCQ262198:LCR262201 LMM262198:LMN262201 LWI262198:LWJ262201 MGE262198:MGF262201 MQA262198:MQB262201 MZW262198:MZX262201 NJS262198:NJT262201 NTO262198:NTP262201 ODK262198:ODL262201 ONG262198:ONH262201 OXC262198:OXD262201 PGY262198:PGZ262201 PQU262198:PQV262201 QAQ262198:QAR262201 QKM262198:QKN262201 QUI262198:QUJ262201 REE262198:REF262201 ROA262198:ROB262201 RXW262198:RXX262201 SHS262198:SHT262201 SRO262198:SRP262201 TBK262198:TBL262201 TLG262198:TLH262201 TVC262198:TVD262201 UEY262198:UEZ262201 UOU262198:UOV262201 UYQ262198:UYR262201 VIM262198:VIN262201 VSI262198:VSJ262201 WCE262198:WCF262201 WMA262198:WMB262201 WVW262198:WVX262201 O327734:P327737 JK327734:JL327737 TG327734:TH327737 ADC327734:ADD327737 AMY327734:AMZ327737 AWU327734:AWV327737 BGQ327734:BGR327737 BQM327734:BQN327737 CAI327734:CAJ327737 CKE327734:CKF327737 CUA327734:CUB327737 DDW327734:DDX327737 DNS327734:DNT327737 DXO327734:DXP327737 EHK327734:EHL327737 ERG327734:ERH327737 FBC327734:FBD327737 FKY327734:FKZ327737 FUU327734:FUV327737 GEQ327734:GER327737 GOM327734:GON327737 GYI327734:GYJ327737 HIE327734:HIF327737 HSA327734:HSB327737 IBW327734:IBX327737 ILS327734:ILT327737 IVO327734:IVP327737 JFK327734:JFL327737 JPG327734:JPH327737 JZC327734:JZD327737 KIY327734:KIZ327737 KSU327734:KSV327737 LCQ327734:LCR327737 LMM327734:LMN327737 LWI327734:LWJ327737 MGE327734:MGF327737 MQA327734:MQB327737 MZW327734:MZX327737 NJS327734:NJT327737 NTO327734:NTP327737 ODK327734:ODL327737 ONG327734:ONH327737 OXC327734:OXD327737 PGY327734:PGZ327737 PQU327734:PQV327737 QAQ327734:QAR327737 QKM327734:QKN327737 QUI327734:QUJ327737 REE327734:REF327737 ROA327734:ROB327737 RXW327734:RXX327737 SHS327734:SHT327737 SRO327734:SRP327737 TBK327734:TBL327737 TLG327734:TLH327737 TVC327734:TVD327737 UEY327734:UEZ327737 UOU327734:UOV327737 UYQ327734:UYR327737 VIM327734:VIN327737 VSI327734:VSJ327737 WCE327734:WCF327737 WMA327734:WMB327737 WVW327734:WVX327737 O393270:P393273 JK393270:JL393273 TG393270:TH393273 ADC393270:ADD393273 AMY393270:AMZ393273 AWU393270:AWV393273 BGQ393270:BGR393273 BQM393270:BQN393273 CAI393270:CAJ393273 CKE393270:CKF393273 CUA393270:CUB393273 DDW393270:DDX393273 DNS393270:DNT393273 DXO393270:DXP393273 EHK393270:EHL393273 ERG393270:ERH393273 FBC393270:FBD393273 FKY393270:FKZ393273 FUU393270:FUV393273 GEQ393270:GER393273 GOM393270:GON393273 GYI393270:GYJ393273 HIE393270:HIF393273 HSA393270:HSB393273 IBW393270:IBX393273 ILS393270:ILT393273 IVO393270:IVP393273 JFK393270:JFL393273 JPG393270:JPH393273 JZC393270:JZD393273 KIY393270:KIZ393273 KSU393270:KSV393273 LCQ393270:LCR393273 LMM393270:LMN393273 LWI393270:LWJ393273 MGE393270:MGF393273 MQA393270:MQB393273 MZW393270:MZX393273 NJS393270:NJT393273 NTO393270:NTP393273 ODK393270:ODL393273 ONG393270:ONH393273 OXC393270:OXD393273 PGY393270:PGZ393273 PQU393270:PQV393273 QAQ393270:QAR393273 QKM393270:QKN393273 QUI393270:QUJ393273 REE393270:REF393273 ROA393270:ROB393273 RXW393270:RXX393273 SHS393270:SHT393273 SRO393270:SRP393273 TBK393270:TBL393273 TLG393270:TLH393273 TVC393270:TVD393273 UEY393270:UEZ393273 UOU393270:UOV393273 UYQ393270:UYR393273 VIM393270:VIN393273 VSI393270:VSJ393273 WCE393270:WCF393273 WMA393270:WMB393273 WVW393270:WVX393273 O458806:P458809 JK458806:JL458809 TG458806:TH458809 ADC458806:ADD458809 AMY458806:AMZ458809 AWU458806:AWV458809 BGQ458806:BGR458809 BQM458806:BQN458809 CAI458806:CAJ458809 CKE458806:CKF458809 CUA458806:CUB458809 DDW458806:DDX458809 DNS458806:DNT458809 DXO458806:DXP458809 EHK458806:EHL458809 ERG458806:ERH458809 FBC458806:FBD458809 FKY458806:FKZ458809 FUU458806:FUV458809 GEQ458806:GER458809 GOM458806:GON458809 GYI458806:GYJ458809 HIE458806:HIF458809 HSA458806:HSB458809 IBW458806:IBX458809 ILS458806:ILT458809 IVO458806:IVP458809 JFK458806:JFL458809 JPG458806:JPH458809 JZC458806:JZD458809 KIY458806:KIZ458809 KSU458806:KSV458809 LCQ458806:LCR458809 LMM458806:LMN458809 LWI458806:LWJ458809 MGE458806:MGF458809 MQA458806:MQB458809 MZW458806:MZX458809 NJS458806:NJT458809 NTO458806:NTP458809 ODK458806:ODL458809 ONG458806:ONH458809 OXC458806:OXD458809 PGY458806:PGZ458809 PQU458806:PQV458809 QAQ458806:QAR458809 QKM458806:QKN458809 QUI458806:QUJ458809 REE458806:REF458809 ROA458806:ROB458809 RXW458806:RXX458809 SHS458806:SHT458809 SRO458806:SRP458809 TBK458806:TBL458809 TLG458806:TLH458809 TVC458806:TVD458809 UEY458806:UEZ458809 UOU458806:UOV458809 UYQ458806:UYR458809 VIM458806:VIN458809 VSI458806:VSJ458809 WCE458806:WCF458809 WMA458806:WMB458809 WVW458806:WVX458809 O524342:P524345 JK524342:JL524345 TG524342:TH524345 ADC524342:ADD524345 AMY524342:AMZ524345 AWU524342:AWV524345 BGQ524342:BGR524345 BQM524342:BQN524345 CAI524342:CAJ524345 CKE524342:CKF524345 CUA524342:CUB524345 DDW524342:DDX524345 DNS524342:DNT524345 DXO524342:DXP524345 EHK524342:EHL524345 ERG524342:ERH524345 FBC524342:FBD524345 FKY524342:FKZ524345 FUU524342:FUV524345 GEQ524342:GER524345 GOM524342:GON524345 GYI524342:GYJ524345 HIE524342:HIF524345 HSA524342:HSB524345 IBW524342:IBX524345 ILS524342:ILT524345 IVO524342:IVP524345 JFK524342:JFL524345 JPG524342:JPH524345 JZC524342:JZD524345 KIY524342:KIZ524345 KSU524342:KSV524345 LCQ524342:LCR524345 LMM524342:LMN524345 LWI524342:LWJ524345 MGE524342:MGF524345 MQA524342:MQB524345 MZW524342:MZX524345 NJS524342:NJT524345 NTO524342:NTP524345 ODK524342:ODL524345 ONG524342:ONH524345 OXC524342:OXD524345 PGY524342:PGZ524345 PQU524342:PQV524345 QAQ524342:QAR524345 QKM524342:QKN524345 QUI524342:QUJ524345 REE524342:REF524345 ROA524342:ROB524345 RXW524342:RXX524345 SHS524342:SHT524345 SRO524342:SRP524345 TBK524342:TBL524345 TLG524342:TLH524345 TVC524342:TVD524345 UEY524342:UEZ524345 UOU524342:UOV524345 UYQ524342:UYR524345 VIM524342:VIN524345 VSI524342:VSJ524345 WCE524342:WCF524345 WMA524342:WMB524345 WVW524342:WVX524345 O589878:P589881 JK589878:JL589881 TG589878:TH589881 ADC589878:ADD589881 AMY589878:AMZ589881 AWU589878:AWV589881 BGQ589878:BGR589881 BQM589878:BQN589881 CAI589878:CAJ589881 CKE589878:CKF589881 CUA589878:CUB589881 DDW589878:DDX589881 DNS589878:DNT589881 DXO589878:DXP589881 EHK589878:EHL589881 ERG589878:ERH589881 FBC589878:FBD589881 FKY589878:FKZ589881 FUU589878:FUV589881 GEQ589878:GER589881 GOM589878:GON589881 GYI589878:GYJ589881 HIE589878:HIF589881 HSA589878:HSB589881 IBW589878:IBX589881 ILS589878:ILT589881 IVO589878:IVP589881 JFK589878:JFL589881 JPG589878:JPH589881 JZC589878:JZD589881 KIY589878:KIZ589881 KSU589878:KSV589881 LCQ589878:LCR589881 LMM589878:LMN589881 LWI589878:LWJ589881 MGE589878:MGF589881 MQA589878:MQB589881 MZW589878:MZX589881 NJS589878:NJT589881 NTO589878:NTP589881 ODK589878:ODL589881 ONG589878:ONH589881 OXC589878:OXD589881 PGY589878:PGZ589881 PQU589878:PQV589881 QAQ589878:QAR589881 QKM589878:QKN589881 QUI589878:QUJ589881 REE589878:REF589881 ROA589878:ROB589881 RXW589878:RXX589881 SHS589878:SHT589881 SRO589878:SRP589881 TBK589878:TBL589881 TLG589878:TLH589881 TVC589878:TVD589881 UEY589878:UEZ589881 UOU589878:UOV589881 UYQ589878:UYR589881 VIM589878:VIN589881 VSI589878:VSJ589881 WCE589878:WCF589881 WMA589878:WMB589881 WVW589878:WVX589881 O655414:P655417 JK655414:JL655417 TG655414:TH655417 ADC655414:ADD655417 AMY655414:AMZ655417 AWU655414:AWV655417 BGQ655414:BGR655417 BQM655414:BQN655417 CAI655414:CAJ655417 CKE655414:CKF655417 CUA655414:CUB655417 DDW655414:DDX655417 DNS655414:DNT655417 DXO655414:DXP655417 EHK655414:EHL655417 ERG655414:ERH655417 FBC655414:FBD655417 FKY655414:FKZ655417 FUU655414:FUV655417 GEQ655414:GER655417 GOM655414:GON655417 GYI655414:GYJ655417 HIE655414:HIF655417 HSA655414:HSB655417 IBW655414:IBX655417 ILS655414:ILT655417 IVO655414:IVP655417 JFK655414:JFL655417 JPG655414:JPH655417 JZC655414:JZD655417 KIY655414:KIZ655417 KSU655414:KSV655417 LCQ655414:LCR655417 LMM655414:LMN655417 LWI655414:LWJ655417 MGE655414:MGF655417 MQA655414:MQB655417 MZW655414:MZX655417 NJS655414:NJT655417 NTO655414:NTP655417 ODK655414:ODL655417 ONG655414:ONH655417 OXC655414:OXD655417 PGY655414:PGZ655417 PQU655414:PQV655417 QAQ655414:QAR655417 QKM655414:QKN655417 QUI655414:QUJ655417 REE655414:REF655417 ROA655414:ROB655417 RXW655414:RXX655417 SHS655414:SHT655417 SRO655414:SRP655417 TBK655414:TBL655417 TLG655414:TLH655417 TVC655414:TVD655417 UEY655414:UEZ655417 UOU655414:UOV655417 UYQ655414:UYR655417 VIM655414:VIN655417 VSI655414:VSJ655417 WCE655414:WCF655417 WMA655414:WMB655417 WVW655414:WVX655417 O720950:P720953 JK720950:JL720953 TG720950:TH720953 ADC720950:ADD720953 AMY720950:AMZ720953 AWU720950:AWV720953 BGQ720950:BGR720953 BQM720950:BQN720953 CAI720950:CAJ720953 CKE720950:CKF720953 CUA720950:CUB720953 DDW720950:DDX720953 DNS720950:DNT720953 DXO720950:DXP720953 EHK720950:EHL720953 ERG720950:ERH720953 FBC720950:FBD720953 FKY720950:FKZ720953 FUU720950:FUV720953 GEQ720950:GER720953 GOM720950:GON720953 GYI720950:GYJ720953 HIE720950:HIF720953 HSA720950:HSB720953 IBW720950:IBX720953 ILS720950:ILT720953 IVO720950:IVP720953 JFK720950:JFL720953 JPG720950:JPH720953 JZC720950:JZD720953 KIY720950:KIZ720953 KSU720950:KSV720953 LCQ720950:LCR720953 LMM720950:LMN720953 LWI720950:LWJ720953 MGE720950:MGF720953 MQA720950:MQB720953 MZW720950:MZX720953 NJS720950:NJT720953 NTO720950:NTP720953 ODK720950:ODL720953 ONG720950:ONH720953 OXC720950:OXD720953 PGY720950:PGZ720953 PQU720950:PQV720953 QAQ720950:QAR720953 QKM720950:QKN720953 QUI720950:QUJ720953 REE720950:REF720953 ROA720950:ROB720953 RXW720950:RXX720953 SHS720950:SHT720953 SRO720950:SRP720953 TBK720950:TBL720953 TLG720950:TLH720953 TVC720950:TVD720953 UEY720950:UEZ720953 UOU720950:UOV720953 UYQ720950:UYR720953 VIM720950:VIN720953 VSI720950:VSJ720953 WCE720950:WCF720953 WMA720950:WMB720953 WVW720950:WVX720953 O786486:P786489 JK786486:JL786489 TG786486:TH786489 ADC786486:ADD786489 AMY786486:AMZ786489 AWU786486:AWV786489 BGQ786486:BGR786489 BQM786486:BQN786489 CAI786486:CAJ786489 CKE786486:CKF786489 CUA786486:CUB786489 DDW786486:DDX786489 DNS786486:DNT786489 DXO786486:DXP786489 EHK786486:EHL786489 ERG786486:ERH786489 FBC786486:FBD786489 FKY786486:FKZ786489 FUU786486:FUV786489 GEQ786486:GER786489 GOM786486:GON786489 GYI786486:GYJ786489 HIE786486:HIF786489 HSA786486:HSB786489 IBW786486:IBX786489 ILS786486:ILT786489 IVO786486:IVP786489 JFK786486:JFL786489 JPG786486:JPH786489 JZC786486:JZD786489 KIY786486:KIZ786489 KSU786486:KSV786489 LCQ786486:LCR786489 LMM786486:LMN786489 LWI786486:LWJ786489 MGE786486:MGF786489 MQA786486:MQB786489 MZW786486:MZX786489 NJS786486:NJT786489 NTO786486:NTP786489 ODK786486:ODL786489 ONG786486:ONH786489 OXC786486:OXD786489 PGY786486:PGZ786489 PQU786486:PQV786489 QAQ786486:QAR786489 QKM786486:QKN786489 QUI786486:QUJ786489 REE786486:REF786489 ROA786486:ROB786489 RXW786486:RXX786489 SHS786486:SHT786489 SRO786486:SRP786489 TBK786486:TBL786489 TLG786486:TLH786489 TVC786486:TVD786489 UEY786486:UEZ786489 UOU786486:UOV786489 UYQ786486:UYR786489 VIM786486:VIN786489 VSI786486:VSJ786489 WCE786486:WCF786489 WMA786486:WMB786489 WVW786486:WVX786489 O852022:P852025 JK852022:JL852025 TG852022:TH852025 ADC852022:ADD852025 AMY852022:AMZ852025 AWU852022:AWV852025 BGQ852022:BGR852025 BQM852022:BQN852025 CAI852022:CAJ852025 CKE852022:CKF852025 CUA852022:CUB852025 DDW852022:DDX852025 DNS852022:DNT852025 DXO852022:DXP852025 EHK852022:EHL852025 ERG852022:ERH852025 FBC852022:FBD852025 FKY852022:FKZ852025 FUU852022:FUV852025 GEQ852022:GER852025 GOM852022:GON852025 GYI852022:GYJ852025 HIE852022:HIF852025 HSA852022:HSB852025 IBW852022:IBX852025 ILS852022:ILT852025 IVO852022:IVP852025 JFK852022:JFL852025 JPG852022:JPH852025 JZC852022:JZD852025 KIY852022:KIZ852025 KSU852022:KSV852025 LCQ852022:LCR852025 LMM852022:LMN852025 LWI852022:LWJ852025 MGE852022:MGF852025 MQA852022:MQB852025 MZW852022:MZX852025 NJS852022:NJT852025 NTO852022:NTP852025 ODK852022:ODL852025 ONG852022:ONH852025 OXC852022:OXD852025 PGY852022:PGZ852025 PQU852022:PQV852025 QAQ852022:QAR852025 QKM852022:QKN852025 QUI852022:QUJ852025 REE852022:REF852025 ROA852022:ROB852025 RXW852022:RXX852025 SHS852022:SHT852025 SRO852022:SRP852025 TBK852022:TBL852025 TLG852022:TLH852025 TVC852022:TVD852025 UEY852022:UEZ852025 UOU852022:UOV852025 UYQ852022:UYR852025 VIM852022:VIN852025 VSI852022:VSJ852025 WCE852022:WCF852025 WMA852022:WMB852025 WVW852022:WVX852025 O917558:P917561 JK917558:JL917561 TG917558:TH917561 ADC917558:ADD917561 AMY917558:AMZ917561 AWU917558:AWV917561 BGQ917558:BGR917561 BQM917558:BQN917561 CAI917558:CAJ917561 CKE917558:CKF917561 CUA917558:CUB917561 DDW917558:DDX917561 DNS917558:DNT917561 DXO917558:DXP917561 EHK917558:EHL917561 ERG917558:ERH917561 FBC917558:FBD917561 FKY917558:FKZ917561 FUU917558:FUV917561 GEQ917558:GER917561 GOM917558:GON917561 GYI917558:GYJ917561 HIE917558:HIF917561 HSA917558:HSB917561 IBW917558:IBX917561 ILS917558:ILT917561 IVO917558:IVP917561 JFK917558:JFL917561 JPG917558:JPH917561 JZC917558:JZD917561 KIY917558:KIZ917561 KSU917558:KSV917561 LCQ917558:LCR917561 LMM917558:LMN917561 LWI917558:LWJ917561 MGE917558:MGF917561 MQA917558:MQB917561 MZW917558:MZX917561 NJS917558:NJT917561 NTO917558:NTP917561 ODK917558:ODL917561 ONG917558:ONH917561 OXC917558:OXD917561 PGY917558:PGZ917561 PQU917558:PQV917561 QAQ917558:QAR917561 QKM917558:QKN917561 QUI917558:QUJ917561 REE917558:REF917561 ROA917558:ROB917561 RXW917558:RXX917561 SHS917558:SHT917561 SRO917558:SRP917561 TBK917558:TBL917561 TLG917558:TLH917561 TVC917558:TVD917561 UEY917558:UEZ917561 UOU917558:UOV917561 UYQ917558:UYR917561 VIM917558:VIN917561 VSI917558:VSJ917561 WCE917558:WCF917561 WMA917558:WMB917561 WVW917558:WVX917561 O983094:P983097 JK983094:JL983097 TG983094:TH983097 ADC983094:ADD983097 AMY983094:AMZ983097 AWU983094:AWV983097 BGQ983094:BGR983097 BQM983094:BQN983097 CAI983094:CAJ983097 CKE983094:CKF983097 CUA983094:CUB983097 DDW983094:DDX983097 DNS983094:DNT983097 DXO983094:DXP983097 EHK983094:EHL983097 ERG983094:ERH983097 FBC983094:FBD983097 FKY983094:FKZ983097 FUU983094:FUV983097 GEQ983094:GER983097 GOM983094:GON983097 GYI983094:GYJ983097 HIE983094:HIF983097 HSA983094:HSB983097 IBW983094:IBX983097 ILS983094:ILT983097 IVO983094:IVP983097 JFK983094:JFL983097 JPG983094:JPH983097 JZC983094:JZD983097 KIY983094:KIZ983097 KSU983094:KSV983097 LCQ983094:LCR983097 LMM983094:LMN983097 LWI983094:LWJ983097 MGE983094:MGF983097 MQA983094:MQB983097 MZW983094:MZX983097 NJS983094:NJT983097 NTO983094:NTP983097 ODK983094:ODL983097 ONG983094:ONH983097 OXC983094:OXD983097 PGY983094:PGZ983097 PQU983094:PQV983097 QAQ983094:QAR983097 QKM983094:QKN983097 QUI983094:QUJ983097 REE983094:REF983097 ROA983094:ROB983097 RXW983094:RXX983097 SHS983094:SHT983097 SRO983094:SRP983097 TBK983094:TBL983097 TLG983094:TLH983097 TVC983094:TVD983097 UEY983094:UEZ983097 UOU983094:UOV983097 UYQ983094:UYR983097 VIM983094:VIN983097 VSI983094:VSJ983097 WCE983094:WCF983097 WMA983094:WMB983097 WVW983094:WVX983097 WWH983094:WWI983097 JV51:JW54 TR51:TS54 ADN51:ADO54 ANJ51:ANK54 AXF51:AXG54 BHB51:BHC54 BQX51:BQY54 CAT51:CAU54 CKP51:CKQ54 CUL51:CUM54 DEH51:DEI54 DOD51:DOE54 DXZ51:DYA54 EHV51:EHW54 ERR51:ERS54 FBN51:FBO54 FLJ51:FLK54 FVF51:FVG54 GFB51:GFC54 GOX51:GOY54 GYT51:GYU54 HIP51:HIQ54 HSL51:HSM54 ICH51:ICI54 IMD51:IME54 IVZ51:IWA54 JFV51:JFW54 JPR51:JPS54 JZN51:JZO54 KJJ51:KJK54 KTF51:KTG54 LDB51:LDC54 LMX51:LMY54 LWT51:LWU54 MGP51:MGQ54 MQL51:MQM54 NAH51:NAI54 NKD51:NKE54 NTZ51:NUA54 ODV51:ODW54 ONR51:ONS54 OXN51:OXO54 PHJ51:PHK54 PRF51:PRG54 QBB51:QBC54 QKX51:QKY54 QUT51:QUU54 REP51:REQ54 ROL51:ROM54 RYH51:RYI54 SID51:SIE54 SRZ51:SSA54 TBV51:TBW54 TLR51:TLS54 TVN51:TVO54 UFJ51:UFK54 UPF51:UPG54 UZB51:UZC54 VIX51:VIY54 VST51:VSU54 WCP51:WCQ54 WML51:WMM54 WWH51:WWI54 Z65590:AA65593 JV65590:JW65593 TR65590:TS65593 ADN65590:ADO65593 ANJ65590:ANK65593 AXF65590:AXG65593 BHB65590:BHC65593 BQX65590:BQY65593 CAT65590:CAU65593 CKP65590:CKQ65593 CUL65590:CUM65593 DEH65590:DEI65593 DOD65590:DOE65593 DXZ65590:DYA65593 EHV65590:EHW65593 ERR65590:ERS65593 FBN65590:FBO65593 FLJ65590:FLK65593 FVF65590:FVG65593 GFB65590:GFC65593 GOX65590:GOY65593 GYT65590:GYU65593 HIP65590:HIQ65593 HSL65590:HSM65593 ICH65590:ICI65593 IMD65590:IME65593 IVZ65590:IWA65593 JFV65590:JFW65593 JPR65590:JPS65593 JZN65590:JZO65593 KJJ65590:KJK65593 KTF65590:KTG65593 LDB65590:LDC65593 LMX65590:LMY65593 LWT65590:LWU65593 MGP65590:MGQ65593 MQL65590:MQM65593 NAH65590:NAI65593 NKD65590:NKE65593 NTZ65590:NUA65593 ODV65590:ODW65593 ONR65590:ONS65593 OXN65590:OXO65593 PHJ65590:PHK65593 PRF65590:PRG65593 QBB65590:QBC65593 QKX65590:QKY65593 QUT65590:QUU65593 REP65590:REQ65593 ROL65590:ROM65593 RYH65590:RYI65593 SID65590:SIE65593 SRZ65590:SSA65593 TBV65590:TBW65593 TLR65590:TLS65593 TVN65590:TVO65593 UFJ65590:UFK65593 UPF65590:UPG65593 UZB65590:UZC65593 VIX65590:VIY65593 VST65590:VSU65593 WCP65590:WCQ65593 WML65590:WMM65593 WWH65590:WWI65593 Z131126:AA131129 JV131126:JW131129 TR131126:TS131129 ADN131126:ADO131129 ANJ131126:ANK131129 AXF131126:AXG131129 BHB131126:BHC131129 BQX131126:BQY131129 CAT131126:CAU131129 CKP131126:CKQ131129 CUL131126:CUM131129 DEH131126:DEI131129 DOD131126:DOE131129 DXZ131126:DYA131129 EHV131126:EHW131129 ERR131126:ERS131129 FBN131126:FBO131129 FLJ131126:FLK131129 FVF131126:FVG131129 GFB131126:GFC131129 GOX131126:GOY131129 GYT131126:GYU131129 HIP131126:HIQ131129 HSL131126:HSM131129 ICH131126:ICI131129 IMD131126:IME131129 IVZ131126:IWA131129 JFV131126:JFW131129 JPR131126:JPS131129 JZN131126:JZO131129 KJJ131126:KJK131129 KTF131126:KTG131129 LDB131126:LDC131129 LMX131126:LMY131129 LWT131126:LWU131129 MGP131126:MGQ131129 MQL131126:MQM131129 NAH131126:NAI131129 NKD131126:NKE131129 NTZ131126:NUA131129 ODV131126:ODW131129 ONR131126:ONS131129 OXN131126:OXO131129 PHJ131126:PHK131129 PRF131126:PRG131129 QBB131126:QBC131129 QKX131126:QKY131129 QUT131126:QUU131129 REP131126:REQ131129 ROL131126:ROM131129 RYH131126:RYI131129 SID131126:SIE131129 SRZ131126:SSA131129 TBV131126:TBW131129 TLR131126:TLS131129 TVN131126:TVO131129 UFJ131126:UFK131129 UPF131126:UPG131129 UZB131126:UZC131129 VIX131126:VIY131129 VST131126:VSU131129 WCP131126:WCQ131129 WML131126:WMM131129 WWH131126:WWI131129 Z196662:AA196665 JV196662:JW196665 TR196662:TS196665 ADN196662:ADO196665 ANJ196662:ANK196665 AXF196662:AXG196665 BHB196662:BHC196665 BQX196662:BQY196665 CAT196662:CAU196665 CKP196662:CKQ196665 CUL196662:CUM196665 DEH196662:DEI196665 DOD196662:DOE196665 DXZ196662:DYA196665 EHV196662:EHW196665 ERR196662:ERS196665 FBN196662:FBO196665 FLJ196662:FLK196665 FVF196662:FVG196665 GFB196662:GFC196665 GOX196662:GOY196665 GYT196662:GYU196665 HIP196662:HIQ196665 HSL196662:HSM196665 ICH196662:ICI196665 IMD196662:IME196665 IVZ196662:IWA196665 JFV196662:JFW196665 JPR196662:JPS196665 JZN196662:JZO196665 KJJ196662:KJK196665 KTF196662:KTG196665 LDB196662:LDC196665 LMX196662:LMY196665 LWT196662:LWU196665 MGP196662:MGQ196665 MQL196662:MQM196665 NAH196662:NAI196665 NKD196662:NKE196665 NTZ196662:NUA196665 ODV196662:ODW196665 ONR196662:ONS196665 OXN196662:OXO196665 PHJ196662:PHK196665 PRF196662:PRG196665 QBB196662:QBC196665 QKX196662:QKY196665 QUT196662:QUU196665 REP196662:REQ196665 ROL196662:ROM196665 RYH196662:RYI196665 SID196662:SIE196665 SRZ196662:SSA196665 TBV196662:TBW196665 TLR196662:TLS196665 TVN196662:TVO196665 UFJ196662:UFK196665 UPF196662:UPG196665 UZB196662:UZC196665 VIX196662:VIY196665 VST196662:VSU196665 WCP196662:WCQ196665 WML196662:WMM196665 WWH196662:WWI196665 Z262198:AA262201 JV262198:JW262201 TR262198:TS262201 ADN262198:ADO262201 ANJ262198:ANK262201 AXF262198:AXG262201 BHB262198:BHC262201 BQX262198:BQY262201 CAT262198:CAU262201 CKP262198:CKQ262201 CUL262198:CUM262201 DEH262198:DEI262201 DOD262198:DOE262201 DXZ262198:DYA262201 EHV262198:EHW262201 ERR262198:ERS262201 FBN262198:FBO262201 FLJ262198:FLK262201 FVF262198:FVG262201 GFB262198:GFC262201 GOX262198:GOY262201 GYT262198:GYU262201 HIP262198:HIQ262201 HSL262198:HSM262201 ICH262198:ICI262201 IMD262198:IME262201 IVZ262198:IWA262201 JFV262198:JFW262201 JPR262198:JPS262201 JZN262198:JZO262201 KJJ262198:KJK262201 KTF262198:KTG262201 LDB262198:LDC262201 LMX262198:LMY262201 LWT262198:LWU262201 MGP262198:MGQ262201 MQL262198:MQM262201 NAH262198:NAI262201 NKD262198:NKE262201 NTZ262198:NUA262201 ODV262198:ODW262201 ONR262198:ONS262201 OXN262198:OXO262201 PHJ262198:PHK262201 PRF262198:PRG262201 QBB262198:QBC262201 QKX262198:QKY262201 QUT262198:QUU262201 REP262198:REQ262201 ROL262198:ROM262201 RYH262198:RYI262201 SID262198:SIE262201 SRZ262198:SSA262201 TBV262198:TBW262201 TLR262198:TLS262201 TVN262198:TVO262201 UFJ262198:UFK262201 UPF262198:UPG262201 UZB262198:UZC262201 VIX262198:VIY262201 VST262198:VSU262201 WCP262198:WCQ262201 WML262198:WMM262201 WWH262198:WWI262201 Z327734:AA327737 JV327734:JW327737 TR327734:TS327737 ADN327734:ADO327737 ANJ327734:ANK327737 AXF327734:AXG327737 BHB327734:BHC327737 BQX327734:BQY327737 CAT327734:CAU327737 CKP327734:CKQ327737 CUL327734:CUM327737 DEH327734:DEI327737 DOD327734:DOE327737 DXZ327734:DYA327737 EHV327734:EHW327737 ERR327734:ERS327737 FBN327734:FBO327737 FLJ327734:FLK327737 FVF327734:FVG327737 GFB327734:GFC327737 GOX327734:GOY327737 GYT327734:GYU327737 HIP327734:HIQ327737 HSL327734:HSM327737 ICH327734:ICI327737 IMD327734:IME327737 IVZ327734:IWA327737 JFV327734:JFW327737 JPR327734:JPS327737 JZN327734:JZO327737 KJJ327734:KJK327737 KTF327734:KTG327737 LDB327734:LDC327737 LMX327734:LMY327737 LWT327734:LWU327737 MGP327734:MGQ327737 MQL327734:MQM327737 NAH327734:NAI327737 NKD327734:NKE327737 NTZ327734:NUA327737 ODV327734:ODW327737 ONR327734:ONS327737 OXN327734:OXO327737 PHJ327734:PHK327737 PRF327734:PRG327737 QBB327734:QBC327737 QKX327734:QKY327737 QUT327734:QUU327737 REP327734:REQ327737 ROL327734:ROM327737 RYH327734:RYI327737 SID327734:SIE327737 SRZ327734:SSA327737 TBV327734:TBW327737 TLR327734:TLS327737 TVN327734:TVO327737 UFJ327734:UFK327737 UPF327734:UPG327737 UZB327734:UZC327737 VIX327734:VIY327737 VST327734:VSU327737 WCP327734:WCQ327737 WML327734:WMM327737 WWH327734:WWI327737 Z393270:AA393273 JV393270:JW393273 TR393270:TS393273 ADN393270:ADO393273 ANJ393270:ANK393273 AXF393270:AXG393273 BHB393270:BHC393273 BQX393270:BQY393273 CAT393270:CAU393273 CKP393270:CKQ393273 CUL393270:CUM393273 DEH393270:DEI393273 DOD393270:DOE393273 DXZ393270:DYA393273 EHV393270:EHW393273 ERR393270:ERS393273 FBN393270:FBO393273 FLJ393270:FLK393273 FVF393270:FVG393273 GFB393270:GFC393273 GOX393270:GOY393273 GYT393270:GYU393273 HIP393270:HIQ393273 HSL393270:HSM393273 ICH393270:ICI393273 IMD393270:IME393273 IVZ393270:IWA393273 JFV393270:JFW393273 JPR393270:JPS393273 JZN393270:JZO393273 KJJ393270:KJK393273 KTF393270:KTG393273 LDB393270:LDC393273 LMX393270:LMY393273 LWT393270:LWU393273 MGP393270:MGQ393273 MQL393270:MQM393273 NAH393270:NAI393273 NKD393270:NKE393273 NTZ393270:NUA393273 ODV393270:ODW393273 ONR393270:ONS393273 OXN393270:OXO393273 PHJ393270:PHK393273 PRF393270:PRG393273 QBB393270:QBC393273 QKX393270:QKY393273 QUT393270:QUU393273 REP393270:REQ393273 ROL393270:ROM393273 RYH393270:RYI393273 SID393270:SIE393273 SRZ393270:SSA393273 TBV393270:TBW393273 TLR393270:TLS393273 TVN393270:TVO393273 UFJ393270:UFK393273 UPF393270:UPG393273 UZB393270:UZC393273 VIX393270:VIY393273 VST393270:VSU393273 WCP393270:WCQ393273 WML393270:WMM393273 WWH393270:WWI393273 Z458806:AA458809 JV458806:JW458809 TR458806:TS458809 ADN458806:ADO458809 ANJ458806:ANK458809 AXF458806:AXG458809 BHB458806:BHC458809 BQX458806:BQY458809 CAT458806:CAU458809 CKP458806:CKQ458809 CUL458806:CUM458809 DEH458806:DEI458809 DOD458806:DOE458809 DXZ458806:DYA458809 EHV458806:EHW458809 ERR458806:ERS458809 FBN458806:FBO458809 FLJ458806:FLK458809 FVF458806:FVG458809 GFB458806:GFC458809 GOX458806:GOY458809 GYT458806:GYU458809 HIP458806:HIQ458809 HSL458806:HSM458809 ICH458806:ICI458809 IMD458806:IME458809 IVZ458806:IWA458809 JFV458806:JFW458809 JPR458806:JPS458809 JZN458806:JZO458809 KJJ458806:KJK458809 KTF458806:KTG458809 LDB458806:LDC458809 LMX458806:LMY458809 LWT458806:LWU458809 MGP458806:MGQ458809 MQL458806:MQM458809 NAH458806:NAI458809 NKD458806:NKE458809 NTZ458806:NUA458809 ODV458806:ODW458809 ONR458806:ONS458809 OXN458806:OXO458809 PHJ458806:PHK458809 PRF458806:PRG458809 QBB458806:QBC458809 QKX458806:QKY458809 QUT458806:QUU458809 REP458806:REQ458809 ROL458806:ROM458809 RYH458806:RYI458809 SID458806:SIE458809 SRZ458806:SSA458809 TBV458806:TBW458809 TLR458806:TLS458809 TVN458806:TVO458809 UFJ458806:UFK458809 UPF458806:UPG458809 UZB458806:UZC458809 VIX458806:VIY458809 VST458806:VSU458809 WCP458806:WCQ458809 WML458806:WMM458809 WWH458806:WWI458809 Z524342:AA524345 JV524342:JW524345 TR524342:TS524345 ADN524342:ADO524345 ANJ524342:ANK524345 AXF524342:AXG524345 BHB524342:BHC524345 BQX524342:BQY524345 CAT524342:CAU524345 CKP524342:CKQ524345 CUL524342:CUM524345 DEH524342:DEI524345 DOD524342:DOE524345 DXZ524342:DYA524345 EHV524342:EHW524345 ERR524342:ERS524345 FBN524342:FBO524345 FLJ524342:FLK524345 FVF524342:FVG524345 GFB524342:GFC524345 GOX524342:GOY524345 GYT524342:GYU524345 HIP524342:HIQ524345 HSL524342:HSM524345 ICH524342:ICI524345 IMD524342:IME524345 IVZ524342:IWA524345 JFV524342:JFW524345 JPR524342:JPS524345 JZN524342:JZO524345 KJJ524342:KJK524345 KTF524342:KTG524345 LDB524342:LDC524345 LMX524342:LMY524345 LWT524342:LWU524345 MGP524342:MGQ524345 MQL524342:MQM524345 NAH524342:NAI524345 NKD524342:NKE524345 NTZ524342:NUA524345 ODV524342:ODW524345 ONR524342:ONS524345 OXN524342:OXO524345 PHJ524342:PHK524345 PRF524342:PRG524345 QBB524342:QBC524345 QKX524342:QKY524345 QUT524342:QUU524345 REP524342:REQ524345 ROL524342:ROM524345 RYH524342:RYI524345 SID524342:SIE524345 SRZ524342:SSA524345 TBV524342:TBW524345 TLR524342:TLS524345 TVN524342:TVO524345 UFJ524342:UFK524345 UPF524342:UPG524345 UZB524342:UZC524345 VIX524342:VIY524345 VST524342:VSU524345 WCP524342:WCQ524345 WML524342:WMM524345 WWH524342:WWI524345 Z589878:AA589881 JV589878:JW589881 TR589878:TS589881 ADN589878:ADO589881 ANJ589878:ANK589881 AXF589878:AXG589881 BHB589878:BHC589881 BQX589878:BQY589881 CAT589878:CAU589881 CKP589878:CKQ589881 CUL589878:CUM589881 DEH589878:DEI589881 DOD589878:DOE589881 DXZ589878:DYA589881 EHV589878:EHW589881 ERR589878:ERS589881 FBN589878:FBO589881 FLJ589878:FLK589881 FVF589878:FVG589881 GFB589878:GFC589881 GOX589878:GOY589881 GYT589878:GYU589881 HIP589878:HIQ589881 HSL589878:HSM589881 ICH589878:ICI589881 IMD589878:IME589881 IVZ589878:IWA589881 JFV589878:JFW589881 JPR589878:JPS589881 JZN589878:JZO589881 KJJ589878:KJK589881 KTF589878:KTG589881 LDB589878:LDC589881 LMX589878:LMY589881 LWT589878:LWU589881 MGP589878:MGQ589881 MQL589878:MQM589881 NAH589878:NAI589881 NKD589878:NKE589881 NTZ589878:NUA589881 ODV589878:ODW589881 ONR589878:ONS589881 OXN589878:OXO589881 PHJ589878:PHK589881 PRF589878:PRG589881 QBB589878:QBC589881 QKX589878:QKY589881 QUT589878:QUU589881 REP589878:REQ589881 ROL589878:ROM589881 RYH589878:RYI589881 SID589878:SIE589881 SRZ589878:SSA589881 TBV589878:TBW589881 TLR589878:TLS589881 TVN589878:TVO589881 UFJ589878:UFK589881 UPF589878:UPG589881 UZB589878:UZC589881 VIX589878:VIY589881 VST589878:VSU589881 WCP589878:WCQ589881 WML589878:WMM589881 WWH589878:WWI589881 Z655414:AA655417 JV655414:JW655417 TR655414:TS655417 ADN655414:ADO655417 ANJ655414:ANK655417 AXF655414:AXG655417 BHB655414:BHC655417 BQX655414:BQY655417 CAT655414:CAU655417 CKP655414:CKQ655417 CUL655414:CUM655417 DEH655414:DEI655417 DOD655414:DOE655417 DXZ655414:DYA655417 EHV655414:EHW655417 ERR655414:ERS655417 FBN655414:FBO655417 FLJ655414:FLK655417 FVF655414:FVG655417 GFB655414:GFC655417 GOX655414:GOY655417 GYT655414:GYU655417 HIP655414:HIQ655417 HSL655414:HSM655417 ICH655414:ICI655417 IMD655414:IME655417 IVZ655414:IWA655417 JFV655414:JFW655417 JPR655414:JPS655417 JZN655414:JZO655417 KJJ655414:KJK655417 KTF655414:KTG655417 LDB655414:LDC655417 LMX655414:LMY655417 LWT655414:LWU655417 MGP655414:MGQ655417 MQL655414:MQM655417 NAH655414:NAI655417 NKD655414:NKE655417 NTZ655414:NUA655417 ODV655414:ODW655417 ONR655414:ONS655417 OXN655414:OXO655417 PHJ655414:PHK655417 PRF655414:PRG655417 QBB655414:QBC655417 QKX655414:QKY655417 QUT655414:QUU655417 REP655414:REQ655417 ROL655414:ROM655417 RYH655414:RYI655417 SID655414:SIE655417 SRZ655414:SSA655417 TBV655414:TBW655417 TLR655414:TLS655417 TVN655414:TVO655417 UFJ655414:UFK655417 UPF655414:UPG655417 UZB655414:UZC655417 VIX655414:VIY655417 VST655414:VSU655417 WCP655414:WCQ655417 WML655414:WMM655417 WWH655414:WWI655417 Z720950:AA720953 JV720950:JW720953 TR720950:TS720953 ADN720950:ADO720953 ANJ720950:ANK720953 AXF720950:AXG720953 BHB720950:BHC720953 BQX720950:BQY720953 CAT720950:CAU720953 CKP720950:CKQ720953 CUL720950:CUM720953 DEH720950:DEI720953 DOD720950:DOE720953 DXZ720950:DYA720953 EHV720950:EHW720953 ERR720950:ERS720953 FBN720950:FBO720953 FLJ720950:FLK720953 FVF720950:FVG720953 GFB720950:GFC720953 GOX720950:GOY720953 GYT720950:GYU720953 HIP720950:HIQ720953 HSL720950:HSM720953 ICH720950:ICI720953 IMD720950:IME720953 IVZ720950:IWA720953 JFV720950:JFW720953 JPR720950:JPS720953 JZN720950:JZO720953 KJJ720950:KJK720953 KTF720950:KTG720953 LDB720950:LDC720953 LMX720950:LMY720953 LWT720950:LWU720953 MGP720950:MGQ720953 MQL720950:MQM720953 NAH720950:NAI720953 NKD720950:NKE720953 NTZ720950:NUA720953 ODV720950:ODW720953 ONR720950:ONS720953 OXN720950:OXO720953 PHJ720950:PHK720953 PRF720950:PRG720953 QBB720950:QBC720953 QKX720950:QKY720953 QUT720950:QUU720953 REP720950:REQ720953 ROL720950:ROM720953 RYH720950:RYI720953 SID720950:SIE720953 SRZ720950:SSA720953 TBV720950:TBW720953 TLR720950:TLS720953 TVN720950:TVO720953 UFJ720950:UFK720953 UPF720950:UPG720953 UZB720950:UZC720953 VIX720950:VIY720953 VST720950:VSU720953 WCP720950:WCQ720953 WML720950:WMM720953 WWH720950:WWI720953 Z786486:AA786489 JV786486:JW786489 TR786486:TS786489 ADN786486:ADO786489 ANJ786486:ANK786489 AXF786486:AXG786489 BHB786486:BHC786489 BQX786486:BQY786489 CAT786486:CAU786489 CKP786486:CKQ786489 CUL786486:CUM786489 DEH786486:DEI786489 DOD786486:DOE786489 DXZ786486:DYA786489 EHV786486:EHW786489 ERR786486:ERS786489 FBN786486:FBO786489 FLJ786486:FLK786489 FVF786486:FVG786489 GFB786486:GFC786489 GOX786486:GOY786489 GYT786486:GYU786489 HIP786486:HIQ786489 HSL786486:HSM786489 ICH786486:ICI786489 IMD786486:IME786489 IVZ786486:IWA786489 JFV786486:JFW786489 JPR786486:JPS786489 JZN786486:JZO786489 KJJ786486:KJK786489 KTF786486:KTG786489 LDB786486:LDC786489 LMX786486:LMY786489 LWT786486:LWU786489 MGP786486:MGQ786489 MQL786486:MQM786489 NAH786486:NAI786489 NKD786486:NKE786489 NTZ786486:NUA786489 ODV786486:ODW786489 ONR786486:ONS786489 OXN786486:OXO786489 PHJ786486:PHK786489 PRF786486:PRG786489 QBB786486:QBC786489 QKX786486:QKY786489 QUT786486:QUU786489 REP786486:REQ786489 ROL786486:ROM786489 RYH786486:RYI786489 SID786486:SIE786489 SRZ786486:SSA786489 TBV786486:TBW786489 TLR786486:TLS786489 TVN786486:TVO786489 UFJ786486:UFK786489 UPF786486:UPG786489 UZB786486:UZC786489 VIX786486:VIY786489 VST786486:VSU786489 WCP786486:WCQ786489 WML786486:WMM786489 WWH786486:WWI786489 Z852022:AA852025 JV852022:JW852025 TR852022:TS852025 ADN852022:ADO852025 ANJ852022:ANK852025 AXF852022:AXG852025 BHB852022:BHC852025 BQX852022:BQY852025 CAT852022:CAU852025 CKP852022:CKQ852025 CUL852022:CUM852025 DEH852022:DEI852025 DOD852022:DOE852025 DXZ852022:DYA852025 EHV852022:EHW852025 ERR852022:ERS852025 FBN852022:FBO852025 FLJ852022:FLK852025 FVF852022:FVG852025 GFB852022:GFC852025 GOX852022:GOY852025 GYT852022:GYU852025 HIP852022:HIQ852025 HSL852022:HSM852025 ICH852022:ICI852025 IMD852022:IME852025 IVZ852022:IWA852025 JFV852022:JFW852025 JPR852022:JPS852025 JZN852022:JZO852025 KJJ852022:KJK852025 KTF852022:KTG852025 LDB852022:LDC852025 LMX852022:LMY852025 LWT852022:LWU852025 MGP852022:MGQ852025 MQL852022:MQM852025 NAH852022:NAI852025 NKD852022:NKE852025 NTZ852022:NUA852025 ODV852022:ODW852025 ONR852022:ONS852025 OXN852022:OXO852025 PHJ852022:PHK852025 PRF852022:PRG852025 QBB852022:QBC852025 QKX852022:QKY852025 QUT852022:QUU852025 REP852022:REQ852025 ROL852022:ROM852025 RYH852022:RYI852025 SID852022:SIE852025 SRZ852022:SSA852025 TBV852022:TBW852025 TLR852022:TLS852025 TVN852022:TVO852025 UFJ852022:UFK852025 UPF852022:UPG852025 UZB852022:UZC852025 VIX852022:VIY852025 VST852022:VSU852025 WCP852022:WCQ852025 WML852022:WMM852025 WWH852022:WWI852025 Z917558:AA917561 JV917558:JW917561 TR917558:TS917561 ADN917558:ADO917561 ANJ917558:ANK917561 AXF917558:AXG917561 BHB917558:BHC917561 BQX917558:BQY917561 CAT917558:CAU917561 CKP917558:CKQ917561 CUL917558:CUM917561 DEH917558:DEI917561 DOD917558:DOE917561 DXZ917558:DYA917561 EHV917558:EHW917561 ERR917558:ERS917561 FBN917558:FBO917561 FLJ917558:FLK917561 FVF917558:FVG917561 GFB917558:GFC917561 GOX917558:GOY917561 GYT917558:GYU917561 HIP917558:HIQ917561 HSL917558:HSM917561 ICH917558:ICI917561 IMD917558:IME917561 IVZ917558:IWA917561 JFV917558:JFW917561 JPR917558:JPS917561 JZN917558:JZO917561 KJJ917558:KJK917561 KTF917558:KTG917561 LDB917558:LDC917561 LMX917558:LMY917561 LWT917558:LWU917561 MGP917558:MGQ917561 MQL917558:MQM917561 NAH917558:NAI917561 NKD917558:NKE917561 NTZ917558:NUA917561 ODV917558:ODW917561 ONR917558:ONS917561 OXN917558:OXO917561 PHJ917558:PHK917561 PRF917558:PRG917561 QBB917558:QBC917561 QKX917558:QKY917561 QUT917558:QUU917561 REP917558:REQ917561 ROL917558:ROM917561 RYH917558:RYI917561 SID917558:SIE917561 SRZ917558:SSA917561 TBV917558:TBW917561 TLR917558:TLS917561 TVN917558:TVO917561 UFJ917558:UFK917561 UPF917558:UPG917561 UZB917558:UZC917561 VIX917558:VIY917561 VST917558:VSU917561 WCP917558:WCQ917561 WML917558:WMM917561 WWH917558:WWI917561 Z983094:AA983097 JV983094:JW983097 TR983094:TS983097 ADN983094:ADO983097 ANJ983094:ANK983097 AXF983094:AXG983097 BHB983094:BHC983097 BQX983094:BQY983097 CAT983094:CAU983097 CKP983094:CKQ983097 CUL983094:CUM983097 DEH983094:DEI983097 DOD983094:DOE983097 DXZ983094:DYA983097 EHV983094:EHW983097 ERR983094:ERS983097 FBN983094:FBO983097 FLJ983094:FLK983097 FVF983094:FVG983097 GFB983094:GFC983097 GOX983094:GOY983097 GYT983094:GYU983097 HIP983094:HIQ983097 HSL983094:HSM983097 ICH983094:ICI983097 IMD983094:IME983097 IVZ983094:IWA983097 JFV983094:JFW983097 JPR983094:JPS983097 JZN983094:JZO983097 KJJ983094:KJK983097 KTF983094:KTG983097 LDB983094:LDC983097 LMX983094:LMY983097 LWT983094:LWU983097 MGP983094:MGQ983097 MQL983094:MQM983097 NAH983094:NAI983097 NKD983094:NKE983097 NTZ983094:NUA983097 ODV983094:ODW983097 ONR983094:ONS983097 OXN983094:OXO983097 PHJ983094:PHK983097 PRF983094:PRG983097 QBB983094:QBC983097 QKX983094:QKY983097 QUT983094:QUU983097 REP983094:REQ983097 ROL983094:ROM983097 RYH983094:RYI983097 SID983094:SIE983097 SRZ983094:SSA983097 TBV983094:TBW983097 TLR983094:TLS983097 TVN983094:TVO983097 UFJ983094:UFK983097 UPF983094:UPG983097 UZB983094:UZC983097 VIX983094:VIY983097 VST983094:VSU983097">
      <formula1>"YES,NO"</formula1>
    </dataValidation>
  </dataValidations>
  <printOptions horizontalCentered="1" verticalCentered="1"/>
  <pageMargins left="0" right="0" top="0" bottom="0" header="0" footer="0"/>
  <pageSetup paperSize="9" scale="9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BH45"/>
  <sheetViews>
    <sheetView view="pageBreakPreview" zoomScale="115" zoomScaleNormal="115" zoomScaleSheetLayoutView="115" workbookViewId="0">
      <selection activeCell="A7" sqref="A7:BH45"/>
    </sheetView>
  </sheetViews>
  <sheetFormatPr defaultRowHeight="12" customHeight="1" x14ac:dyDescent="0.2"/>
  <cols>
    <col min="1" max="59" width="2.42578125" style="8" customWidth="1"/>
    <col min="60" max="60" width="3.42578125" style="8" bestFit="1" customWidth="1"/>
    <col min="61" max="276" width="9.140625" style="8"/>
    <col min="277" max="315" width="2.42578125" style="8" customWidth="1"/>
    <col min="316" max="316" width="3.42578125" style="8" bestFit="1" customWidth="1"/>
    <col min="317" max="532" width="9.140625" style="8"/>
    <col min="533" max="571" width="2.42578125" style="8" customWidth="1"/>
    <col min="572" max="572" width="3.42578125" style="8" bestFit="1" customWidth="1"/>
    <col min="573" max="788" width="9.140625" style="8"/>
    <col min="789" max="827" width="2.42578125" style="8" customWidth="1"/>
    <col min="828" max="828" width="3.42578125" style="8" bestFit="1" customWidth="1"/>
    <col min="829" max="1044" width="9.140625" style="8"/>
    <col min="1045" max="1083" width="2.42578125" style="8" customWidth="1"/>
    <col min="1084" max="1084" width="3.42578125" style="8" bestFit="1" customWidth="1"/>
    <col min="1085" max="1300" width="9.140625" style="8"/>
    <col min="1301" max="1339" width="2.42578125" style="8" customWidth="1"/>
    <col min="1340" max="1340" width="3.42578125" style="8" bestFit="1" customWidth="1"/>
    <col min="1341" max="1556" width="9.140625" style="8"/>
    <col min="1557" max="1595" width="2.42578125" style="8" customWidth="1"/>
    <col min="1596" max="1596" width="3.42578125" style="8" bestFit="1" customWidth="1"/>
    <col min="1597" max="1812" width="9.140625" style="8"/>
    <col min="1813" max="1851" width="2.42578125" style="8" customWidth="1"/>
    <col min="1852" max="1852" width="3.42578125" style="8" bestFit="1" customWidth="1"/>
    <col min="1853" max="2068" width="9.140625" style="8"/>
    <col min="2069" max="2107" width="2.42578125" style="8" customWidth="1"/>
    <col min="2108" max="2108" width="3.42578125" style="8" bestFit="1" customWidth="1"/>
    <col min="2109" max="2324" width="9.140625" style="8"/>
    <col min="2325" max="2363" width="2.42578125" style="8" customWidth="1"/>
    <col min="2364" max="2364" width="3.42578125" style="8" bestFit="1" customWidth="1"/>
    <col min="2365" max="2580" width="9.140625" style="8"/>
    <col min="2581" max="2619" width="2.42578125" style="8" customWidth="1"/>
    <col min="2620" max="2620" width="3.42578125" style="8" bestFit="1" customWidth="1"/>
    <col min="2621" max="2836" width="9.140625" style="8"/>
    <col min="2837" max="2875" width="2.42578125" style="8" customWidth="1"/>
    <col min="2876" max="2876" width="3.42578125" style="8" bestFit="1" customWidth="1"/>
    <col min="2877" max="3092" width="9.140625" style="8"/>
    <col min="3093" max="3131" width="2.42578125" style="8" customWidth="1"/>
    <col min="3132" max="3132" width="3.42578125" style="8" bestFit="1" customWidth="1"/>
    <col min="3133" max="3348" width="9.140625" style="8"/>
    <col min="3349" max="3387" width="2.42578125" style="8" customWidth="1"/>
    <col min="3388" max="3388" width="3.42578125" style="8" bestFit="1" customWidth="1"/>
    <col min="3389" max="3604" width="9.140625" style="8"/>
    <col min="3605" max="3643" width="2.42578125" style="8" customWidth="1"/>
    <col min="3644" max="3644" width="3.42578125" style="8" bestFit="1" customWidth="1"/>
    <col min="3645" max="3860" width="9.140625" style="8"/>
    <col min="3861" max="3899" width="2.42578125" style="8" customWidth="1"/>
    <col min="3900" max="3900" width="3.42578125" style="8" bestFit="1" customWidth="1"/>
    <col min="3901" max="4116" width="9.140625" style="8"/>
    <col min="4117" max="4155" width="2.42578125" style="8" customWidth="1"/>
    <col min="4156" max="4156" width="3.42578125" style="8" bestFit="1" customWidth="1"/>
    <col min="4157" max="4372" width="9.140625" style="8"/>
    <col min="4373" max="4411" width="2.42578125" style="8" customWidth="1"/>
    <col min="4412" max="4412" width="3.42578125" style="8" bestFit="1" customWidth="1"/>
    <col min="4413" max="4628" width="9.140625" style="8"/>
    <col min="4629" max="4667" width="2.42578125" style="8" customWidth="1"/>
    <col min="4668" max="4668" width="3.42578125" style="8" bestFit="1" customWidth="1"/>
    <col min="4669" max="4884" width="9.140625" style="8"/>
    <col min="4885" max="4923" width="2.42578125" style="8" customWidth="1"/>
    <col min="4924" max="4924" width="3.42578125" style="8" bestFit="1" customWidth="1"/>
    <col min="4925" max="5140" width="9.140625" style="8"/>
    <col min="5141" max="5179" width="2.42578125" style="8" customWidth="1"/>
    <col min="5180" max="5180" width="3.42578125" style="8" bestFit="1" customWidth="1"/>
    <col min="5181" max="5396" width="9.140625" style="8"/>
    <col min="5397" max="5435" width="2.42578125" style="8" customWidth="1"/>
    <col min="5436" max="5436" width="3.42578125" style="8" bestFit="1" customWidth="1"/>
    <col min="5437" max="5652" width="9.140625" style="8"/>
    <col min="5653" max="5691" width="2.42578125" style="8" customWidth="1"/>
    <col min="5692" max="5692" width="3.42578125" style="8" bestFit="1" customWidth="1"/>
    <col min="5693" max="5908" width="9.140625" style="8"/>
    <col min="5909" max="5947" width="2.42578125" style="8" customWidth="1"/>
    <col min="5948" max="5948" width="3.42578125" style="8" bestFit="1" customWidth="1"/>
    <col min="5949" max="6164" width="9.140625" style="8"/>
    <col min="6165" max="6203" width="2.42578125" style="8" customWidth="1"/>
    <col min="6204" max="6204" width="3.42578125" style="8" bestFit="1" customWidth="1"/>
    <col min="6205" max="6420" width="9.140625" style="8"/>
    <col min="6421" max="6459" width="2.42578125" style="8" customWidth="1"/>
    <col min="6460" max="6460" width="3.42578125" style="8" bestFit="1" customWidth="1"/>
    <col min="6461" max="6676" width="9.140625" style="8"/>
    <col min="6677" max="6715" width="2.42578125" style="8" customWidth="1"/>
    <col min="6716" max="6716" width="3.42578125" style="8" bestFit="1" customWidth="1"/>
    <col min="6717" max="6932" width="9.140625" style="8"/>
    <col min="6933" max="6971" width="2.42578125" style="8" customWidth="1"/>
    <col min="6972" max="6972" width="3.42578125" style="8" bestFit="1" customWidth="1"/>
    <col min="6973" max="7188" width="9.140625" style="8"/>
    <col min="7189" max="7227" width="2.42578125" style="8" customWidth="1"/>
    <col min="7228" max="7228" width="3.42578125" style="8" bestFit="1" customWidth="1"/>
    <col min="7229" max="7444" width="9.140625" style="8"/>
    <col min="7445" max="7483" width="2.42578125" style="8" customWidth="1"/>
    <col min="7484" max="7484" width="3.42578125" style="8" bestFit="1" customWidth="1"/>
    <col min="7485" max="7700" width="9.140625" style="8"/>
    <col min="7701" max="7739" width="2.42578125" style="8" customWidth="1"/>
    <col min="7740" max="7740" width="3.42578125" style="8" bestFit="1" customWidth="1"/>
    <col min="7741" max="7956" width="9.140625" style="8"/>
    <col min="7957" max="7995" width="2.42578125" style="8" customWidth="1"/>
    <col min="7996" max="7996" width="3.42578125" style="8" bestFit="1" customWidth="1"/>
    <col min="7997" max="8212" width="9.140625" style="8"/>
    <col min="8213" max="8251" width="2.42578125" style="8" customWidth="1"/>
    <col min="8252" max="8252" width="3.42578125" style="8" bestFit="1" customWidth="1"/>
    <col min="8253" max="8468" width="9.140625" style="8"/>
    <col min="8469" max="8507" width="2.42578125" style="8" customWidth="1"/>
    <col min="8508" max="8508" width="3.42578125" style="8" bestFit="1" customWidth="1"/>
    <col min="8509" max="8724" width="9.140625" style="8"/>
    <col min="8725" max="8763" width="2.42578125" style="8" customWidth="1"/>
    <col min="8764" max="8764" width="3.42578125" style="8" bestFit="1" customWidth="1"/>
    <col min="8765" max="8980" width="9.140625" style="8"/>
    <col min="8981" max="9019" width="2.42578125" style="8" customWidth="1"/>
    <col min="9020" max="9020" width="3.42578125" style="8" bestFit="1" customWidth="1"/>
    <col min="9021" max="9236" width="9.140625" style="8"/>
    <col min="9237" max="9275" width="2.42578125" style="8" customWidth="1"/>
    <col min="9276" max="9276" width="3.42578125" style="8" bestFit="1" customWidth="1"/>
    <col min="9277" max="9492" width="9.140625" style="8"/>
    <col min="9493" max="9531" width="2.42578125" style="8" customWidth="1"/>
    <col min="9532" max="9532" width="3.42578125" style="8" bestFit="1" customWidth="1"/>
    <col min="9533" max="9748" width="9.140625" style="8"/>
    <col min="9749" max="9787" width="2.42578125" style="8" customWidth="1"/>
    <col min="9788" max="9788" width="3.42578125" style="8" bestFit="1" customWidth="1"/>
    <col min="9789" max="10004" width="9.140625" style="8"/>
    <col min="10005" max="10043" width="2.42578125" style="8" customWidth="1"/>
    <col min="10044" max="10044" width="3.42578125" style="8" bestFit="1" customWidth="1"/>
    <col min="10045" max="10260" width="9.140625" style="8"/>
    <col min="10261" max="10299" width="2.42578125" style="8" customWidth="1"/>
    <col min="10300" max="10300" width="3.42578125" style="8" bestFit="1" customWidth="1"/>
    <col min="10301" max="10516" width="9.140625" style="8"/>
    <col min="10517" max="10555" width="2.42578125" style="8" customWidth="1"/>
    <col min="10556" max="10556" width="3.42578125" style="8" bestFit="1" customWidth="1"/>
    <col min="10557" max="10772" width="9.140625" style="8"/>
    <col min="10773" max="10811" width="2.42578125" style="8" customWidth="1"/>
    <col min="10812" max="10812" width="3.42578125" style="8" bestFit="1" customWidth="1"/>
    <col min="10813" max="11028" width="9.140625" style="8"/>
    <col min="11029" max="11067" width="2.42578125" style="8" customWidth="1"/>
    <col min="11068" max="11068" width="3.42578125" style="8" bestFit="1" customWidth="1"/>
    <col min="11069" max="11284" width="9.140625" style="8"/>
    <col min="11285" max="11323" width="2.42578125" style="8" customWidth="1"/>
    <col min="11324" max="11324" width="3.42578125" style="8" bestFit="1" customWidth="1"/>
    <col min="11325" max="11540" width="9.140625" style="8"/>
    <col min="11541" max="11579" width="2.42578125" style="8" customWidth="1"/>
    <col min="11580" max="11580" width="3.42578125" style="8" bestFit="1" customWidth="1"/>
    <col min="11581" max="11796" width="9.140625" style="8"/>
    <col min="11797" max="11835" width="2.42578125" style="8" customWidth="1"/>
    <col min="11836" max="11836" width="3.42578125" style="8" bestFit="1" customWidth="1"/>
    <col min="11837" max="12052" width="9.140625" style="8"/>
    <col min="12053" max="12091" width="2.42578125" style="8" customWidth="1"/>
    <col min="12092" max="12092" width="3.42578125" style="8" bestFit="1" customWidth="1"/>
    <col min="12093" max="12308" width="9.140625" style="8"/>
    <col min="12309" max="12347" width="2.42578125" style="8" customWidth="1"/>
    <col min="12348" max="12348" width="3.42578125" style="8" bestFit="1" customWidth="1"/>
    <col min="12349" max="12564" width="9.140625" style="8"/>
    <col min="12565" max="12603" width="2.42578125" style="8" customWidth="1"/>
    <col min="12604" max="12604" width="3.42578125" style="8" bestFit="1" customWidth="1"/>
    <col min="12605" max="12820" width="9.140625" style="8"/>
    <col min="12821" max="12859" width="2.42578125" style="8" customWidth="1"/>
    <col min="12860" max="12860" width="3.42578125" style="8" bestFit="1" customWidth="1"/>
    <col min="12861" max="13076" width="9.140625" style="8"/>
    <col min="13077" max="13115" width="2.42578125" style="8" customWidth="1"/>
    <col min="13116" max="13116" width="3.42578125" style="8" bestFit="1" customWidth="1"/>
    <col min="13117" max="13332" width="9.140625" style="8"/>
    <col min="13333" max="13371" width="2.42578125" style="8" customWidth="1"/>
    <col min="13372" max="13372" width="3.42578125" style="8" bestFit="1" customWidth="1"/>
    <col min="13373" max="13588" width="9.140625" style="8"/>
    <col min="13589" max="13627" width="2.42578125" style="8" customWidth="1"/>
    <col min="13628" max="13628" width="3.42578125" style="8" bestFit="1" customWidth="1"/>
    <col min="13629" max="13844" width="9.140625" style="8"/>
    <col min="13845" max="13883" width="2.42578125" style="8" customWidth="1"/>
    <col min="13884" max="13884" width="3.42578125" style="8" bestFit="1" customWidth="1"/>
    <col min="13885" max="14100" width="9.140625" style="8"/>
    <col min="14101" max="14139" width="2.42578125" style="8" customWidth="1"/>
    <col min="14140" max="14140" width="3.42578125" style="8" bestFit="1" customWidth="1"/>
    <col min="14141" max="14356" width="9.140625" style="8"/>
    <col min="14357" max="14395" width="2.42578125" style="8" customWidth="1"/>
    <col min="14396" max="14396" width="3.42578125" style="8" bestFit="1" customWidth="1"/>
    <col min="14397" max="14612" width="9.140625" style="8"/>
    <col min="14613" max="14651" width="2.42578125" style="8" customWidth="1"/>
    <col min="14652" max="14652" width="3.42578125" style="8" bestFit="1" customWidth="1"/>
    <col min="14653" max="14868" width="9.140625" style="8"/>
    <col min="14869" max="14907" width="2.42578125" style="8" customWidth="1"/>
    <col min="14908" max="14908" width="3.42578125" style="8" bestFit="1" customWidth="1"/>
    <col min="14909" max="15124" width="9.140625" style="8"/>
    <col min="15125" max="15163" width="2.42578125" style="8" customWidth="1"/>
    <col min="15164" max="15164" width="3.42578125" style="8" bestFit="1" customWidth="1"/>
    <col min="15165" max="15380" width="9.140625" style="8"/>
    <col min="15381" max="15419" width="2.42578125" style="8" customWidth="1"/>
    <col min="15420" max="15420" width="3.42578125" style="8" bestFit="1" customWidth="1"/>
    <col min="15421" max="15636" width="9.140625" style="8"/>
    <col min="15637" max="15675" width="2.42578125" style="8" customWidth="1"/>
    <col min="15676" max="15676" width="3.42578125" style="8" bestFit="1" customWidth="1"/>
    <col min="15677" max="15892" width="9.140625" style="8"/>
    <col min="15893" max="15931" width="2.42578125" style="8" customWidth="1"/>
    <col min="15932" max="15932" width="3.42578125" style="8" bestFit="1" customWidth="1"/>
    <col min="15933" max="16148" width="9.140625" style="8"/>
    <col min="16149" max="16187" width="2.42578125" style="8" customWidth="1"/>
    <col min="16188" max="16188" width="3.42578125" style="8" bestFit="1" customWidth="1"/>
    <col min="16189" max="16384" width="9.140625" style="8"/>
  </cols>
  <sheetData>
    <row r="1" spans="1:60" s="323" customFormat="1" ht="15.75" thickBot="1" x14ac:dyDescent="0.3">
      <c r="A1" s="312" t="s">
        <v>467</v>
      </c>
      <c r="B1" s="313"/>
      <c r="C1" s="314"/>
      <c r="D1" s="314"/>
      <c r="E1" s="315"/>
      <c r="F1" s="315"/>
      <c r="G1" s="316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</row>
    <row r="2" spans="1:60" s="323" customFormat="1" ht="15.75" thickBot="1" x14ac:dyDescent="0.3">
      <c r="A2" s="312" t="s">
        <v>468</v>
      </c>
      <c r="B2" s="313"/>
      <c r="C2" s="314"/>
      <c r="D2" s="314"/>
      <c r="E2" s="315"/>
      <c r="F2" s="315"/>
      <c r="G2" s="316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</row>
    <row r="3" spans="1:60" s="323" customFormat="1" ht="15.75" thickBot="1" x14ac:dyDescent="0.3">
      <c r="A3" s="312" t="s">
        <v>469</v>
      </c>
      <c r="B3" s="313"/>
      <c r="C3" s="314"/>
      <c r="D3" s="314"/>
      <c r="E3" s="315"/>
      <c r="F3" s="315"/>
      <c r="G3" s="316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</row>
    <row r="4" spans="1:60" s="323" customFormat="1" ht="15.75" thickBot="1" x14ac:dyDescent="0.3">
      <c r="A4" s="324" t="s">
        <v>470</v>
      </c>
      <c r="B4" s="313"/>
      <c r="C4" s="314"/>
      <c r="D4" s="314"/>
      <c r="E4" s="315"/>
      <c r="F4" s="315"/>
      <c r="G4" s="316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</row>
    <row r="5" spans="1:60" s="323" customFormat="1" ht="15.75" thickBot="1" x14ac:dyDescent="0.3">
      <c r="A5" s="324" t="s">
        <v>471</v>
      </c>
      <c r="B5" s="313"/>
      <c r="C5" s="314"/>
      <c r="D5" s="314"/>
      <c r="E5" s="315"/>
      <c r="F5" s="315"/>
      <c r="G5" s="316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</row>
    <row r="6" spans="1:60" ht="11.65" customHeight="1" thickBot="1" x14ac:dyDescent="0.25">
      <c r="A6" s="9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1"/>
      <c r="U6" s="12"/>
      <c r="V6" s="12"/>
      <c r="W6" s="13"/>
      <c r="X6" s="14"/>
      <c r="Y6" s="14"/>
      <c r="Z6" s="14"/>
      <c r="AA6" s="14"/>
      <c r="AB6" s="14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4"/>
      <c r="BA6" s="14"/>
      <c r="BB6" s="14"/>
      <c r="BC6" s="14"/>
      <c r="BD6" s="14"/>
      <c r="BE6" s="14"/>
      <c r="BF6" s="15"/>
      <c r="BG6" s="12"/>
      <c r="BH6" s="10"/>
    </row>
    <row r="7" spans="1:60" ht="11.65" customHeight="1" x14ac:dyDescent="0.2">
      <c r="A7" s="625" t="s">
        <v>392</v>
      </c>
      <c r="B7" s="626"/>
      <c r="C7" s="626"/>
      <c r="D7" s="626"/>
      <c r="E7" s="626"/>
      <c r="F7" s="626"/>
      <c r="G7" s="626"/>
      <c r="H7" s="626"/>
      <c r="I7" s="626"/>
      <c r="J7" s="626"/>
      <c r="K7" s="626"/>
      <c r="L7" s="626"/>
      <c r="M7" s="626"/>
      <c r="N7" s="626"/>
      <c r="O7" s="626"/>
      <c r="P7" s="626"/>
      <c r="Q7" s="626"/>
      <c r="R7" s="626"/>
      <c r="S7" s="626"/>
      <c r="T7" s="626"/>
      <c r="U7" s="626"/>
      <c r="V7" s="626"/>
      <c r="W7" s="626"/>
      <c r="X7" s="626"/>
      <c r="Y7" s="626"/>
      <c r="Z7" s="626"/>
      <c r="AA7" s="626"/>
      <c r="AB7" s="626"/>
      <c r="AC7" s="626"/>
      <c r="AD7" s="626"/>
      <c r="AE7" s="626"/>
      <c r="AF7" s="626"/>
      <c r="AG7" s="626"/>
      <c r="AH7" s="626"/>
      <c r="AI7" s="626"/>
      <c r="AJ7" s="626"/>
      <c r="AK7" s="626"/>
      <c r="AL7" s="626"/>
      <c r="AM7" s="626"/>
      <c r="AN7" s="626"/>
      <c r="AO7" s="626"/>
      <c r="AP7" s="626"/>
      <c r="AQ7" s="626"/>
      <c r="AR7" s="626"/>
      <c r="AS7" s="626"/>
      <c r="AT7" s="626"/>
      <c r="AU7" s="626"/>
      <c r="AV7" s="626"/>
      <c r="AW7" s="626"/>
      <c r="AX7" s="626"/>
      <c r="AY7" s="626"/>
      <c r="AZ7" s="626"/>
      <c r="BA7" s="626"/>
      <c r="BB7" s="626"/>
      <c r="BC7" s="626"/>
      <c r="BD7" s="626"/>
      <c r="BE7" s="626"/>
      <c r="BF7" s="626"/>
      <c r="BG7" s="626"/>
      <c r="BH7" s="627"/>
    </row>
    <row r="8" spans="1:60" ht="11.65" customHeight="1" x14ac:dyDescent="0.2">
      <c r="A8" s="628"/>
      <c r="B8" s="629"/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29"/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29"/>
      <c r="AM8" s="629"/>
      <c r="AN8" s="629"/>
      <c r="AO8" s="629"/>
      <c r="AP8" s="629"/>
      <c r="AQ8" s="629"/>
      <c r="AR8" s="629"/>
      <c r="AS8" s="629"/>
      <c r="AT8" s="629"/>
      <c r="AU8" s="629"/>
      <c r="AV8" s="629"/>
      <c r="AW8" s="629"/>
      <c r="AX8" s="629"/>
      <c r="AY8" s="629"/>
      <c r="AZ8" s="629"/>
      <c r="BA8" s="629"/>
      <c r="BB8" s="629"/>
      <c r="BC8" s="629"/>
      <c r="BD8" s="629"/>
      <c r="BE8" s="629"/>
      <c r="BF8" s="629"/>
      <c r="BG8" s="629"/>
      <c r="BH8" s="630"/>
    </row>
    <row r="9" spans="1:60" ht="11.65" customHeight="1" x14ac:dyDescent="0.2">
      <c r="A9" s="628"/>
      <c r="B9" s="629"/>
      <c r="C9" s="629"/>
      <c r="D9" s="629"/>
      <c r="E9" s="629"/>
      <c r="F9" s="629"/>
      <c r="G9" s="629"/>
      <c r="H9" s="629"/>
      <c r="I9" s="629"/>
      <c r="J9" s="629"/>
      <c r="K9" s="629"/>
      <c r="L9" s="629"/>
      <c r="M9" s="629"/>
      <c r="N9" s="629"/>
      <c r="O9" s="629"/>
      <c r="P9" s="629"/>
      <c r="Q9" s="629"/>
      <c r="R9" s="629"/>
      <c r="S9" s="629"/>
      <c r="T9" s="629"/>
      <c r="U9" s="629"/>
      <c r="V9" s="629"/>
      <c r="W9" s="629"/>
      <c r="X9" s="629"/>
      <c r="Y9" s="629"/>
      <c r="Z9" s="629"/>
      <c r="AA9" s="629"/>
      <c r="AB9" s="629"/>
      <c r="AC9" s="629"/>
      <c r="AD9" s="629"/>
      <c r="AE9" s="629"/>
      <c r="AF9" s="629"/>
      <c r="AG9" s="629"/>
      <c r="AH9" s="629"/>
      <c r="AI9" s="629"/>
      <c r="AJ9" s="629"/>
      <c r="AK9" s="629"/>
      <c r="AL9" s="629"/>
      <c r="AM9" s="629"/>
      <c r="AN9" s="629"/>
      <c r="AO9" s="629"/>
      <c r="AP9" s="629"/>
      <c r="AQ9" s="629"/>
      <c r="AR9" s="629"/>
      <c r="AS9" s="629"/>
      <c r="AT9" s="629"/>
      <c r="AU9" s="629"/>
      <c r="AV9" s="629"/>
      <c r="AW9" s="629"/>
      <c r="AX9" s="629"/>
      <c r="AY9" s="629"/>
      <c r="AZ9" s="629"/>
      <c r="BA9" s="629"/>
      <c r="BB9" s="629"/>
      <c r="BC9" s="629"/>
      <c r="BD9" s="629"/>
      <c r="BE9" s="629"/>
      <c r="BF9" s="629"/>
      <c r="BG9" s="629"/>
      <c r="BH9" s="630"/>
    </row>
    <row r="10" spans="1:60" ht="11.65" customHeight="1" x14ac:dyDescent="0.2">
      <c r="A10" s="628"/>
      <c r="B10" s="629"/>
      <c r="C10" s="629"/>
      <c r="D10" s="629"/>
      <c r="E10" s="629"/>
      <c r="F10" s="629"/>
      <c r="G10" s="629"/>
      <c r="H10" s="629"/>
      <c r="I10" s="629"/>
      <c r="J10" s="629"/>
      <c r="K10" s="629"/>
      <c r="L10" s="629"/>
      <c r="M10" s="629"/>
      <c r="N10" s="629"/>
      <c r="O10" s="629"/>
      <c r="P10" s="629"/>
      <c r="Q10" s="629"/>
      <c r="R10" s="629"/>
      <c r="S10" s="629"/>
      <c r="T10" s="629"/>
      <c r="U10" s="629"/>
      <c r="V10" s="629"/>
      <c r="W10" s="629"/>
      <c r="X10" s="629"/>
      <c r="Y10" s="629"/>
      <c r="Z10" s="629"/>
      <c r="AA10" s="629"/>
      <c r="AB10" s="629"/>
      <c r="AC10" s="629"/>
      <c r="AD10" s="629"/>
      <c r="AE10" s="629"/>
      <c r="AF10" s="629"/>
      <c r="AG10" s="629"/>
      <c r="AH10" s="629"/>
      <c r="AI10" s="629"/>
      <c r="AJ10" s="629"/>
      <c r="AK10" s="629"/>
      <c r="AL10" s="629"/>
      <c r="AM10" s="629"/>
      <c r="AN10" s="629"/>
      <c r="AO10" s="629"/>
      <c r="AP10" s="629"/>
      <c r="AQ10" s="629"/>
      <c r="AR10" s="629"/>
      <c r="AS10" s="629"/>
      <c r="AT10" s="629"/>
      <c r="AU10" s="629"/>
      <c r="AV10" s="629"/>
      <c r="AW10" s="629"/>
      <c r="AX10" s="629"/>
      <c r="AY10" s="629"/>
      <c r="AZ10" s="629"/>
      <c r="BA10" s="629"/>
      <c r="BB10" s="629"/>
      <c r="BC10" s="629"/>
      <c r="BD10" s="629"/>
      <c r="BE10" s="629"/>
      <c r="BF10" s="629"/>
      <c r="BG10" s="629"/>
      <c r="BH10" s="630"/>
    </row>
    <row r="11" spans="1:60" ht="11.65" customHeight="1" x14ac:dyDescent="0.2">
      <c r="A11" s="628"/>
      <c r="B11" s="629"/>
      <c r="C11" s="629"/>
      <c r="D11" s="629"/>
      <c r="E11" s="629"/>
      <c r="F11" s="629"/>
      <c r="G11" s="629"/>
      <c r="H11" s="629"/>
      <c r="I11" s="629"/>
      <c r="J11" s="629"/>
      <c r="K11" s="629"/>
      <c r="L11" s="629"/>
      <c r="M11" s="629"/>
      <c r="N11" s="629"/>
      <c r="O11" s="629"/>
      <c r="P11" s="629"/>
      <c r="Q11" s="629"/>
      <c r="R11" s="629"/>
      <c r="S11" s="629"/>
      <c r="T11" s="629"/>
      <c r="U11" s="629"/>
      <c r="V11" s="629"/>
      <c r="W11" s="629"/>
      <c r="X11" s="629"/>
      <c r="Y11" s="629"/>
      <c r="Z11" s="629"/>
      <c r="AA11" s="629"/>
      <c r="AB11" s="629"/>
      <c r="AC11" s="629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  <c r="AO11" s="629"/>
      <c r="AP11" s="629"/>
      <c r="AQ11" s="629"/>
      <c r="AR11" s="629"/>
      <c r="AS11" s="629"/>
      <c r="AT11" s="629"/>
      <c r="AU11" s="629"/>
      <c r="AV11" s="629"/>
      <c r="AW11" s="629"/>
      <c r="AX11" s="629"/>
      <c r="AY11" s="629"/>
      <c r="AZ11" s="629"/>
      <c r="BA11" s="629"/>
      <c r="BB11" s="629"/>
      <c r="BC11" s="629"/>
      <c r="BD11" s="629"/>
      <c r="BE11" s="629"/>
      <c r="BF11" s="629"/>
      <c r="BG11" s="629"/>
      <c r="BH11" s="630"/>
    </row>
    <row r="12" spans="1:60" ht="11.65" customHeight="1" x14ac:dyDescent="0.2">
      <c r="A12" s="628"/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29"/>
      <c r="Y12" s="629"/>
      <c r="Z12" s="629"/>
      <c r="AA12" s="629"/>
      <c r="AB12" s="629"/>
      <c r="AC12" s="629"/>
      <c r="AD12" s="629"/>
      <c r="AE12" s="629"/>
      <c r="AF12" s="629"/>
      <c r="AG12" s="629"/>
      <c r="AH12" s="629"/>
      <c r="AI12" s="629"/>
      <c r="AJ12" s="629"/>
      <c r="AK12" s="629"/>
      <c r="AL12" s="629"/>
      <c r="AM12" s="629"/>
      <c r="AN12" s="629"/>
      <c r="AO12" s="629"/>
      <c r="AP12" s="629"/>
      <c r="AQ12" s="629"/>
      <c r="AR12" s="629"/>
      <c r="AS12" s="629"/>
      <c r="AT12" s="629"/>
      <c r="AU12" s="629"/>
      <c r="AV12" s="629"/>
      <c r="AW12" s="629"/>
      <c r="AX12" s="629"/>
      <c r="AY12" s="629"/>
      <c r="AZ12" s="629"/>
      <c r="BA12" s="629"/>
      <c r="BB12" s="629"/>
      <c r="BC12" s="629"/>
      <c r="BD12" s="629"/>
      <c r="BE12" s="629"/>
      <c r="BF12" s="629"/>
      <c r="BG12" s="629"/>
      <c r="BH12" s="630"/>
    </row>
    <row r="13" spans="1:60" ht="11.65" customHeight="1" x14ac:dyDescent="0.2">
      <c r="A13" s="628"/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29"/>
      <c r="N13" s="629"/>
      <c r="O13" s="629"/>
      <c r="P13" s="629"/>
      <c r="Q13" s="629"/>
      <c r="R13" s="629"/>
      <c r="S13" s="629"/>
      <c r="T13" s="629"/>
      <c r="U13" s="629"/>
      <c r="V13" s="629"/>
      <c r="W13" s="629"/>
      <c r="X13" s="629"/>
      <c r="Y13" s="629"/>
      <c r="Z13" s="629"/>
      <c r="AA13" s="629"/>
      <c r="AB13" s="629"/>
      <c r="AC13" s="629"/>
      <c r="AD13" s="629"/>
      <c r="AE13" s="629"/>
      <c r="AF13" s="629"/>
      <c r="AG13" s="629"/>
      <c r="AH13" s="629"/>
      <c r="AI13" s="629"/>
      <c r="AJ13" s="629"/>
      <c r="AK13" s="629"/>
      <c r="AL13" s="629"/>
      <c r="AM13" s="629"/>
      <c r="AN13" s="629"/>
      <c r="AO13" s="629"/>
      <c r="AP13" s="629"/>
      <c r="AQ13" s="629"/>
      <c r="AR13" s="629"/>
      <c r="AS13" s="629"/>
      <c r="AT13" s="629"/>
      <c r="AU13" s="629"/>
      <c r="AV13" s="629"/>
      <c r="AW13" s="629"/>
      <c r="AX13" s="629"/>
      <c r="AY13" s="629"/>
      <c r="AZ13" s="629"/>
      <c r="BA13" s="629"/>
      <c r="BB13" s="629"/>
      <c r="BC13" s="629"/>
      <c r="BD13" s="629"/>
      <c r="BE13" s="629"/>
      <c r="BF13" s="629"/>
      <c r="BG13" s="629"/>
      <c r="BH13" s="630"/>
    </row>
    <row r="14" spans="1:60" ht="11.65" customHeight="1" x14ac:dyDescent="0.2">
      <c r="A14" s="628"/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29"/>
      <c r="N14" s="629"/>
      <c r="O14" s="629"/>
      <c r="P14" s="629"/>
      <c r="Q14" s="629"/>
      <c r="R14" s="629"/>
      <c r="S14" s="629"/>
      <c r="T14" s="629"/>
      <c r="U14" s="629"/>
      <c r="V14" s="629"/>
      <c r="W14" s="629"/>
      <c r="X14" s="629"/>
      <c r="Y14" s="629"/>
      <c r="Z14" s="629"/>
      <c r="AA14" s="629"/>
      <c r="AB14" s="629"/>
      <c r="AC14" s="629"/>
      <c r="AD14" s="629"/>
      <c r="AE14" s="629"/>
      <c r="AF14" s="629"/>
      <c r="AG14" s="629"/>
      <c r="AH14" s="629"/>
      <c r="AI14" s="629"/>
      <c r="AJ14" s="629"/>
      <c r="AK14" s="629"/>
      <c r="AL14" s="629"/>
      <c r="AM14" s="629"/>
      <c r="AN14" s="629"/>
      <c r="AO14" s="629"/>
      <c r="AP14" s="629"/>
      <c r="AQ14" s="629"/>
      <c r="AR14" s="629"/>
      <c r="AS14" s="629"/>
      <c r="AT14" s="629"/>
      <c r="AU14" s="629"/>
      <c r="AV14" s="629"/>
      <c r="AW14" s="629"/>
      <c r="AX14" s="629"/>
      <c r="AY14" s="629"/>
      <c r="AZ14" s="629"/>
      <c r="BA14" s="629"/>
      <c r="BB14" s="629"/>
      <c r="BC14" s="629"/>
      <c r="BD14" s="629"/>
      <c r="BE14" s="629"/>
      <c r="BF14" s="629"/>
      <c r="BG14" s="629"/>
      <c r="BH14" s="630"/>
    </row>
    <row r="15" spans="1:60" ht="11.65" customHeight="1" x14ac:dyDescent="0.2">
      <c r="A15" s="628"/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29"/>
      <c r="N15" s="629"/>
      <c r="O15" s="629"/>
      <c r="P15" s="629"/>
      <c r="Q15" s="629"/>
      <c r="R15" s="629"/>
      <c r="S15" s="629"/>
      <c r="T15" s="629"/>
      <c r="U15" s="629"/>
      <c r="V15" s="629"/>
      <c r="W15" s="629"/>
      <c r="X15" s="629"/>
      <c r="Y15" s="629"/>
      <c r="Z15" s="629"/>
      <c r="AA15" s="629"/>
      <c r="AB15" s="629"/>
      <c r="AC15" s="629"/>
      <c r="AD15" s="629"/>
      <c r="AE15" s="629"/>
      <c r="AF15" s="629"/>
      <c r="AG15" s="629"/>
      <c r="AH15" s="629"/>
      <c r="AI15" s="629"/>
      <c r="AJ15" s="629"/>
      <c r="AK15" s="629"/>
      <c r="AL15" s="629"/>
      <c r="AM15" s="629"/>
      <c r="AN15" s="629"/>
      <c r="AO15" s="629"/>
      <c r="AP15" s="629"/>
      <c r="AQ15" s="629"/>
      <c r="AR15" s="629"/>
      <c r="AS15" s="629"/>
      <c r="AT15" s="629"/>
      <c r="AU15" s="629"/>
      <c r="AV15" s="629"/>
      <c r="AW15" s="629"/>
      <c r="AX15" s="629"/>
      <c r="AY15" s="629"/>
      <c r="AZ15" s="629"/>
      <c r="BA15" s="629"/>
      <c r="BB15" s="629"/>
      <c r="BC15" s="629"/>
      <c r="BD15" s="629"/>
      <c r="BE15" s="629"/>
      <c r="BF15" s="629"/>
      <c r="BG15" s="629"/>
      <c r="BH15" s="630"/>
    </row>
    <row r="16" spans="1:60" ht="11.65" customHeight="1" x14ac:dyDescent="0.2">
      <c r="A16" s="628"/>
      <c r="B16" s="629"/>
      <c r="C16" s="629"/>
      <c r="D16" s="629"/>
      <c r="E16" s="629"/>
      <c r="F16" s="629"/>
      <c r="G16" s="629"/>
      <c r="H16" s="629"/>
      <c r="I16" s="629"/>
      <c r="J16" s="629"/>
      <c r="K16" s="629"/>
      <c r="L16" s="629"/>
      <c r="M16" s="629"/>
      <c r="N16" s="629"/>
      <c r="O16" s="629"/>
      <c r="P16" s="629"/>
      <c r="Q16" s="629"/>
      <c r="R16" s="629"/>
      <c r="S16" s="629"/>
      <c r="T16" s="629"/>
      <c r="U16" s="629"/>
      <c r="V16" s="629"/>
      <c r="W16" s="629"/>
      <c r="X16" s="629"/>
      <c r="Y16" s="629"/>
      <c r="Z16" s="629"/>
      <c r="AA16" s="629"/>
      <c r="AB16" s="629"/>
      <c r="AC16" s="629"/>
      <c r="AD16" s="629"/>
      <c r="AE16" s="629"/>
      <c r="AF16" s="629"/>
      <c r="AG16" s="629"/>
      <c r="AH16" s="629"/>
      <c r="AI16" s="629"/>
      <c r="AJ16" s="629"/>
      <c r="AK16" s="629"/>
      <c r="AL16" s="629"/>
      <c r="AM16" s="629"/>
      <c r="AN16" s="629"/>
      <c r="AO16" s="629"/>
      <c r="AP16" s="629"/>
      <c r="AQ16" s="629"/>
      <c r="AR16" s="629"/>
      <c r="AS16" s="629"/>
      <c r="AT16" s="629"/>
      <c r="AU16" s="629"/>
      <c r="AV16" s="629"/>
      <c r="AW16" s="629"/>
      <c r="AX16" s="629"/>
      <c r="AY16" s="629"/>
      <c r="AZ16" s="629"/>
      <c r="BA16" s="629"/>
      <c r="BB16" s="629"/>
      <c r="BC16" s="629"/>
      <c r="BD16" s="629"/>
      <c r="BE16" s="629"/>
      <c r="BF16" s="629"/>
      <c r="BG16" s="629"/>
      <c r="BH16" s="630"/>
    </row>
    <row r="17" spans="1:60" ht="11.65" customHeight="1" x14ac:dyDescent="0.2">
      <c r="A17" s="628"/>
      <c r="B17" s="629"/>
      <c r="C17" s="629"/>
      <c r="D17" s="629"/>
      <c r="E17" s="629"/>
      <c r="F17" s="629"/>
      <c r="G17" s="629"/>
      <c r="H17" s="629"/>
      <c r="I17" s="629"/>
      <c r="J17" s="629"/>
      <c r="K17" s="629"/>
      <c r="L17" s="629"/>
      <c r="M17" s="629"/>
      <c r="N17" s="629"/>
      <c r="O17" s="629"/>
      <c r="P17" s="629"/>
      <c r="Q17" s="629"/>
      <c r="R17" s="629"/>
      <c r="S17" s="629"/>
      <c r="T17" s="629"/>
      <c r="U17" s="629"/>
      <c r="V17" s="629"/>
      <c r="W17" s="629"/>
      <c r="X17" s="629"/>
      <c r="Y17" s="629"/>
      <c r="Z17" s="629"/>
      <c r="AA17" s="629"/>
      <c r="AB17" s="629"/>
      <c r="AC17" s="629"/>
      <c r="AD17" s="629"/>
      <c r="AE17" s="629"/>
      <c r="AF17" s="629"/>
      <c r="AG17" s="629"/>
      <c r="AH17" s="629"/>
      <c r="AI17" s="629"/>
      <c r="AJ17" s="629"/>
      <c r="AK17" s="629"/>
      <c r="AL17" s="629"/>
      <c r="AM17" s="629"/>
      <c r="AN17" s="629"/>
      <c r="AO17" s="629"/>
      <c r="AP17" s="629"/>
      <c r="AQ17" s="629"/>
      <c r="AR17" s="629"/>
      <c r="AS17" s="629"/>
      <c r="AT17" s="629"/>
      <c r="AU17" s="629"/>
      <c r="AV17" s="629"/>
      <c r="AW17" s="629"/>
      <c r="AX17" s="629"/>
      <c r="AY17" s="629"/>
      <c r="AZ17" s="629"/>
      <c r="BA17" s="629"/>
      <c r="BB17" s="629"/>
      <c r="BC17" s="629"/>
      <c r="BD17" s="629"/>
      <c r="BE17" s="629"/>
      <c r="BF17" s="629"/>
      <c r="BG17" s="629"/>
      <c r="BH17" s="630"/>
    </row>
    <row r="18" spans="1:60" ht="11.65" customHeight="1" x14ac:dyDescent="0.2">
      <c r="A18" s="628"/>
      <c r="B18" s="629"/>
      <c r="C18" s="629"/>
      <c r="D18" s="629"/>
      <c r="E18" s="629"/>
      <c r="F18" s="629"/>
      <c r="G18" s="629"/>
      <c r="H18" s="629"/>
      <c r="I18" s="629"/>
      <c r="J18" s="629"/>
      <c r="K18" s="629"/>
      <c r="L18" s="629"/>
      <c r="M18" s="629"/>
      <c r="N18" s="629"/>
      <c r="O18" s="629"/>
      <c r="P18" s="629"/>
      <c r="Q18" s="629"/>
      <c r="R18" s="629"/>
      <c r="S18" s="629"/>
      <c r="T18" s="629"/>
      <c r="U18" s="629"/>
      <c r="V18" s="629"/>
      <c r="W18" s="629"/>
      <c r="X18" s="629"/>
      <c r="Y18" s="629"/>
      <c r="Z18" s="629"/>
      <c r="AA18" s="629"/>
      <c r="AB18" s="629"/>
      <c r="AC18" s="629"/>
      <c r="AD18" s="629"/>
      <c r="AE18" s="629"/>
      <c r="AF18" s="629"/>
      <c r="AG18" s="629"/>
      <c r="AH18" s="629"/>
      <c r="AI18" s="629"/>
      <c r="AJ18" s="629"/>
      <c r="AK18" s="629"/>
      <c r="AL18" s="629"/>
      <c r="AM18" s="629"/>
      <c r="AN18" s="629"/>
      <c r="AO18" s="629"/>
      <c r="AP18" s="629"/>
      <c r="AQ18" s="629"/>
      <c r="AR18" s="629"/>
      <c r="AS18" s="629"/>
      <c r="AT18" s="629"/>
      <c r="AU18" s="629"/>
      <c r="AV18" s="629"/>
      <c r="AW18" s="629"/>
      <c r="AX18" s="629"/>
      <c r="AY18" s="629"/>
      <c r="AZ18" s="629"/>
      <c r="BA18" s="629"/>
      <c r="BB18" s="629"/>
      <c r="BC18" s="629"/>
      <c r="BD18" s="629"/>
      <c r="BE18" s="629"/>
      <c r="BF18" s="629"/>
      <c r="BG18" s="629"/>
      <c r="BH18" s="630"/>
    </row>
    <row r="19" spans="1:60" ht="11.65" customHeight="1" x14ac:dyDescent="0.2">
      <c r="A19" s="628"/>
      <c r="B19" s="629"/>
      <c r="C19" s="629"/>
      <c r="D19" s="629"/>
      <c r="E19" s="629"/>
      <c r="F19" s="629"/>
      <c r="G19" s="629"/>
      <c r="H19" s="629"/>
      <c r="I19" s="629"/>
      <c r="J19" s="629"/>
      <c r="K19" s="629"/>
      <c r="L19" s="629"/>
      <c r="M19" s="629"/>
      <c r="N19" s="629"/>
      <c r="O19" s="629"/>
      <c r="P19" s="629"/>
      <c r="Q19" s="629"/>
      <c r="R19" s="629"/>
      <c r="S19" s="629"/>
      <c r="T19" s="629"/>
      <c r="U19" s="629"/>
      <c r="V19" s="629"/>
      <c r="W19" s="629"/>
      <c r="X19" s="629"/>
      <c r="Y19" s="629"/>
      <c r="Z19" s="629"/>
      <c r="AA19" s="629"/>
      <c r="AB19" s="629"/>
      <c r="AC19" s="629"/>
      <c r="AD19" s="629"/>
      <c r="AE19" s="629"/>
      <c r="AF19" s="629"/>
      <c r="AG19" s="629"/>
      <c r="AH19" s="629"/>
      <c r="AI19" s="629"/>
      <c r="AJ19" s="629"/>
      <c r="AK19" s="629"/>
      <c r="AL19" s="629"/>
      <c r="AM19" s="629"/>
      <c r="AN19" s="629"/>
      <c r="AO19" s="629"/>
      <c r="AP19" s="629"/>
      <c r="AQ19" s="629"/>
      <c r="AR19" s="629"/>
      <c r="AS19" s="629"/>
      <c r="AT19" s="629"/>
      <c r="AU19" s="629"/>
      <c r="AV19" s="629"/>
      <c r="AW19" s="629"/>
      <c r="AX19" s="629"/>
      <c r="AY19" s="629"/>
      <c r="AZ19" s="629"/>
      <c r="BA19" s="629"/>
      <c r="BB19" s="629"/>
      <c r="BC19" s="629"/>
      <c r="BD19" s="629"/>
      <c r="BE19" s="629"/>
      <c r="BF19" s="629"/>
      <c r="BG19" s="629"/>
      <c r="BH19" s="630"/>
    </row>
    <row r="20" spans="1:60" ht="11.65" customHeight="1" x14ac:dyDescent="0.2">
      <c r="A20" s="628"/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29"/>
      <c r="AB20" s="629"/>
      <c r="AC20" s="629"/>
      <c r="AD20" s="629"/>
      <c r="AE20" s="629"/>
      <c r="AF20" s="629"/>
      <c r="AG20" s="629"/>
      <c r="AH20" s="629"/>
      <c r="AI20" s="629"/>
      <c r="AJ20" s="629"/>
      <c r="AK20" s="629"/>
      <c r="AL20" s="629"/>
      <c r="AM20" s="629"/>
      <c r="AN20" s="629"/>
      <c r="AO20" s="629"/>
      <c r="AP20" s="629"/>
      <c r="AQ20" s="629"/>
      <c r="AR20" s="629"/>
      <c r="AS20" s="629"/>
      <c r="AT20" s="629"/>
      <c r="AU20" s="629"/>
      <c r="AV20" s="629"/>
      <c r="AW20" s="629"/>
      <c r="AX20" s="629"/>
      <c r="AY20" s="629"/>
      <c r="AZ20" s="629"/>
      <c r="BA20" s="629"/>
      <c r="BB20" s="629"/>
      <c r="BC20" s="629"/>
      <c r="BD20" s="629"/>
      <c r="BE20" s="629"/>
      <c r="BF20" s="629"/>
      <c r="BG20" s="629"/>
      <c r="BH20" s="630"/>
    </row>
    <row r="21" spans="1:60" ht="11.65" customHeight="1" x14ac:dyDescent="0.2">
      <c r="A21" s="628"/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29"/>
      <c r="AB21" s="629"/>
      <c r="AC21" s="629"/>
      <c r="AD21" s="629"/>
      <c r="AE21" s="629"/>
      <c r="AF21" s="629"/>
      <c r="AG21" s="629"/>
      <c r="AH21" s="629"/>
      <c r="AI21" s="629"/>
      <c r="AJ21" s="629"/>
      <c r="AK21" s="629"/>
      <c r="AL21" s="629"/>
      <c r="AM21" s="629"/>
      <c r="AN21" s="629"/>
      <c r="AO21" s="629"/>
      <c r="AP21" s="629"/>
      <c r="AQ21" s="629"/>
      <c r="AR21" s="629"/>
      <c r="AS21" s="629"/>
      <c r="AT21" s="629"/>
      <c r="AU21" s="629"/>
      <c r="AV21" s="629"/>
      <c r="AW21" s="629"/>
      <c r="AX21" s="629"/>
      <c r="AY21" s="629"/>
      <c r="AZ21" s="629"/>
      <c r="BA21" s="629"/>
      <c r="BB21" s="629"/>
      <c r="BC21" s="629"/>
      <c r="BD21" s="629"/>
      <c r="BE21" s="629"/>
      <c r="BF21" s="629"/>
      <c r="BG21" s="629"/>
      <c r="BH21" s="630"/>
    </row>
    <row r="22" spans="1:60" ht="11.65" customHeight="1" x14ac:dyDescent="0.2">
      <c r="A22" s="628"/>
      <c r="B22" s="629"/>
      <c r="C22" s="629"/>
      <c r="D22" s="629"/>
      <c r="E22" s="629"/>
      <c r="F22" s="629"/>
      <c r="G22" s="629"/>
      <c r="H22" s="629"/>
      <c r="I22" s="629"/>
      <c r="J22" s="629"/>
      <c r="K22" s="629"/>
      <c r="L22" s="629"/>
      <c r="M22" s="629"/>
      <c r="N22" s="629"/>
      <c r="O22" s="629"/>
      <c r="P22" s="629"/>
      <c r="Q22" s="629"/>
      <c r="R22" s="629"/>
      <c r="S22" s="629"/>
      <c r="T22" s="629"/>
      <c r="U22" s="629"/>
      <c r="V22" s="629"/>
      <c r="W22" s="629"/>
      <c r="X22" s="629"/>
      <c r="Y22" s="629"/>
      <c r="Z22" s="629"/>
      <c r="AA22" s="629"/>
      <c r="AB22" s="629"/>
      <c r="AC22" s="629"/>
      <c r="AD22" s="629"/>
      <c r="AE22" s="629"/>
      <c r="AF22" s="629"/>
      <c r="AG22" s="629"/>
      <c r="AH22" s="629"/>
      <c r="AI22" s="629"/>
      <c r="AJ22" s="629"/>
      <c r="AK22" s="629"/>
      <c r="AL22" s="629"/>
      <c r="AM22" s="629"/>
      <c r="AN22" s="629"/>
      <c r="AO22" s="629"/>
      <c r="AP22" s="629"/>
      <c r="AQ22" s="629"/>
      <c r="AR22" s="629"/>
      <c r="AS22" s="629"/>
      <c r="AT22" s="629"/>
      <c r="AU22" s="629"/>
      <c r="AV22" s="629"/>
      <c r="AW22" s="629"/>
      <c r="AX22" s="629"/>
      <c r="AY22" s="629"/>
      <c r="AZ22" s="629"/>
      <c r="BA22" s="629"/>
      <c r="BB22" s="629"/>
      <c r="BC22" s="629"/>
      <c r="BD22" s="629"/>
      <c r="BE22" s="629"/>
      <c r="BF22" s="629"/>
      <c r="BG22" s="629"/>
      <c r="BH22" s="630"/>
    </row>
    <row r="23" spans="1:60" ht="11.65" customHeight="1" x14ac:dyDescent="0.2">
      <c r="A23" s="628"/>
      <c r="B23" s="629"/>
      <c r="C23" s="629"/>
      <c r="D23" s="629"/>
      <c r="E23" s="629"/>
      <c r="F23" s="629"/>
      <c r="G23" s="629"/>
      <c r="H23" s="629"/>
      <c r="I23" s="629"/>
      <c r="J23" s="629"/>
      <c r="K23" s="629"/>
      <c r="L23" s="629"/>
      <c r="M23" s="629"/>
      <c r="N23" s="629"/>
      <c r="O23" s="629"/>
      <c r="P23" s="629"/>
      <c r="Q23" s="629"/>
      <c r="R23" s="629"/>
      <c r="S23" s="629"/>
      <c r="T23" s="629"/>
      <c r="U23" s="629"/>
      <c r="V23" s="629"/>
      <c r="W23" s="629"/>
      <c r="X23" s="629"/>
      <c r="Y23" s="629"/>
      <c r="Z23" s="629"/>
      <c r="AA23" s="629"/>
      <c r="AB23" s="629"/>
      <c r="AC23" s="629"/>
      <c r="AD23" s="629"/>
      <c r="AE23" s="629"/>
      <c r="AF23" s="629"/>
      <c r="AG23" s="629"/>
      <c r="AH23" s="629"/>
      <c r="AI23" s="629"/>
      <c r="AJ23" s="629"/>
      <c r="AK23" s="629"/>
      <c r="AL23" s="629"/>
      <c r="AM23" s="629"/>
      <c r="AN23" s="629"/>
      <c r="AO23" s="629"/>
      <c r="AP23" s="629"/>
      <c r="AQ23" s="629"/>
      <c r="AR23" s="629"/>
      <c r="AS23" s="629"/>
      <c r="AT23" s="629"/>
      <c r="AU23" s="629"/>
      <c r="AV23" s="629"/>
      <c r="AW23" s="629"/>
      <c r="AX23" s="629"/>
      <c r="AY23" s="629"/>
      <c r="AZ23" s="629"/>
      <c r="BA23" s="629"/>
      <c r="BB23" s="629"/>
      <c r="BC23" s="629"/>
      <c r="BD23" s="629"/>
      <c r="BE23" s="629"/>
      <c r="BF23" s="629"/>
      <c r="BG23" s="629"/>
      <c r="BH23" s="630"/>
    </row>
    <row r="24" spans="1:60" ht="11.65" customHeight="1" x14ac:dyDescent="0.2">
      <c r="A24" s="628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29"/>
      <c r="P24" s="629"/>
      <c r="Q24" s="629"/>
      <c r="R24" s="629"/>
      <c r="S24" s="629"/>
      <c r="T24" s="629"/>
      <c r="U24" s="629"/>
      <c r="V24" s="629"/>
      <c r="W24" s="629"/>
      <c r="X24" s="629"/>
      <c r="Y24" s="629"/>
      <c r="Z24" s="629"/>
      <c r="AA24" s="629"/>
      <c r="AB24" s="629"/>
      <c r="AC24" s="629"/>
      <c r="AD24" s="629"/>
      <c r="AE24" s="629"/>
      <c r="AF24" s="629"/>
      <c r="AG24" s="629"/>
      <c r="AH24" s="629"/>
      <c r="AI24" s="629"/>
      <c r="AJ24" s="629"/>
      <c r="AK24" s="629"/>
      <c r="AL24" s="629"/>
      <c r="AM24" s="629"/>
      <c r="AN24" s="629"/>
      <c r="AO24" s="629"/>
      <c r="AP24" s="629"/>
      <c r="AQ24" s="629"/>
      <c r="AR24" s="629"/>
      <c r="AS24" s="629"/>
      <c r="AT24" s="629"/>
      <c r="AU24" s="629"/>
      <c r="AV24" s="629"/>
      <c r="AW24" s="629"/>
      <c r="AX24" s="629"/>
      <c r="AY24" s="629"/>
      <c r="AZ24" s="629"/>
      <c r="BA24" s="629"/>
      <c r="BB24" s="629"/>
      <c r="BC24" s="629"/>
      <c r="BD24" s="629"/>
      <c r="BE24" s="629"/>
      <c r="BF24" s="629"/>
      <c r="BG24" s="629"/>
      <c r="BH24" s="630"/>
    </row>
    <row r="25" spans="1:60" ht="11.65" customHeight="1" x14ac:dyDescent="0.2">
      <c r="A25" s="628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29"/>
      <c r="Y25" s="629"/>
      <c r="Z25" s="629"/>
      <c r="AA25" s="629"/>
      <c r="AB25" s="629"/>
      <c r="AC25" s="629"/>
      <c r="AD25" s="629"/>
      <c r="AE25" s="629"/>
      <c r="AF25" s="629"/>
      <c r="AG25" s="629"/>
      <c r="AH25" s="629"/>
      <c r="AI25" s="629"/>
      <c r="AJ25" s="629"/>
      <c r="AK25" s="629"/>
      <c r="AL25" s="629"/>
      <c r="AM25" s="629"/>
      <c r="AN25" s="629"/>
      <c r="AO25" s="629"/>
      <c r="AP25" s="629"/>
      <c r="AQ25" s="629"/>
      <c r="AR25" s="629"/>
      <c r="AS25" s="629"/>
      <c r="AT25" s="629"/>
      <c r="AU25" s="629"/>
      <c r="AV25" s="629"/>
      <c r="AW25" s="629"/>
      <c r="AX25" s="629"/>
      <c r="AY25" s="629"/>
      <c r="AZ25" s="629"/>
      <c r="BA25" s="629"/>
      <c r="BB25" s="629"/>
      <c r="BC25" s="629"/>
      <c r="BD25" s="629"/>
      <c r="BE25" s="629"/>
      <c r="BF25" s="629"/>
      <c r="BG25" s="629"/>
      <c r="BH25" s="630"/>
    </row>
    <row r="26" spans="1:60" ht="11.65" customHeight="1" x14ac:dyDescent="0.2">
      <c r="A26" s="628"/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29"/>
      <c r="AB26" s="629"/>
      <c r="AC26" s="629"/>
      <c r="AD26" s="629"/>
      <c r="AE26" s="629"/>
      <c r="AF26" s="629"/>
      <c r="AG26" s="629"/>
      <c r="AH26" s="629"/>
      <c r="AI26" s="629"/>
      <c r="AJ26" s="629"/>
      <c r="AK26" s="629"/>
      <c r="AL26" s="629"/>
      <c r="AM26" s="629"/>
      <c r="AN26" s="629"/>
      <c r="AO26" s="629"/>
      <c r="AP26" s="629"/>
      <c r="AQ26" s="629"/>
      <c r="AR26" s="629"/>
      <c r="AS26" s="629"/>
      <c r="AT26" s="629"/>
      <c r="AU26" s="629"/>
      <c r="AV26" s="629"/>
      <c r="AW26" s="629"/>
      <c r="AX26" s="629"/>
      <c r="AY26" s="629"/>
      <c r="AZ26" s="629"/>
      <c r="BA26" s="629"/>
      <c r="BB26" s="629"/>
      <c r="BC26" s="629"/>
      <c r="BD26" s="629"/>
      <c r="BE26" s="629"/>
      <c r="BF26" s="629"/>
      <c r="BG26" s="629"/>
      <c r="BH26" s="630"/>
    </row>
    <row r="27" spans="1:60" ht="11.65" customHeight="1" x14ac:dyDescent="0.2">
      <c r="A27" s="628"/>
      <c r="B27" s="629"/>
      <c r="C27" s="629"/>
      <c r="D27" s="629"/>
      <c r="E27" s="629"/>
      <c r="F27" s="629"/>
      <c r="G27" s="629"/>
      <c r="H27" s="629"/>
      <c r="I27" s="629"/>
      <c r="J27" s="629"/>
      <c r="K27" s="629"/>
      <c r="L27" s="629"/>
      <c r="M27" s="629"/>
      <c r="N27" s="629"/>
      <c r="O27" s="629"/>
      <c r="P27" s="629"/>
      <c r="Q27" s="629"/>
      <c r="R27" s="629"/>
      <c r="S27" s="629"/>
      <c r="T27" s="629"/>
      <c r="U27" s="629"/>
      <c r="V27" s="629"/>
      <c r="W27" s="629"/>
      <c r="X27" s="629"/>
      <c r="Y27" s="629"/>
      <c r="Z27" s="629"/>
      <c r="AA27" s="629"/>
      <c r="AB27" s="629"/>
      <c r="AC27" s="629"/>
      <c r="AD27" s="629"/>
      <c r="AE27" s="629"/>
      <c r="AF27" s="629"/>
      <c r="AG27" s="629"/>
      <c r="AH27" s="629"/>
      <c r="AI27" s="629"/>
      <c r="AJ27" s="629"/>
      <c r="AK27" s="629"/>
      <c r="AL27" s="629"/>
      <c r="AM27" s="629"/>
      <c r="AN27" s="629"/>
      <c r="AO27" s="629"/>
      <c r="AP27" s="629"/>
      <c r="AQ27" s="629"/>
      <c r="AR27" s="629"/>
      <c r="AS27" s="629"/>
      <c r="AT27" s="629"/>
      <c r="AU27" s="629"/>
      <c r="AV27" s="629"/>
      <c r="AW27" s="629"/>
      <c r="AX27" s="629"/>
      <c r="AY27" s="629"/>
      <c r="AZ27" s="629"/>
      <c r="BA27" s="629"/>
      <c r="BB27" s="629"/>
      <c r="BC27" s="629"/>
      <c r="BD27" s="629"/>
      <c r="BE27" s="629"/>
      <c r="BF27" s="629"/>
      <c r="BG27" s="629"/>
      <c r="BH27" s="630"/>
    </row>
    <row r="28" spans="1:60" ht="11.65" customHeight="1" x14ac:dyDescent="0.2">
      <c r="A28" s="628"/>
      <c r="B28" s="629"/>
      <c r="C28" s="629"/>
      <c r="D28" s="629"/>
      <c r="E28" s="629"/>
      <c r="F28" s="629"/>
      <c r="G28" s="629"/>
      <c r="H28" s="629"/>
      <c r="I28" s="629"/>
      <c r="J28" s="629"/>
      <c r="K28" s="629"/>
      <c r="L28" s="629"/>
      <c r="M28" s="629"/>
      <c r="N28" s="629"/>
      <c r="O28" s="629"/>
      <c r="P28" s="629"/>
      <c r="Q28" s="629"/>
      <c r="R28" s="629"/>
      <c r="S28" s="629"/>
      <c r="T28" s="629"/>
      <c r="U28" s="629"/>
      <c r="V28" s="629"/>
      <c r="W28" s="629"/>
      <c r="X28" s="629"/>
      <c r="Y28" s="629"/>
      <c r="Z28" s="629"/>
      <c r="AA28" s="629"/>
      <c r="AB28" s="629"/>
      <c r="AC28" s="629"/>
      <c r="AD28" s="629"/>
      <c r="AE28" s="629"/>
      <c r="AF28" s="629"/>
      <c r="AG28" s="629"/>
      <c r="AH28" s="629"/>
      <c r="AI28" s="629"/>
      <c r="AJ28" s="629"/>
      <c r="AK28" s="629"/>
      <c r="AL28" s="629"/>
      <c r="AM28" s="629"/>
      <c r="AN28" s="629"/>
      <c r="AO28" s="629"/>
      <c r="AP28" s="629"/>
      <c r="AQ28" s="629"/>
      <c r="AR28" s="629"/>
      <c r="AS28" s="629"/>
      <c r="AT28" s="629"/>
      <c r="AU28" s="629"/>
      <c r="AV28" s="629"/>
      <c r="AW28" s="629"/>
      <c r="AX28" s="629"/>
      <c r="AY28" s="629"/>
      <c r="AZ28" s="629"/>
      <c r="BA28" s="629"/>
      <c r="BB28" s="629"/>
      <c r="BC28" s="629"/>
      <c r="BD28" s="629"/>
      <c r="BE28" s="629"/>
      <c r="BF28" s="629"/>
      <c r="BG28" s="629"/>
      <c r="BH28" s="630"/>
    </row>
    <row r="29" spans="1:60" ht="11.65" customHeight="1" x14ac:dyDescent="0.2">
      <c r="A29" s="628"/>
      <c r="B29" s="629"/>
      <c r="C29" s="629"/>
      <c r="D29" s="629"/>
      <c r="E29" s="629"/>
      <c r="F29" s="629"/>
      <c r="G29" s="629"/>
      <c r="H29" s="629"/>
      <c r="I29" s="629"/>
      <c r="J29" s="629"/>
      <c r="K29" s="629"/>
      <c r="L29" s="629"/>
      <c r="M29" s="629"/>
      <c r="N29" s="629"/>
      <c r="O29" s="629"/>
      <c r="P29" s="629"/>
      <c r="Q29" s="629"/>
      <c r="R29" s="629"/>
      <c r="S29" s="629"/>
      <c r="T29" s="629"/>
      <c r="U29" s="629"/>
      <c r="V29" s="629"/>
      <c r="W29" s="629"/>
      <c r="X29" s="629"/>
      <c r="Y29" s="629"/>
      <c r="Z29" s="629"/>
      <c r="AA29" s="629"/>
      <c r="AB29" s="629"/>
      <c r="AC29" s="629"/>
      <c r="AD29" s="629"/>
      <c r="AE29" s="629"/>
      <c r="AF29" s="629"/>
      <c r="AG29" s="629"/>
      <c r="AH29" s="629"/>
      <c r="AI29" s="629"/>
      <c r="AJ29" s="629"/>
      <c r="AK29" s="629"/>
      <c r="AL29" s="629"/>
      <c r="AM29" s="629"/>
      <c r="AN29" s="629"/>
      <c r="AO29" s="629"/>
      <c r="AP29" s="629"/>
      <c r="AQ29" s="629"/>
      <c r="AR29" s="629"/>
      <c r="AS29" s="629"/>
      <c r="AT29" s="629"/>
      <c r="AU29" s="629"/>
      <c r="AV29" s="629"/>
      <c r="AW29" s="629"/>
      <c r="AX29" s="629"/>
      <c r="AY29" s="629"/>
      <c r="AZ29" s="629"/>
      <c r="BA29" s="629"/>
      <c r="BB29" s="629"/>
      <c r="BC29" s="629"/>
      <c r="BD29" s="629"/>
      <c r="BE29" s="629"/>
      <c r="BF29" s="629"/>
      <c r="BG29" s="629"/>
      <c r="BH29" s="630"/>
    </row>
    <row r="30" spans="1:60" ht="11.65" customHeight="1" x14ac:dyDescent="0.2">
      <c r="A30" s="628"/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/>
      <c r="Q30" s="629"/>
      <c r="R30" s="629"/>
      <c r="S30" s="629"/>
      <c r="T30" s="629"/>
      <c r="U30" s="629"/>
      <c r="V30" s="629"/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29"/>
      <c r="AH30" s="629"/>
      <c r="AI30" s="629"/>
      <c r="AJ30" s="629"/>
      <c r="AK30" s="629"/>
      <c r="AL30" s="629"/>
      <c r="AM30" s="629"/>
      <c r="AN30" s="629"/>
      <c r="AO30" s="629"/>
      <c r="AP30" s="629"/>
      <c r="AQ30" s="629"/>
      <c r="AR30" s="629"/>
      <c r="AS30" s="629"/>
      <c r="AT30" s="629"/>
      <c r="AU30" s="629"/>
      <c r="AV30" s="629"/>
      <c r="AW30" s="629"/>
      <c r="AX30" s="629"/>
      <c r="AY30" s="629"/>
      <c r="AZ30" s="629"/>
      <c r="BA30" s="629"/>
      <c r="BB30" s="629"/>
      <c r="BC30" s="629"/>
      <c r="BD30" s="629"/>
      <c r="BE30" s="629"/>
      <c r="BF30" s="629"/>
      <c r="BG30" s="629"/>
      <c r="BH30" s="630"/>
    </row>
    <row r="31" spans="1:60" ht="11.65" customHeight="1" x14ac:dyDescent="0.2">
      <c r="A31" s="628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/>
      <c r="Q31" s="629"/>
      <c r="R31" s="629"/>
      <c r="S31" s="629"/>
      <c r="T31" s="629"/>
      <c r="U31" s="629"/>
      <c r="V31" s="629"/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29"/>
      <c r="AH31" s="629"/>
      <c r="AI31" s="629"/>
      <c r="AJ31" s="629"/>
      <c r="AK31" s="629"/>
      <c r="AL31" s="629"/>
      <c r="AM31" s="629"/>
      <c r="AN31" s="629"/>
      <c r="AO31" s="629"/>
      <c r="AP31" s="629"/>
      <c r="AQ31" s="629"/>
      <c r="AR31" s="629"/>
      <c r="AS31" s="629"/>
      <c r="AT31" s="629"/>
      <c r="AU31" s="629"/>
      <c r="AV31" s="629"/>
      <c r="AW31" s="629"/>
      <c r="AX31" s="629"/>
      <c r="AY31" s="629"/>
      <c r="AZ31" s="629"/>
      <c r="BA31" s="629"/>
      <c r="BB31" s="629"/>
      <c r="BC31" s="629"/>
      <c r="BD31" s="629"/>
      <c r="BE31" s="629"/>
      <c r="BF31" s="629"/>
      <c r="BG31" s="629"/>
      <c r="BH31" s="630"/>
    </row>
    <row r="32" spans="1:60" ht="11.65" customHeight="1" x14ac:dyDescent="0.2">
      <c r="A32" s="628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/>
      <c r="Q32" s="629"/>
      <c r="R32" s="629"/>
      <c r="S32" s="629"/>
      <c r="T32" s="629"/>
      <c r="U32" s="629"/>
      <c r="V32" s="629"/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29"/>
      <c r="AH32" s="629"/>
      <c r="AI32" s="629"/>
      <c r="AJ32" s="629"/>
      <c r="AK32" s="629"/>
      <c r="AL32" s="629"/>
      <c r="AM32" s="629"/>
      <c r="AN32" s="629"/>
      <c r="AO32" s="629"/>
      <c r="AP32" s="629"/>
      <c r="AQ32" s="629"/>
      <c r="AR32" s="629"/>
      <c r="AS32" s="629"/>
      <c r="AT32" s="629"/>
      <c r="AU32" s="629"/>
      <c r="AV32" s="629"/>
      <c r="AW32" s="629"/>
      <c r="AX32" s="629"/>
      <c r="AY32" s="629"/>
      <c r="AZ32" s="629"/>
      <c r="BA32" s="629"/>
      <c r="BB32" s="629"/>
      <c r="BC32" s="629"/>
      <c r="BD32" s="629"/>
      <c r="BE32" s="629"/>
      <c r="BF32" s="629"/>
      <c r="BG32" s="629"/>
      <c r="BH32" s="630"/>
    </row>
    <row r="33" spans="1:60" ht="11.65" customHeight="1" x14ac:dyDescent="0.2">
      <c r="A33" s="628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29"/>
      <c r="AH33" s="629"/>
      <c r="AI33" s="629"/>
      <c r="AJ33" s="629"/>
      <c r="AK33" s="629"/>
      <c r="AL33" s="629"/>
      <c r="AM33" s="629"/>
      <c r="AN33" s="629"/>
      <c r="AO33" s="629"/>
      <c r="AP33" s="629"/>
      <c r="AQ33" s="629"/>
      <c r="AR33" s="629"/>
      <c r="AS33" s="629"/>
      <c r="AT33" s="629"/>
      <c r="AU33" s="629"/>
      <c r="AV33" s="629"/>
      <c r="AW33" s="629"/>
      <c r="AX33" s="629"/>
      <c r="AY33" s="629"/>
      <c r="AZ33" s="629"/>
      <c r="BA33" s="629"/>
      <c r="BB33" s="629"/>
      <c r="BC33" s="629"/>
      <c r="BD33" s="629"/>
      <c r="BE33" s="629"/>
      <c r="BF33" s="629"/>
      <c r="BG33" s="629"/>
      <c r="BH33" s="630"/>
    </row>
    <row r="34" spans="1:60" ht="11.65" customHeight="1" x14ac:dyDescent="0.2">
      <c r="A34" s="628"/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29"/>
      <c r="AH34" s="629"/>
      <c r="AI34" s="629"/>
      <c r="AJ34" s="629"/>
      <c r="AK34" s="629"/>
      <c r="AL34" s="629"/>
      <c r="AM34" s="629"/>
      <c r="AN34" s="629"/>
      <c r="AO34" s="629"/>
      <c r="AP34" s="629"/>
      <c r="AQ34" s="629"/>
      <c r="AR34" s="629"/>
      <c r="AS34" s="629"/>
      <c r="AT34" s="629"/>
      <c r="AU34" s="629"/>
      <c r="AV34" s="629"/>
      <c r="AW34" s="629"/>
      <c r="AX34" s="629"/>
      <c r="AY34" s="629"/>
      <c r="AZ34" s="629"/>
      <c r="BA34" s="629"/>
      <c r="BB34" s="629"/>
      <c r="BC34" s="629"/>
      <c r="BD34" s="629"/>
      <c r="BE34" s="629"/>
      <c r="BF34" s="629"/>
      <c r="BG34" s="629"/>
      <c r="BH34" s="630"/>
    </row>
    <row r="35" spans="1:60" ht="11.65" customHeight="1" x14ac:dyDescent="0.2">
      <c r="A35" s="628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29"/>
      <c r="P35" s="629"/>
      <c r="Q35" s="629"/>
      <c r="R35" s="629"/>
      <c r="S35" s="629"/>
      <c r="T35" s="629"/>
      <c r="U35" s="629"/>
      <c r="V35" s="629"/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29"/>
      <c r="AH35" s="629"/>
      <c r="AI35" s="629"/>
      <c r="AJ35" s="629"/>
      <c r="AK35" s="629"/>
      <c r="AL35" s="629"/>
      <c r="AM35" s="629"/>
      <c r="AN35" s="629"/>
      <c r="AO35" s="629"/>
      <c r="AP35" s="629"/>
      <c r="AQ35" s="629"/>
      <c r="AR35" s="629"/>
      <c r="AS35" s="629"/>
      <c r="AT35" s="629"/>
      <c r="AU35" s="629"/>
      <c r="AV35" s="629"/>
      <c r="AW35" s="629"/>
      <c r="AX35" s="629"/>
      <c r="AY35" s="629"/>
      <c r="AZ35" s="629"/>
      <c r="BA35" s="629"/>
      <c r="BB35" s="629"/>
      <c r="BC35" s="629"/>
      <c r="BD35" s="629"/>
      <c r="BE35" s="629"/>
      <c r="BF35" s="629"/>
      <c r="BG35" s="629"/>
      <c r="BH35" s="630"/>
    </row>
    <row r="36" spans="1:60" ht="11.65" customHeight="1" x14ac:dyDescent="0.2">
      <c r="A36" s="628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29"/>
      <c r="P36" s="629"/>
      <c r="Q36" s="629"/>
      <c r="R36" s="629"/>
      <c r="S36" s="629"/>
      <c r="T36" s="629"/>
      <c r="U36" s="629"/>
      <c r="V36" s="629"/>
      <c r="W36" s="629"/>
      <c r="X36" s="629"/>
      <c r="Y36" s="629"/>
      <c r="Z36" s="629"/>
      <c r="AA36" s="629"/>
      <c r="AB36" s="629"/>
      <c r="AC36" s="629"/>
      <c r="AD36" s="629"/>
      <c r="AE36" s="629"/>
      <c r="AF36" s="629"/>
      <c r="AG36" s="629"/>
      <c r="AH36" s="629"/>
      <c r="AI36" s="629"/>
      <c r="AJ36" s="629"/>
      <c r="AK36" s="629"/>
      <c r="AL36" s="629"/>
      <c r="AM36" s="629"/>
      <c r="AN36" s="629"/>
      <c r="AO36" s="629"/>
      <c r="AP36" s="629"/>
      <c r="AQ36" s="629"/>
      <c r="AR36" s="629"/>
      <c r="AS36" s="629"/>
      <c r="AT36" s="629"/>
      <c r="AU36" s="629"/>
      <c r="AV36" s="629"/>
      <c r="AW36" s="629"/>
      <c r="AX36" s="629"/>
      <c r="AY36" s="629"/>
      <c r="AZ36" s="629"/>
      <c r="BA36" s="629"/>
      <c r="BB36" s="629"/>
      <c r="BC36" s="629"/>
      <c r="BD36" s="629"/>
      <c r="BE36" s="629"/>
      <c r="BF36" s="629"/>
      <c r="BG36" s="629"/>
      <c r="BH36" s="630"/>
    </row>
    <row r="37" spans="1:60" ht="11.65" customHeight="1" x14ac:dyDescent="0.2">
      <c r="A37" s="628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29"/>
      <c r="P37" s="629"/>
      <c r="Q37" s="629"/>
      <c r="R37" s="629"/>
      <c r="S37" s="629"/>
      <c r="T37" s="629"/>
      <c r="U37" s="629"/>
      <c r="V37" s="629"/>
      <c r="W37" s="629"/>
      <c r="X37" s="629"/>
      <c r="Y37" s="629"/>
      <c r="Z37" s="629"/>
      <c r="AA37" s="629"/>
      <c r="AB37" s="629"/>
      <c r="AC37" s="629"/>
      <c r="AD37" s="629"/>
      <c r="AE37" s="629"/>
      <c r="AF37" s="629"/>
      <c r="AG37" s="629"/>
      <c r="AH37" s="629"/>
      <c r="AI37" s="629"/>
      <c r="AJ37" s="629"/>
      <c r="AK37" s="629"/>
      <c r="AL37" s="629"/>
      <c r="AM37" s="629"/>
      <c r="AN37" s="629"/>
      <c r="AO37" s="629"/>
      <c r="AP37" s="629"/>
      <c r="AQ37" s="629"/>
      <c r="AR37" s="629"/>
      <c r="AS37" s="629"/>
      <c r="AT37" s="629"/>
      <c r="AU37" s="629"/>
      <c r="AV37" s="629"/>
      <c r="AW37" s="629"/>
      <c r="AX37" s="629"/>
      <c r="AY37" s="629"/>
      <c r="AZ37" s="629"/>
      <c r="BA37" s="629"/>
      <c r="BB37" s="629"/>
      <c r="BC37" s="629"/>
      <c r="BD37" s="629"/>
      <c r="BE37" s="629"/>
      <c r="BF37" s="629"/>
      <c r="BG37" s="629"/>
      <c r="BH37" s="630"/>
    </row>
    <row r="38" spans="1:60" ht="11.65" customHeight="1" x14ac:dyDescent="0.2">
      <c r="A38" s="628"/>
      <c r="B38" s="629"/>
      <c r="C38" s="629"/>
      <c r="D38" s="629"/>
      <c r="E38" s="629"/>
      <c r="F38" s="629"/>
      <c r="G38" s="629"/>
      <c r="H38" s="629"/>
      <c r="I38" s="629"/>
      <c r="J38" s="629"/>
      <c r="K38" s="629"/>
      <c r="L38" s="629"/>
      <c r="M38" s="629"/>
      <c r="N38" s="629"/>
      <c r="O38" s="629"/>
      <c r="P38" s="629"/>
      <c r="Q38" s="629"/>
      <c r="R38" s="629"/>
      <c r="S38" s="629"/>
      <c r="T38" s="629"/>
      <c r="U38" s="629"/>
      <c r="V38" s="629"/>
      <c r="W38" s="629"/>
      <c r="X38" s="629"/>
      <c r="Y38" s="629"/>
      <c r="Z38" s="629"/>
      <c r="AA38" s="629"/>
      <c r="AB38" s="629"/>
      <c r="AC38" s="629"/>
      <c r="AD38" s="629"/>
      <c r="AE38" s="629"/>
      <c r="AF38" s="629"/>
      <c r="AG38" s="629"/>
      <c r="AH38" s="629"/>
      <c r="AI38" s="629"/>
      <c r="AJ38" s="629"/>
      <c r="AK38" s="629"/>
      <c r="AL38" s="629"/>
      <c r="AM38" s="629"/>
      <c r="AN38" s="629"/>
      <c r="AO38" s="629"/>
      <c r="AP38" s="629"/>
      <c r="AQ38" s="629"/>
      <c r="AR38" s="629"/>
      <c r="AS38" s="629"/>
      <c r="AT38" s="629"/>
      <c r="AU38" s="629"/>
      <c r="AV38" s="629"/>
      <c r="AW38" s="629"/>
      <c r="AX38" s="629"/>
      <c r="AY38" s="629"/>
      <c r="AZ38" s="629"/>
      <c r="BA38" s="629"/>
      <c r="BB38" s="629"/>
      <c r="BC38" s="629"/>
      <c r="BD38" s="629"/>
      <c r="BE38" s="629"/>
      <c r="BF38" s="629"/>
      <c r="BG38" s="629"/>
      <c r="BH38" s="630"/>
    </row>
    <row r="39" spans="1:60" ht="11.65" customHeight="1" x14ac:dyDescent="0.2">
      <c r="A39" s="628"/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29"/>
      <c r="AB39" s="629"/>
      <c r="AC39" s="629"/>
      <c r="AD39" s="629"/>
      <c r="AE39" s="629"/>
      <c r="AF39" s="629"/>
      <c r="AG39" s="629"/>
      <c r="AH39" s="629"/>
      <c r="AI39" s="629"/>
      <c r="AJ39" s="629"/>
      <c r="AK39" s="629"/>
      <c r="AL39" s="629"/>
      <c r="AM39" s="629"/>
      <c r="AN39" s="629"/>
      <c r="AO39" s="629"/>
      <c r="AP39" s="629"/>
      <c r="AQ39" s="629"/>
      <c r="AR39" s="629"/>
      <c r="AS39" s="629"/>
      <c r="AT39" s="629"/>
      <c r="AU39" s="629"/>
      <c r="AV39" s="629"/>
      <c r="AW39" s="629"/>
      <c r="AX39" s="629"/>
      <c r="AY39" s="629"/>
      <c r="AZ39" s="629"/>
      <c r="BA39" s="629"/>
      <c r="BB39" s="629"/>
      <c r="BC39" s="629"/>
      <c r="BD39" s="629"/>
      <c r="BE39" s="629"/>
      <c r="BF39" s="629"/>
      <c r="BG39" s="629"/>
      <c r="BH39" s="630"/>
    </row>
    <row r="40" spans="1:60" ht="11.65" customHeight="1" x14ac:dyDescent="0.2">
      <c r="A40" s="628"/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29"/>
      <c r="AB40" s="629"/>
      <c r="AC40" s="629"/>
      <c r="AD40" s="629"/>
      <c r="AE40" s="629"/>
      <c r="AF40" s="629"/>
      <c r="AG40" s="629"/>
      <c r="AH40" s="629"/>
      <c r="AI40" s="629"/>
      <c r="AJ40" s="629"/>
      <c r="AK40" s="629"/>
      <c r="AL40" s="629"/>
      <c r="AM40" s="629"/>
      <c r="AN40" s="629"/>
      <c r="AO40" s="629"/>
      <c r="AP40" s="629"/>
      <c r="AQ40" s="629"/>
      <c r="AR40" s="629"/>
      <c r="AS40" s="629"/>
      <c r="AT40" s="629"/>
      <c r="AU40" s="629"/>
      <c r="AV40" s="629"/>
      <c r="AW40" s="629"/>
      <c r="AX40" s="629"/>
      <c r="AY40" s="629"/>
      <c r="AZ40" s="629"/>
      <c r="BA40" s="629"/>
      <c r="BB40" s="629"/>
      <c r="BC40" s="629"/>
      <c r="BD40" s="629"/>
      <c r="BE40" s="629"/>
      <c r="BF40" s="629"/>
      <c r="BG40" s="629"/>
      <c r="BH40" s="630"/>
    </row>
    <row r="41" spans="1:60" ht="11.65" customHeight="1" x14ac:dyDescent="0.2">
      <c r="A41" s="628"/>
      <c r="B41" s="629"/>
      <c r="C41" s="629"/>
      <c r="D41" s="629"/>
      <c r="E41" s="629"/>
      <c r="F41" s="629"/>
      <c r="G41" s="629"/>
      <c r="H41" s="629"/>
      <c r="I41" s="629"/>
      <c r="J41" s="629"/>
      <c r="K41" s="629"/>
      <c r="L41" s="629"/>
      <c r="M41" s="629"/>
      <c r="N41" s="629"/>
      <c r="O41" s="629"/>
      <c r="P41" s="629"/>
      <c r="Q41" s="629"/>
      <c r="R41" s="629"/>
      <c r="S41" s="629"/>
      <c r="T41" s="629"/>
      <c r="U41" s="629"/>
      <c r="V41" s="629"/>
      <c r="W41" s="629"/>
      <c r="X41" s="629"/>
      <c r="Y41" s="629"/>
      <c r="Z41" s="629"/>
      <c r="AA41" s="629"/>
      <c r="AB41" s="629"/>
      <c r="AC41" s="629"/>
      <c r="AD41" s="629"/>
      <c r="AE41" s="629"/>
      <c r="AF41" s="629"/>
      <c r="AG41" s="629"/>
      <c r="AH41" s="629"/>
      <c r="AI41" s="629"/>
      <c r="AJ41" s="629"/>
      <c r="AK41" s="629"/>
      <c r="AL41" s="629"/>
      <c r="AM41" s="629"/>
      <c r="AN41" s="629"/>
      <c r="AO41" s="629"/>
      <c r="AP41" s="629"/>
      <c r="AQ41" s="629"/>
      <c r="AR41" s="629"/>
      <c r="AS41" s="629"/>
      <c r="AT41" s="629"/>
      <c r="AU41" s="629"/>
      <c r="AV41" s="629"/>
      <c r="AW41" s="629"/>
      <c r="AX41" s="629"/>
      <c r="AY41" s="629"/>
      <c r="AZ41" s="629"/>
      <c r="BA41" s="629"/>
      <c r="BB41" s="629"/>
      <c r="BC41" s="629"/>
      <c r="BD41" s="629"/>
      <c r="BE41" s="629"/>
      <c r="BF41" s="629"/>
      <c r="BG41" s="629"/>
      <c r="BH41" s="630"/>
    </row>
    <row r="42" spans="1:60" ht="11.65" customHeight="1" x14ac:dyDescent="0.2">
      <c r="A42" s="628"/>
      <c r="B42" s="629"/>
      <c r="C42" s="629"/>
      <c r="D42" s="629"/>
      <c r="E42" s="629"/>
      <c r="F42" s="629"/>
      <c r="G42" s="629"/>
      <c r="H42" s="629"/>
      <c r="I42" s="629"/>
      <c r="J42" s="629"/>
      <c r="K42" s="629"/>
      <c r="L42" s="629"/>
      <c r="M42" s="629"/>
      <c r="N42" s="629"/>
      <c r="O42" s="629"/>
      <c r="P42" s="629"/>
      <c r="Q42" s="629"/>
      <c r="R42" s="629"/>
      <c r="S42" s="629"/>
      <c r="T42" s="629"/>
      <c r="U42" s="629"/>
      <c r="V42" s="629"/>
      <c r="W42" s="629"/>
      <c r="X42" s="629"/>
      <c r="Y42" s="629"/>
      <c r="Z42" s="629"/>
      <c r="AA42" s="629"/>
      <c r="AB42" s="629"/>
      <c r="AC42" s="629"/>
      <c r="AD42" s="629"/>
      <c r="AE42" s="629"/>
      <c r="AF42" s="629"/>
      <c r="AG42" s="629"/>
      <c r="AH42" s="629"/>
      <c r="AI42" s="629"/>
      <c r="AJ42" s="629"/>
      <c r="AK42" s="629"/>
      <c r="AL42" s="629"/>
      <c r="AM42" s="629"/>
      <c r="AN42" s="629"/>
      <c r="AO42" s="629"/>
      <c r="AP42" s="629"/>
      <c r="AQ42" s="629"/>
      <c r="AR42" s="629"/>
      <c r="AS42" s="629"/>
      <c r="AT42" s="629"/>
      <c r="AU42" s="629"/>
      <c r="AV42" s="629"/>
      <c r="AW42" s="629"/>
      <c r="AX42" s="629"/>
      <c r="AY42" s="629"/>
      <c r="AZ42" s="629"/>
      <c r="BA42" s="629"/>
      <c r="BB42" s="629"/>
      <c r="BC42" s="629"/>
      <c r="BD42" s="629"/>
      <c r="BE42" s="629"/>
      <c r="BF42" s="629"/>
      <c r="BG42" s="629"/>
      <c r="BH42" s="630"/>
    </row>
    <row r="43" spans="1:60" ht="11.65" customHeight="1" x14ac:dyDescent="0.2">
      <c r="A43" s="628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29"/>
      <c r="U43" s="629"/>
      <c r="V43" s="629"/>
      <c r="W43" s="629"/>
      <c r="X43" s="629"/>
      <c r="Y43" s="629"/>
      <c r="Z43" s="629"/>
      <c r="AA43" s="629"/>
      <c r="AB43" s="629"/>
      <c r="AC43" s="629"/>
      <c r="AD43" s="629"/>
      <c r="AE43" s="629"/>
      <c r="AF43" s="629"/>
      <c r="AG43" s="629"/>
      <c r="AH43" s="629"/>
      <c r="AI43" s="629"/>
      <c r="AJ43" s="629"/>
      <c r="AK43" s="629"/>
      <c r="AL43" s="629"/>
      <c r="AM43" s="629"/>
      <c r="AN43" s="629"/>
      <c r="AO43" s="629"/>
      <c r="AP43" s="629"/>
      <c r="AQ43" s="629"/>
      <c r="AR43" s="629"/>
      <c r="AS43" s="629"/>
      <c r="AT43" s="629"/>
      <c r="AU43" s="629"/>
      <c r="AV43" s="629"/>
      <c r="AW43" s="629"/>
      <c r="AX43" s="629"/>
      <c r="AY43" s="629"/>
      <c r="AZ43" s="629"/>
      <c r="BA43" s="629"/>
      <c r="BB43" s="629"/>
      <c r="BC43" s="629"/>
      <c r="BD43" s="629"/>
      <c r="BE43" s="629"/>
      <c r="BF43" s="629"/>
      <c r="BG43" s="629"/>
      <c r="BH43" s="630"/>
    </row>
    <row r="44" spans="1:60" ht="11.65" customHeight="1" x14ac:dyDescent="0.2">
      <c r="A44" s="628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29"/>
      <c r="P44" s="629"/>
      <c r="Q44" s="629"/>
      <c r="R44" s="629"/>
      <c r="S44" s="629"/>
      <c r="T44" s="629"/>
      <c r="U44" s="629"/>
      <c r="V44" s="629"/>
      <c r="W44" s="629"/>
      <c r="X44" s="629"/>
      <c r="Y44" s="629"/>
      <c r="Z44" s="629"/>
      <c r="AA44" s="629"/>
      <c r="AB44" s="629"/>
      <c r="AC44" s="629"/>
      <c r="AD44" s="629"/>
      <c r="AE44" s="629"/>
      <c r="AF44" s="629"/>
      <c r="AG44" s="629"/>
      <c r="AH44" s="629"/>
      <c r="AI44" s="629"/>
      <c r="AJ44" s="629"/>
      <c r="AK44" s="629"/>
      <c r="AL44" s="629"/>
      <c r="AM44" s="629"/>
      <c r="AN44" s="629"/>
      <c r="AO44" s="629"/>
      <c r="AP44" s="629"/>
      <c r="AQ44" s="629"/>
      <c r="AR44" s="629"/>
      <c r="AS44" s="629"/>
      <c r="AT44" s="629"/>
      <c r="AU44" s="629"/>
      <c r="AV44" s="629"/>
      <c r="AW44" s="629"/>
      <c r="AX44" s="629"/>
      <c r="AY44" s="629"/>
      <c r="AZ44" s="629"/>
      <c r="BA44" s="629"/>
      <c r="BB44" s="629"/>
      <c r="BC44" s="629"/>
      <c r="BD44" s="629"/>
      <c r="BE44" s="629"/>
      <c r="BF44" s="629"/>
      <c r="BG44" s="629"/>
      <c r="BH44" s="630"/>
    </row>
    <row r="45" spans="1:60" ht="11.65" customHeight="1" thickBot="1" x14ac:dyDescent="0.25">
      <c r="A45" s="631"/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32"/>
      <c r="AB45" s="632"/>
      <c r="AC45" s="632"/>
      <c r="AD45" s="632"/>
      <c r="AE45" s="632"/>
      <c r="AF45" s="632"/>
      <c r="AG45" s="632"/>
      <c r="AH45" s="632"/>
      <c r="AI45" s="632"/>
      <c r="AJ45" s="632"/>
      <c r="AK45" s="632"/>
      <c r="AL45" s="632"/>
      <c r="AM45" s="632"/>
      <c r="AN45" s="632"/>
      <c r="AO45" s="632"/>
      <c r="AP45" s="632"/>
      <c r="AQ45" s="632"/>
      <c r="AR45" s="632"/>
      <c r="AS45" s="632"/>
      <c r="AT45" s="632"/>
      <c r="AU45" s="632"/>
      <c r="AV45" s="632"/>
      <c r="AW45" s="632"/>
      <c r="AX45" s="632"/>
      <c r="AY45" s="632"/>
      <c r="AZ45" s="632"/>
      <c r="BA45" s="632"/>
      <c r="BB45" s="632"/>
      <c r="BC45" s="632"/>
      <c r="BD45" s="632"/>
      <c r="BE45" s="632"/>
      <c r="BF45" s="632"/>
      <c r="BG45" s="632"/>
      <c r="BH45" s="633"/>
    </row>
  </sheetData>
  <mergeCells count="1">
    <mergeCell ref="A7:BH45"/>
  </mergeCells>
  <dataValidations count="1">
    <dataValidation type="list" allowBlank="1" showInputMessage="1" showErrorMessage="1" sqref="WDJ983065:WDK983068 BE65564:BF65567 LA65561:LB65564 UW65561:UX65564 AES65561:AET65564 AOO65561:AOP65564 AYK65561:AYL65564 BIG65561:BIH65564 BSC65561:BSD65564 CBY65561:CBZ65564 CLU65561:CLV65564 CVQ65561:CVR65564 DFM65561:DFN65564 DPI65561:DPJ65564 DZE65561:DZF65564 EJA65561:EJB65564 ESW65561:ESX65564 FCS65561:FCT65564 FMO65561:FMP65564 FWK65561:FWL65564 GGG65561:GGH65564 GQC65561:GQD65564 GZY65561:GZZ65564 HJU65561:HJV65564 HTQ65561:HTR65564 IDM65561:IDN65564 INI65561:INJ65564 IXE65561:IXF65564 JHA65561:JHB65564 JQW65561:JQX65564 KAS65561:KAT65564 KKO65561:KKP65564 KUK65561:KUL65564 LEG65561:LEH65564 LOC65561:LOD65564 LXY65561:LXZ65564 MHU65561:MHV65564 MRQ65561:MRR65564 NBM65561:NBN65564 NLI65561:NLJ65564 NVE65561:NVF65564 OFA65561:OFB65564 OOW65561:OOX65564 OYS65561:OYT65564 PIO65561:PIP65564 PSK65561:PSL65564 QCG65561:QCH65564 QMC65561:QMD65564 QVY65561:QVZ65564 RFU65561:RFV65564 RPQ65561:RPR65564 RZM65561:RZN65564 SJI65561:SJJ65564 STE65561:STF65564 TDA65561:TDB65564 TMW65561:TMX65564 TWS65561:TWT65564 UGO65561:UGP65564 UQK65561:UQL65564 VAG65561:VAH65564 VKC65561:VKD65564 VTY65561:VTZ65564 WDU65561:WDV65564 WNQ65561:WNR65564 WXM65561:WXN65564 BE131100:BF131103 LA131097:LB131100 UW131097:UX131100 AES131097:AET131100 AOO131097:AOP131100 AYK131097:AYL131100 BIG131097:BIH131100 BSC131097:BSD131100 CBY131097:CBZ131100 CLU131097:CLV131100 CVQ131097:CVR131100 DFM131097:DFN131100 DPI131097:DPJ131100 DZE131097:DZF131100 EJA131097:EJB131100 ESW131097:ESX131100 FCS131097:FCT131100 FMO131097:FMP131100 FWK131097:FWL131100 GGG131097:GGH131100 GQC131097:GQD131100 GZY131097:GZZ131100 HJU131097:HJV131100 HTQ131097:HTR131100 IDM131097:IDN131100 INI131097:INJ131100 IXE131097:IXF131100 JHA131097:JHB131100 JQW131097:JQX131100 KAS131097:KAT131100 KKO131097:KKP131100 KUK131097:KUL131100 LEG131097:LEH131100 LOC131097:LOD131100 LXY131097:LXZ131100 MHU131097:MHV131100 MRQ131097:MRR131100 NBM131097:NBN131100 NLI131097:NLJ131100 NVE131097:NVF131100 OFA131097:OFB131100 OOW131097:OOX131100 OYS131097:OYT131100 PIO131097:PIP131100 PSK131097:PSL131100 QCG131097:QCH131100 QMC131097:QMD131100 QVY131097:QVZ131100 RFU131097:RFV131100 RPQ131097:RPR131100 RZM131097:RZN131100 SJI131097:SJJ131100 STE131097:STF131100 TDA131097:TDB131100 TMW131097:TMX131100 TWS131097:TWT131100 UGO131097:UGP131100 UQK131097:UQL131100 VAG131097:VAH131100 VKC131097:VKD131100 VTY131097:VTZ131100 WDU131097:WDV131100 WNQ131097:WNR131100 WXM131097:WXN131100 BE196636:BF196639 LA196633:LB196636 UW196633:UX196636 AES196633:AET196636 AOO196633:AOP196636 AYK196633:AYL196636 BIG196633:BIH196636 BSC196633:BSD196636 CBY196633:CBZ196636 CLU196633:CLV196636 CVQ196633:CVR196636 DFM196633:DFN196636 DPI196633:DPJ196636 DZE196633:DZF196636 EJA196633:EJB196636 ESW196633:ESX196636 FCS196633:FCT196636 FMO196633:FMP196636 FWK196633:FWL196636 GGG196633:GGH196636 GQC196633:GQD196636 GZY196633:GZZ196636 HJU196633:HJV196636 HTQ196633:HTR196636 IDM196633:IDN196636 INI196633:INJ196636 IXE196633:IXF196636 JHA196633:JHB196636 JQW196633:JQX196636 KAS196633:KAT196636 KKO196633:KKP196636 KUK196633:KUL196636 LEG196633:LEH196636 LOC196633:LOD196636 LXY196633:LXZ196636 MHU196633:MHV196636 MRQ196633:MRR196636 NBM196633:NBN196636 NLI196633:NLJ196636 NVE196633:NVF196636 OFA196633:OFB196636 OOW196633:OOX196636 OYS196633:OYT196636 PIO196633:PIP196636 PSK196633:PSL196636 QCG196633:QCH196636 QMC196633:QMD196636 QVY196633:QVZ196636 RFU196633:RFV196636 RPQ196633:RPR196636 RZM196633:RZN196636 SJI196633:SJJ196636 STE196633:STF196636 TDA196633:TDB196636 TMW196633:TMX196636 TWS196633:TWT196636 UGO196633:UGP196636 UQK196633:UQL196636 VAG196633:VAH196636 VKC196633:VKD196636 VTY196633:VTZ196636 WDU196633:WDV196636 WNQ196633:WNR196636 WXM196633:WXN196636 BE262172:BF262175 LA262169:LB262172 UW262169:UX262172 AES262169:AET262172 AOO262169:AOP262172 AYK262169:AYL262172 BIG262169:BIH262172 BSC262169:BSD262172 CBY262169:CBZ262172 CLU262169:CLV262172 CVQ262169:CVR262172 DFM262169:DFN262172 DPI262169:DPJ262172 DZE262169:DZF262172 EJA262169:EJB262172 ESW262169:ESX262172 FCS262169:FCT262172 FMO262169:FMP262172 FWK262169:FWL262172 GGG262169:GGH262172 GQC262169:GQD262172 GZY262169:GZZ262172 HJU262169:HJV262172 HTQ262169:HTR262172 IDM262169:IDN262172 INI262169:INJ262172 IXE262169:IXF262172 JHA262169:JHB262172 JQW262169:JQX262172 KAS262169:KAT262172 KKO262169:KKP262172 KUK262169:KUL262172 LEG262169:LEH262172 LOC262169:LOD262172 LXY262169:LXZ262172 MHU262169:MHV262172 MRQ262169:MRR262172 NBM262169:NBN262172 NLI262169:NLJ262172 NVE262169:NVF262172 OFA262169:OFB262172 OOW262169:OOX262172 OYS262169:OYT262172 PIO262169:PIP262172 PSK262169:PSL262172 QCG262169:QCH262172 QMC262169:QMD262172 QVY262169:QVZ262172 RFU262169:RFV262172 RPQ262169:RPR262172 RZM262169:RZN262172 SJI262169:SJJ262172 STE262169:STF262172 TDA262169:TDB262172 TMW262169:TMX262172 TWS262169:TWT262172 UGO262169:UGP262172 UQK262169:UQL262172 VAG262169:VAH262172 VKC262169:VKD262172 VTY262169:VTZ262172 WDU262169:WDV262172 WNQ262169:WNR262172 WXM262169:WXN262172 BE327708:BF327711 LA327705:LB327708 UW327705:UX327708 AES327705:AET327708 AOO327705:AOP327708 AYK327705:AYL327708 BIG327705:BIH327708 BSC327705:BSD327708 CBY327705:CBZ327708 CLU327705:CLV327708 CVQ327705:CVR327708 DFM327705:DFN327708 DPI327705:DPJ327708 DZE327705:DZF327708 EJA327705:EJB327708 ESW327705:ESX327708 FCS327705:FCT327708 FMO327705:FMP327708 FWK327705:FWL327708 GGG327705:GGH327708 GQC327705:GQD327708 GZY327705:GZZ327708 HJU327705:HJV327708 HTQ327705:HTR327708 IDM327705:IDN327708 INI327705:INJ327708 IXE327705:IXF327708 JHA327705:JHB327708 JQW327705:JQX327708 KAS327705:KAT327708 KKO327705:KKP327708 KUK327705:KUL327708 LEG327705:LEH327708 LOC327705:LOD327708 LXY327705:LXZ327708 MHU327705:MHV327708 MRQ327705:MRR327708 NBM327705:NBN327708 NLI327705:NLJ327708 NVE327705:NVF327708 OFA327705:OFB327708 OOW327705:OOX327708 OYS327705:OYT327708 PIO327705:PIP327708 PSK327705:PSL327708 QCG327705:QCH327708 QMC327705:QMD327708 QVY327705:QVZ327708 RFU327705:RFV327708 RPQ327705:RPR327708 RZM327705:RZN327708 SJI327705:SJJ327708 STE327705:STF327708 TDA327705:TDB327708 TMW327705:TMX327708 TWS327705:TWT327708 UGO327705:UGP327708 UQK327705:UQL327708 VAG327705:VAH327708 VKC327705:VKD327708 VTY327705:VTZ327708 WDU327705:WDV327708 WNQ327705:WNR327708 WXM327705:WXN327708 BE393244:BF393247 LA393241:LB393244 UW393241:UX393244 AES393241:AET393244 AOO393241:AOP393244 AYK393241:AYL393244 BIG393241:BIH393244 BSC393241:BSD393244 CBY393241:CBZ393244 CLU393241:CLV393244 CVQ393241:CVR393244 DFM393241:DFN393244 DPI393241:DPJ393244 DZE393241:DZF393244 EJA393241:EJB393244 ESW393241:ESX393244 FCS393241:FCT393244 FMO393241:FMP393244 FWK393241:FWL393244 GGG393241:GGH393244 GQC393241:GQD393244 GZY393241:GZZ393244 HJU393241:HJV393244 HTQ393241:HTR393244 IDM393241:IDN393244 INI393241:INJ393244 IXE393241:IXF393244 JHA393241:JHB393244 JQW393241:JQX393244 KAS393241:KAT393244 KKO393241:KKP393244 KUK393241:KUL393244 LEG393241:LEH393244 LOC393241:LOD393244 LXY393241:LXZ393244 MHU393241:MHV393244 MRQ393241:MRR393244 NBM393241:NBN393244 NLI393241:NLJ393244 NVE393241:NVF393244 OFA393241:OFB393244 OOW393241:OOX393244 OYS393241:OYT393244 PIO393241:PIP393244 PSK393241:PSL393244 QCG393241:QCH393244 QMC393241:QMD393244 QVY393241:QVZ393244 RFU393241:RFV393244 RPQ393241:RPR393244 RZM393241:RZN393244 SJI393241:SJJ393244 STE393241:STF393244 TDA393241:TDB393244 TMW393241:TMX393244 TWS393241:TWT393244 UGO393241:UGP393244 UQK393241:UQL393244 VAG393241:VAH393244 VKC393241:VKD393244 VTY393241:VTZ393244 WDU393241:WDV393244 WNQ393241:WNR393244 WXM393241:WXN393244 BE458780:BF458783 LA458777:LB458780 UW458777:UX458780 AES458777:AET458780 AOO458777:AOP458780 AYK458777:AYL458780 BIG458777:BIH458780 BSC458777:BSD458780 CBY458777:CBZ458780 CLU458777:CLV458780 CVQ458777:CVR458780 DFM458777:DFN458780 DPI458777:DPJ458780 DZE458777:DZF458780 EJA458777:EJB458780 ESW458777:ESX458780 FCS458777:FCT458780 FMO458777:FMP458780 FWK458777:FWL458780 GGG458777:GGH458780 GQC458777:GQD458780 GZY458777:GZZ458780 HJU458777:HJV458780 HTQ458777:HTR458780 IDM458777:IDN458780 INI458777:INJ458780 IXE458777:IXF458780 JHA458777:JHB458780 JQW458777:JQX458780 KAS458777:KAT458780 KKO458777:KKP458780 KUK458777:KUL458780 LEG458777:LEH458780 LOC458777:LOD458780 LXY458777:LXZ458780 MHU458777:MHV458780 MRQ458777:MRR458780 NBM458777:NBN458780 NLI458777:NLJ458780 NVE458777:NVF458780 OFA458777:OFB458780 OOW458777:OOX458780 OYS458777:OYT458780 PIO458777:PIP458780 PSK458777:PSL458780 QCG458777:QCH458780 QMC458777:QMD458780 QVY458777:QVZ458780 RFU458777:RFV458780 RPQ458777:RPR458780 RZM458777:RZN458780 SJI458777:SJJ458780 STE458777:STF458780 TDA458777:TDB458780 TMW458777:TMX458780 TWS458777:TWT458780 UGO458777:UGP458780 UQK458777:UQL458780 VAG458777:VAH458780 VKC458777:VKD458780 VTY458777:VTZ458780 WDU458777:WDV458780 WNQ458777:WNR458780 WXM458777:WXN458780 BE524316:BF524319 LA524313:LB524316 UW524313:UX524316 AES524313:AET524316 AOO524313:AOP524316 AYK524313:AYL524316 BIG524313:BIH524316 BSC524313:BSD524316 CBY524313:CBZ524316 CLU524313:CLV524316 CVQ524313:CVR524316 DFM524313:DFN524316 DPI524313:DPJ524316 DZE524313:DZF524316 EJA524313:EJB524316 ESW524313:ESX524316 FCS524313:FCT524316 FMO524313:FMP524316 FWK524313:FWL524316 GGG524313:GGH524316 GQC524313:GQD524316 GZY524313:GZZ524316 HJU524313:HJV524316 HTQ524313:HTR524316 IDM524313:IDN524316 INI524313:INJ524316 IXE524313:IXF524316 JHA524313:JHB524316 JQW524313:JQX524316 KAS524313:KAT524316 KKO524313:KKP524316 KUK524313:KUL524316 LEG524313:LEH524316 LOC524313:LOD524316 LXY524313:LXZ524316 MHU524313:MHV524316 MRQ524313:MRR524316 NBM524313:NBN524316 NLI524313:NLJ524316 NVE524313:NVF524316 OFA524313:OFB524316 OOW524313:OOX524316 OYS524313:OYT524316 PIO524313:PIP524316 PSK524313:PSL524316 QCG524313:QCH524316 QMC524313:QMD524316 QVY524313:QVZ524316 RFU524313:RFV524316 RPQ524313:RPR524316 RZM524313:RZN524316 SJI524313:SJJ524316 STE524313:STF524316 TDA524313:TDB524316 TMW524313:TMX524316 TWS524313:TWT524316 UGO524313:UGP524316 UQK524313:UQL524316 VAG524313:VAH524316 VKC524313:VKD524316 VTY524313:VTZ524316 WDU524313:WDV524316 WNQ524313:WNR524316 WXM524313:WXN524316 BE589852:BF589855 LA589849:LB589852 UW589849:UX589852 AES589849:AET589852 AOO589849:AOP589852 AYK589849:AYL589852 BIG589849:BIH589852 BSC589849:BSD589852 CBY589849:CBZ589852 CLU589849:CLV589852 CVQ589849:CVR589852 DFM589849:DFN589852 DPI589849:DPJ589852 DZE589849:DZF589852 EJA589849:EJB589852 ESW589849:ESX589852 FCS589849:FCT589852 FMO589849:FMP589852 FWK589849:FWL589852 GGG589849:GGH589852 GQC589849:GQD589852 GZY589849:GZZ589852 HJU589849:HJV589852 HTQ589849:HTR589852 IDM589849:IDN589852 INI589849:INJ589852 IXE589849:IXF589852 JHA589849:JHB589852 JQW589849:JQX589852 KAS589849:KAT589852 KKO589849:KKP589852 KUK589849:KUL589852 LEG589849:LEH589852 LOC589849:LOD589852 LXY589849:LXZ589852 MHU589849:MHV589852 MRQ589849:MRR589852 NBM589849:NBN589852 NLI589849:NLJ589852 NVE589849:NVF589852 OFA589849:OFB589852 OOW589849:OOX589852 OYS589849:OYT589852 PIO589849:PIP589852 PSK589849:PSL589852 QCG589849:QCH589852 QMC589849:QMD589852 QVY589849:QVZ589852 RFU589849:RFV589852 RPQ589849:RPR589852 RZM589849:RZN589852 SJI589849:SJJ589852 STE589849:STF589852 TDA589849:TDB589852 TMW589849:TMX589852 TWS589849:TWT589852 UGO589849:UGP589852 UQK589849:UQL589852 VAG589849:VAH589852 VKC589849:VKD589852 VTY589849:VTZ589852 WDU589849:WDV589852 WNQ589849:WNR589852 WXM589849:WXN589852 BE655388:BF655391 LA655385:LB655388 UW655385:UX655388 AES655385:AET655388 AOO655385:AOP655388 AYK655385:AYL655388 BIG655385:BIH655388 BSC655385:BSD655388 CBY655385:CBZ655388 CLU655385:CLV655388 CVQ655385:CVR655388 DFM655385:DFN655388 DPI655385:DPJ655388 DZE655385:DZF655388 EJA655385:EJB655388 ESW655385:ESX655388 FCS655385:FCT655388 FMO655385:FMP655388 FWK655385:FWL655388 GGG655385:GGH655388 GQC655385:GQD655388 GZY655385:GZZ655388 HJU655385:HJV655388 HTQ655385:HTR655388 IDM655385:IDN655388 INI655385:INJ655388 IXE655385:IXF655388 JHA655385:JHB655388 JQW655385:JQX655388 KAS655385:KAT655388 KKO655385:KKP655388 KUK655385:KUL655388 LEG655385:LEH655388 LOC655385:LOD655388 LXY655385:LXZ655388 MHU655385:MHV655388 MRQ655385:MRR655388 NBM655385:NBN655388 NLI655385:NLJ655388 NVE655385:NVF655388 OFA655385:OFB655388 OOW655385:OOX655388 OYS655385:OYT655388 PIO655385:PIP655388 PSK655385:PSL655388 QCG655385:QCH655388 QMC655385:QMD655388 QVY655385:QVZ655388 RFU655385:RFV655388 RPQ655385:RPR655388 RZM655385:RZN655388 SJI655385:SJJ655388 STE655385:STF655388 TDA655385:TDB655388 TMW655385:TMX655388 TWS655385:TWT655388 UGO655385:UGP655388 UQK655385:UQL655388 VAG655385:VAH655388 VKC655385:VKD655388 VTY655385:VTZ655388 WDU655385:WDV655388 WNQ655385:WNR655388 WXM655385:WXN655388 BE720924:BF720927 LA720921:LB720924 UW720921:UX720924 AES720921:AET720924 AOO720921:AOP720924 AYK720921:AYL720924 BIG720921:BIH720924 BSC720921:BSD720924 CBY720921:CBZ720924 CLU720921:CLV720924 CVQ720921:CVR720924 DFM720921:DFN720924 DPI720921:DPJ720924 DZE720921:DZF720924 EJA720921:EJB720924 ESW720921:ESX720924 FCS720921:FCT720924 FMO720921:FMP720924 FWK720921:FWL720924 GGG720921:GGH720924 GQC720921:GQD720924 GZY720921:GZZ720924 HJU720921:HJV720924 HTQ720921:HTR720924 IDM720921:IDN720924 INI720921:INJ720924 IXE720921:IXF720924 JHA720921:JHB720924 JQW720921:JQX720924 KAS720921:KAT720924 KKO720921:KKP720924 KUK720921:KUL720924 LEG720921:LEH720924 LOC720921:LOD720924 LXY720921:LXZ720924 MHU720921:MHV720924 MRQ720921:MRR720924 NBM720921:NBN720924 NLI720921:NLJ720924 NVE720921:NVF720924 OFA720921:OFB720924 OOW720921:OOX720924 OYS720921:OYT720924 PIO720921:PIP720924 PSK720921:PSL720924 QCG720921:QCH720924 QMC720921:QMD720924 QVY720921:QVZ720924 RFU720921:RFV720924 RPQ720921:RPR720924 RZM720921:RZN720924 SJI720921:SJJ720924 STE720921:STF720924 TDA720921:TDB720924 TMW720921:TMX720924 TWS720921:TWT720924 UGO720921:UGP720924 UQK720921:UQL720924 VAG720921:VAH720924 VKC720921:VKD720924 VTY720921:VTZ720924 WDU720921:WDV720924 WNQ720921:WNR720924 WXM720921:WXN720924 BE786460:BF786463 LA786457:LB786460 UW786457:UX786460 AES786457:AET786460 AOO786457:AOP786460 AYK786457:AYL786460 BIG786457:BIH786460 BSC786457:BSD786460 CBY786457:CBZ786460 CLU786457:CLV786460 CVQ786457:CVR786460 DFM786457:DFN786460 DPI786457:DPJ786460 DZE786457:DZF786460 EJA786457:EJB786460 ESW786457:ESX786460 FCS786457:FCT786460 FMO786457:FMP786460 FWK786457:FWL786460 GGG786457:GGH786460 GQC786457:GQD786460 GZY786457:GZZ786460 HJU786457:HJV786460 HTQ786457:HTR786460 IDM786457:IDN786460 INI786457:INJ786460 IXE786457:IXF786460 JHA786457:JHB786460 JQW786457:JQX786460 KAS786457:KAT786460 KKO786457:KKP786460 KUK786457:KUL786460 LEG786457:LEH786460 LOC786457:LOD786460 LXY786457:LXZ786460 MHU786457:MHV786460 MRQ786457:MRR786460 NBM786457:NBN786460 NLI786457:NLJ786460 NVE786457:NVF786460 OFA786457:OFB786460 OOW786457:OOX786460 OYS786457:OYT786460 PIO786457:PIP786460 PSK786457:PSL786460 QCG786457:QCH786460 QMC786457:QMD786460 QVY786457:QVZ786460 RFU786457:RFV786460 RPQ786457:RPR786460 RZM786457:RZN786460 SJI786457:SJJ786460 STE786457:STF786460 TDA786457:TDB786460 TMW786457:TMX786460 TWS786457:TWT786460 UGO786457:UGP786460 UQK786457:UQL786460 VAG786457:VAH786460 VKC786457:VKD786460 VTY786457:VTZ786460 WDU786457:WDV786460 WNQ786457:WNR786460 WXM786457:WXN786460 BE851996:BF851999 LA851993:LB851996 UW851993:UX851996 AES851993:AET851996 AOO851993:AOP851996 AYK851993:AYL851996 BIG851993:BIH851996 BSC851993:BSD851996 CBY851993:CBZ851996 CLU851993:CLV851996 CVQ851993:CVR851996 DFM851993:DFN851996 DPI851993:DPJ851996 DZE851993:DZF851996 EJA851993:EJB851996 ESW851993:ESX851996 FCS851993:FCT851996 FMO851993:FMP851996 FWK851993:FWL851996 GGG851993:GGH851996 GQC851993:GQD851996 GZY851993:GZZ851996 HJU851993:HJV851996 HTQ851993:HTR851996 IDM851993:IDN851996 INI851993:INJ851996 IXE851993:IXF851996 JHA851993:JHB851996 JQW851993:JQX851996 KAS851993:KAT851996 KKO851993:KKP851996 KUK851993:KUL851996 LEG851993:LEH851996 LOC851993:LOD851996 LXY851993:LXZ851996 MHU851993:MHV851996 MRQ851993:MRR851996 NBM851993:NBN851996 NLI851993:NLJ851996 NVE851993:NVF851996 OFA851993:OFB851996 OOW851993:OOX851996 OYS851993:OYT851996 PIO851993:PIP851996 PSK851993:PSL851996 QCG851993:QCH851996 QMC851993:QMD851996 QVY851993:QVZ851996 RFU851993:RFV851996 RPQ851993:RPR851996 RZM851993:RZN851996 SJI851993:SJJ851996 STE851993:STF851996 TDA851993:TDB851996 TMW851993:TMX851996 TWS851993:TWT851996 UGO851993:UGP851996 UQK851993:UQL851996 VAG851993:VAH851996 VKC851993:VKD851996 VTY851993:VTZ851996 WDU851993:WDV851996 WNQ851993:WNR851996 WXM851993:WXN851996 BE917532:BF917535 LA917529:LB917532 UW917529:UX917532 AES917529:AET917532 AOO917529:AOP917532 AYK917529:AYL917532 BIG917529:BIH917532 BSC917529:BSD917532 CBY917529:CBZ917532 CLU917529:CLV917532 CVQ917529:CVR917532 DFM917529:DFN917532 DPI917529:DPJ917532 DZE917529:DZF917532 EJA917529:EJB917532 ESW917529:ESX917532 FCS917529:FCT917532 FMO917529:FMP917532 FWK917529:FWL917532 GGG917529:GGH917532 GQC917529:GQD917532 GZY917529:GZZ917532 HJU917529:HJV917532 HTQ917529:HTR917532 IDM917529:IDN917532 INI917529:INJ917532 IXE917529:IXF917532 JHA917529:JHB917532 JQW917529:JQX917532 KAS917529:KAT917532 KKO917529:KKP917532 KUK917529:KUL917532 LEG917529:LEH917532 LOC917529:LOD917532 LXY917529:LXZ917532 MHU917529:MHV917532 MRQ917529:MRR917532 NBM917529:NBN917532 NLI917529:NLJ917532 NVE917529:NVF917532 OFA917529:OFB917532 OOW917529:OOX917532 OYS917529:OYT917532 PIO917529:PIP917532 PSK917529:PSL917532 QCG917529:QCH917532 QMC917529:QMD917532 QVY917529:QVZ917532 RFU917529:RFV917532 RPQ917529:RPR917532 RZM917529:RZN917532 SJI917529:SJJ917532 STE917529:STF917532 TDA917529:TDB917532 TMW917529:TMX917532 TWS917529:TWT917532 UGO917529:UGP917532 UQK917529:UQL917532 VAG917529:VAH917532 VKC917529:VKD917532 VTY917529:VTZ917532 WDU917529:WDV917532 WNQ917529:WNR917532 WXM917529:WXN917532 BE983068:BF983071 LA983065:LB983068 UW983065:UX983068 AES983065:AET983068 AOO983065:AOP983068 AYK983065:AYL983068 BIG983065:BIH983068 BSC983065:BSD983068 CBY983065:CBZ983068 CLU983065:CLV983068 CVQ983065:CVR983068 DFM983065:DFN983068 DPI983065:DPJ983068 DZE983065:DZF983068 EJA983065:EJB983068 ESW983065:ESX983068 FCS983065:FCT983068 FMO983065:FMP983068 FWK983065:FWL983068 GGG983065:GGH983068 GQC983065:GQD983068 GZY983065:GZZ983068 HJU983065:HJV983068 HTQ983065:HTR983068 IDM983065:IDN983068 INI983065:INJ983068 IXE983065:IXF983068 JHA983065:JHB983068 JQW983065:JQX983068 KAS983065:KAT983068 KKO983065:KKP983068 KUK983065:KUL983068 LEG983065:LEH983068 LOC983065:LOD983068 LXY983065:LXZ983068 MHU983065:MHV983068 MRQ983065:MRR983068 NBM983065:NBN983068 NLI983065:NLJ983068 NVE983065:NVF983068 OFA983065:OFB983068 OOW983065:OOX983068 OYS983065:OYT983068 PIO983065:PIP983068 PSK983065:PSL983068 QCG983065:QCH983068 QMC983065:QMD983068 QVY983065:QVZ983068 RFU983065:RFV983068 RPQ983065:RPR983068 RZM983065:RZN983068 SJI983065:SJJ983068 STE983065:STF983068 TDA983065:TDB983068 TMW983065:TMX983068 TWS983065:TWT983068 UGO983065:UGP983068 UQK983065:UQL983068 VAG983065:VAH983068 VKC983065:VKD983068 VTY983065:VTZ983068 WDU983065:WDV983068 WNQ983065:WNR983068 WXM983065:WXN983068 WNF983065:WNG983068 O65564:P65567 KE65561:KF65564 UA65561:UB65564 ADW65561:ADX65564 ANS65561:ANT65564 AXO65561:AXP65564 BHK65561:BHL65564 BRG65561:BRH65564 CBC65561:CBD65564 CKY65561:CKZ65564 CUU65561:CUV65564 DEQ65561:DER65564 DOM65561:DON65564 DYI65561:DYJ65564 EIE65561:EIF65564 ESA65561:ESB65564 FBW65561:FBX65564 FLS65561:FLT65564 FVO65561:FVP65564 GFK65561:GFL65564 GPG65561:GPH65564 GZC65561:GZD65564 HIY65561:HIZ65564 HSU65561:HSV65564 ICQ65561:ICR65564 IMM65561:IMN65564 IWI65561:IWJ65564 JGE65561:JGF65564 JQA65561:JQB65564 JZW65561:JZX65564 KJS65561:KJT65564 KTO65561:KTP65564 LDK65561:LDL65564 LNG65561:LNH65564 LXC65561:LXD65564 MGY65561:MGZ65564 MQU65561:MQV65564 NAQ65561:NAR65564 NKM65561:NKN65564 NUI65561:NUJ65564 OEE65561:OEF65564 OOA65561:OOB65564 OXW65561:OXX65564 PHS65561:PHT65564 PRO65561:PRP65564 QBK65561:QBL65564 QLG65561:QLH65564 QVC65561:QVD65564 REY65561:REZ65564 ROU65561:ROV65564 RYQ65561:RYR65564 SIM65561:SIN65564 SSI65561:SSJ65564 TCE65561:TCF65564 TMA65561:TMB65564 TVW65561:TVX65564 UFS65561:UFT65564 UPO65561:UPP65564 UZK65561:UZL65564 VJG65561:VJH65564 VTC65561:VTD65564 WCY65561:WCZ65564 WMU65561:WMV65564 WWQ65561:WWR65564 O131100:P131103 KE131097:KF131100 UA131097:UB131100 ADW131097:ADX131100 ANS131097:ANT131100 AXO131097:AXP131100 BHK131097:BHL131100 BRG131097:BRH131100 CBC131097:CBD131100 CKY131097:CKZ131100 CUU131097:CUV131100 DEQ131097:DER131100 DOM131097:DON131100 DYI131097:DYJ131100 EIE131097:EIF131100 ESA131097:ESB131100 FBW131097:FBX131100 FLS131097:FLT131100 FVO131097:FVP131100 GFK131097:GFL131100 GPG131097:GPH131100 GZC131097:GZD131100 HIY131097:HIZ131100 HSU131097:HSV131100 ICQ131097:ICR131100 IMM131097:IMN131100 IWI131097:IWJ131100 JGE131097:JGF131100 JQA131097:JQB131100 JZW131097:JZX131100 KJS131097:KJT131100 KTO131097:KTP131100 LDK131097:LDL131100 LNG131097:LNH131100 LXC131097:LXD131100 MGY131097:MGZ131100 MQU131097:MQV131100 NAQ131097:NAR131100 NKM131097:NKN131100 NUI131097:NUJ131100 OEE131097:OEF131100 OOA131097:OOB131100 OXW131097:OXX131100 PHS131097:PHT131100 PRO131097:PRP131100 QBK131097:QBL131100 QLG131097:QLH131100 QVC131097:QVD131100 REY131097:REZ131100 ROU131097:ROV131100 RYQ131097:RYR131100 SIM131097:SIN131100 SSI131097:SSJ131100 TCE131097:TCF131100 TMA131097:TMB131100 TVW131097:TVX131100 UFS131097:UFT131100 UPO131097:UPP131100 UZK131097:UZL131100 VJG131097:VJH131100 VTC131097:VTD131100 WCY131097:WCZ131100 WMU131097:WMV131100 WWQ131097:WWR131100 O196636:P196639 KE196633:KF196636 UA196633:UB196636 ADW196633:ADX196636 ANS196633:ANT196636 AXO196633:AXP196636 BHK196633:BHL196636 BRG196633:BRH196636 CBC196633:CBD196636 CKY196633:CKZ196636 CUU196633:CUV196636 DEQ196633:DER196636 DOM196633:DON196636 DYI196633:DYJ196636 EIE196633:EIF196636 ESA196633:ESB196636 FBW196633:FBX196636 FLS196633:FLT196636 FVO196633:FVP196636 GFK196633:GFL196636 GPG196633:GPH196636 GZC196633:GZD196636 HIY196633:HIZ196636 HSU196633:HSV196636 ICQ196633:ICR196636 IMM196633:IMN196636 IWI196633:IWJ196636 JGE196633:JGF196636 JQA196633:JQB196636 JZW196633:JZX196636 KJS196633:KJT196636 KTO196633:KTP196636 LDK196633:LDL196636 LNG196633:LNH196636 LXC196633:LXD196636 MGY196633:MGZ196636 MQU196633:MQV196636 NAQ196633:NAR196636 NKM196633:NKN196636 NUI196633:NUJ196636 OEE196633:OEF196636 OOA196633:OOB196636 OXW196633:OXX196636 PHS196633:PHT196636 PRO196633:PRP196636 QBK196633:QBL196636 QLG196633:QLH196636 QVC196633:QVD196636 REY196633:REZ196636 ROU196633:ROV196636 RYQ196633:RYR196636 SIM196633:SIN196636 SSI196633:SSJ196636 TCE196633:TCF196636 TMA196633:TMB196636 TVW196633:TVX196636 UFS196633:UFT196636 UPO196633:UPP196636 UZK196633:UZL196636 VJG196633:VJH196636 VTC196633:VTD196636 WCY196633:WCZ196636 WMU196633:WMV196636 WWQ196633:WWR196636 O262172:P262175 KE262169:KF262172 UA262169:UB262172 ADW262169:ADX262172 ANS262169:ANT262172 AXO262169:AXP262172 BHK262169:BHL262172 BRG262169:BRH262172 CBC262169:CBD262172 CKY262169:CKZ262172 CUU262169:CUV262172 DEQ262169:DER262172 DOM262169:DON262172 DYI262169:DYJ262172 EIE262169:EIF262172 ESA262169:ESB262172 FBW262169:FBX262172 FLS262169:FLT262172 FVO262169:FVP262172 GFK262169:GFL262172 GPG262169:GPH262172 GZC262169:GZD262172 HIY262169:HIZ262172 HSU262169:HSV262172 ICQ262169:ICR262172 IMM262169:IMN262172 IWI262169:IWJ262172 JGE262169:JGF262172 JQA262169:JQB262172 JZW262169:JZX262172 KJS262169:KJT262172 KTO262169:KTP262172 LDK262169:LDL262172 LNG262169:LNH262172 LXC262169:LXD262172 MGY262169:MGZ262172 MQU262169:MQV262172 NAQ262169:NAR262172 NKM262169:NKN262172 NUI262169:NUJ262172 OEE262169:OEF262172 OOA262169:OOB262172 OXW262169:OXX262172 PHS262169:PHT262172 PRO262169:PRP262172 QBK262169:QBL262172 QLG262169:QLH262172 QVC262169:QVD262172 REY262169:REZ262172 ROU262169:ROV262172 RYQ262169:RYR262172 SIM262169:SIN262172 SSI262169:SSJ262172 TCE262169:TCF262172 TMA262169:TMB262172 TVW262169:TVX262172 UFS262169:UFT262172 UPO262169:UPP262172 UZK262169:UZL262172 VJG262169:VJH262172 VTC262169:VTD262172 WCY262169:WCZ262172 WMU262169:WMV262172 WWQ262169:WWR262172 O327708:P327711 KE327705:KF327708 UA327705:UB327708 ADW327705:ADX327708 ANS327705:ANT327708 AXO327705:AXP327708 BHK327705:BHL327708 BRG327705:BRH327708 CBC327705:CBD327708 CKY327705:CKZ327708 CUU327705:CUV327708 DEQ327705:DER327708 DOM327705:DON327708 DYI327705:DYJ327708 EIE327705:EIF327708 ESA327705:ESB327708 FBW327705:FBX327708 FLS327705:FLT327708 FVO327705:FVP327708 GFK327705:GFL327708 GPG327705:GPH327708 GZC327705:GZD327708 HIY327705:HIZ327708 HSU327705:HSV327708 ICQ327705:ICR327708 IMM327705:IMN327708 IWI327705:IWJ327708 JGE327705:JGF327708 JQA327705:JQB327708 JZW327705:JZX327708 KJS327705:KJT327708 KTO327705:KTP327708 LDK327705:LDL327708 LNG327705:LNH327708 LXC327705:LXD327708 MGY327705:MGZ327708 MQU327705:MQV327708 NAQ327705:NAR327708 NKM327705:NKN327708 NUI327705:NUJ327708 OEE327705:OEF327708 OOA327705:OOB327708 OXW327705:OXX327708 PHS327705:PHT327708 PRO327705:PRP327708 QBK327705:QBL327708 QLG327705:QLH327708 QVC327705:QVD327708 REY327705:REZ327708 ROU327705:ROV327708 RYQ327705:RYR327708 SIM327705:SIN327708 SSI327705:SSJ327708 TCE327705:TCF327708 TMA327705:TMB327708 TVW327705:TVX327708 UFS327705:UFT327708 UPO327705:UPP327708 UZK327705:UZL327708 VJG327705:VJH327708 VTC327705:VTD327708 WCY327705:WCZ327708 WMU327705:WMV327708 WWQ327705:WWR327708 O393244:P393247 KE393241:KF393244 UA393241:UB393244 ADW393241:ADX393244 ANS393241:ANT393244 AXO393241:AXP393244 BHK393241:BHL393244 BRG393241:BRH393244 CBC393241:CBD393244 CKY393241:CKZ393244 CUU393241:CUV393244 DEQ393241:DER393244 DOM393241:DON393244 DYI393241:DYJ393244 EIE393241:EIF393244 ESA393241:ESB393244 FBW393241:FBX393244 FLS393241:FLT393244 FVO393241:FVP393244 GFK393241:GFL393244 GPG393241:GPH393244 GZC393241:GZD393244 HIY393241:HIZ393244 HSU393241:HSV393244 ICQ393241:ICR393244 IMM393241:IMN393244 IWI393241:IWJ393244 JGE393241:JGF393244 JQA393241:JQB393244 JZW393241:JZX393244 KJS393241:KJT393244 KTO393241:KTP393244 LDK393241:LDL393244 LNG393241:LNH393244 LXC393241:LXD393244 MGY393241:MGZ393244 MQU393241:MQV393244 NAQ393241:NAR393244 NKM393241:NKN393244 NUI393241:NUJ393244 OEE393241:OEF393244 OOA393241:OOB393244 OXW393241:OXX393244 PHS393241:PHT393244 PRO393241:PRP393244 QBK393241:QBL393244 QLG393241:QLH393244 QVC393241:QVD393244 REY393241:REZ393244 ROU393241:ROV393244 RYQ393241:RYR393244 SIM393241:SIN393244 SSI393241:SSJ393244 TCE393241:TCF393244 TMA393241:TMB393244 TVW393241:TVX393244 UFS393241:UFT393244 UPO393241:UPP393244 UZK393241:UZL393244 VJG393241:VJH393244 VTC393241:VTD393244 WCY393241:WCZ393244 WMU393241:WMV393244 WWQ393241:WWR393244 O458780:P458783 KE458777:KF458780 UA458777:UB458780 ADW458777:ADX458780 ANS458777:ANT458780 AXO458777:AXP458780 BHK458777:BHL458780 BRG458777:BRH458780 CBC458777:CBD458780 CKY458777:CKZ458780 CUU458777:CUV458780 DEQ458777:DER458780 DOM458777:DON458780 DYI458777:DYJ458780 EIE458777:EIF458780 ESA458777:ESB458780 FBW458777:FBX458780 FLS458777:FLT458780 FVO458777:FVP458780 GFK458777:GFL458780 GPG458777:GPH458780 GZC458777:GZD458780 HIY458777:HIZ458780 HSU458777:HSV458780 ICQ458777:ICR458780 IMM458777:IMN458780 IWI458777:IWJ458780 JGE458777:JGF458780 JQA458777:JQB458780 JZW458777:JZX458780 KJS458777:KJT458780 KTO458777:KTP458780 LDK458777:LDL458780 LNG458777:LNH458780 LXC458777:LXD458780 MGY458777:MGZ458780 MQU458777:MQV458780 NAQ458777:NAR458780 NKM458777:NKN458780 NUI458777:NUJ458780 OEE458777:OEF458780 OOA458777:OOB458780 OXW458777:OXX458780 PHS458777:PHT458780 PRO458777:PRP458780 QBK458777:QBL458780 QLG458777:QLH458780 QVC458777:QVD458780 REY458777:REZ458780 ROU458777:ROV458780 RYQ458777:RYR458780 SIM458777:SIN458780 SSI458777:SSJ458780 TCE458777:TCF458780 TMA458777:TMB458780 TVW458777:TVX458780 UFS458777:UFT458780 UPO458777:UPP458780 UZK458777:UZL458780 VJG458777:VJH458780 VTC458777:VTD458780 WCY458777:WCZ458780 WMU458777:WMV458780 WWQ458777:WWR458780 O524316:P524319 KE524313:KF524316 UA524313:UB524316 ADW524313:ADX524316 ANS524313:ANT524316 AXO524313:AXP524316 BHK524313:BHL524316 BRG524313:BRH524316 CBC524313:CBD524316 CKY524313:CKZ524316 CUU524313:CUV524316 DEQ524313:DER524316 DOM524313:DON524316 DYI524313:DYJ524316 EIE524313:EIF524316 ESA524313:ESB524316 FBW524313:FBX524316 FLS524313:FLT524316 FVO524313:FVP524316 GFK524313:GFL524316 GPG524313:GPH524316 GZC524313:GZD524316 HIY524313:HIZ524316 HSU524313:HSV524316 ICQ524313:ICR524316 IMM524313:IMN524316 IWI524313:IWJ524316 JGE524313:JGF524316 JQA524313:JQB524316 JZW524313:JZX524316 KJS524313:KJT524316 KTO524313:KTP524316 LDK524313:LDL524316 LNG524313:LNH524316 LXC524313:LXD524316 MGY524313:MGZ524316 MQU524313:MQV524316 NAQ524313:NAR524316 NKM524313:NKN524316 NUI524313:NUJ524316 OEE524313:OEF524316 OOA524313:OOB524316 OXW524313:OXX524316 PHS524313:PHT524316 PRO524313:PRP524316 QBK524313:QBL524316 QLG524313:QLH524316 QVC524313:QVD524316 REY524313:REZ524316 ROU524313:ROV524316 RYQ524313:RYR524316 SIM524313:SIN524316 SSI524313:SSJ524316 TCE524313:TCF524316 TMA524313:TMB524316 TVW524313:TVX524316 UFS524313:UFT524316 UPO524313:UPP524316 UZK524313:UZL524316 VJG524313:VJH524316 VTC524313:VTD524316 WCY524313:WCZ524316 WMU524313:WMV524316 WWQ524313:WWR524316 O589852:P589855 KE589849:KF589852 UA589849:UB589852 ADW589849:ADX589852 ANS589849:ANT589852 AXO589849:AXP589852 BHK589849:BHL589852 BRG589849:BRH589852 CBC589849:CBD589852 CKY589849:CKZ589852 CUU589849:CUV589852 DEQ589849:DER589852 DOM589849:DON589852 DYI589849:DYJ589852 EIE589849:EIF589852 ESA589849:ESB589852 FBW589849:FBX589852 FLS589849:FLT589852 FVO589849:FVP589852 GFK589849:GFL589852 GPG589849:GPH589852 GZC589849:GZD589852 HIY589849:HIZ589852 HSU589849:HSV589852 ICQ589849:ICR589852 IMM589849:IMN589852 IWI589849:IWJ589852 JGE589849:JGF589852 JQA589849:JQB589852 JZW589849:JZX589852 KJS589849:KJT589852 KTO589849:KTP589852 LDK589849:LDL589852 LNG589849:LNH589852 LXC589849:LXD589852 MGY589849:MGZ589852 MQU589849:MQV589852 NAQ589849:NAR589852 NKM589849:NKN589852 NUI589849:NUJ589852 OEE589849:OEF589852 OOA589849:OOB589852 OXW589849:OXX589852 PHS589849:PHT589852 PRO589849:PRP589852 QBK589849:QBL589852 QLG589849:QLH589852 QVC589849:QVD589852 REY589849:REZ589852 ROU589849:ROV589852 RYQ589849:RYR589852 SIM589849:SIN589852 SSI589849:SSJ589852 TCE589849:TCF589852 TMA589849:TMB589852 TVW589849:TVX589852 UFS589849:UFT589852 UPO589849:UPP589852 UZK589849:UZL589852 VJG589849:VJH589852 VTC589849:VTD589852 WCY589849:WCZ589852 WMU589849:WMV589852 WWQ589849:WWR589852 O655388:P655391 KE655385:KF655388 UA655385:UB655388 ADW655385:ADX655388 ANS655385:ANT655388 AXO655385:AXP655388 BHK655385:BHL655388 BRG655385:BRH655388 CBC655385:CBD655388 CKY655385:CKZ655388 CUU655385:CUV655388 DEQ655385:DER655388 DOM655385:DON655388 DYI655385:DYJ655388 EIE655385:EIF655388 ESA655385:ESB655388 FBW655385:FBX655388 FLS655385:FLT655388 FVO655385:FVP655388 GFK655385:GFL655388 GPG655385:GPH655388 GZC655385:GZD655388 HIY655385:HIZ655388 HSU655385:HSV655388 ICQ655385:ICR655388 IMM655385:IMN655388 IWI655385:IWJ655388 JGE655385:JGF655388 JQA655385:JQB655388 JZW655385:JZX655388 KJS655385:KJT655388 KTO655385:KTP655388 LDK655385:LDL655388 LNG655385:LNH655388 LXC655385:LXD655388 MGY655385:MGZ655388 MQU655385:MQV655388 NAQ655385:NAR655388 NKM655385:NKN655388 NUI655385:NUJ655388 OEE655385:OEF655388 OOA655385:OOB655388 OXW655385:OXX655388 PHS655385:PHT655388 PRO655385:PRP655388 QBK655385:QBL655388 QLG655385:QLH655388 QVC655385:QVD655388 REY655385:REZ655388 ROU655385:ROV655388 RYQ655385:RYR655388 SIM655385:SIN655388 SSI655385:SSJ655388 TCE655385:TCF655388 TMA655385:TMB655388 TVW655385:TVX655388 UFS655385:UFT655388 UPO655385:UPP655388 UZK655385:UZL655388 VJG655385:VJH655388 VTC655385:VTD655388 WCY655385:WCZ655388 WMU655385:WMV655388 WWQ655385:WWR655388 O720924:P720927 KE720921:KF720924 UA720921:UB720924 ADW720921:ADX720924 ANS720921:ANT720924 AXO720921:AXP720924 BHK720921:BHL720924 BRG720921:BRH720924 CBC720921:CBD720924 CKY720921:CKZ720924 CUU720921:CUV720924 DEQ720921:DER720924 DOM720921:DON720924 DYI720921:DYJ720924 EIE720921:EIF720924 ESA720921:ESB720924 FBW720921:FBX720924 FLS720921:FLT720924 FVO720921:FVP720924 GFK720921:GFL720924 GPG720921:GPH720924 GZC720921:GZD720924 HIY720921:HIZ720924 HSU720921:HSV720924 ICQ720921:ICR720924 IMM720921:IMN720924 IWI720921:IWJ720924 JGE720921:JGF720924 JQA720921:JQB720924 JZW720921:JZX720924 KJS720921:KJT720924 KTO720921:KTP720924 LDK720921:LDL720924 LNG720921:LNH720924 LXC720921:LXD720924 MGY720921:MGZ720924 MQU720921:MQV720924 NAQ720921:NAR720924 NKM720921:NKN720924 NUI720921:NUJ720924 OEE720921:OEF720924 OOA720921:OOB720924 OXW720921:OXX720924 PHS720921:PHT720924 PRO720921:PRP720924 QBK720921:QBL720924 QLG720921:QLH720924 QVC720921:QVD720924 REY720921:REZ720924 ROU720921:ROV720924 RYQ720921:RYR720924 SIM720921:SIN720924 SSI720921:SSJ720924 TCE720921:TCF720924 TMA720921:TMB720924 TVW720921:TVX720924 UFS720921:UFT720924 UPO720921:UPP720924 UZK720921:UZL720924 VJG720921:VJH720924 VTC720921:VTD720924 WCY720921:WCZ720924 WMU720921:WMV720924 WWQ720921:WWR720924 O786460:P786463 KE786457:KF786460 UA786457:UB786460 ADW786457:ADX786460 ANS786457:ANT786460 AXO786457:AXP786460 BHK786457:BHL786460 BRG786457:BRH786460 CBC786457:CBD786460 CKY786457:CKZ786460 CUU786457:CUV786460 DEQ786457:DER786460 DOM786457:DON786460 DYI786457:DYJ786460 EIE786457:EIF786460 ESA786457:ESB786460 FBW786457:FBX786460 FLS786457:FLT786460 FVO786457:FVP786460 GFK786457:GFL786460 GPG786457:GPH786460 GZC786457:GZD786460 HIY786457:HIZ786460 HSU786457:HSV786460 ICQ786457:ICR786460 IMM786457:IMN786460 IWI786457:IWJ786460 JGE786457:JGF786460 JQA786457:JQB786460 JZW786457:JZX786460 KJS786457:KJT786460 KTO786457:KTP786460 LDK786457:LDL786460 LNG786457:LNH786460 LXC786457:LXD786460 MGY786457:MGZ786460 MQU786457:MQV786460 NAQ786457:NAR786460 NKM786457:NKN786460 NUI786457:NUJ786460 OEE786457:OEF786460 OOA786457:OOB786460 OXW786457:OXX786460 PHS786457:PHT786460 PRO786457:PRP786460 QBK786457:QBL786460 QLG786457:QLH786460 QVC786457:QVD786460 REY786457:REZ786460 ROU786457:ROV786460 RYQ786457:RYR786460 SIM786457:SIN786460 SSI786457:SSJ786460 TCE786457:TCF786460 TMA786457:TMB786460 TVW786457:TVX786460 UFS786457:UFT786460 UPO786457:UPP786460 UZK786457:UZL786460 VJG786457:VJH786460 VTC786457:VTD786460 WCY786457:WCZ786460 WMU786457:WMV786460 WWQ786457:WWR786460 O851996:P851999 KE851993:KF851996 UA851993:UB851996 ADW851993:ADX851996 ANS851993:ANT851996 AXO851993:AXP851996 BHK851993:BHL851996 BRG851993:BRH851996 CBC851993:CBD851996 CKY851993:CKZ851996 CUU851993:CUV851996 DEQ851993:DER851996 DOM851993:DON851996 DYI851993:DYJ851996 EIE851993:EIF851996 ESA851993:ESB851996 FBW851993:FBX851996 FLS851993:FLT851996 FVO851993:FVP851996 GFK851993:GFL851996 GPG851993:GPH851996 GZC851993:GZD851996 HIY851993:HIZ851996 HSU851993:HSV851996 ICQ851993:ICR851996 IMM851993:IMN851996 IWI851993:IWJ851996 JGE851993:JGF851996 JQA851993:JQB851996 JZW851993:JZX851996 KJS851993:KJT851996 KTO851993:KTP851996 LDK851993:LDL851996 LNG851993:LNH851996 LXC851993:LXD851996 MGY851993:MGZ851996 MQU851993:MQV851996 NAQ851993:NAR851996 NKM851993:NKN851996 NUI851993:NUJ851996 OEE851993:OEF851996 OOA851993:OOB851996 OXW851993:OXX851996 PHS851993:PHT851996 PRO851993:PRP851996 QBK851993:QBL851996 QLG851993:QLH851996 QVC851993:QVD851996 REY851993:REZ851996 ROU851993:ROV851996 RYQ851993:RYR851996 SIM851993:SIN851996 SSI851993:SSJ851996 TCE851993:TCF851996 TMA851993:TMB851996 TVW851993:TVX851996 UFS851993:UFT851996 UPO851993:UPP851996 UZK851993:UZL851996 VJG851993:VJH851996 VTC851993:VTD851996 WCY851993:WCZ851996 WMU851993:WMV851996 WWQ851993:WWR851996 O917532:P917535 KE917529:KF917532 UA917529:UB917532 ADW917529:ADX917532 ANS917529:ANT917532 AXO917529:AXP917532 BHK917529:BHL917532 BRG917529:BRH917532 CBC917529:CBD917532 CKY917529:CKZ917532 CUU917529:CUV917532 DEQ917529:DER917532 DOM917529:DON917532 DYI917529:DYJ917532 EIE917529:EIF917532 ESA917529:ESB917532 FBW917529:FBX917532 FLS917529:FLT917532 FVO917529:FVP917532 GFK917529:GFL917532 GPG917529:GPH917532 GZC917529:GZD917532 HIY917529:HIZ917532 HSU917529:HSV917532 ICQ917529:ICR917532 IMM917529:IMN917532 IWI917529:IWJ917532 JGE917529:JGF917532 JQA917529:JQB917532 JZW917529:JZX917532 KJS917529:KJT917532 KTO917529:KTP917532 LDK917529:LDL917532 LNG917529:LNH917532 LXC917529:LXD917532 MGY917529:MGZ917532 MQU917529:MQV917532 NAQ917529:NAR917532 NKM917529:NKN917532 NUI917529:NUJ917532 OEE917529:OEF917532 OOA917529:OOB917532 OXW917529:OXX917532 PHS917529:PHT917532 PRO917529:PRP917532 QBK917529:QBL917532 QLG917529:QLH917532 QVC917529:QVD917532 REY917529:REZ917532 ROU917529:ROV917532 RYQ917529:RYR917532 SIM917529:SIN917532 SSI917529:SSJ917532 TCE917529:TCF917532 TMA917529:TMB917532 TVW917529:TVX917532 UFS917529:UFT917532 UPO917529:UPP917532 UZK917529:UZL917532 VJG917529:VJH917532 VTC917529:VTD917532 WCY917529:WCZ917532 WMU917529:WMV917532 WWQ917529:WWR917532 O983068:P983071 KE983065:KF983068 UA983065:UB983068 ADW983065:ADX983068 ANS983065:ANT983068 AXO983065:AXP983068 BHK983065:BHL983068 BRG983065:BRH983068 CBC983065:CBD983068 CKY983065:CKZ983068 CUU983065:CUV983068 DEQ983065:DER983068 DOM983065:DON983068 DYI983065:DYJ983068 EIE983065:EIF983068 ESA983065:ESB983068 FBW983065:FBX983068 FLS983065:FLT983068 FVO983065:FVP983068 GFK983065:GFL983068 GPG983065:GPH983068 GZC983065:GZD983068 HIY983065:HIZ983068 HSU983065:HSV983068 ICQ983065:ICR983068 IMM983065:IMN983068 IWI983065:IWJ983068 JGE983065:JGF983068 JQA983065:JQB983068 JZW983065:JZX983068 KJS983065:KJT983068 KTO983065:KTP983068 LDK983065:LDL983068 LNG983065:LNH983068 LXC983065:LXD983068 MGY983065:MGZ983068 MQU983065:MQV983068 NAQ983065:NAR983068 NKM983065:NKN983068 NUI983065:NUJ983068 OEE983065:OEF983068 OOA983065:OOB983068 OXW983065:OXX983068 PHS983065:PHT983068 PRO983065:PRP983068 QBK983065:QBL983068 QLG983065:QLH983068 QVC983065:QVD983068 REY983065:REZ983068 ROU983065:ROV983068 RYQ983065:RYR983068 SIM983065:SIN983068 SSI983065:SSJ983068 TCE983065:TCF983068 TMA983065:TMB983068 TVW983065:TVX983068 UFS983065:UFT983068 UPO983065:UPP983068 UZK983065:UZL983068 VJG983065:VJH983068 VTC983065:VTD983068 WCY983065:WCZ983068 WMU983065:WMV983068 WWQ983065:WWR983068 WXB983065:WXC983068 VTN983065:VTO983068 Z65564:AA65567 KP65561:KQ65564 UL65561:UM65564 AEH65561:AEI65564 AOD65561:AOE65564 AXZ65561:AYA65564 BHV65561:BHW65564 BRR65561:BRS65564 CBN65561:CBO65564 CLJ65561:CLK65564 CVF65561:CVG65564 DFB65561:DFC65564 DOX65561:DOY65564 DYT65561:DYU65564 EIP65561:EIQ65564 ESL65561:ESM65564 FCH65561:FCI65564 FMD65561:FME65564 FVZ65561:FWA65564 GFV65561:GFW65564 GPR65561:GPS65564 GZN65561:GZO65564 HJJ65561:HJK65564 HTF65561:HTG65564 IDB65561:IDC65564 IMX65561:IMY65564 IWT65561:IWU65564 JGP65561:JGQ65564 JQL65561:JQM65564 KAH65561:KAI65564 KKD65561:KKE65564 KTZ65561:KUA65564 LDV65561:LDW65564 LNR65561:LNS65564 LXN65561:LXO65564 MHJ65561:MHK65564 MRF65561:MRG65564 NBB65561:NBC65564 NKX65561:NKY65564 NUT65561:NUU65564 OEP65561:OEQ65564 OOL65561:OOM65564 OYH65561:OYI65564 PID65561:PIE65564 PRZ65561:PSA65564 QBV65561:QBW65564 QLR65561:QLS65564 QVN65561:QVO65564 RFJ65561:RFK65564 RPF65561:RPG65564 RZB65561:RZC65564 SIX65561:SIY65564 SST65561:SSU65564 TCP65561:TCQ65564 TML65561:TMM65564 TWH65561:TWI65564 UGD65561:UGE65564 UPZ65561:UQA65564 UZV65561:UZW65564 VJR65561:VJS65564 VTN65561:VTO65564 WDJ65561:WDK65564 WNF65561:WNG65564 WXB65561:WXC65564 Z131100:AA131103 KP131097:KQ131100 UL131097:UM131100 AEH131097:AEI131100 AOD131097:AOE131100 AXZ131097:AYA131100 BHV131097:BHW131100 BRR131097:BRS131100 CBN131097:CBO131100 CLJ131097:CLK131100 CVF131097:CVG131100 DFB131097:DFC131100 DOX131097:DOY131100 DYT131097:DYU131100 EIP131097:EIQ131100 ESL131097:ESM131100 FCH131097:FCI131100 FMD131097:FME131100 FVZ131097:FWA131100 GFV131097:GFW131100 GPR131097:GPS131100 GZN131097:GZO131100 HJJ131097:HJK131100 HTF131097:HTG131100 IDB131097:IDC131100 IMX131097:IMY131100 IWT131097:IWU131100 JGP131097:JGQ131100 JQL131097:JQM131100 KAH131097:KAI131100 KKD131097:KKE131100 KTZ131097:KUA131100 LDV131097:LDW131100 LNR131097:LNS131100 LXN131097:LXO131100 MHJ131097:MHK131100 MRF131097:MRG131100 NBB131097:NBC131100 NKX131097:NKY131100 NUT131097:NUU131100 OEP131097:OEQ131100 OOL131097:OOM131100 OYH131097:OYI131100 PID131097:PIE131100 PRZ131097:PSA131100 QBV131097:QBW131100 QLR131097:QLS131100 QVN131097:QVO131100 RFJ131097:RFK131100 RPF131097:RPG131100 RZB131097:RZC131100 SIX131097:SIY131100 SST131097:SSU131100 TCP131097:TCQ131100 TML131097:TMM131100 TWH131097:TWI131100 UGD131097:UGE131100 UPZ131097:UQA131100 UZV131097:UZW131100 VJR131097:VJS131100 VTN131097:VTO131100 WDJ131097:WDK131100 WNF131097:WNG131100 WXB131097:WXC131100 Z196636:AA196639 KP196633:KQ196636 UL196633:UM196636 AEH196633:AEI196636 AOD196633:AOE196636 AXZ196633:AYA196636 BHV196633:BHW196636 BRR196633:BRS196636 CBN196633:CBO196636 CLJ196633:CLK196636 CVF196633:CVG196636 DFB196633:DFC196636 DOX196633:DOY196636 DYT196633:DYU196636 EIP196633:EIQ196636 ESL196633:ESM196636 FCH196633:FCI196636 FMD196633:FME196636 FVZ196633:FWA196636 GFV196633:GFW196636 GPR196633:GPS196636 GZN196633:GZO196636 HJJ196633:HJK196636 HTF196633:HTG196636 IDB196633:IDC196636 IMX196633:IMY196636 IWT196633:IWU196636 JGP196633:JGQ196636 JQL196633:JQM196636 KAH196633:KAI196636 KKD196633:KKE196636 KTZ196633:KUA196636 LDV196633:LDW196636 LNR196633:LNS196636 LXN196633:LXO196636 MHJ196633:MHK196636 MRF196633:MRG196636 NBB196633:NBC196636 NKX196633:NKY196636 NUT196633:NUU196636 OEP196633:OEQ196636 OOL196633:OOM196636 OYH196633:OYI196636 PID196633:PIE196636 PRZ196633:PSA196636 QBV196633:QBW196636 QLR196633:QLS196636 QVN196633:QVO196636 RFJ196633:RFK196636 RPF196633:RPG196636 RZB196633:RZC196636 SIX196633:SIY196636 SST196633:SSU196636 TCP196633:TCQ196636 TML196633:TMM196636 TWH196633:TWI196636 UGD196633:UGE196636 UPZ196633:UQA196636 UZV196633:UZW196636 VJR196633:VJS196636 VTN196633:VTO196636 WDJ196633:WDK196636 WNF196633:WNG196636 WXB196633:WXC196636 Z262172:AA262175 KP262169:KQ262172 UL262169:UM262172 AEH262169:AEI262172 AOD262169:AOE262172 AXZ262169:AYA262172 BHV262169:BHW262172 BRR262169:BRS262172 CBN262169:CBO262172 CLJ262169:CLK262172 CVF262169:CVG262172 DFB262169:DFC262172 DOX262169:DOY262172 DYT262169:DYU262172 EIP262169:EIQ262172 ESL262169:ESM262172 FCH262169:FCI262172 FMD262169:FME262172 FVZ262169:FWA262172 GFV262169:GFW262172 GPR262169:GPS262172 GZN262169:GZO262172 HJJ262169:HJK262172 HTF262169:HTG262172 IDB262169:IDC262172 IMX262169:IMY262172 IWT262169:IWU262172 JGP262169:JGQ262172 JQL262169:JQM262172 KAH262169:KAI262172 KKD262169:KKE262172 KTZ262169:KUA262172 LDV262169:LDW262172 LNR262169:LNS262172 LXN262169:LXO262172 MHJ262169:MHK262172 MRF262169:MRG262172 NBB262169:NBC262172 NKX262169:NKY262172 NUT262169:NUU262172 OEP262169:OEQ262172 OOL262169:OOM262172 OYH262169:OYI262172 PID262169:PIE262172 PRZ262169:PSA262172 QBV262169:QBW262172 QLR262169:QLS262172 QVN262169:QVO262172 RFJ262169:RFK262172 RPF262169:RPG262172 RZB262169:RZC262172 SIX262169:SIY262172 SST262169:SSU262172 TCP262169:TCQ262172 TML262169:TMM262172 TWH262169:TWI262172 UGD262169:UGE262172 UPZ262169:UQA262172 UZV262169:UZW262172 VJR262169:VJS262172 VTN262169:VTO262172 WDJ262169:WDK262172 WNF262169:WNG262172 WXB262169:WXC262172 Z327708:AA327711 KP327705:KQ327708 UL327705:UM327708 AEH327705:AEI327708 AOD327705:AOE327708 AXZ327705:AYA327708 BHV327705:BHW327708 BRR327705:BRS327708 CBN327705:CBO327708 CLJ327705:CLK327708 CVF327705:CVG327708 DFB327705:DFC327708 DOX327705:DOY327708 DYT327705:DYU327708 EIP327705:EIQ327708 ESL327705:ESM327708 FCH327705:FCI327708 FMD327705:FME327708 FVZ327705:FWA327708 GFV327705:GFW327708 GPR327705:GPS327708 GZN327705:GZO327708 HJJ327705:HJK327708 HTF327705:HTG327708 IDB327705:IDC327708 IMX327705:IMY327708 IWT327705:IWU327708 JGP327705:JGQ327708 JQL327705:JQM327708 KAH327705:KAI327708 KKD327705:KKE327708 KTZ327705:KUA327708 LDV327705:LDW327708 LNR327705:LNS327708 LXN327705:LXO327708 MHJ327705:MHK327708 MRF327705:MRG327708 NBB327705:NBC327708 NKX327705:NKY327708 NUT327705:NUU327708 OEP327705:OEQ327708 OOL327705:OOM327708 OYH327705:OYI327708 PID327705:PIE327708 PRZ327705:PSA327708 QBV327705:QBW327708 QLR327705:QLS327708 QVN327705:QVO327708 RFJ327705:RFK327708 RPF327705:RPG327708 RZB327705:RZC327708 SIX327705:SIY327708 SST327705:SSU327708 TCP327705:TCQ327708 TML327705:TMM327708 TWH327705:TWI327708 UGD327705:UGE327708 UPZ327705:UQA327708 UZV327705:UZW327708 VJR327705:VJS327708 VTN327705:VTO327708 WDJ327705:WDK327708 WNF327705:WNG327708 WXB327705:WXC327708 Z393244:AA393247 KP393241:KQ393244 UL393241:UM393244 AEH393241:AEI393244 AOD393241:AOE393244 AXZ393241:AYA393244 BHV393241:BHW393244 BRR393241:BRS393244 CBN393241:CBO393244 CLJ393241:CLK393244 CVF393241:CVG393244 DFB393241:DFC393244 DOX393241:DOY393244 DYT393241:DYU393244 EIP393241:EIQ393244 ESL393241:ESM393244 FCH393241:FCI393244 FMD393241:FME393244 FVZ393241:FWA393244 GFV393241:GFW393244 GPR393241:GPS393244 GZN393241:GZO393244 HJJ393241:HJK393244 HTF393241:HTG393244 IDB393241:IDC393244 IMX393241:IMY393244 IWT393241:IWU393244 JGP393241:JGQ393244 JQL393241:JQM393244 KAH393241:KAI393244 KKD393241:KKE393244 KTZ393241:KUA393244 LDV393241:LDW393244 LNR393241:LNS393244 LXN393241:LXO393244 MHJ393241:MHK393244 MRF393241:MRG393244 NBB393241:NBC393244 NKX393241:NKY393244 NUT393241:NUU393244 OEP393241:OEQ393244 OOL393241:OOM393244 OYH393241:OYI393244 PID393241:PIE393244 PRZ393241:PSA393244 QBV393241:QBW393244 QLR393241:QLS393244 QVN393241:QVO393244 RFJ393241:RFK393244 RPF393241:RPG393244 RZB393241:RZC393244 SIX393241:SIY393244 SST393241:SSU393244 TCP393241:TCQ393244 TML393241:TMM393244 TWH393241:TWI393244 UGD393241:UGE393244 UPZ393241:UQA393244 UZV393241:UZW393244 VJR393241:VJS393244 VTN393241:VTO393244 WDJ393241:WDK393244 WNF393241:WNG393244 WXB393241:WXC393244 Z458780:AA458783 KP458777:KQ458780 UL458777:UM458780 AEH458777:AEI458780 AOD458777:AOE458780 AXZ458777:AYA458780 BHV458777:BHW458780 BRR458777:BRS458780 CBN458777:CBO458780 CLJ458777:CLK458780 CVF458777:CVG458780 DFB458777:DFC458780 DOX458777:DOY458780 DYT458777:DYU458780 EIP458777:EIQ458780 ESL458777:ESM458780 FCH458777:FCI458780 FMD458777:FME458780 FVZ458777:FWA458780 GFV458777:GFW458780 GPR458777:GPS458780 GZN458777:GZO458780 HJJ458777:HJK458780 HTF458777:HTG458780 IDB458777:IDC458780 IMX458777:IMY458780 IWT458777:IWU458780 JGP458777:JGQ458780 JQL458777:JQM458780 KAH458777:KAI458780 KKD458777:KKE458780 KTZ458777:KUA458780 LDV458777:LDW458780 LNR458777:LNS458780 LXN458777:LXO458780 MHJ458777:MHK458780 MRF458777:MRG458780 NBB458777:NBC458780 NKX458777:NKY458780 NUT458777:NUU458780 OEP458777:OEQ458780 OOL458777:OOM458780 OYH458777:OYI458780 PID458777:PIE458780 PRZ458777:PSA458780 QBV458777:QBW458780 QLR458777:QLS458780 QVN458777:QVO458780 RFJ458777:RFK458780 RPF458777:RPG458780 RZB458777:RZC458780 SIX458777:SIY458780 SST458777:SSU458780 TCP458777:TCQ458780 TML458777:TMM458780 TWH458777:TWI458780 UGD458777:UGE458780 UPZ458777:UQA458780 UZV458777:UZW458780 VJR458777:VJS458780 VTN458777:VTO458780 WDJ458777:WDK458780 WNF458777:WNG458780 WXB458777:WXC458780 Z524316:AA524319 KP524313:KQ524316 UL524313:UM524316 AEH524313:AEI524316 AOD524313:AOE524316 AXZ524313:AYA524316 BHV524313:BHW524316 BRR524313:BRS524316 CBN524313:CBO524316 CLJ524313:CLK524316 CVF524313:CVG524316 DFB524313:DFC524316 DOX524313:DOY524316 DYT524313:DYU524316 EIP524313:EIQ524316 ESL524313:ESM524316 FCH524313:FCI524316 FMD524313:FME524316 FVZ524313:FWA524316 GFV524313:GFW524316 GPR524313:GPS524316 GZN524313:GZO524316 HJJ524313:HJK524316 HTF524313:HTG524316 IDB524313:IDC524316 IMX524313:IMY524316 IWT524313:IWU524316 JGP524313:JGQ524316 JQL524313:JQM524316 KAH524313:KAI524316 KKD524313:KKE524316 KTZ524313:KUA524316 LDV524313:LDW524316 LNR524313:LNS524316 LXN524313:LXO524316 MHJ524313:MHK524316 MRF524313:MRG524316 NBB524313:NBC524316 NKX524313:NKY524316 NUT524313:NUU524316 OEP524313:OEQ524316 OOL524313:OOM524316 OYH524313:OYI524316 PID524313:PIE524316 PRZ524313:PSA524316 QBV524313:QBW524316 QLR524313:QLS524316 QVN524313:QVO524316 RFJ524313:RFK524316 RPF524313:RPG524316 RZB524313:RZC524316 SIX524313:SIY524316 SST524313:SSU524316 TCP524313:TCQ524316 TML524313:TMM524316 TWH524313:TWI524316 UGD524313:UGE524316 UPZ524313:UQA524316 UZV524313:UZW524316 VJR524313:VJS524316 VTN524313:VTO524316 WDJ524313:WDK524316 WNF524313:WNG524316 WXB524313:WXC524316 Z589852:AA589855 KP589849:KQ589852 UL589849:UM589852 AEH589849:AEI589852 AOD589849:AOE589852 AXZ589849:AYA589852 BHV589849:BHW589852 BRR589849:BRS589852 CBN589849:CBO589852 CLJ589849:CLK589852 CVF589849:CVG589852 DFB589849:DFC589852 DOX589849:DOY589852 DYT589849:DYU589852 EIP589849:EIQ589852 ESL589849:ESM589852 FCH589849:FCI589852 FMD589849:FME589852 FVZ589849:FWA589852 GFV589849:GFW589852 GPR589849:GPS589852 GZN589849:GZO589852 HJJ589849:HJK589852 HTF589849:HTG589852 IDB589849:IDC589852 IMX589849:IMY589852 IWT589849:IWU589852 JGP589849:JGQ589852 JQL589849:JQM589852 KAH589849:KAI589852 KKD589849:KKE589852 KTZ589849:KUA589852 LDV589849:LDW589852 LNR589849:LNS589852 LXN589849:LXO589852 MHJ589849:MHK589852 MRF589849:MRG589852 NBB589849:NBC589852 NKX589849:NKY589852 NUT589849:NUU589852 OEP589849:OEQ589852 OOL589849:OOM589852 OYH589849:OYI589852 PID589849:PIE589852 PRZ589849:PSA589852 QBV589849:QBW589852 QLR589849:QLS589852 QVN589849:QVO589852 RFJ589849:RFK589852 RPF589849:RPG589852 RZB589849:RZC589852 SIX589849:SIY589852 SST589849:SSU589852 TCP589849:TCQ589852 TML589849:TMM589852 TWH589849:TWI589852 UGD589849:UGE589852 UPZ589849:UQA589852 UZV589849:UZW589852 VJR589849:VJS589852 VTN589849:VTO589852 WDJ589849:WDK589852 WNF589849:WNG589852 WXB589849:WXC589852 Z655388:AA655391 KP655385:KQ655388 UL655385:UM655388 AEH655385:AEI655388 AOD655385:AOE655388 AXZ655385:AYA655388 BHV655385:BHW655388 BRR655385:BRS655388 CBN655385:CBO655388 CLJ655385:CLK655388 CVF655385:CVG655388 DFB655385:DFC655388 DOX655385:DOY655388 DYT655385:DYU655388 EIP655385:EIQ655388 ESL655385:ESM655388 FCH655385:FCI655388 FMD655385:FME655388 FVZ655385:FWA655388 GFV655385:GFW655388 GPR655385:GPS655388 GZN655385:GZO655388 HJJ655385:HJK655388 HTF655385:HTG655388 IDB655385:IDC655388 IMX655385:IMY655388 IWT655385:IWU655388 JGP655385:JGQ655388 JQL655385:JQM655388 KAH655385:KAI655388 KKD655385:KKE655388 KTZ655385:KUA655388 LDV655385:LDW655388 LNR655385:LNS655388 LXN655385:LXO655388 MHJ655385:MHK655388 MRF655385:MRG655388 NBB655385:NBC655388 NKX655385:NKY655388 NUT655385:NUU655388 OEP655385:OEQ655388 OOL655385:OOM655388 OYH655385:OYI655388 PID655385:PIE655388 PRZ655385:PSA655388 QBV655385:QBW655388 QLR655385:QLS655388 QVN655385:QVO655388 RFJ655385:RFK655388 RPF655385:RPG655388 RZB655385:RZC655388 SIX655385:SIY655388 SST655385:SSU655388 TCP655385:TCQ655388 TML655385:TMM655388 TWH655385:TWI655388 UGD655385:UGE655388 UPZ655385:UQA655388 UZV655385:UZW655388 VJR655385:VJS655388 VTN655385:VTO655388 WDJ655385:WDK655388 WNF655385:WNG655388 WXB655385:WXC655388 Z720924:AA720927 KP720921:KQ720924 UL720921:UM720924 AEH720921:AEI720924 AOD720921:AOE720924 AXZ720921:AYA720924 BHV720921:BHW720924 BRR720921:BRS720924 CBN720921:CBO720924 CLJ720921:CLK720924 CVF720921:CVG720924 DFB720921:DFC720924 DOX720921:DOY720924 DYT720921:DYU720924 EIP720921:EIQ720924 ESL720921:ESM720924 FCH720921:FCI720924 FMD720921:FME720924 FVZ720921:FWA720924 GFV720921:GFW720924 GPR720921:GPS720924 GZN720921:GZO720924 HJJ720921:HJK720924 HTF720921:HTG720924 IDB720921:IDC720924 IMX720921:IMY720924 IWT720921:IWU720924 JGP720921:JGQ720924 JQL720921:JQM720924 KAH720921:KAI720924 KKD720921:KKE720924 KTZ720921:KUA720924 LDV720921:LDW720924 LNR720921:LNS720924 LXN720921:LXO720924 MHJ720921:MHK720924 MRF720921:MRG720924 NBB720921:NBC720924 NKX720921:NKY720924 NUT720921:NUU720924 OEP720921:OEQ720924 OOL720921:OOM720924 OYH720921:OYI720924 PID720921:PIE720924 PRZ720921:PSA720924 QBV720921:QBW720924 QLR720921:QLS720924 QVN720921:QVO720924 RFJ720921:RFK720924 RPF720921:RPG720924 RZB720921:RZC720924 SIX720921:SIY720924 SST720921:SSU720924 TCP720921:TCQ720924 TML720921:TMM720924 TWH720921:TWI720924 UGD720921:UGE720924 UPZ720921:UQA720924 UZV720921:UZW720924 VJR720921:VJS720924 VTN720921:VTO720924 WDJ720921:WDK720924 WNF720921:WNG720924 WXB720921:WXC720924 Z786460:AA786463 KP786457:KQ786460 UL786457:UM786460 AEH786457:AEI786460 AOD786457:AOE786460 AXZ786457:AYA786460 BHV786457:BHW786460 BRR786457:BRS786460 CBN786457:CBO786460 CLJ786457:CLK786460 CVF786457:CVG786460 DFB786457:DFC786460 DOX786457:DOY786460 DYT786457:DYU786460 EIP786457:EIQ786460 ESL786457:ESM786460 FCH786457:FCI786460 FMD786457:FME786460 FVZ786457:FWA786460 GFV786457:GFW786460 GPR786457:GPS786460 GZN786457:GZO786460 HJJ786457:HJK786460 HTF786457:HTG786460 IDB786457:IDC786460 IMX786457:IMY786460 IWT786457:IWU786460 JGP786457:JGQ786460 JQL786457:JQM786460 KAH786457:KAI786460 KKD786457:KKE786460 KTZ786457:KUA786460 LDV786457:LDW786460 LNR786457:LNS786460 LXN786457:LXO786460 MHJ786457:MHK786460 MRF786457:MRG786460 NBB786457:NBC786460 NKX786457:NKY786460 NUT786457:NUU786460 OEP786457:OEQ786460 OOL786457:OOM786460 OYH786457:OYI786460 PID786457:PIE786460 PRZ786457:PSA786460 QBV786457:QBW786460 QLR786457:QLS786460 QVN786457:QVO786460 RFJ786457:RFK786460 RPF786457:RPG786460 RZB786457:RZC786460 SIX786457:SIY786460 SST786457:SSU786460 TCP786457:TCQ786460 TML786457:TMM786460 TWH786457:TWI786460 UGD786457:UGE786460 UPZ786457:UQA786460 UZV786457:UZW786460 VJR786457:VJS786460 VTN786457:VTO786460 WDJ786457:WDK786460 WNF786457:WNG786460 WXB786457:WXC786460 Z851996:AA851999 KP851993:KQ851996 UL851993:UM851996 AEH851993:AEI851996 AOD851993:AOE851996 AXZ851993:AYA851996 BHV851993:BHW851996 BRR851993:BRS851996 CBN851993:CBO851996 CLJ851993:CLK851996 CVF851993:CVG851996 DFB851993:DFC851996 DOX851993:DOY851996 DYT851993:DYU851996 EIP851993:EIQ851996 ESL851993:ESM851996 FCH851993:FCI851996 FMD851993:FME851996 FVZ851993:FWA851996 GFV851993:GFW851996 GPR851993:GPS851996 GZN851993:GZO851996 HJJ851993:HJK851996 HTF851993:HTG851996 IDB851993:IDC851996 IMX851993:IMY851996 IWT851993:IWU851996 JGP851993:JGQ851996 JQL851993:JQM851996 KAH851993:KAI851996 KKD851993:KKE851996 KTZ851993:KUA851996 LDV851993:LDW851996 LNR851993:LNS851996 LXN851993:LXO851996 MHJ851993:MHK851996 MRF851993:MRG851996 NBB851993:NBC851996 NKX851993:NKY851996 NUT851993:NUU851996 OEP851993:OEQ851996 OOL851993:OOM851996 OYH851993:OYI851996 PID851993:PIE851996 PRZ851993:PSA851996 QBV851993:QBW851996 QLR851993:QLS851996 QVN851993:QVO851996 RFJ851993:RFK851996 RPF851993:RPG851996 RZB851993:RZC851996 SIX851993:SIY851996 SST851993:SSU851996 TCP851993:TCQ851996 TML851993:TMM851996 TWH851993:TWI851996 UGD851993:UGE851996 UPZ851993:UQA851996 UZV851993:UZW851996 VJR851993:VJS851996 VTN851993:VTO851996 WDJ851993:WDK851996 WNF851993:WNG851996 WXB851993:WXC851996 Z917532:AA917535 KP917529:KQ917532 UL917529:UM917532 AEH917529:AEI917532 AOD917529:AOE917532 AXZ917529:AYA917532 BHV917529:BHW917532 BRR917529:BRS917532 CBN917529:CBO917532 CLJ917529:CLK917532 CVF917529:CVG917532 DFB917529:DFC917532 DOX917529:DOY917532 DYT917529:DYU917532 EIP917529:EIQ917532 ESL917529:ESM917532 FCH917529:FCI917532 FMD917529:FME917532 FVZ917529:FWA917532 GFV917529:GFW917532 GPR917529:GPS917532 GZN917529:GZO917532 HJJ917529:HJK917532 HTF917529:HTG917532 IDB917529:IDC917532 IMX917529:IMY917532 IWT917529:IWU917532 JGP917529:JGQ917532 JQL917529:JQM917532 KAH917529:KAI917532 KKD917529:KKE917532 KTZ917529:KUA917532 LDV917529:LDW917532 LNR917529:LNS917532 LXN917529:LXO917532 MHJ917529:MHK917532 MRF917529:MRG917532 NBB917529:NBC917532 NKX917529:NKY917532 NUT917529:NUU917532 OEP917529:OEQ917532 OOL917529:OOM917532 OYH917529:OYI917532 PID917529:PIE917532 PRZ917529:PSA917532 QBV917529:QBW917532 QLR917529:QLS917532 QVN917529:QVO917532 RFJ917529:RFK917532 RPF917529:RPG917532 RZB917529:RZC917532 SIX917529:SIY917532 SST917529:SSU917532 TCP917529:TCQ917532 TML917529:TMM917532 TWH917529:TWI917532 UGD917529:UGE917532 UPZ917529:UQA917532 UZV917529:UZW917532 VJR917529:VJS917532 VTN917529:VTO917532 WDJ917529:WDK917532 WNF917529:WNG917532 WXB917529:WXC917532 Z983068:AA983071 KP983065:KQ983068 UL983065:UM983068 AEH983065:AEI983068 AOD983065:AOE983068 AXZ983065:AYA983068 BHV983065:BHW983068 BRR983065:BRS983068 CBN983065:CBO983068 CLJ983065:CLK983068 CVF983065:CVG983068 DFB983065:DFC983068 DOX983065:DOY983068 DYT983065:DYU983068 EIP983065:EIQ983068 ESL983065:ESM983068 FCH983065:FCI983068 FMD983065:FME983068 FVZ983065:FWA983068 GFV983065:GFW983068 GPR983065:GPS983068 GZN983065:GZO983068 HJJ983065:HJK983068 HTF983065:HTG983068 IDB983065:IDC983068 IMX983065:IMY983068 IWT983065:IWU983068 JGP983065:JGQ983068 JQL983065:JQM983068 KAH983065:KAI983068 KKD983065:KKE983068 KTZ983065:KUA983068 LDV983065:LDW983068 LNR983065:LNS983068 LXN983065:LXO983068 MHJ983065:MHK983068 MRF983065:MRG983068 NBB983065:NBC983068 NKX983065:NKY983068 NUT983065:NUU983068 OEP983065:OEQ983068 OOL983065:OOM983068 OYH983065:OYI983068 PID983065:PIE983068 PRZ983065:PSA983068 QBV983065:QBW983068 QLR983065:QLS983068 QVN983065:QVO983068 RFJ983065:RFK983068 RPF983065:RPG983068 RZB983065:RZC983068 SIX983065:SIY983068 SST983065:SSU983068 TCP983065:TCQ983068 TML983065:TMM983068 TWH983065:TWI983068 UGD983065:UGE983068 UPZ983065:UQA983068 UZV983065:UZW983068 VJR983065:VJS983068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BX13"/>
  <sheetViews>
    <sheetView view="pageBreakPreview" topLeftCell="A4" zoomScaleNormal="115" zoomScaleSheetLayoutView="100" workbookViewId="0">
      <selection activeCell="A8" sqref="A8"/>
    </sheetView>
  </sheetViews>
  <sheetFormatPr defaultRowHeight="15" x14ac:dyDescent="0.25"/>
  <cols>
    <col min="1" max="1" width="7.140625" style="349" customWidth="1"/>
    <col min="2" max="2" width="40.7109375" style="349" customWidth="1"/>
    <col min="3" max="3" width="5.28515625" style="349" bestFit="1" customWidth="1"/>
    <col min="4" max="7" width="9.42578125" style="349" customWidth="1"/>
    <col min="8" max="8" width="14.7109375" style="349" bestFit="1" customWidth="1"/>
    <col min="9" max="9" width="5.85546875" style="349" bestFit="1" customWidth="1"/>
    <col min="10" max="10" width="7.7109375" style="349" bestFit="1" customWidth="1"/>
    <col min="11" max="11" width="13.7109375" style="349" bestFit="1" customWidth="1"/>
    <col min="12" max="12" width="7.7109375" style="349" bestFit="1" customWidth="1"/>
    <col min="13" max="13" width="10.7109375" style="349" bestFit="1" customWidth="1"/>
    <col min="14" max="14" width="8.85546875" style="349" bestFit="1" customWidth="1"/>
    <col min="15" max="15" width="7.7109375" style="349" bestFit="1" customWidth="1"/>
    <col min="16" max="16" width="13.7109375" style="349" bestFit="1" customWidth="1"/>
    <col min="17" max="17" width="7.7109375" style="349" bestFit="1" customWidth="1"/>
    <col min="18" max="18" width="10.7109375" style="349" bestFit="1" customWidth="1"/>
    <col min="19" max="19" width="8.85546875" style="349" bestFit="1" customWidth="1"/>
    <col min="20" max="22" width="7.7109375" style="349" bestFit="1" customWidth="1"/>
    <col min="23" max="23" width="8.42578125" style="349" bestFit="1" customWidth="1"/>
    <col min="24" max="24" width="7.85546875" style="349" bestFit="1" customWidth="1"/>
    <col min="25" max="27" width="7.7109375" style="349" bestFit="1" customWidth="1"/>
    <col min="28" max="28" width="8.42578125" style="349" bestFit="1" customWidth="1"/>
    <col min="29" max="29" width="7.28515625" style="349" bestFit="1" customWidth="1"/>
    <col min="30" max="32" width="7.7109375" style="349" bestFit="1" customWidth="1"/>
    <col min="33" max="33" width="8.42578125" style="349" bestFit="1" customWidth="1"/>
    <col min="34" max="46" width="8.42578125" style="349" customWidth="1"/>
    <col min="47" max="47" width="8" style="349" bestFit="1" customWidth="1"/>
    <col min="48" max="50" width="7.7109375" style="349" bestFit="1" customWidth="1"/>
    <col min="51" max="51" width="8.42578125" style="349" bestFit="1" customWidth="1"/>
    <col min="52" max="52" width="5.7109375" style="349" bestFit="1" customWidth="1"/>
    <col min="53" max="55" width="7.7109375" style="349" bestFit="1" customWidth="1"/>
    <col min="56" max="56" width="8.42578125" style="349" bestFit="1" customWidth="1"/>
    <col min="57" max="57" width="7.85546875" style="349" bestFit="1" customWidth="1"/>
    <col min="58" max="60" width="7.7109375" style="349" bestFit="1" customWidth="1"/>
    <col min="61" max="61" width="8.42578125" style="349" bestFit="1" customWidth="1"/>
    <col min="62" max="62" width="8.28515625" style="349" bestFit="1" customWidth="1"/>
    <col min="63" max="65" width="7.7109375" style="349" bestFit="1" customWidth="1"/>
    <col min="66" max="66" width="8.42578125" style="349" bestFit="1" customWidth="1"/>
    <col min="67" max="67" width="9" style="349" bestFit="1" customWidth="1"/>
    <col min="68" max="70" width="7.7109375" style="349" bestFit="1" customWidth="1"/>
    <col min="71" max="71" width="8.42578125" style="349" bestFit="1" customWidth="1"/>
    <col min="72" max="72" width="7.28515625" style="349" bestFit="1" customWidth="1"/>
    <col min="73" max="75" width="7.7109375" style="349" bestFit="1" customWidth="1"/>
    <col min="76" max="76" width="8.42578125" style="349" bestFit="1" customWidth="1"/>
    <col min="77" max="227" width="9.140625" style="349"/>
    <col min="228" max="266" width="2.42578125" style="349" customWidth="1"/>
    <col min="267" max="267" width="3.42578125" style="349" bestFit="1" customWidth="1"/>
    <col min="268" max="483" width="9.140625" style="349"/>
    <col min="484" max="522" width="2.42578125" style="349" customWidth="1"/>
    <col min="523" max="523" width="3.42578125" style="349" bestFit="1" customWidth="1"/>
    <col min="524" max="739" width="9.140625" style="349"/>
    <col min="740" max="778" width="2.42578125" style="349" customWidth="1"/>
    <col min="779" max="779" width="3.42578125" style="349" bestFit="1" customWidth="1"/>
    <col min="780" max="995" width="9.140625" style="349"/>
    <col min="996" max="1034" width="2.42578125" style="349" customWidth="1"/>
    <col min="1035" max="1035" width="3.42578125" style="349" bestFit="1" customWidth="1"/>
    <col min="1036" max="1251" width="9.140625" style="349"/>
    <col min="1252" max="1290" width="2.42578125" style="349" customWidth="1"/>
    <col min="1291" max="1291" width="3.42578125" style="349" bestFit="1" customWidth="1"/>
    <col min="1292" max="1507" width="9.140625" style="349"/>
    <col min="1508" max="1546" width="2.42578125" style="349" customWidth="1"/>
    <col min="1547" max="1547" width="3.42578125" style="349" bestFit="1" customWidth="1"/>
    <col min="1548" max="1763" width="9.140625" style="349"/>
    <col min="1764" max="1802" width="2.42578125" style="349" customWidth="1"/>
    <col min="1803" max="1803" width="3.42578125" style="349" bestFit="1" customWidth="1"/>
    <col min="1804" max="2019" width="9.140625" style="349"/>
    <col min="2020" max="2058" width="2.42578125" style="349" customWidth="1"/>
    <col min="2059" max="2059" width="3.42578125" style="349" bestFit="1" customWidth="1"/>
    <col min="2060" max="2275" width="9.140625" style="349"/>
    <col min="2276" max="2314" width="2.42578125" style="349" customWidth="1"/>
    <col min="2315" max="2315" width="3.42578125" style="349" bestFit="1" customWidth="1"/>
    <col min="2316" max="2531" width="9.140625" style="349"/>
    <col min="2532" max="2570" width="2.42578125" style="349" customWidth="1"/>
    <col min="2571" max="2571" width="3.42578125" style="349" bestFit="1" customWidth="1"/>
    <col min="2572" max="2787" width="9.140625" style="349"/>
    <col min="2788" max="2826" width="2.42578125" style="349" customWidth="1"/>
    <col min="2827" max="2827" width="3.42578125" style="349" bestFit="1" customWidth="1"/>
    <col min="2828" max="3043" width="9.140625" style="349"/>
    <col min="3044" max="3082" width="2.42578125" style="349" customWidth="1"/>
    <col min="3083" max="3083" width="3.42578125" style="349" bestFit="1" customWidth="1"/>
    <col min="3084" max="3299" width="9.140625" style="349"/>
    <col min="3300" max="3338" width="2.42578125" style="349" customWidth="1"/>
    <col min="3339" max="3339" width="3.42578125" style="349" bestFit="1" customWidth="1"/>
    <col min="3340" max="3555" width="9.140625" style="349"/>
    <col min="3556" max="3594" width="2.42578125" style="349" customWidth="1"/>
    <col min="3595" max="3595" width="3.42578125" style="349" bestFit="1" customWidth="1"/>
    <col min="3596" max="3811" width="9.140625" style="349"/>
    <col min="3812" max="3850" width="2.42578125" style="349" customWidth="1"/>
    <col min="3851" max="3851" width="3.42578125" style="349" bestFit="1" customWidth="1"/>
    <col min="3852" max="4067" width="9.140625" style="349"/>
    <col min="4068" max="4106" width="2.42578125" style="349" customWidth="1"/>
    <col min="4107" max="4107" width="3.42578125" style="349" bestFit="1" customWidth="1"/>
    <col min="4108" max="4323" width="9.140625" style="349"/>
    <col min="4324" max="4362" width="2.42578125" style="349" customWidth="1"/>
    <col min="4363" max="4363" width="3.42578125" style="349" bestFit="1" customWidth="1"/>
    <col min="4364" max="4579" width="9.140625" style="349"/>
    <col min="4580" max="4618" width="2.42578125" style="349" customWidth="1"/>
    <col min="4619" max="4619" width="3.42578125" style="349" bestFit="1" customWidth="1"/>
    <col min="4620" max="4835" width="9.140625" style="349"/>
    <col min="4836" max="4874" width="2.42578125" style="349" customWidth="1"/>
    <col min="4875" max="4875" width="3.42578125" style="349" bestFit="1" customWidth="1"/>
    <col min="4876" max="5091" width="9.140625" style="349"/>
    <col min="5092" max="5130" width="2.42578125" style="349" customWidth="1"/>
    <col min="5131" max="5131" width="3.42578125" style="349" bestFit="1" customWidth="1"/>
    <col min="5132" max="5347" width="9.140625" style="349"/>
    <col min="5348" max="5386" width="2.42578125" style="349" customWidth="1"/>
    <col min="5387" max="5387" width="3.42578125" style="349" bestFit="1" customWidth="1"/>
    <col min="5388" max="5603" width="9.140625" style="349"/>
    <col min="5604" max="5642" width="2.42578125" style="349" customWidth="1"/>
    <col min="5643" max="5643" width="3.42578125" style="349" bestFit="1" customWidth="1"/>
    <col min="5644" max="5859" width="9.140625" style="349"/>
    <col min="5860" max="5898" width="2.42578125" style="349" customWidth="1"/>
    <col min="5899" max="5899" width="3.42578125" style="349" bestFit="1" customWidth="1"/>
    <col min="5900" max="6115" width="9.140625" style="349"/>
    <col min="6116" max="6154" width="2.42578125" style="349" customWidth="1"/>
    <col min="6155" max="6155" width="3.42578125" style="349" bestFit="1" customWidth="1"/>
    <col min="6156" max="6371" width="9.140625" style="349"/>
    <col min="6372" max="6410" width="2.42578125" style="349" customWidth="1"/>
    <col min="6411" max="6411" width="3.42578125" style="349" bestFit="1" customWidth="1"/>
    <col min="6412" max="6627" width="9.140625" style="349"/>
    <col min="6628" max="6666" width="2.42578125" style="349" customWidth="1"/>
    <col min="6667" max="6667" width="3.42578125" style="349" bestFit="1" customWidth="1"/>
    <col min="6668" max="6883" width="9.140625" style="349"/>
    <col min="6884" max="6922" width="2.42578125" style="349" customWidth="1"/>
    <col min="6923" max="6923" width="3.42578125" style="349" bestFit="1" customWidth="1"/>
    <col min="6924" max="7139" width="9.140625" style="349"/>
    <col min="7140" max="7178" width="2.42578125" style="349" customWidth="1"/>
    <col min="7179" max="7179" width="3.42578125" style="349" bestFit="1" customWidth="1"/>
    <col min="7180" max="7395" width="9.140625" style="349"/>
    <col min="7396" max="7434" width="2.42578125" style="349" customWidth="1"/>
    <col min="7435" max="7435" width="3.42578125" style="349" bestFit="1" customWidth="1"/>
    <col min="7436" max="7651" width="9.140625" style="349"/>
    <col min="7652" max="7690" width="2.42578125" style="349" customWidth="1"/>
    <col min="7691" max="7691" width="3.42578125" style="349" bestFit="1" customWidth="1"/>
    <col min="7692" max="7907" width="9.140625" style="349"/>
    <col min="7908" max="7946" width="2.42578125" style="349" customWidth="1"/>
    <col min="7947" max="7947" width="3.42578125" style="349" bestFit="1" customWidth="1"/>
    <col min="7948" max="8163" width="9.140625" style="349"/>
    <col min="8164" max="8202" width="2.42578125" style="349" customWidth="1"/>
    <col min="8203" max="8203" width="3.42578125" style="349" bestFit="1" customWidth="1"/>
    <col min="8204" max="8419" width="9.140625" style="349"/>
    <col min="8420" max="8458" width="2.42578125" style="349" customWidth="1"/>
    <col min="8459" max="8459" width="3.42578125" style="349" bestFit="1" customWidth="1"/>
    <col min="8460" max="8675" width="9.140625" style="349"/>
    <col min="8676" max="8714" width="2.42578125" style="349" customWidth="1"/>
    <col min="8715" max="8715" width="3.42578125" style="349" bestFit="1" customWidth="1"/>
    <col min="8716" max="8931" width="9.140625" style="349"/>
    <col min="8932" max="8970" width="2.42578125" style="349" customWidth="1"/>
    <col min="8971" max="8971" width="3.42578125" style="349" bestFit="1" customWidth="1"/>
    <col min="8972" max="9187" width="9.140625" style="349"/>
    <col min="9188" max="9226" width="2.42578125" style="349" customWidth="1"/>
    <col min="9227" max="9227" width="3.42578125" style="349" bestFit="1" customWidth="1"/>
    <col min="9228" max="9443" width="9.140625" style="349"/>
    <col min="9444" max="9482" width="2.42578125" style="349" customWidth="1"/>
    <col min="9483" max="9483" width="3.42578125" style="349" bestFit="1" customWidth="1"/>
    <col min="9484" max="9699" width="9.140625" style="349"/>
    <col min="9700" max="9738" width="2.42578125" style="349" customWidth="1"/>
    <col min="9739" max="9739" width="3.42578125" style="349" bestFit="1" customWidth="1"/>
    <col min="9740" max="9955" width="9.140625" style="349"/>
    <col min="9956" max="9994" width="2.42578125" style="349" customWidth="1"/>
    <col min="9995" max="9995" width="3.42578125" style="349" bestFit="1" customWidth="1"/>
    <col min="9996" max="10211" width="9.140625" style="349"/>
    <col min="10212" max="10250" width="2.42578125" style="349" customWidth="1"/>
    <col min="10251" max="10251" width="3.42578125" style="349" bestFit="1" customWidth="1"/>
    <col min="10252" max="10467" width="9.140625" style="349"/>
    <col min="10468" max="10506" width="2.42578125" style="349" customWidth="1"/>
    <col min="10507" max="10507" width="3.42578125" style="349" bestFit="1" customWidth="1"/>
    <col min="10508" max="10723" width="9.140625" style="349"/>
    <col min="10724" max="10762" width="2.42578125" style="349" customWidth="1"/>
    <col min="10763" max="10763" width="3.42578125" style="349" bestFit="1" customWidth="1"/>
    <col min="10764" max="10979" width="9.140625" style="349"/>
    <col min="10980" max="11018" width="2.42578125" style="349" customWidth="1"/>
    <col min="11019" max="11019" width="3.42578125" style="349" bestFit="1" customWidth="1"/>
    <col min="11020" max="11235" width="9.140625" style="349"/>
    <col min="11236" max="11274" width="2.42578125" style="349" customWidth="1"/>
    <col min="11275" max="11275" width="3.42578125" style="349" bestFit="1" customWidth="1"/>
    <col min="11276" max="11491" width="9.140625" style="349"/>
    <col min="11492" max="11530" width="2.42578125" style="349" customWidth="1"/>
    <col min="11531" max="11531" width="3.42578125" style="349" bestFit="1" customWidth="1"/>
    <col min="11532" max="11747" width="9.140625" style="349"/>
    <col min="11748" max="11786" width="2.42578125" style="349" customWidth="1"/>
    <col min="11787" max="11787" width="3.42578125" style="349" bestFit="1" customWidth="1"/>
    <col min="11788" max="12003" width="9.140625" style="349"/>
    <col min="12004" max="12042" width="2.42578125" style="349" customWidth="1"/>
    <col min="12043" max="12043" width="3.42578125" style="349" bestFit="1" customWidth="1"/>
    <col min="12044" max="12259" width="9.140625" style="349"/>
    <col min="12260" max="12298" width="2.42578125" style="349" customWidth="1"/>
    <col min="12299" max="12299" width="3.42578125" style="349" bestFit="1" customWidth="1"/>
    <col min="12300" max="12515" width="9.140625" style="349"/>
    <col min="12516" max="12554" width="2.42578125" style="349" customWidth="1"/>
    <col min="12555" max="12555" width="3.42578125" style="349" bestFit="1" customWidth="1"/>
    <col min="12556" max="12771" width="9.140625" style="349"/>
    <col min="12772" max="12810" width="2.42578125" style="349" customWidth="1"/>
    <col min="12811" max="12811" width="3.42578125" style="349" bestFit="1" customWidth="1"/>
    <col min="12812" max="13027" width="9.140625" style="349"/>
    <col min="13028" max="13066" width="2.42578125" style="349" customWidth="1"/>
    <col min="13067" max="13067" width="3.42578125" style="349" bestFit="1" customWidth="1"/>
    <col min="13068" max="13283" width="9.140625" style="349"/>
    <col min="13284" max="13322" width="2.42578125" style="349" customWidth="1"/>
    <col min="13323" max="13323" width="3.42578125" style="349" bestFit="1" customWidth="1"/>
    <col min="13324" max="13539" width="9.140625" style="349"/>
    <col min="13540" max="13578" width="2.42578125" style="349" customWidth="1"/>
    <col min="13579" max="13579" width="3.42578125" style="349" bestFit="1" customWidth="1"/>
    <col min="13580" max="13795" width="9.140625" style="349"/>
    <col min="13796" max="13834" width="2.42578125" style="349" customWidth="1"/>
    <col min="13835" max="13835" width="3.42578125" style="349" bestFit="1" customWidth="1"/>
    <col min="13836" max="14051" width="9.140625" style="349"/>
    <col min="14052" max="14090" width="2.42578125" style="349" customWidth="1"/>
    <col min="14091" max="14091" width="3.42578125" style="349" bestFit="1" customWidth="1"/>
    <col min="14092" max="14307" width="9.140625" style="349"/>
    <col min="14308" max="14346" width="2.42578125" style="349" customWidth="1"/>
    <col min="14347" max="14347" width="3.42578125" style="349" bestFit="1" customWidth="1"/>
    <col min="14348" max="14563" width="9.140625" style="349"/>
    <col min="14564" max="14602" width="2.42578125" style="349" customWidth="1"/>
    <col min="14603" max="14603" width="3.42578125" style="349" bestFit="1" customWidth="1"/>
    <col min="14604" max="14819" width="9.140625" style="349"/>
    <col min="14820" max="14858" width="2.42578125" style="349" customWidth="1"/>
    <col min="14859" max="14859" width="3.42578125" style="349" bestFit="1" customWidth="1"/>
    <col min="14860" max="15075" width="9.140625" style="349"/>
    <col min="15076" max="15114" width="2.42578125" style="349" customWidth="1"/>
    <col min="15115" max="15115" width="3.42578125" style="349" bestFit="1" customWidth="1"/>
    <col min="15116" max="15331" width="9.140625" style="349"/>
    <col min="15332" max="15370" width="2.42578125" style="349" customWidth="1"/>
    <col min="15371" max="15371" width="3.42578125" style="349" bestFit="1" customWidth="1"/>
    <col min="15372" max="15587" width="9.140625" style="349"/>
    <col min="15588" max="15626" width="2.42578125" style="349" customWidth="1"/>
    <col min="15627" max="15627" width="3.42578125" style="349" bestFit="1" customWidth="1"/>
    <col min="15628" max="15843" width="9.140625" style="349"/>
    <col min="15844" max="15882" width="2.42578125" style="349" customWidth="1"/>
    <col min="15883" max="15883" width="3.42578125" style="349" bestFit="1" customWidth="1"/>
    <col min="15884" max="16099" width="9.140625" style="349"/>
    <col min="16100" max="16138" width="2.42578125" style="349" customWidth="1"/>
    <col min="16139" max="16139" width="3.42578125" style="349" bestFit="1" customWidth="1"/>
    <col min="16140" max="16384" width="9.140625" style="349"/>
  </cols>
  <sheetData>
    <row r="1" spans="1:7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18"/>
      <c r="BA1" s="318"/>
      <c r="BB1" s="321"/>
      <c r="BC1" s="322"/>
    </row>
    <row r="2" spans="1:7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18"/>
      <c r="AZ2" s="318"/>
      <c r="BA2" s="318"/>
      <c r="BB2" s="321"/>
      <c r="BC2" s="322"/>
    </row>
    <row r="3" spans="1:7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18"/>
      <c r="AP3" s="318"/>
      <c r="AQ3" s="318"/>
      <c r="AR3" s="318"/>
      <c r="AS3" s="318"/>
      <c r="AT3" s="318"/>
      <c r="AU3" s="318"/>
      <c r="AV3" s="318"/>
      <c r="AW3" s="318"/>
      <c r="AX3" s="318"/>
      <c r="AY3" s="318"/>
      <c r="AZ3" s="318"/>
      <c r="BA3" s="318"/>
      <c r="BB3" s="321"/>
      <c r="BC3" s="322"/>
    </row>
    <row r="4" spans="1:7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318"/>
      <c r="AX4" s="318"/>
      <c r="AY4" s="318"/>
      <c r="AZ4" s="318"/>
      <c r="BA4" s="318"/>
      <c r="BB4" s="321"/>
      <c r="BC4" s="322"/>
    </row>
    <row r="5" spans="1:7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21"/>
      <c r="BC5" s="322"/>
    </row>
    <row r="6" spans="1:76" ht="15.75" thickBot="1" x14ac:dyDescent="0.3">
      <c r="A6" s="351" t="s">
        <v>316</v>
      </c>
      <c r="B6" s="352"/>
      <c r="C6" s="352"/>
      <c r="D6" s="352"/>
      <c r="E6" s="352"/>
      <c r="F6" s="352"/>
      <c r="G6" s="352"/>
      <c r="H6" s="352"/>
      <c r="I6" s="634" t="s">
        <v>405</v>
      </c>
      <c r="J6" s="634"/>
      <c r="K6" s="634"/>
      <c r="L6" s="634"/>
      <c r="M6" s="634"/>
      <c r="N6" s="634" t="s">
        <v>406</v>
      </c>
      <c r="O6" s="634"/>
      <c r="P6" s="634"/>
      <c r="Q6" s="634"/>
      <c r="R6" s="634"/>
      <c r="S6" s="634" t="s">
        <v>407</v>
      </c>
      <c r="T6" s="634"/>
      <c r="U6" s="634"/>
      <c r="V6" s="634"/>
      <c r="W6" s="634"/>
      <c r="X6" s="634" t="s">
        <v>419</v>
      </c>
      <c r="Y6" s="634"/>
      <c r="Z6" s="634"/>
      <c r="AA6" s="634"/>
      <c r="AB6" s="634"/>
      <c r="AC6" s="634" t="s">
        <v>420</v>
      </c>
      <c r="AD6" s="634"/>
      <c r="AE6" s="634"/>
      <c r="AF6" s="634"/>
      <c r="AG6" s="634"/>
      <c r="AH6" s="457"/>
      <c r="AI6" s="457"/>
      <c r="AJ6" s="457"/>
      <c r="AK6" s="457"/>
      <c r="AL6" s="457"/>
      <c r="AM6" s="457"/>
      <c r="AN6" s="457"/>
      <c r="AO6" s="457"/>
      <c r="AP6" s="470"/>
      <c r="AQ6" s="457"/>
      <c r="AR6" s="457"/>
      <c r="AS6" s="457"/>
      <c r="AT6" s="457"/>
      <c r="AU6" s="634" t="s">
        <v>444</v>
      </c>
      <c r="AV6" s="634"/>
      <c r="AW6" s="634"/>
      <c r="AX6" s="634"/>
      <c r="AY6" s="634"/>
      <c r="AZ6" s="634" t="s">
        <v>445</v>
      </c>
      <c r="BA6" s="634"/>
      <c r="BB6" s="634"/>
      <c r="BC6" s="634"/>
      <c r="BD6" s="634"/>
      <c r="BE6" s="634" t="s">
        <v>446</v>
      </c>
      <c r="BF6" s="634"/>
      <c r="BG6" s="634"/>
      <c r="BH6" s="634"/>
      <c r="BI6" s="634"/>
      <c r="BJ6" s="634" t="s">
        <v>447</v>
      </c>
      <c r="BK6" s="634"/>
      <c r="BL6" s="634"/>
      <c r="BM6" s="634"/>
      <c r="BN6" s="634"/>
      <c r="BO6" s="634" t="s">
        <v>448</v>
      </c>
      <c r="BP6" s="634"/>
      <c r="BQ6" s="634"/>
      <c r="BR6" s="634"/>
      <c r="BS6" s="634"/>
      <c r="BT6" s="634" t="s">
        <v>449</v>
      </c>
      <c r="BU6" s="634"/>
      <c r="BV6" s="634"/>
      <c r="BW6" s="634"/>
      <c r="BX6" s="634"/>
    </row>
    <row r="7" spans="1:76" s="361" customFormat="1" ht="120" x14ac:dyDescent="0.25">
      <c r="A7" s="354" t="s">
        <v>295</v>
      </c>
      <c r="B7" s="356" t="s">
        <v>296</v>
      </c>
      <c r="C7" s="356" t="s">
        <v>302</v>
      </c>
      <c r="D7" s="356"/>
      <c r="E7" s="449" t="s">
        <v>538</v>
      </c>
      <c r="F7" s="450" t="s">
        <v>539</v>
      </c>
      <c r="G7" s="451" t="s">
        <v>540</v>
      </c>
      <c r="H7" s="452" t="s">
        <v>541</v>
      </c>
      <c r="I7" s="353" t="s">
        <v>408</v>
      </c>
      <c r="J7" s="358" t="s">
        <v>409</v>
      </c>
      <c r="K7" s="359" t="s">
        <v>410</v>
      </c>
      <c r="L7" s="359" t="s">
        <v>418</v>
      </c>
      <c r="M7" s="353" t="s">
        <v>414</v>
      </c>
      <c r="N7" s="353" t="s">
        <v>408</v>
      </c>
      <c r="O7" s="358" t="s">
        <v>409</v>
      </c>
      <c r="P7" s="359" t="s">
        <v>410</v>
      </c>
      <c r="Q7" s="359" t="s">
        <v>418</v>
      </c>
      <c r="R7" s="353" t="s">
        <v>414</v>
      </c>
      <c r="S7" s="353" t="s">
        <v>408</v>
      </c>
      <c r="T7" s="358" t="s">
        <v>409</v>
      </c>
      <c r="U7" s="359" t="s">
        <v>410</v>
      </c>
      <c r="V7" s="359" t="s">
        <v>418</v>
      </c>
      <c r="W7" s="353" t="s">
        <v>414</v>
      </c>
      <c r="X7" s="353" t="s">
        <v>408</v>
      </c>
      <c r="Y7" s="358" t="s">
        <v>409</v>
      </c>
      <c r="Z7" s="359" t="s">
        <v>410</v>
      </c>
      <c r="AA7" s="359" t="s">
        <v>418</v>
      </c>
      <c r="AB7" s="353" t="s">
        <v>414</v>
      </c>
      <c r="AC7" s="353" t="s">
        <v>408</v>
      </c>
      <c r="AD7" s="358" t="s">
        <v>409</v>
      </c>
      <c r="AE7" s="359" t="s">
        <v>410</v>
      </c>
      <c r="AF7" s="359" t="s">
        <v>418</v>
      </c>
      <c r="AG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440" t="s">
        <v>548</v>
      </c>
      <c r="AR7" s="471" t="s">
        <v>549</v>
      </c>
      <c r="AS7" s="445" t="s">
        <v>536</v>
      </c>
      <c r="AT7" s="446" t="s">
        <v>537</v>
      </c>
      <c r="AU7" s="353" t="s">
        <v>408</v>
      </c>
      <c r="AV7" s="358" t="s">
        <v>409</v>
      </c>
      <c r="AW7" s="359" t="s">
        <v>410</v>
      </c>
      <c r="AX7" s="359" t="s">
        <v>418</v>
      </c>
      <c r="AY7" s="353" t="s">
        <v>414</v>
      </c>
      <c r="AZ7" s="353" t="s">
        <v>408</v>
      </c>
      <c r="BA7" s="358" t="s">
        <v>409</v>
      </c>
      <c r="BB7" s="359" t="s">
        <v>410</v>
      </c>
      <c r="BC7" s="359" t="s">
        <v>418</v>
      </c>
      <c r="BD7" s="353" t="s">
        <v>414</v>
      </c>
      <c r="BE7" s="353" t="s">
        <v>408</v>
      </c>
      <c r="BF7" s="358" t="s">
        <v>409</v>
      </c>
      <c r="BG7" s="359" t="s">
        <v>410</v>
      </c>
      <c r="BH7" s="359" t="s">
        <v>418</v>
      </c>
      <c r="BI7" s="353" t="s">
        <v>414</v>
      </c>
      <c r="BJ7" s="353" t="s">
        <v>408</v>
      </c>
      <c r="BK7" s="358" t="s">
        <v>409</v>
      </c>
      <c r="BL7" s="359" t="s">
        <v>410</v>
      </c>
      <c r="BM7" s="359" t="s">
        <v>418</v>
      </c>
      <c r="BN7" s="353" t="s">
        <v>414</v>
      </c>
      <c r="BO7" s="353" t="s">
        <v>408</v>
      </c>
      <c r="BP7" s="358" t="s">
        <v>409</v>
      </c>
      <c r="BQ7" s="359" t="s">
        <v>410</v>
      </c>
      <c r="BR7" s="359" t="s">
        <v>418</v>
      </c>
      <c r="BS7" s="353" t="s">
        <v>414</v>
      </c>
      <c r="BT7" s="353" t="s">
        <v>408</v>
      </c>
      <c r="BU7" s="358" t="s">
        <v>409</v>
      </c>
      <c r="BV7" s="359" t="s">
        <v>410</v>
      </c>
      <c r="BW7" s="359" t="s">
        <v>418</v>
      </c>
      <c r="BX7" s="353" t="s">
        <v>414</v>
      </c>
    </row>
    <row r="8" spans="1:76" ht="315" x14ac:dyDescent="0.25">
      <c r="A8" s="362" t="s">
        <v>317</v>
      </c>
      <c r="B8" s="381" t="s">
        <v>472</v>
      </c>
      <c r="C8" s="363">
        <v>1</v>
      </c>
      <c r="D8" s="363"/>
      <c r="E8" s="453" t="str">
        <f>IF(AND(AO8="IRR",SUM(AH8:AJ8)&gt;0),AP8,IF(AND(AO8="IRR",AQ8&lt;&gt;""),AQ8*'[5]Basic INFO'!$E$127,IF(AO8="IRR",AS8,"")))</f>
        <v/>
      </c>
      <c r="F8" s="454">
        <f>IF(AND(AO8="EUR",SUM(AH8:AJ8)&gt;0),AP8,IF(AND(AO8="EUR",AR8&lt;&gt;""),AR8*'[5]Basic INFO'!$C$138,IF(AO8="EUR",AT8,"")))</f>
        <v>1932650.5</v>
      </c>
      <c r="G8" s="455" t="str">
        <f t="shared" ref="G8" si="0">IF(AO8="IRR",C8*E8,"")</f>
        <v/>
      </c>
      <c r="H8" s="456">
        <f t="shared" ref="H8" si="1">IF(AO8="EUR",C8*F8,"")</f>
        <v>1932650.5</v>
      </c>
      <c r="I8" s="399" t="s">
        <v>452</v>
      </c>
      <c r="J8" s="399"/>
      <c r="K8" s="360">
        <v>1815301</v>
      </c>
      <c r="L8" s="399"/>
      <c r="M8" s="416">
        <v>45686</v>
      </c>
      <c r="N8" s="399" t="s">
        <v>411</v>
      </c>
      <c r="O8" s="399"/>
      <c r="P8" s="360">
        <v>2050000</v>
      </c>
      <c r="Q8" s="399"/>
      <c r="R8" s="416">
        <v>45716</v>
      </c>
      <c r="S8" s="399" t="s">
        <v>454</v>
      </c>
      <c r="T8" s="399"/>
      <c r="U8" s="399"/>
      <c r="V8" s="399"/>
      <c r="W8" s="399" t="s">
        <v>438</v>
      </c>
      <c r="X8" s="399" t="s">
        <v>455</v>
      </c>
      <c r="Y8" s="399"/>
      <c r="Z8" s="399"/>
      <c r="AA8" s="399"/>
      <c r="AB8" s="427" t="s">
        <v>433</v>
      </c>
      <c r="AC8" s="427" t="s">
        <v>457</v>
      </c>
      <c r="AD8" s="427"/>
      <c r="AE8" s="427"/>
      <c r="AF8" s="427"/>
      <c r="AG8" s="427" t="s">
        <v>433</v>
      </c>
      <c r="AH8" s="441">
        <f>IF(B8="","",COUNT(J8,O8,T8,Y8,AD8))</f>
        <v>0</v>
      </c>
      <c r="AI8" s="442">
        <f>IF(B8="","",COUNT(K8,P8,U8,Z8,AE8))</f>
        <v>2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1932650.5</v>
      </c>
      <c r="AM8" s="442" t="str">
        <f>IF(AND(AJ8&lt;&gt;"",AJ8&gt;0),AVERAGE(L8,Q8,V8,AA8,AF8)/'[5]Basic INFO'!$C$103,"")</f>
        <v/>
      </c>
      <c r="AN8" s="442">
        <f>IF(SUM(AH8:AJ8)&lt;&gt;0,AVERAGE(AK8:AM8),"")</f>
        <v>1932650.5</v>
      </c>
      <c r="AO8" s="472" t="s">
        <v>526</v>
      </c>
      <c r="AP8" s="444">
        <f>IF(B8="","",IF(SUM(AH8:AJ8)=0,"",IF(AO8="IRR",AN8*('[5]Basic INFO'!$C$101*'[5]Basic INFO'!$C$103),IF(AO8="EUR",AN8,AP8))))</f>
        <v>1932650.5</v>
      </c>
      <c r="AQ8" s="473"/>
      <c r="AR8" s="474">
        <v>2500000</v>
      </c>
      <c r="AS8" s="447"/>
      <c r="AT8" s="448"/>
      <c r="AU8" s="427" t="s">
        <v>456</v>
      </c>
      <c r="AV8" s="427"/>
      <c r="AW8" s="427"/>
      <c r="AX8" s="427"/>
      <c r="AY8" s="427" t="s">
        <v>433</v>
      </c>
      <c r="AZ8" s="427" t="s">
        <v>458</v>
      </c>
      <c r="BA8" s="427"/>
      <c r="BB8" s="427"/>
      <c r="BC8" s="427"/>
      <c r="BD8" s="427" t="s">
        <v>433</v>
      </c>
      <c r="BE8" s="427" t="s">
        <v>459</v>
      </c>
      <c r="BF8" s="427"/>
      <c r="BG8" s="427"/>
      <c r="BH8" s="427"/>
      <c r="BI8" s="427" t="s">
        <v>433</v>
      </c>
      <c r="BJ8" s="427" t="s">
        <v>460</v>
      </c>
      <c r="BK8" s="427"/>
      <c r="BL8" s="427"/>
      <c r="BM8" s="427"/>
      <c r="BN8" s="427" t="s">
        <v>433</v>
      </c>
      <c r="BO8" s="427" t="s">
        <v>461</v>
      </c>
      <c r="BP8" s="427"/>
      <c r="BQ8" s="427"/>
      <c r="BR8" s="427"/>
      <c r="BS8" s="427" t="s">
        <v>433</v>
      </c>
      <c r="BT8" s="427" t="s">
        <v>462</v>
      </c>
      <c r="BU8" s="399"/>
      <c r="BV8" s="399"/>
      <c r="BW8" s="399"/>
      <c r="BX8" s="427" t="s">
        <v>433</v>
      </c>
    </row>
    <row r="9" spans="1:76" x14ac:dyDescent="0.25">
      <c r="A9" s="457"/>
      <c r="B9" s="458" t="s">
        <v>542</v>
      </c>
      <c r="C9" s="457"/>
      <c r="D9" s="457"/>
      <c r="E9" s="459"/>
      <c r="F9" s="460"/>
      <c r="G9" s="461">
        <f>SUM(G8)</f>
        <v>0</v>
      </c>
      <c r="H9" s="462">
        <f>SUM(H8)</f>
        <v>1932650.5</v>
      </c>
    </row>
    <row r="10" spans="1:76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</row>
    <row r="11" spans="1:76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</row>
    <row r="12" spans="1:76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0</v>
      </c>
      <c r="H12" s="469">
        <f>ROUND(H9*H10*(1+H11)/1000,0)*1000</f>
        <v>2509000</v>
      </c>
    </row>
    <row r="13" spans="1:76" x14ac:dyDescent="0.25">
      <c r="G13" s="461">
        <f>ROUND(SUMIF(AP:AP,"&gt;0",G:G)*G10*(1+G11)/1000000,0)*1000000</f>
        <v>0</v>
      </c>
      <c r="H13" s="462">
        <f>ROUND(SUMIF(AP:AP,"&gt;0",H:H)*H10*(1+H11)/1000,0)*1000</f>
        <v>2509000</v>
      </c>
    </row>
  </sheetData>
  <mergeCells count="11">
    <mergeCell ref="I6:M6"/>
    <mergeCell ref="N6:R6"/>
    <mergeCell ref="S6:W6"/>
    <mergeCell ref="X6:AB6"/>
    <mergeCell ref="BO6:BS6"/>
    <mergeCell ref="BT6:BX6"/>
    <mergeCell ref="AC6:AG6"/>
    <mergeCell ref="AU6:AY6"/>
    <mergeCell ref="AZ6:BD6"/>
    <mergeCell ref="BE6:BI6"/>
    <mergeCell ref="BJ6:BN6"/>
  </mergeCells>
  <dataValidations disablePrompts="1" count="1">
    <dataValidation type="list" allowBlank="1" showInputMessage="1" showErrorMessage="1" sqref="WBM983032:WBN983035 JD65528:JE65531 SZ65528:TA65531 ACV65528:ACW65531 AMR65528:AMS65531 AWN65528:AWO65531 BGJ65528:BGK65531 BQF65528:BQG65531 CAB65528:CAC65531 CJX65528:CJY65531 CTT65528:CTU65531 DDP65528:DDQ65531 DNL65528:DNM65531 DXH65528:DXI65531 EHD65528:EHE65531 EQZ65528:ERA65531 FAV65528:FAW65531 FKR65528:FKS65531 FUN65528:FUO65531 GEJ65528:GEK65531 GOF65528:GOG65531 GYB65528:GYC65531 HHX65528:HHY65531 HRT65528:HRU65531 IBP65528:IBQ65531 ILL65528:ILM65531 IVH65528:IVI65531 JFD65528:JFE65531 JOZ65528:JPA65531 JYV65528:JYW65531 KIR65528:KIS65531 KSN65528:KSO65531 LCJ65528:LCK65531 LMF65528:LMG65531 LWB65528:LWC65531 MFX65528:MFY65531 MPT65528:MPU65531 MZP65528:MZQ65531 NJL65528:NJM65531 NTH65528:NTI65531 ODD65528:ODE65531 OMZ65528:ONA65531 OWV65528:OWW65531 PGR65528:PGS65531 PQN65528:PQO65531 QAJ65528:QAK65531 QKF65528:QKG65531 QUB65528:QUC65531 RDX65528:RDY65531 RNT65528:RNU65531 RXP65528:RXQ65531 SHL65528:SHM65531 SRH65528:SRI65531 TBD65528:TBE65531 TKZ65528:TLA65531 TUV65528:TUW65531 UER65528:UES65531 UON65528:UOO65531 UYJ65528:UYK65531 VIF65528:VIG65531 VSB65528:VSC65531 WBX65528:WBY65531 WLT65528:WLU65531 WVP65528:WVQ65531 JD131064:JE131067 SZ131064:TA131067 ACV131064:ACW131067 AMR131064:AMS131067 AWN131064:AWO131067 BGJ131064:BGK131067 BQF131064:BQG131067 CAB131064:CAC131067 CJX131064:CJY131067 CTT131064:CTU131067 DDP131064:DDQ131067 DNL131064:DNM131067 DXH131064:DXI131067 EHD131064:EHE131067 EQZ131064:ERA131067 FAV131064:FAW131067 FKR131064:FKS131067 FUN131064:FUO131067 GEJ131064:GEK131067 GOF131064:GOG131067 GYB131064:GYC131067 HHX131064:HHY131067 HRT131064:HRU131067 IBP131064:IBQ131067 ILL131064:ILM131067 IVH131064:IVI131067 JFD131064:JFE131067 JOZ131064:JPA131067 JYV131064:JYW131067 KIR131064:KIS131067 KSN131064:KSO131067 LCJ131064:LCK131067 LMF131064:LMG131067 LWB131064:LWC131067 MFX131064:MFY131067 MPT131064:MPU131067 MZP131064:MZQ131067 NJL131064:NJM131067 NTH131064:NTI131067 ODD131064:ODE131067 OMZ131064:ONA131067 OWV131064:OWW131067 PGR131064:PGS131067 PQN131064:PQO131067 QAJ131064:QAK131067 QKF131064:QKG131067 QUB131064:QUC131067 RDX131064:RDY131067 RNT131064:RNU131067 RXP131064:RXQ131067 SHL131064:SHM131067 SRH131064:SRI131067 TBD131064:TBE131067 TKZ131064:TLA131067 TUV131064:TUW131067 UER131064:UES131067 UON131064:UOO131067 UYJ131064:UYK131067 VIF131064:VIG131067 VSB131064:VSC131067 WBX131064:WBY131067 WLT131064:WLU131067 WVP131064:WVQ131067 JD196600:JE196603 SZ196600:TA196603 ACV196600:ACW196603 AMR196600:AMS196603 AWN196600:AWO196603 BGJ196600:BGK196603 BQF196600:BQG196603 CAB196600:CAC196603 CJX196600:CJY196603 CTT196600:CTU196603 DDP196600:DDQ196603 DNL196600:DNM196603 DXH196600:DXI196603 EHD196600:EHE196603 EQZ196600:ERA196603 FAV196600:FAW196603 FKR196600:FKS196603 FUN196600:FUO196603 GEJ196600:GEK196603 GOF196600:GOG196603 GYB196600:GYC196603 HHX196600:HHY196603 HRT196600:HRU196603 IBP196600:IBQ196603 ILL196600:ILM196603 IVH196600:IVI196603 JFD196600:JFE196603 JOZ196600:JPA196603 JYV196600:JYW196603 KIR196600:KIS196603 KSN196600:KSO196603 LCJ196600:LCK196603 LMF196600:LMG196603 LWB196600:LWC196603 MFX196600:MFY196603 MPT196600:MPU196603 MZP196600:MZQ196603 NJL196600:NJM196603 NTH196600:NTI196603 ODD196600:ODE196603 OMZ196600:ONA196603 OWV196600:OWW196603 PGR196600:PGS196603 PQN196600:PQO196603 QAJ196600:QAK196603 QKF196600:QKG196603 QUB196600:QUC196603 RDX196600:RDY196603 RNT196600:RNU196603 RXP196600:RXQ196603 SHL196600:SHM196603 SRH196600:SRI196603 TBD196600:TBE196603 TKZ196600:TLA196603 TUV196600:TUW196603 UER196600:UES196603 UON196600:UOO196603 UYJ196600:UYK196603 VIF196600:VIG196603 VSB196600:VSC196603 WBX196600:WBY196603 WLT196600:WLU196603 WVP196600:WVQ196603 JD262136:JE262139 SZ262136:TA262139 ACV262136:ACW262139 AMR262136:AMS262139 AWN262136:AWO262139 BGJ262136:BGK262139 BQF262136:BQG262139 CAB262136:CAC262139 CJX262136:CJY262139 CTT262136:CTU262139 DDP262136:DDQ262139 DNL262136:DNM262139 DXH262136:DXI262139 EHD262136:EHE262139 EQZ262136:ERA262139 FAV262136:FAW262139 FKR262136:FKS262139 FUN262136:FUO262139 GEJ262136:GEK262139 GOF262136:GOG262139 GYB262136:GYC262139 HHX262136:HHY262139 HRT262136:HRU262139 IBP262136:IBQ262139 ILL262136:ILM262139 IVH262136:IVI262139 JFD262136:JFE262139 JOZ262136:JPA262139 JYV262136:JYW262139 KIR262136:KIS262139 KSN262136:KSO262139 LCJ262136:LCK262139 LMF262136:LMG262139 LWB262136:LWC262139 MFX262136:MFY262139 MPT262136:MPU262139 MZP262136:MZQ262139 NJL262136:NJM262139 NTH262136:NTI262139 ODD262136:ODE262139 OMZ262136:ONA262139 OWV262136:OWW262139 PGR262136:PGS262139 PQN262136:PQO262139 QAJ262136:QAK262139 QKF262136:QKG262139 QUB262136:QUC262139 RDX262136:RDY262139 RNT262136:RNU262139 RXP262136:RXQ262139 SHL262136:SHM262139 SRH262136:SRI262139 TBD262136:TBE262139 TKZ262136:TLA262139 TUV262136:TUW262139 UER262136:UES262139 UON262136:UOO262139 UYJ262136:UYK262139 VIF262136:VIG262139 VSB262136:VSC262139 WBX262136:WBY262139 WLT262136:WLU262139 WVP262136:WVQ262139 JD327672:JE327675 SZ327672:TA327675 ACV327672:ACW327675 AMR327672:AMS327675 AWN327672:AWO327675 BGJ327672:BGK327675 BQF327672:BQG327675 CAB327672:CAC327675 CJX327672:CJY327675 CTT327672:CTU327675 DDP327672:DDQ327675 DNL327672:DNM327675 DXH327672:DXI327675 EHD327672:EHE327675 EQZ327672:ERA327675 FAV327672:FAW327675 FKR327672:FKS327675 FUN327672:FUO327675 GEJ327672:GEK327675 GOF327672:GOG327675 GYB327672:GYC327675 HHX327672:HHY327675 HRT327672:HRU327675 IBP327672:IBQ327675 ILL327672:ILM327675 IVH327672:IVI327675 JFD327672:JFE327675 JOZ327672:JPA327675 JYV327672:JYW327675 KIR327672:KIS327675 KSN327672:KSO327675 LCJ327672:LCK327675 LMF327672:LMG327675 LWB327672:LWC327675 MFX327672:MFY327675 MPT327672:MPU327675 MZP327672:MZQ327675 NJL327672:NJM327675 NTH327672:NTI327675 ODD327672:ODE327675 OMZ327672:ONA327675 OWV327672:OWW327675 PGR327672:PGS327675 PQN327672:PQO327675 QAJ327672:QAK327675 QKF327672:QKG327675 QUB327672:QUC327675 RDX327672:RDY327675 RNT327672:RNU327675 RXP327672:RXQ327675 SHL327672:SHM327675 SRH327672:SRI327675 TBD327672:TBE327675 TKZ327672:TLA327675 TUV327672:TUW327675 UER327672:UES327675 UON327672:UOO327675 UYJ327672:UYK327675 VIF327672:VIG327675 VSB327672:VSC327675 WBX327672:WBY327675 WLT327672:WLU327675 WVP327672:WVQ327675 JD393208:JE393211 SZ393208:TA393211 ACV393208:ACW393211 AMR393208:AMS393211 AWN393208:AWO393211 BGJ393208:BGK393211 BQF393208:BQG393211 CAB393208:CAC393211 CJX393208:CJY393211 CTT393208:CTU393211 DDP393208:DDQ393211 DNL393208:DNM393211 DXH393208:DXI393211 EHD393208:EHE393211 EQZ393208:ERA393211 FAV393208:FAW393211 FKR393208:FKS393211 FUN393208:FUO393211 GEJ393208:GEK393211 GOF393208:GOG393211 GYB393208:GYC393211 HHX393208:HHY393211 HRT393208:HRU393211 IBP393208:IBQ393211 ILL393208:ILM393211 IVH393208:IVI393211 JFD393208:JFE393211 JOZ393208:JPA393211 JYV393208:JYW393211 KIR393208:KIS393211 KSN393208:KSO393211 LCJ393208:LCK393211 LMF393208:LMG393211 LWB393208:LWC393211 MFX393208:MFY393211 MPT393208:MPU393211 MZP393208:MZQ393211 NJL393208:NJM393211 NTH393208:NTI393211 ODD393208:ODE393211 OMZ393208:ONA393211 OWV393208:OWW393211 PGR393208:PGS393211 PQN393208:PQO393211 QAJ393208:QAK393211 QKF393208:QKG393211 QUB393208:QUC393211 RDX393208:RDY393211 RNT393208:RNU393211 RXP393208:RXQ393211 SHL393208:SHM393211 SRH393208:SRI393211 TBD393208:TBE393211 TKZ393208:TLA393211 TUV393208:TUW393211 UER393208:UES393211 UON393208:UOO393211 UYJ393208:UYK393211 VIF393208:VIG393211 VSB393208:VSC393211 WBX393208:WBY393211 WLT393208:WLU393211 WVP393208:WVQ393211 JD458744:JE458747 SZ458744:TA458747 ACV458744:ACW458747 AMR458744:AMS458747 AWN458744:AWO458747 BGJ458744:BGK458747 BQF458744:BQG458747 CAB458744:CAC458747 CJX458744:CJY458747 CTT458744:CTU458747 DDP458744:DDQ458747 DNL458744:DNM458747 DXH458744:DXI458747 EHD458744:EHE458747 EQZ458744:ERA458747 FAV458744:FAW458747 FKR458744:FKS458747 FUN458744:FUO458747 GEJ458744:GEK458747 GOF458744:GOG458747 GYB458744:GYC458747 HHX458744:HHY458747 HRT458744:HRU458747 IBP458744:IBQ458747 ILL458744:ILM458747 IVH458744:IVI458747 JFD458744:JFE458747 JOZ458744:JPA458747 JYV458744:JYW458747 KIR458744:KIS458747 KSN458744:KSO458747 LCJ458744:LCK458747 LMF458744:LMG458747 LWB458744:LWC458747 MFX458744:MFY458747 MPT458744:MPU458747 MZP458744:MZQ458747 NJL458744:NJM458747 NTH458744:NTI458747 ODD458744:ODE458747 OMZ458744:ONA458747 OWV458744:OWW458747 PGR458744:PGS458747 PQN458744:PQO458747 QAJ458744:QAK458747 QKF458744:QKG458747 QUB458744:QUC458747 RDX458744:RDY458747 RNT458744:RNU458747 RXP458744:RXQ458747 SHL458744:SHM458747 SRH458744:SRI458747 TBD458744:TBE458747 TKZ458744:TLA458747 TUV458744:TUW458747 UER458744:UES458747 UON458744:UOO458747 UYJ458744:UYK458747 VIF458744:VIG458747 VSB458744:VSC458747 WBX458744:WBY458747 WLT458744:WLU458747 WVP458744:WVQ458747 JD524280:JE524283 SZ524280:TA524283 ACV524280:ACW524283 AMR524280:AMS524283 AWN524280:AWO524283 BGJ524280:BGK524283 BQF524280:BQG524283 CAB524280:CAC524283 CJX524280:CJY524283 CTT524280:CTU524283 DDP524280:DDQ524283 DNL524280:DNM524283 DXH524280:DXI524283 EHD524280:EHE524283 EQZ524280:ERA524283 FAV524280:FAW524283 FKR524280:FKS524283 FUN524280:FUO524283 GEJ524280:GEK524283 GOF524280:GOG524283 GYB524280:GYC524283 HHX524280:HHY524283 HRT524280:HRU524283 IBP524280:IBQ524283 ILL524280:ILM524283 IVH524280:IVI524283 JFD524280:JFE524283 JOZ524280:JPA524283 JYV524280:JYW524283 KIR524280:KIS524283 KSN524280:KSO524283 LCJ524280:LCK524283 LMF524280:LMG524283 LWB524280:LWC524283 MFX524280:MFY524283 MPT524280:MPU524283 MZP524280:MZQ524283 NJL524280:NJM524283 NTH524280:NTI524283 ODD524280:ODE524283 OMZ524280:ONA524283 OWV524280:OWW524283 PGR524280:PGS524283 PQN524280:PQO524283 QAJ524280:QAK524283 QKF524280:QKG524283 QUB524280:QUC524283 RDX524280:RDY524283 RNT524280:RNU524283 RXP524280:RXQ524283 SHL524280:SHM524283 SRH524280:SRI524283 TBD524280:TBE524283 TKZ524280:TLA524283 TUV524280:TUW524283 UER524280:UES524283 UON524280:UOO524283 UYJ524280:UYK524283 VIF524280:VIG524283 VSB524280:VSC524283 WBX524280:WBY524283 WLT524280:WLU524283 WVP524280:WVQ524283 JD589816:JE589819 SZ589816:TA589819 ACV589816:ACW589819 AMR589816:AMS589819 AWN589816:AWO589819 BGJ589816:BGK589819 BQF589816:BQG589819 CAB589816:CAC589819 CJX589816:CJY589819 CTT589816:CTU589819 DDP589816:DDQ589819 DNL589816:DNM589819 DXH589816:DXI589819 EHD589816:EHE589819 EQZ589816:ERA589819 FAV589816:FAW589819 FKR589816:FKS589819 FUN589816:FUO589819 GEJ589816:GEK589819 GOF589816:GOG589819 GYB589816:GYC589819 HHX589816:HHY589819 HRT589816:HRU589819 IBP589816:IBQ589819 ILL589816:ILM589819 IVH589816:IVI589819 JFD589816:JFE589819 JOZ589816:JPA589819 JYV589816:JYW589819 KIR589816:KIS589819 KSN589816:KSO589819 LCJ589816:LCK589819 LMF589816:LMG589819 LWB589816:LWC589819 MFX589816:MFY589819 MPT589816:MPU589819 MZP589816:MZQ589819 NJL589816:NJM589819 NTH589816:NTI589819 ODD589816:ODE589819 OMZ589816:ONA589819 OWV589816:OWW589819 PGR589816:PGS589819 PQN589816:PQO589819 QAJ589816:QAK589819 QKF589816:QKG589819 QUB589816:QUC589819 RDX589816:RDY589819 RNT589816:RNU589819 RXP589816:RXQ589819 SHL589816:SHM589819 SRH589816:SRI589819 TBD589816:TBE589819 TKZ589816:TLA589819 TUV589816:TUW589819 UER589816:UES589819 UON589816:UOO589819 UYJ589816:UYK589819 VIF589816:VIG589819 VSB589816:VSC589819 WBX589816:WBY589819 WLT589816:WLU589819 WVP589816:WVQ589819 JD655352:JE655355 SZ655352:TA655355 ACV655352:ACW655355 AMR655352:AMS655355 AWN655352:AWO655355 BGJ655352:BGK655355 BQF655352:BQG655355 CAB655352:CAC655355 CJX655352:CJY655355 CTT655352:CTU655355 DDP655352:DDQ655355 DNL655352:DNM655355 DXH655352:DXI655355 EHD655352:EHE655355 EQZ655352:ERA655355 FAV655352:FAW655355 FKR655352:FKS655355 FUN655352:FUO655355 GEJ655352:GEK655355 GOF655352:GOG655355 GYB655352:GYC655355 HHX655352:HHY655355 HRT655352:HRU655355 IBP655352:IBQ655355 ILL655352:ILM655355 IVH655352:IVI655355 JFD655352:JFE655355 JOZ655352:JPA655355 JYV655352:JYW655355 KIR655352:KIS655355 KSN655352:KSO655355 LCJ655352:LCK655355 LMF655352:LMG655355 LWB655352:LWC655355 MFX655352:MFY655355 MPT655352:MPU655355 MZP655352:MZQ655355 NJL655352:NJM655355 NTH655352:NTI655355 ODD655352:ODE655355 OMZ655352:ONA655355 OWV655352:OWW655355 PGR655352:PGS655355 PQN655352:PQO655355 QAJ655352:QAK655355 QKF655352:QKG655355 QUB655352:QUC655355 RDX655352:RDY655355 RNT655352:RNU655355 RXP655352:RXQ655355 SHL655352:SHM655355 SRH655352:SRI655355 TBD655352:TBE655355 TKZ655352:TLA655355 TUV655352:TUW655355 UER655352:UES655355 UON655352:UOO655355 UYJ655352:UYK655355 VIF655352:VIG655355 VSB655352:VSC655355 WBX655352:WBY655355 WLT655352:WLU655355 WVP655352:WVQ655355 JD720888:JE720891 SZ720888:TA720891 ACV720888:ACW720891 AMR720888:AMS720891 AWN720888:AWO720891 BGJ720888:BGK720891 BQF720888:BQG720891 CAB720888:CAC720891 CJX720888:CJY720891 CTT720888:CTU720891 DDP720888:DDQ720891 DNL720888:DNM720891 DXH720888:DXI720891 EHD720888:EHE720891 EQZ720888:ERA720891 FAV720888:FAW720891 FKR720888:FKS720891 FUN720888:FUO720891 GEJ720888:GEK720891 GOF720888:GOG720891 GYB720888:GYC720891 HHX720888:HHY720891 HRT720888:HRU720891 IBP720888:IBQ720891 ILL720888:ILM720891 IVH720888:IVI720891 JFD720888:JFE720891 JOZ720888:JPA720891 JYV720888:JYW720891 KIR720888:KIS720891 KSN720888:KSO720891 LCJ720888:LCK720891 LMF720888:LMG720891 LWB720888:LWC720891 MFX720888:MFY720891 MPT720888:MPU720891 MZP720888:MZQ720891 NJL720888:NJM720891 NTH720888:NTI720891 ODD720888:ODE720891 OMZ720888:ONA720891 OWV720888:OWW720891 PGR720888:PGS720891 PQN720888:PQO720891 QAJ720888:QAK720891 QKF720888:QKG720891 QUB720888:QUC720891 RDX720888:RDY720891 RNT720888:RNU720891 RXP720888:RXQ720891 SHL720888:SHM720891 SRH720888:SRI720891 TBD720888:TBE720891 TKZ720888:TLA720891 TUV720888:TUW720891 UER720888:UES720891 UON720888:UOO720891 UYJ720888:UYK720891 VIF720888:VIG720891 VSB720888:VSC720891 WBX720888:WBY720891 WLT720888:WLU720891 WVP720888:WVQ720891 JD786424:JE786427 SZ786424:TA786427 ACV786424:ACW786427 AMR786424:AMS786427 AWN786424:AWO786427 BGJ786424:BGK786427 BQF786424:BQG786427 CAB786424:CAC786427 CJX786424:CJY786427 CTT786424:CTU786427 DDP786424:DDQ786427 DNL786424:DNM786427 DXH786424:DXI786427 EHD786424:EHE786427 EQZ786424:ERA786427 FAV786424:FAW786427 FKR786424:FKS786427 FUN786424:FUO786427 GEJ786424:GEK786427 GOF786424:GOG786427 GYB786424:GYC786427 HHX786424:HHY786427 HRT786424:HRU786427 IBP786424:IBQ786427 ILL786424:ILM786427 IVH786424:IVI786427 JFD786424:JFE786427 JOZ786424:JPA786427 JYV786424:JYW786427 KIR786424:KIS786427 KSN786424:KSO786427 LCJ786424:LCK786427 LMF786424:LMG786427 LWB786424:LWC786427 MFX786424:MFY786427 MPT786424:MPU786427 MZP786424:MZQ786427 NJL786424:NJM786427 NTH786424:NTI786427 ODD786424:ODE786427 OMZ786424:ONA786427 OWV786424:OWW786427 PGR786424:PGS786427 PQN786424:PQO786427 QAJ786424:QAK786427 QKF786424:QKG786427 QUB786424:QUC786427 RDX786424:RDY786427 RNT786424:RNU786427 RXP786424:RXQ786427 SHL786424:SHM786427 SRH786424:SRI786427 TBD786424:TBE786427 TKZ786424:TLA786427 TUV786424:TUW786427 UER786424:UES786427 UON786424:UOO786427 UYJ786424:UYK786427 VIF786424:VIG786427 VSB786424:VSC786427 WBX786424:WBY786427 WLT786424:WLU786427 WVP786424:WVQ786427 JD851960:JE851963 SZ851960:TA851963 ACV851960:ACW851963 AMR851960:AMS851963 AWN851960:AWO851963 BGJ851960:BGK851963 BQF851960:BQG851963 CAB851960:CAC851963 CJX851960:CJY851963 CTT851960:CTU851963 DDP851960:DDQ851963 DNL851960:DNM851963 DXH851960:DXI851963 EHD851960:EHE851963 EQZ851960:ERA851963 FAV851960:FAW851963 FKR851960:FKS851963 FUN851960:FUO851963 GEJ851960:GEK851963 GOF851960:GOG851963 GYB851960:GYC851963 HHX851960:HHY851963 HRT851960:HRU851963 IBP851960:IBQ851963 ILL851960:ILM851963 IVH851960:IVI851963 JFD851960:JFE851963 JOZ851960:JPA851963 JYV851960:JYW851963 KIR851960:KIS851963 KSN851960:KSO851963 LCJ851960:LCK851963 LMF851960:LMG851963 LWB851960:LWC851963 MFX851960:MFY851963 MPT851960:MPU851963 MZP851960:MZQ851963 NJL851960:NJM851963 NTH851960:NTI851963 ODD851960:ODE851963 OMZ851960:ONA851963 OWV851960:OWW851963 PGR851960:PGS851963 PQN851960:PQO851963 QAJ851960:QAK851963 QKF851960:QKG851963 QUB851960:QUC851963 RDX851960:RDY851963 RNT851960:RNU851963 RXP851960:RXQ851963 SHL851960:SHM851963 SRH851960:SRI851963 TBD851960:TBE851963 TKZ851960:TLA851963 TUV851960:TUW851963 UER851960:UES851963 UON851960:UOO851963 UYJ851960:UYK851963 VIF851960:VIG851963 VSB851960:VSC851963 WBX851960:WBY851963 WLT851960:WLU851963 WVP851960:WVQ851963 JD917496:JE917499 SZ917496:TA917499 ACV917496:ACW917499 AMR917496:AMS917499 AWN917496:AWO917499 BGJ917496:BGK917499 BQF917496:BQG917499 CAB917496:CAC917499 CJX917496:CJY917499 CTT917496:CTU917499 DDP917496:DDQ917499 DNL917496:DNM917499 DXH917496:DXI917499 EHD917496:EHE917499 EQZ917496:ERA917499 FAV917496:FAW917499 FKR917496:FKS917499 FUN917496:FUO917499 GEJ917496:GEK917499 GOF917496:GOG917499 GYB917496:GYC917499 HHX917496:HHY917499 HRT917496:HRU917499 IBP917496:IBQ917499 ILL917496:ILM917499 IVH917496:IVI917499 JFD917496:JFE917499 JOZ917496:JPA917499 JYV917496:JYW917499 KIR917496:KIS917499 KSN917496:KSO917499 LCJ917496:LCK917499 LMF917496:LMG917499 LWB917496:LWC917499 MFX917496:MFY917499 MPT917496:MPU917499 MZP917496:MZQ917499 NJL917496:NJM917499 NTH917496:NTI917499 ODD917496:ODE917499 OMZ917496:ONA917499 OWV917496:OWW917499 PGR917496:PGS917499 PQN917496:PQO917499 QAJ917496:QAK917499 QKF917496:QKG917499 QUB917496:QUC917499 RDX917496:RDY917499 RNT917496:RNU917499 RXP917496:RXQ917499 SHL917496:SHM917499 SRH917496:SRI917499 TBD917496:TBE917499 TKZ917496:TLA917499 TUV917496:TUW917499 UER917496:UES917499 UON917496:UOO917499 UYJ917496:UYK917499 VIF917496:VIG917499 VSB917496:VSC917499 WBX917496:WBY917499 WLT917496:WLU917499 WVP917496:WVQ917499 JD983032:JE983035 SZ983032:TA983035 ACV983032:ACW983035 AMR983032:AMS983035 AWN983032:AWO983035 BGJ983032:BGK983035 BQF983032:BQG983035 CAB983032:CAC983035 CJX983032:CJY983035 CTT983032:CTU983035 DDP983032:DDQ983035 DNL983032:DNM983035 DXH983032:DXI983035 EHD983032:EHE983035 EQZ983032:ERA983035 FAV983032:FAW983035 FKR983032:FKS983035 FUN983032:FUO983035 GEJ983032:GEK983035 GOF983032:GOG983035 GYB983032:GYC983035 HHX983032:HHY983035 HRT983032:HRU983035 IBP983032:IBQ983035 ILL983032:ILM983035 IVH983032:IVI983035 JFD983032:JFE983035 JOZ983032:JPA983035 JYV983032:JYW983035 KIR983032:KIS983035 KSN983032:KSO983035 LCJ983032:LCK983035 LMF983032:LMG983035 LWB983032:LWC983035 MFX983032:MFY983035 MPT983032:MPU983035 MZP983032:MZQ983035 NJL983032:NJM983035 NTH983032:NTI983035 ODD983032:ODE983035 OMZ983032:ONA983035 OWV983032:OWW983035 PGR983032:PGS983035 PQN983032:PQO983035 QAJ983032:QAK983035 QKF983032:QKG983035 QUB983032:QUC983035 RDX983032:RDY983035 RNT983032:RNU983035 RXP983032:RXQ983035 SHL983032:SHM983035 SRH983032:SRI983035 TBD983032:TBE983035 TKZ983032:TLA983035 TUV983032:TUW983035 UER983032:UES983035 UON983032:UOO983035 UYJ983032:UYK983035 VIF983032:VIG983035 VSB983032:VSC983035 WBX983032:WBY983035 WLT983032:WLU983035 WVP983032:WVQ983035 WLI983032:WLJ983035 IH65528:II65531 SD65528:SE65531 ABZ65528:ACA65531 ALV65528:ALW65531 AVR65528:AVS65531 BFN65528:BFO65531 BPJ65528:BPK65531 BZF65528:BZG65531 CJB65528:CJC65531 CSX65528:CSY65531 DCT65528:DCU65531 DMP65528:DMQ65531 DWL65528:DWM65531 EGH65528:EGI65531 EQD65528:EQE65531 EZZ65528:FAA65531 FJV65528:FJW65531 FTR65528:FTS65531 GDN65528:GDO65531 GNJ65528:GNK65531 GXF65528:GXG65531 HHB65528:HHC65531 HQX65528:HQY65531 IAT65528:IAU65531 IKP65528:IKQ65531 IUL65528:IUM65531 JEH65528:JEI65531 JOD65528:JOE65531 JXZ65528:JYA65531 KHV65528:KHW65531 KRR65528:KRS65531 LBN65528:LBO65531 LLJ65528:LLK65531 LVF65528:LVG65531 MFB65528:MFC65531 MOX65528:MOY65531 MYT65528:MYU65531 NIP65528:NIQ65531 NSL65528:NSM65531 OCH65528:OCI65531 OMD65528:OME65531 OVZ65528:OWA65531 PFV65528:PFW65531 PPR65528:PPS65531 PZN65528:PZO65531 QJJ65528:QJK65531 QTF65528:QTG65531 RDB65528:RDC65531 RMX65528:RMY65531 RWT65528:RWU65531 SGP65528:SGQ65531 SQL65528:SQM65531 TAH65528:TAI65531 TKD65528:TKE65531 TTZ65528:TUA65531 UDV65528:UDW65531 UNR65528:UNS65531 UXN65528:UXO65531 VHJ65528:VHK65531 VRF65528:VRG65531 WBB65528:WBC65531 WKX65528:WKY65531 WUT65528:WUU65531 IH131064:II131067 SD131064:SE131067 ABZ131064:ACA131067 ALV131064:ALW131067 AVR131064:AVS131067 BFN131064:BFO131067 BPJ131064:BPK131067 BZF131064:BZG131067 CJB131064:CJC131067 CSX131064:CSY131067 DCT131064:DCU131067 DMP131064:DMQ131067 DWL131064:DWM131067 EGH131064:EGI131067 EQD131064:EQE131067 EZZ131064:FAA131067 FJV131064:FJW131067 FTR131064:FTS131067 GDN131064:GDO131067 GNJ131064:GNK131067 GXF131064:GXG131067 HHB131064:HHC131067 HQX131064:HQY131067 IAT131064:IAU131067 IKP131064:IKQ131067 IUL131064:IUM131067 JEH131064:JEI131067 JOD131064:JOE131067 JXZ131064:JYA131067 KHV131064:KHW131067 KRR131064:KRS131067 LBN131064:LBO131067 LLJ131064:LLK131067 LVF131064:LVG131067 MFB131064:MFC131067 MOX131064:MOY131067 MYT131064:MYU131067 NIP131064:NIQ131067 NSL131064:NSM131067 OCH131064:OCI131067 OMD131064:OME131067 OVZ131064:OWA131067 PFV131064:PFW131067 PPR131064:PPS131067 PZN131064:PZO131067 QJJ131064:QJK131067 QTF131064:QTG131067 RDB131064:RDC131067 RMX131064:RMY131067 RWT131064:RWU131067 SGP131064:SGQ131067 SQL131064:SQM131067 TAH131064:TAI131067 TKD131064:TKE131067 TTZ131064:TUA131067 UDV131064:UDW131067 UNR131064:UNS131067 UXN131064:UXO131067 VHJ131064:VHK131067 VRF131064:VRG131067 WBB131064:WBC131067 WKX131064:WKY131067 WUT131064:WUU131067 IH196600:II196603 SD196600:SE196603 ABZ196600:ACA196603 ALV196600:ALW196603 AVR196600:AVS196603 BFN196600:BFO196603 BPJ196600:BPK196603 BZF196600:BZG196603 CJB196600:CJC196603 CSX196600:CSY196603 DCT196600:DCU196603 DMP196600:DMQ196603 DWL196600:DWM196603 EGH196600:EGI196603 EQD196600:EQE196603 EZZ196600:FAA196603 FJV196600:FJW196603 FTR196600:FTS196603 GDN196600:GDO196603 GNJ196600:GNK196603 GXF196600:GXG196603 HHB196600:HHC196603 HQX196600:HQY196603 IAT196600:IAU196603 IKP196600:IKQ196603 IUL196600:IUM196603 JEH196600:JEI196603 JOD196600:JOE196603 JXZ196600:JYA196603 KHV196600:KHW196603 KRR196600:KRS196603 LBN196600:LBO196603 LLJ196600:LLK196603 LVF196600:LVG196603 MFB196600:MFC196603 MOX196600:MOY196603 MYT196600:MYU196603 NIP196600:NIQ196603 NSL196600:NSM196603 OCH196600:OCI196603 OMD196600:OME196603 OVZ196600:OWA196603 PFV196600:PFW196603 PPR196600:PPS196603 PZN196600:PZO196603 QJJ196600:QJK196603 QTF196600:QTG196603 RDB196600:RDC196603 RMX196600:RMY196603 RWT196600:RWU196603 SGP196600:SGQ196603 SQL196600:SQM196603 TAH196600:TAI196603 TKD196600:TKE196603 TTZ196600:TUA196603 UDV196600:UDW196603 UNR196600:UNS196603 UXN196600:UXO196603 VHJ196600:VHK196603 VRF196600:VRG196603 WBB196600:WBC196603 WKX196600:WKY196603 WUT196600:WUU196603 IH262136:II262139 SD262136:SE262139 ABZ262136:ACA262139 ALV262136:ALW262139 AVR262136:AVS262139 BFN262136:BFO262139 BPJ262136:BPK262139 BZF262136:BZG262139 CJB262136:CJC262139 CSX262136:CSY262139 DCT262136:DCU262139 DMP262136:DMQ262139 DWL262136:DWM262139 EGH262136:EGI262139 EQD262136:EQE262139 EZZ262136:FAA262139 FJV262136:FJW262139 FTR262136:FTS262139 GDN262136:GDO262139 GNJ262136:GNK262139 GXF262136:GXG262139 HHB262136:HHC262139 HQX262136:HQY262139 IAT262136:IAU262139 IKP262136:IKQ262139 IUL262136:IUM262139 JEH262136:JEI262139 JOD262136:JOE262139 JXZ262136:JYA262139 KHV262136:KHW262139 KRR262136:KRS262139 LBN262136:LBO262139 LLJ262136:LLK262139 LVF262136:LVG262139 MFB262136:MFC262139 MOX262136:MOY262139 MYT262136:MYU262139 NIP262136:NIQ262139 NSL262136:NSM262139 OCH262136:OCI262139 OMD262136:OME262139 OVZ262136:OWA262139 PFV262136:PFW262139 PPR262136:PPS262139 PZN262136:PZO262139 QJJ262136:QJK262139 QTF262136:QTG262139 RDB262136:RDC262139 RMX262136:RMY262139 RWT262136:RWU262139 SGP262136:SGQ262139 SQL262136:SQM262139 TAH262136:TAI262139 TKD262136:TKE262139 TTZ262136:TUA262139 UDV262136:UDW262139 UNR262136:UNS262139 UXN262136:UXO262139 VHJ262136:VHK262139 VRF262136:VRG262139 WBB262136:WBC262139 WKX262136:WKY262139 WUT262136:WUU262139 IH327672:II327675 SD327672:SE327675 ABZ327672:ACA327675 ALV327672:ALW327675 AVR327672:AVS327675 BFN327672:BFO327675 BPJ327672:BPK327675 BZF327672:BZG327675 CJB327672:CJC327675 CSX327672:CSY327675 DCT327672:DCU327675 DMP327672:DMQ327675 DWL327672:DWM327675 EGH327672:EGI327675 EQD327672:EQE327675 EZZ327672:FAA327675 FJV327672:FJW327675 FTR327672:FTS327675 GDN327672:GDO327675 GNJ327672:GNK327675 GXF327672:GXG327675 HHB327672:HHC327675 HQX327672:HQY327675 IAT327672:IAU327675 IKP327672:IKQ327675 IUL327672:IUM327675 JEH327672:JEI327675 JOD327672:JOE327675 JXZ327672:JYA327675 KHV327672:KHW327675 KRR327672:KRS327675 LBN327672:LBO327675 LLJ327672:LLK327675 LVF327672:LVG327675 MFB327672:MFC327675 MOX327672:MOY327675 MYT327672:MYU327675 NIP327672:NIQ327675 NSL327672:NSM327675 OCH327672:OCI327675 OMD327672:OME327675 OVZ327672:OWA327675 PFV327672:PFW327675 PPR327672:PPS327675 PZN327672:PZO327675 QJJ327672:QJK327675 QTF327672:QTG327675 RDB327672:RDC327675 RMX327672:RMY327675 RWT327672:RWU327675 SGP327672:SGQ327675 SQL327672:SQM327675 TAH327672:TAI327675 TKD327672:TKE327675 TTZ327672:TUA327675 UDV327672:UDW327675 UNR327672:UNS327675 UXN327672:UXO327675 VHJ327672:VHK327675 VRF327672:VRG327675 WBB327672:WBC327675 WKX327672:WKY327675 WUT327672:WUU327675 IH393208:II393211 SD393208:SE393211 ABZ393208:ACA393211 ALV393208:ALW393211 AVR393208:AVS393211 BFN393208:BFO393211 BPJ393208:BPK393211 BZF393208:BZG393211 CJB393208:CJC393211 CSX393208:CSY393211 DCT393208:DCU393211 DMP393208:DMQ393211 DWL393208:DWM393211 EGH393208:EGI393211 EQD393208:EQE393211 EZZ393208:FAA393211 FJV393208:FJW393211 FTR393208:FTS393211 GDN393208:GDO393211 GNJ393208:GNK393211 GXF393208:GXG393211 HHB393208:HHC393211 HQX393208:HQY393211 IAT393208:IAU393211 IKP393208:IKQ393211 IUL393208:IUM393211 JEH393208:JEI393211 JOD393208:JOE393211 JXZ393208:JYA393211 KHV393208:KHW393211 KRR393208:KRS393211 LBN393208:LBO393211 LLJ393208:LLK393211 LVF393208:LVG393211 MFB393208:MFC393211 MOX393208:MOY393211 MYT393208:MYU393211 NIP393208:NIQ393211 NSL393208:NSM393211 OCH393208:OCI393211 OMD393208:OME393211 OVZ393208:OWA393211 PFV393208:PFW393211 PPR393208:PPS393211 PZN393208:PZO393211 QJJ393208:QJK393211 QTF393208:QTG393211 RDB393208:RDC393211 RMX393208:RMY393211 RWT393208:RWU393211 SGP393208:SGQ393211 SQL393208:SQM393211 TAH393208:TAI393211 TKD393208:TKE393211 TTZ393208:TUA393211 UDV393208:UDW393211 UNR393208:UNS393211 UXN393208:UXO393211 VHJ393208:VHK393211 VRF393208:VRG393211 WBB393208:WBC393211 WKX393208:WKY393211 WUT393208:WUU393211 IH458744:II458747 SD458744:SE458747 ABZ458744:ACA458747 ALV458744:ALW458747 AVR458744:AVS458747 BFN458744:BFO458747 BPJ458744:BPK458747 BZF458744:BZG458747 CJB458744:CJC458747 CSX458744:CSY458747 DCT458744:DCU458747 DMP458744:DMQ458747 DWL458744:DWM458747 EGH458744:EGI458747 EQD458744:EQE458747 EZZ458744:FAA458747 FJV458744:FJW458747 FTR458744:FTS458747 GDN458744:GDO458747 GNJ458744:GNK458747 GXF458744:GXG458747 HHB458744:HHC458747 HQX458744:HQY458747 IAT458744:IAU458747 IKP458744:IKQ458747 IUL458744:IUM458747 JEH458744:JEI458747 JOD458744:JOE458747 JXZ458744:JYA458747 KHV458744:KHW458747 KRR458744:KRS458747 LBN458744:LBO458747 LLJ458744:LLK458747 LVF458744:LVG458747 MFB458744:MFC458747 MOX458744:MOY458747 MYT458744:MYU458747 NIP458744:NIQ458747 NSL458744:NSM458747 OCH458744:OCI458747 OMD458744:OME458747 OVZ458744:OWA458747 PFV458744:PFW458747 PPR458744:PPS458747 PZN458744:PZO458747 QJJ458744:QJK458747 QTF458744:QTG458747 RDB458744:RDC458747 RMX458744:RMY458747 RWT458744:RWU458747 SGP458744:SGQ458747 SQL458744:SQM458747 TAH458744:TAI458747 TKD458744:TKE458747 TTZ458744:TUA458747 UDV458744:UDW458747 UNR458744:UNS458747 UXN458744:UXO458747 VHJ458744:VHK458747 VRF458744:VRG458747 WBB458744:WBC458747 WKX458744:WKY458747 WUT458744:WUU458747 IH524280:II524283 SD524280:SE524283 ABZ524280:ACA524283 ALV524280:ALW524283 AVR524280:AVS524283 BFN524280:BFO524283 BPJ524280:BPK524283 BZF524280:BZG524283 CJB524280:CJC524283 CSX524280:CSY524283 DCT524280:DCU524283 DMP524280:DMQ524283 DWL524280:DWM524283 EGH524280:EGI524283 EQD524280:EQE524283 EZZ524280:FAA524283 FJV524280:FJW524283 FTR524280:FTS524283 GDN524280:GDO524283 GNJ524280:GNK524283 GXF524280:GXG524283 HHB524280:HHC524283 HQX524280:HQY524283 IAT524280:IAU524283 IKP524280:IKQ524283 IUL524280:IUM524283 JEH524280:JEI524283 JOD524280:JOE524283 JXZ524280:JYA524283 KHV524280:KHW524283 KRR524280:KRS524283 LBN524280:LBO524283 LLJ524280:LLK524283 LVF524280:LVG524283 MFB524280:MFC524283 MOX524280:MOY524283 MYT524280:MYU524283 NIP524280:NIQ524283 NSL524280:NSM524283 OCH524280:OCI524283 OMD524280:OME524283 OVZ524280:OWA524283 PFV524280:PFW524283 PPR524280:PPS524283 PZN524280:PZO524283 QJJ524280:QJK524283 QTF524280:QTG524283 RDB524280:RDC524283 RMX524280:RMY524283 RWT524280:RWU524283 SGP524280:SGQ524283 SQL524280:SQM524283 TAH524280:TAI524283 TKD524280:TKE524283 TTZ524280:TUA524283 UDV524280:UDW524283 UNR524280:UNS524283 UXN524280:UXO524283 VHJ524280:VHK524283 VRF524280:VRG524283 WBB524280:WBC524283 WKX524280:WKY524283 WUT524280:WUU524283 IH589816:II589819 SD589816:SE589819 ABZ589816:ACA589819 ALV589816:ALW589819 AVR589816:AVS589819 BFN589816:BFO589819 BPJ589816:BPK589819 BZF589816:BZG589819 CJB589816:CJC589819 CSX589816:CSY589819 DCT589816:DCU589819 DMP589816:DMQ589819 DWL589816:DWM589819 EGH589816:EGI589819 EQD589816:EQE589819 EZZ589816:FAA589819 FJV589816:FJW589819 FTR589816:FTS589819 GDN589816:GDO589819 GNJ589816:GNK589819 GXF589816:GXG589819 HHB589816:HHC589819 HQX589816:HQY589819 IAT589816:IAU589819 IKP589816:IKQ589819 IUL589816:IUM589819 JEH589816:JEI589819 JOD589816:JOE589819 JXZ589816:JYA589819 KHV589816:KHW589819 KRR589816:KRS589819 LBN589816:LBO589819 LLJ589816:LLK589819 LVF589816:LVG589819 MFB589816:MFC589819 MOX589816:MOY589819 MYT589816:MYU589819 NIP589816:NIQ589819 NSL589816:NSM589819 OCH589816:OCI589819 OMD589816:OME589819 OVZ589816:OWA589819 PFV589816:PFW589819 PPR589816:PPS589819 PZN589816:PZO589819 QJJ589816:QJK589819 QTF589816:QTG589819 RDB589816:RDC589819 RMX589816:RMY589819 RWT589816:RWU589819 SGP589816:SGQ589819 SQL589816:SQM589819 TAH589816:TAI589819 TKD589816:TKE589819 TTZ589816:TUA589819 UDV589816:UDW589819 UNR589816:UNS589819 UXN589816:UXO589819 VHJ589816:VHK589819 VRF589816:VRG589819 WBB589816:WBC589819 WKX589816:WKY589819 WUT589816:WUU589819 IH655352:II655355 SD655352:SE655355 ABZ655352:ACA655355 ALV655352:ALW655355 AVR655352:AVS655355 BFN655352:BFO655355 BPJ655352:BPK655355 BZF655352:BZG655355 CJB655352:CJC655355 CSX655352:CSY655355 DCT655352:DCU655355 DMP655352:DMQ655355 DWL655352:DWM655355 EGH655352:EGI655355 EQD655352:EQE655355 EZZ655352:FAA655355 FJV655352:FJW655355 FTR655352:FTS655355 GDN655352:GDO655355 GNJ655352:GNK655355 GXF655352:GXG655355 HHB655352:HHC655355 HQX655352:HQY655355 IAT655352:IAU655355 IKP655352:IKQ655355 IUL655352:IUM655355 JEH655352:JEI655355 JOD655352:JOE655355 JXZ655352:JYA655355 KHV655352:KHW655355 KRR655352:KRS655355 LBN655352:LBO655355 LLJ655352:LLK655355 LVF655352:LVG655355 MFB655352:MFC655355 MOX655352:MOY655355 MYT655352:MYU655355 NIP655352:NIQ655355 NSL655352:NSM655355 OCH655352:OCI655355 OMD655352:OME655355 OVZ655352:OWA655355 PFV655352:PFW655355 PPR655352:PPS655355 PZN655352:PZO655355 QJJ655352:QJK655355 QTF655352:QTG655355 RDB655352:RDC655355 RMX655352:RMY655355 RWT655352:RWU655355 SGP655352:SGQ655355 SQL655352:SQM655355 TAH655352:TAI655355 TKD655352:TKE655355 TTZ655352:TUA655355 UDV655352:UDW655355 UNR655352:UNS655355 UXN655352:UXO655355 VHJ655352:VHK655355 VRF655352:VRG655355 WBB655352:WBC655355 WKX655352:WKY655355 WUT655352:WUU655355 IH720888:II720891 SD720888:SE720891 ABZ720888:ACA720891 ALV720888:ALW720891 AVR720888:AVS720891 BFN720888:BFO720891 BPJ720888:BPK720891 BZF720888:BZG720891 CJB720888:CJC720891 CSX720888:CSY720891 DCT720888:DCU720891 DMP720888:DMQ720891 DWL720888:DWM720891 EGH720888:EGI720891 EQD720888:EQE720891 EZZ720888:FAA720891 FJV720888:FJW720891 FTR720888:FTS720891 GDN720888:GDO720891 GNJ720888:GNK720891 GXF720888:GXG720891 HHB720888:HHC720891 HQX720888:HQY720891 IAT720888:IAU720891 IKP720888:IKQ720891 IUL720888:IUM720891 JEH720888:JEI720891 JOD720888:JOE720891 JXZ720888:JYA720891 KHV720888:KHW720891 KRR720888:KRS720891 LBN720888:LBO720891 LLJ720888:LLK720891 LVF720888:LVG720891 MFB720888:MFC720891 MOX720888:MOY720891 MYT720888:MYU720891 NIP720888:NIQ720891 NSL720888:NSM720891 OCH720888:OCI720891 OMD720888:OME720891 OVZ720888:OWA720891 PFV720888:PFW720891 PPR720888:PPS720891 PZN720888:PZO720891 QJJ720888:QJK720891 QTF720888:QTG720891 RDB720888:RDC720891 RMX720888:RMY720891 RWT720888:RWU720891 SGP720888:SGQ720891 SQL720888:SQM720891 TAH720888:TAI720891 TKD720888:TKE720891 TTZ720888:TUA720891 UDV720888:UDW720891 UNR720888:UNS720891 UXN720888:UXO720891 VHJ720888:VHK720891 VRF720888:VRG720891 WBB720888:WBC720891 WKX720888:WKY720891 WUT720888:WUU720891 IH786424:II786427 SD786424:SE786427 ABZ786424:ACA786427 ALV786424:ALW786427 AVR786424:AVS786427 BFN786424:BFO786427 BPJ786424:BPK786427 BZF786424:BZG786427 CJB786424:CJC786427 CSX786424:CSY786427 DCT786424:DCU786427 DMP786424:DMQ786427 DWL786424:DWM786427 EGH786424:EGI786427 EQD786424:EQE786427 EZZ786424:FAA786427 FJV786424:FJW786427 FTR786424:FTS786427 GDN786424:GDO786427 GNJ786424:GNK786427 GXF786424:GXG786427 HHB786424:HHC786427 HQX786424:HQY786427 IAT786424:IAU786427 IKP786424:IKQ786427 IUL786424:IUM786427 JEH786424:JEI786427 JOD786424:JOE786427 JXZ786424:JYA786427 KHV786424:KHW786427 KRR786424:KRS786427 LBN786424:LBO786427 LLJ786424:LLK786427 LVF786424:LVG786427 MFB786424:MFC786427 MOX786424:MOY786427 MYT786424:MYU786427 NIP786424:NIQ786427 NSL786424:NSM786427 OCH786424:OCI786427 OMD786424:OME786427 OVZ786424:OWA786427 PFV786424:PFW786427 PPR786424:PPS786427 PZN786424:PZO786427 QJJ786424:QJK786427 QTF786424:QTG786427 RDB786424:RDC786427 RMX786424:RMY786427 RWT786424:RWU786427 SGP786424:SGQ786427 SQL786424:SQM786427 TAH786424:TAI786427 TKD786424:TKE786427 TTZ786424:TUA786427 UDV786424:UDW786427 UNR786424:UNS786427 UXN786424:UXO786427 VHJ786424:VHK786427 VRF786424:VRG786427 WBB786424:WBC786427 WKX786424:WKY786427 WUT786424:WUU786427 IH851960:II851963 SD851960:SE851963 ABZ851960:ACA851963 ALV851960:ALW851963 AVR851960:AVS851963 BFN851960:BFO851963 BPJ851960:BPK851963 BZF851960:BZG851963 CJB851960:CJC851963 CSX851960:CSY851963 DCT851960:DCU851963 DMP851960:DMQ851963 DWL851960:DWM851963 EGH851960:EGI851963 EQD851960:EQE851963 EZZ851960:FAA851963 FJV851960:FJW851963 FTR851960:FTS851963 GDN851960:GDO851963 GNJ851960:GNK851963 GXF851960:GXG851963 HHB851960:HHC851963 HQX851960:HQY851963 IAT851960:IAU851963 IKP851960:IKQ851963 IUL851960:IUM851963 JEH851960:JEI851963 JOD851960:JOE851963 JXZ851960:JYA851963 KHV851960:KHW851963 KRR851960:KRS851963 LBN851960:LBO851963 LLJ851960:LLK851963 LVF851960:LVG851963 MFB851960:MFC851963 MOX851960:MOY851963 MYT851960:MYU851963 NIP851960:NIQ851963 NSL851960:NSM851963 OCH851960:OCI851963 OMD851960:OME851963 OVZ851960:OWA851963 PFV851960:PFW851963 PPR851960:PPS851963 PZN851960:PZO851963 QJJ851960:QJK851963 QTF851960:QTG851963 RDB851960:RDC851963 RMX851960:RMY851963 RWT851960:RWU851963 SGP851960:SGQ851963 SQL851960:SQM851963 TAH851960:TAI851963 TKD851960:TKE851963 TTZ851960:TUA851963 UDV851960:UDW851963 UNR851960:UNS851963 UXN851960:UXO851963 VHJ851960:VHK851963 VRF851960:VRG851963 WBB851960:WBC851963 WKX851960:WKY851963 WUT851960:WUU851963 IH917496:II917499 SD917496:SE917499 ABZ917496:ACA917499 ALV917496:ALW917499 AVR917496:AVS917499 BFN917496:BFO917499 BPJ917496:BPK917499 BZF917496:BZG917499 CJB917496:CJC917499 CSX917496:CSY917499 DCT917496:DCU917499 DMP917496:DMQ917499 DWL917496:DWM917499 EGH917496:EGI917499 EQD917496:EQE917499 EZZ917496:FAA917499 FJV917496:FJW917499 FTR917496:FTS917499 GDN917496:GDO917499 GNJ917496:GNK917499 GXF917496:GXG917499 HHB917496:HHC917499 HQX917496:HQY917499 IAT917496:IAU917499 IKP917496:IKQ917499 IUL917496:IUM917499 JEH917496:JEI917499 JOD917496:JOE917499 JXZ917496:JYA917499 KHV917496:KHW917499 KRR917496:KRS917499 LBN917496:LBO917499 LLJ917496:LLK917499 LVF917496:LVG917499 MFB917496:MFC917499 MOX917496:MOY917499 MYT917496:MYU917499 NIP917496:NIQ917499 NSL917496:NSM917499 OCH917496:OCI917499 OMD917496:OME917499 OVZ917496:OWA917499 PFV917496:PFW917499 PPR917496:PPS917499 PZN917496:PZO917499 QJJ917496:QJK917499 QTF917496:QTG917499 RDB917496:RDC917499 RMX917496:RMY917499 RWT917496:RWU917499 SGP917496:SGQ917499 SQL917496:SQM917499 TAH917496:TAI917499 TKD917496:TKE917499 TTZ917496:TUA917499 UDV917496:UDW917499 UNR917496:UNS917499 UXN917496:UXO917499 VHJ917496:VHK917499 VRF917496:VRG917499 WBB917496:WBC917499 WKX917496:WKY917499 WUT917496:WUU917499 IH983032:II983035 SD983032:SE983035 ABZ983032:ACA983035 ALV983032:ALW983035 AVR983032:AVS983035 BFN983032:BFO983035 BPJ983032:BPK983035 BZF983032:BZG983035 CJB983032:CJC983035 CSX983032:CSY983035 DCT983032:DCU983035 DMP983032:DMQ983035 DWL983032:DWM983035 EGH983032:EGI983035 EQD983032:EQE983035 EZZ983032:FAA983035 FJV983032:FJW983035 FTR983032:FTS983035 GDN983032:GDO983035 GNJ983032:GNK983035 GXF983032:GXG983035 HHB983032:HHC983035 HQX983032:HQY983035 IAT983032:IAU983035 IKP983032:IKQ983035 IUL983032:IUM983035 JEH983032:JEI983035 JOD983032:JOE983035 JXZ983032:JYA983035 KHV983032:KHW983035 KRR983032:KRS983035 LBN983032:LBO983035 LLJ983032:LLK983035 LVF983032:LVG983035 MFB983032:MFC983035 MOX983032:MOY983035 MYT983032:MYU983035 NIP983032:NIQ983035 NSL983032:NSM983035 OCH983032:OCI983035 OMD983032:OME983035 OVZ983032:OWA983035 PFV983032:PFW983035 PPR983032:PPS983035 PZN983032:PZO983035 QJJ983032:QJK983035 QTF983032:QTG983035 RDB983032:RDC983035 RMX983032:RMY983035 RWT983032:RWU983035 SGP983032:SGQ983035 SQL983032:SQM983035 TAH983032:TAI983035 TKD983032:TKE983035 TTZ983032:TUA983035 UDV983032:UDW983035 UNR983032:UNS983035 UXN983032:UXO983035 VHJ983032:VHK983035 VRF983032:VRG983035 WBB983032:WBC983035 WKX983032:WKY983035 WUT983032:WUU983035 WVE983032:WVF983035 VRQ983032:VRR983035 IS65528:IT65531 SO65528:SP65531 ACK65528:ACL65531 AMG65528:AMH65531 AWC65528:AWD65531 BFY65528:BFZ65531 BPU65528:BPV65531 BZQ65528:BZR65531 CJM65528:CJN65531 CTI65528:CTJ65531 DDE65528:DDF65531 DNA65528:DNB65531 DWW65528:DWX65531 EGS65528:EGT65531 EQO65528:EQP65531 FAK65528:FAL65531 FKG65528:FKH65531 FUC65528:FUD65531 GDY65528:GDZ65531 GNU65528:GNV65531 GXQ65528:GXR65531 HHM65528:HHN65531 HRI65528:HRJ65531 IBE65528:IBF65531 ILA65528:ILB65531 IUW65528:IUX65531 JES65528:JET65531 JOO65528:JOP65531 JYK65528:JYL65531 KIG65528:KIH65531 KSC65528:KSD65531 LBY65528:LBZ65531 LLU65528:LLV65531 LVQ65528:LVR65531 MFM65528:MFN65531 MPI65528:MPJ65531 MZE65528:MZF65531 NJA65528:NJB65531 NSW65528:NSX65531 OCS65528:OCT65531 OMO65528:OMP65531 OWK65528:OWL65531 PGG65528:PGH65531 PQC65528:PQD65531 PZY65528:PZZ65531 QJU65528:QJV65531 QTQ65528:QTR65531 RDM65528:RDN65531 RNI65528:RNJ65531 RXE65528:RXF65531 SHA65528:SHB65531 SQW65528:SQX65531 TAS65528:TAT65531 TKO65528:TKP65531 TUK65528:TUL65531 UEG65528:UEH65531 UOC65528:UOD65531 UXY65528:UXZ65531 VHU65528:VHV65531 VRQ65528:VRR65531 WBM65528:WBN65531 WLI65528:WLJ65531 WVE65528:WVF65531 IS131064:IT131067 SO131064:SP131067 ACK131064:ACL131067 AMG131064:AMH131067 AWC131064:AWD131067 BFY131064:BFZ131067 BPU131064:BPV131067 BZQ131064:BZR131067 CJM131064:CJN131067 CTI131064:CTJ131067 DDE131064:DDF131067 DNA131064:DNB131067 DWW131064:DWX131067 EGS131064:EGT131067 EQO131064:EQP131067 FAK131064:FAL131067 FKG131064:FKH131067 FUC131064:FUD131067 GDY131064:GDZ131067 GNU131064:GNV131067 GXQ131064:GXR131067 HHM131064:HHN131067 HRI131064:HRJ131067 IBE131064:IBF131067 ILA131064:ILB131067 IUW131064:IUX131067 JES131064:JET131067 JOO131064:JOP131067 JYK131064:JYL131067 KIG131064:KIH131067 KSC131064:KSD131067 LBY131064:LBZ131067 LLU131064:LLV131067 LVQ131064:LVR131067 MFM131064:MFN131067 MPI131064:MPJ131067 MZE131064:MZF131067 NJA131064:NJB131067 NSW131064:NSX131067 OCS131064:OCT131067 OMO131064:OMP131067 OWK131064:OWL131067 PGG131064:PGH131067 PQC131064:PQD131067 PZY131064:PZZ131067 QJU131064:QJV131067 QTQ131064:QTR131067 RDM131064:RDN131067 RNI131064:RNJ131067 RXE131064:RXF131067 SHA131064:SHB131067 SQW131064:SQX131067 TAS131064:TAT131067 TKO131064:TKP131067 TUK131064:TUL131067 UEG131064:UEH131067 UOC131064:UOD131067 UXY131064:UXZ131067 VHU131064:VHV131067 VRQ131064:VRR131067 WBM131064:WBN131067 WLI131064:WLJ131067 WVE131064:WVF131067 IS196600:IT196603 SO196600:SP196603 ACK196600:ACL196603 AMG196600:AMH196603 AWC196600:AWD196603 BFY196600:BFZ196603 BPU196600:BPV196603 BZQ196600:BZR196603 CJM196600:CJN196603 CTI196600:CTJ196603 DDE196600:DDF196603 DNA196600:DNB196603 DWW196600:DWX196603 EGS196600:EGT196603 EQO196600:EQP196603 FAK196600:FAL196603 FKG196600:FKH196603 FUC196600:FUD196603 GDY196600:GDZ196603 GNU196600:GNV196603 GXQ196600:GXR196603 HHM196600:HHN196603 HRI196600:HRJ196603 IBE196600:IBF196603 ILA196600:ILB196603 IUW196600:IUX196603 JES196600:JET196603 JOO196600:JOP196603 JYK196600:JYL196603 KIG196600:KIH196603 KSC196600:KSD196603 LBY196600:LBZ196603 LLU196600:LLV196603 LVQ196600:LVR196603 MFM196600:MFN196603 MPI196600:MPJ196603 MZE196600:MZF196603 NJA196600:NJB196603 NSW196600:NSX196603 OCS196600:OCT196603 OMO196600:OMP196603 OWK196600:OWL196603 PGG196600:PGH196603 PQC196600:PQD196603 PZY196600:PZZ196603 QJU196600:QJV196603 QTQ196600:QTR196603 RDM196600:RDN196603 RNI196600:RNJ196603 RXE196600:RXF196603 SHA196600:SHB196603 SQW196600:SQX196603 TAS196600:TAT196603 TKO196600:TKP196603 TUK196600:TUL196603 UEG196600:UEH196603 UOC196600:UOD196603 UXY196600:UXZ196603 VHU196600:VHV196603 VRQ196600:VRR196603 WBM196600:WBN196603 WLI196600:WLJ196603 WVE196600:WVF196603 IS262136:IT262139 SO262136:SP262139 ACK262136:ACL262139 AMG262136:AMH262139 AWC262136:AWD262139 BFY262136:BFZ262139 BPU262136:BPV262139 BZQ262136:BZR262139 CJM262136:CJN262139 CTI262136:CTJ262139 DDE262136:DDF262139 DNA262136:DNB262139 DWW262136:DWX262139 EGS262136:EGT262139 EQO262136:EQP262139 FAK262136:FAL262139 FKG262136:FKH262139 FUC262136:FUD262139 GDY262136:GDZ262139 GNU262136:GNV262139 GXQ262136:GXR262139 HHM262136:HHN262139 HRI262136:HRJ262139 IBE262136:IBF262139 ILA262136:ILB262139 IUW262136:IUX262139 JES262136:JET262139 JOO262136:JOP262139 JYK262136:JYL262139 KIG262136:KIH262139 KSC262136:KSD262139 LBY262136:LBZ262139 LLU262136:LLV262139 LVQ262136:LVR262139 MFM262136:MFN262139 MPI262136:MPJ262139 MZE262136:MZF262139 NJA262136:NJB262139 NSW262136:NSX262139 OCS262136:OCT262139 OMO262136:OMP262139 OWK262136:OWL262139 PGG262136:PGH262139 PQC262136:PQD262139 PZY262136:PZZ262139 QJU262136:QJV262139 QTQ262136:QTR262139 RDM262136:RDN262139 RNI262136:RNJ262139 RXE262136:RXF262139 SHA262136:SHB262139 SQW262136:SQX262139 TAS262136:TAT262139 TKO262136:TKP262139 TUK262136:TUL262139 UEG262136:UEH262139 UOC262136:UOD262139 UXY262136:UXZ262139 VHU262136:VHV262139 VRQ262136:VRR262139 WBM262136:WBN262139 WLI262136:WLJ262139 WVE262136:WVF262139 IS327672:IT327675 SO327672:SP327675 ACK327672:ACL327675 AMG327672:AMH327675 AWC327672:AWD327675 BFY327672:BFZ327675 BPU327672:BPV327675 BZQ327672:BZR327675 CJM327672:CJN327675 CTI327672:CTJ327675 DDE327672:DDF327675 DNA327672:DNB327675 DWW327672:DWX327675 EGS327672:EGT327675 EQO327672:EQP327675 FAK327672:FAL327675 FKG327672:FKH327675 FUC327672:FUD327675 GDY327672:GDZ327675 GNU327672:GNV327675 GXQ327672:GXR327675 HHM327672:HHN327675 HRI327672:HRJ327675 IBE327672:IBF327675 ILA327672:ILB327675 IUW327672:IUX327675 JES327672:JET327675 JOO327672:JOP327675 JYK327672:JYL327675 KIG327672:KIH327675 KSC327672:KSD327675 LBY327672:LBZ327675 LLU327672:LLV327675 LVQ327672:LVR327675 MFM327672:MFN327675 MPI327672:MPJ327675 MZE327672:MZF327675 NJA327672:NJB327675 NSW327672:NSX327675 OCS327672:OCT327675 OMO327672:OMP327675 OWK327672:OWL327675 PGG327672:PGH327675 PQC327672:PQD327675 PZY327672:PZZ327675 QJU327672:QJV327675 QTQ327672:QTR327675 RDM327672:RDN327675 RNI327672:RNJ327675 RXE327672:RXF327675 SHA327672:SHB327675 SQW327672:SQX327675 TAS327672:TAT327675 TKO327672:TKP327675 TUK327672:TUL327675 UEG327672:UEH327675 UOC327672:UOD327675 UXY327672:UXZ327675 VHU327672:VHV327675 VRQ327672:VRR327675 WBM327672:WBN327675 WLI327672:WLJ327675 WVE327672:WVF327675 IS393208:IT393211 SO393208:SP393211 ACK393208:ACL393211 AMG393208:AMH393211 AWC393208:AWD393211 BFY393208:BFZ393211 BPU393208:BPV393211 BZQ393208:BZR393211 CJM393208:CJN393211 CTI393208:CTJ393211 DDE393208:DDF393211 DNA393208:DNB393211 DWW393208:DWX393211 EGS393208:EGT393211 EQO393208:EQP393211 FAK393208:FAL393211 FKG393208:FKH393211 FUC393208:FUD393211 GDY393208:GDZ393211 GNU393208:GNV393211 GXQ393208:GXR393211 HHM393208:HHN393211 HRI393208:HRJ393211 IBE393208:IBF393211 ILA393208:ILB393211 IUW393208:IUX393211 JES393208:JET393211 JOO393208:JOP393211 JYK393208:JYL393211 KIG393208:KIH393211 KSC393208:KSD393211 LBY393208:LBZ393211 LLU393208:LLV393211 LVQ393208:LVR393211 MFM393208:MFN393211 MPI393208:MPJ393211 MZE393208:MZF393211 NJA393208:NJB393211 NSW393208:NSX393211 OCS393208:OCT393211 OMO393208:OMP393211 OWK393208:OWL393211 PGG393208:PGH393211 PQC393208:PQD393211 PZY393208:PZZ393211 QJU393208:QJV393211 QTQ393208:QTR393211 RDM393208:RDN393211 RNI393208:RNJ393211 RXE393208:RXF393211 SHA393208:SHB393211 SQW393208:SQX393211 TAS393208:TAT393211 TKO393208:TKP393211 TUK393208:TUL393211 UEG393208:UEH393211 UOC393208:UOD393211 UXY393208:UXZ393211 VHU393208:VHV393211 VRQ393208:VRR393211 WBM393208:WBN393211 WLI393208:WLJ393211 WVE393208:WVF393211 IS458744:IT458747 SO458744:SP458747 ACK458744:ACL458747 AMG458744:AMH458747 AWC458744:AWD458747 BFY458744:BFZ458747 BPU458744:BPV458747 BZQ458744:BZR458747 CJM458744:CJN458747 CTI458744:CTJ458747 DDE458744:DDF458747 DNA458744:DNB458747 DWW458744:DWX458747 EGS458744:EGT458747 EQO458744:EQP458747 FAK458744:FAL458747 FKG458744:FKH458747 FUC458744:FUD458747 GDY458744:GDZ458747 GNU458744:GNV458747 GXQ458744:GXR458747 HHM458744:HHN458747 HRI458744:HRJ458747 IBE458744:IBF458747 ILA458744:ILB458747 IUW458744:IUX458747 JES458744:JET458747 JOO458744:JOP458747 JYK458744:JYL458747 KIG458744:KIH458747 KSC458744:KSD458747 LBY458744:LBZ458747 LLU458744:LLV458747 LVQ458744:LVR458747 MFM458744:MFN458747 MPI458744:MPJ458747 MZE458744:MZF458747 NJA458744:NJB458747 NSW458744:NSX458747 OCS458744:OCT458747 OMO458744:OMP458747 OWK458744:OWL458747 PGG458744:PGH458747 PQC458744:PQD458747 PZY458744:PZZ458747 QJU458744:QJV458747 QTQ458744:QTR458747 RDM458744:RDN458747 RNI458744:RNJ458747 RXE458744:RXF458747 SHA458744:SHB458747 SQW458744:SQX458747 TAS458744:TAT458747 TKO458744:TKP458747 TUK458744:TUL458747 UEG458744:UEH458747 UOC458744:UOD458747 UXY458744:UXZ458747 VHU458744:VHV458747 VRQ458744:VRR458747 WBM458744:WBN458747 WLI458744:WLJ458747 WVE458744:WVF458747 IS524280:IT524283 SO524280:SP524283 ACK524280:ACL524283 AMG524280:AMH524283 AWC524280:AWD524283 BFY524280:BFZ524283 BPU524280:BPV524283 BZQ524280:BZR524283 CJM524280:CJN524283 CTI524280:CTJ524283 DDE524280:DDF524283 DNA524280:DNB524283 DWW524280:DWX524283 EGS524280:EGT524283 EQO524280:EQP524283 FAK524280:FAL524283 FKG524280:FKH524283 FUC524280:FUD524283 GDY524280:GDZ524283 GNU524280:GNV524283 GXQ524280:GXR524283 HHM524280:HHN524283 HRI524280:HRJ524283 IBE524280:IBF524283 ILA524280:ILB524283 IUW524280:IUX524283 JES524280:JET524283 JOO524280:JOP524283 JYK524280:JYL524283 KIG524280:KIH524283 KSC524280:KSD524283 LBY524280:LBZ524283 LLU524280:LLV524283 LVQ524280:LVR524283 MFM524280:MFN524283 MPI524280:MPJ524283 MZE524280:MZF524283 NJA524280:NJB524283 NSW524280:NSX524283 OCS524280:OCT524283 OMO524280:OMP524283 OWK524280:OWL524283 PGG524280:PGH524283 PQC524280:PQD524283 PZY524280:PZZ524283 QJU524280:QJV524283 QTQ524280:QTR524283 RDM524280:RDN524283 RNI524280:RNJ524283 RXE524280:RXF524283 SHA524280:SHB524283 SQW524280:SQX524283 TAS524280:TAT524283 TKO524280:TKP524283 TUK524280:TUL524283 UEG524280:UEH524283 UOC524280:UOD524283 UXY524280:UXZ524283 VHU524280:VHV524283 VRQ524280:VRR524283 WBM524280:WBN524283 WLI524280:WLJ524283 WVE524280:WVF524283 IS589816:IT589819 SO589816:SP589819 ACK589816:ACL589819 AMG589816:AMH589819 AWC589816:AWD589819 BFY589816:BFZ589819 BPU589816:BPV589819 BZQ589816:BZR589819 CJM589816:CJN589819 CTI589816:CTJ589819 DDE589816:DDF589819 DNA589816:DNB589819 DWW589816:DWX589819 EGS589816:EGT589819 EQO589816:EQP589819 FAK589816:FAL589819 FKG589816:FKH589819 FUC589816:FUD589819 GDY589816:GDZ589819 GNU589816:GNV589819 GXQ589816:GXR589819 HHM589816:HHN589819 HRI589816:HRJ589819 IBE589816:IBF589819 ILA589816:ILB589819 IUW589816:IUX589819 JES589816:JET589819 JOO589816:JOP589819 JYK589816:JYL589819 KIG589816:KIH589819 KSC589816:KSD589819 LBY589816:LBZ589819 LLU589816:LLV589819 LVQ589816:LVR589819 MFM589816:MFN589819 MPI589816:MPJ589819 MZE589816:MZF589819 NJA589816:NJB589819 NSW589816:NSX589819 OCS589816:OCT589819 OMO589816:OMP589819 OWK589816:OWL589819 PGG589816:PGH589819 PQC589816:PQD589819 PZY589816:PZZ589819 QJU589816:QJV589819 QTQ589816:QTR589819 RDM589816:RDN589819 RNI589816:RNJ589819 RXE589816:RXF589819 SHA589816:SHB589819 SQW589816:SQX589819 TAS589816:TAT589819 TKO589816:TKP589819 TUK589816:TUL589819 UEG589816:UEH589819 UOC589816:UOD589819 UXY589816:UXZ589819 VHU589816:VHV589819 VRQ589816:VRR589819 WBM589816:WBN589819 WLI589816:WLJ589819 WVE589816:WVF589819 IS655352:IT655355 SO655352:SP655355 ACK655352:ACL655355 AMG655352:AMH655355 AWC655352:AWD655355 BFY655352:BFZ655355 BPU655352:BPV655355 BZQ655352:BZR655355 CJM655352:CJN655355 CTI655352:CTJ655355 DDE655352:DDF655355 DNA655352:DNB655355 DWW655352:DWX655355 EGS655352:EGT655355 EQO655352:EQP655355 FAK655352:FAL655355 FKG655352:FKH655355 FUC655352:FUD655355 GDY655352:GDZ655355 GNU655352:GNV655355 GXQ655352:GXR655355 HHM655352:HHN655355 HRI655352:HRJ655355 IBE655352:IBF655355 ILA655352:ILB655355 IUW655352:IUX655355 JES655352:JET655355 JOO655352:JOP655355 JYK655352:JYL655355 KIG655352:KIH655355 KSC655352:KSD655355 LBY655352:LBZ655355 LLU655352:LLV655355 LVQ655352:LVR655355 MFM655352:MFN655355 MPI655352:MPJ655355 MZE655352:MZF655355 NJA655352:NJB655355 NSW655352:NSX655355 OCS655352:OCT655355 OMO655352:OMP655355 OWK655352:OWL655355 PGG655352:PGH655355 PQC655352:PQD655355 PZY655352:PZZ655355 QJU655352:QJV655355 QTQ655352:QTR655355 RDM655352:RDN655355 RNI655352:RNJ655355 RXE655352:RXF655355 SHA655352:SHB655355 SQW655352:SQX655355 TAS655352:TAT655355 TKO655352:TKP655355 TUK655352:TUL655355 UEG655352:UEH655355 UOC655352:UOD655355 UXY655352:UXZ655355 VHU655352:VHV655355 VRQ655352:VRR655355 WBM655352:WBN655355 WLI655352:WLJ655355 WVE655352:WVF655355 IS720888:IT720891 SO720888:SP720891 ACK720888:ACL720891 AMG720888:AMH720891 AWC720888:AWD720891 BFY720888:BFZ720891 BPU720888:BPV720891 BZQ720888:BZR720891 CJM720888:CJN720891 CTI720888:CTJ720891 DDE720888:DDF720891 DNA720888:DNB720891 DWW720888:DWX720891 EGS720888:EGT720891 EQO720888:EQP720891 FAK720888:FAL720891 FKG720888:FKH720891 FUC720888:FUD720891 GDY720888:GDZ720891 GNU720888:GNV720891 GXQ720888:GXR720891 HHM720888:HHN720891 HRI720888:HRJ720891 IBE720888:IBF720891 ILA720888:ILB720891 IUW720888:IUX720891 JES720888:JET720891 JOO720888:JOP720891 JYK720888:JYL720891 KIG720888:KIH720891 KSC720888:KSD720891 LBY720888:LBZ720891 LLU720888:LLV720891 LVQ720888:LVR720891 MFM720888:MFN720891 MPI720888:MPJ720891 MZE720888:MZF720891 NJA720888:NJB720891 NSW720888:NSX720891 OCS720888:OCT720891 OMO720888:OMP720891 OWK720888:OWL720891 PGG720888:PGH720891 PQC720888:PQD720891 PZY720888:PZZ720891 QJU720888:QJV720891 QTQ720888:QTR720891 RDM720888:RDN720891 RNI720888:RNJ720891 RXE720888:RXF720891 SHA720888:SHB720891 SQW720888:SQX720891 TAS720888:TAT720891 TKO720888:TKP720891 TUK720888:TUL720891 UEG720888:UEH720891 UOC720888:UOD720891 UXY720888:UXZ720891 VHU720888:VHV720891 VRQ720888:VRR720891 WBM720888:WBN720891 WLI720888:WLJ720891 WVE720888:WVF720891 IS786424:IT786427 SO786424:SP786427 ACK786424:ACL786427 AMG786424:AMH786427 AWC786424:AWD786427 BFY786424:BFZ786427 BPU786424:BPV786427 BZQ786424:BZR786427 CJM786424:CJN786427 CTI786424:CTJ786427 DDE786424:DDF786427 DNA786424:DNB786427 DWW786424:DWX786427 EGS786424:EGT786427 EQO786424:EQP786427 FAK786424:FAL786427 FKG786424:FKH786427 FUC786424:FUD786427 GDY786424:GDZ786427 GNU786424:GNV786427 GXQ786424:GXR786427 HHM786424:HHN786427 HRI786424:HRJ786427 IBE786424:IBF786427 ILA786424:ILB786427 IUW786424:IUX786427 JES786424:JET786427 JOO786424:JOP786427 JYK786424:JYL786427 KIG786424:KIH786427 KSC786424:KSD786427 LBY786424:LBZ786427 LLU786424:LLV786427 LVQ786424:LVR786427 MFM786424:MFN786427 MPI786424:MPJ786427 MZE786424:MZF786427 NJA786424:NJB786427 NSW786424:NSX786427 OCS786424:OCT786427 OMO786424:OMP786427 OWK786424:OWL786427 PGG786424:PGH786427 PQC786424:PQD786427 PZY786424:PZZ786427 QJU786424:QJV786427 QTQ786424:QTR786427 RDM786424:RDN786427 RNI786424:RNJ786427 RXE786424:RXF786427 SHA786424:SHB786427 SQW786424:SQX786427 TAS786424:TAT786427 TKO786424:TKP786427 TUK786424:TUL786427 UEG786424:UEH786427 UOC786424:UOD786427 UXY786424:UXZ786427 VHU786424:VHV786427 VRQ786424:VRR786427 WBM786424:WBN786427 WLI786424:WLJ786427 WVE786424:WVF786427 IS851960:IT851963 SO851960:SP851963 ACK851960:ACL851963 AMG851960:AMH851963 AWC851960:AWD851963 BFY851960:BFZ851963 BPU851960:BPV851963 BZQ851960:BZR851963 CJM851960:CJN851963 CTI851960:CTJ851963 DDE851960:DDF851963 DNA851960:DNB851963 DWW851960:DWX851963 EGS851960:EGT851963 EQO851960:EQP851963 FAK851960:FAL851963 FKG851960:FKH851963 FUC851960:FUD851963 GDY851960:GDZ851963 GNU851960:GNV851963 GXQ851960:GXR851963 HHM851960:HHN851963 HRI851960:HRJ851963 IBE851960:IBF851963 ILA851960:ILB851963 IUW851960:IUX851963 JES851960:JET851963 JOO851960:JOP851963 JYK851960:JYL851963 KIG851960:KIH851963 KSC851960:KSD851963 LBY851960:LBZ851963 LLU851960:LLV851963 LVQ851960:LVR851963 MFM851960:MFN851963 MPI851960:MPJ851963 MZE851960:MZF851963 NJA851960:NJB851963 NSW851960:NSX851963 OCS851960:OCT851963 OMO851960:OMP851963 OWK851960:OWL851963 PGG851960:PGH851963 PQC851960:PQD851963 PZY851960:PZZ851963 QJU851960:QJV851963 QTQ851960:QTR851963 RDM851960:RDN851963 RNI851960:RNJ851963 RXE851960:RXF851963 SHA851960:SHB851963 SQW851960:SQX851963 TAS851960:TAT851963 TKO851960:TKP851963 TUK851960:TUL851963 UEG851960:UEH851963 UOC851960:UOD851963 UXY851960:UXZ851963 VHU851960:VHV851963 VRQ851960:VRR851963 WBM851960:WBN851963 WLI851960:WLJ851963 WVE851960:WVF851963 IS917496:IT917499 SO917496:SP917499 ACK917496:ACL917499 AMG917496:AMH917499 AWC917496:AWD917499 BFY917496:BFZ917499 BPU917496:BPV917499 BZQ917496:BZR917499 CJM917496:CJN917499 CTI917496:CTJ917499 DDE917496:DDF917499 DNA917496:DNB917499 DWW917496:DWX917499 EGS917496:EGT917499 EQO917496:EQP917499 FAK917496:FAL917499 FKG917496:FKH917499 FUC917496:FUD917499 GDY917496:GDZ917499 GNU917496:GNV917499 GXQ917496:GXR917499 HHM917496:HHN917499 HRI917496:HRJ917499 IBE917496:IBF917499 ILA917496:ILB917499 IUW917496:IUX917499 JES917496:JET917499 JOO917496:JOP917499 JYK917496:JYL917499 KIG917496:KIH917499 KSC917496:KSD917499 LBY917496:LBZ917499 LLU917496:LLV917499 LVQ917496:LVR917499 MFM917496:MFN917499 MPI917496:MPJ917499 MZE917496:MZF917499 NJA917496:NJB917499 NSW917496:NSX917499 OCS917496:OCT917499 OMO917496:OMP917499 OWK917496:OWL917499 PGG917496:PGH917499 PQC917496:PQD917499 PZY917496:PZZ917499 QJU917496:QJV917499 QTQ917496:QTR917499 RDM917496:RDN917499 RNI917496:RNJ917499 RXE917496:RXF917499 SHA917496:SHB917499 SQW917496:SQX917499 TAS917496:TAT917499 TKO917496:TKP917499 TUK917496:TUL917499 UEG917496:UEH917499 UOC917496:UOD917499 UXY917496:UXZ917499 VHU917496:VHV917499 VRQ917496:VRR917499 WBM917496:WBN917499 WLI917496:WLJ917499 WVE917496:WVF917499 IS983032:IT983035 SO983032:SP983035 ACK983032:ACL983035 AMG983032:AMH983035 AWC983032:AWD983035 BFY983032:BFZ983035 BPU983032:BPV983035 BZQ983032:BZR983035 CJM983032:CJN983035 CTI983032:CTJ983035 DDE983032:DDF983035 DNA983032:DNB983035 DWW983032:DWX983035 EGS983032:EGT983035 EQO983032:EQP983035 FAK983032:FAL983035 FKG983032:FKH983035 FUC983032:FUD983035 GDY983032:GDZ983035 GNU983032:GNV983035 GXQ983032:GXR983035 HHM983032:HHN983035 HRI983032:HRJ983035 IBE983032:IBF983035 ILA983032:ILB983035 IUW983032:IUX983035 JES983032:JET983035 JOO983032:JOP983035 JYK983032:JYL983035 KIG983032:KIH983035 KSC983032:KSD983035 LBY983032:LBZ983035 LLU983032:LLV983035 LVQ983032:LVR983035 MFM983032:MFN983035 MPI983032:MPJ983035 MZE983032:MZF983035 NJA983032:NJB983035 NSW983032:NSX983035 OCS983032:OCT983035 OMO983032:OMP983035 OWK983032:OWL983035 PGG983032:PGH983035 PQC983032:PQD983035 PZY983032:PZZ983035 QJU983032:QJV983035 QTQ983032:QTR983035 RDM983032:RDN983035 RNI983032:RNJ983035 RXE983032:RXF983035 SHA983032:SHB983035 SQW983032:SQX983035 TAS983032:TAT983035 TKO983032:TKP983035 TUK983032:TUL983035 UEG983032:UEH983035 UOC983032:UOD983035 UXY983032:UXZ983035 VHU983032:VHV983035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CH14"/>
  <sheetViews>
    <sheetView view="pageBreakPreview" zoomScaleNormal="115" zoomScaleSheetLayoutView="100" workbookViewId="0">
      <selection activeCell="K8" sqref="K8"/>
    </sheetView>
  </sheetViews>
  <sheetFormatPr defaultRowHeight="11.25" x14ac:dyDescent="0.2"/>
  <cols>
    <col min="1" max="1" width="5.7109375" style="309" customWidth="1"/>
    <col min="2" max="2" width="33.28515625" style="309" bestFit="1" customWidth="1"/>
    <col min="3" max="3" width="5.140625" style="309" bestFit="1" customWidth="1"/>
    <col min="4" max="7" width="12.42578125" style="309" customWidth="1"/>
    <col min="8" max="8" width="14.7109375" style="309" bestFit="1" customWidth="1"/>
    <col min="9" max="9" width="10.5703125" style="309" bestFit="1" customWidth="1"/>
    <col min="10" max="10" width="7.7109375" style="309" bestFit="1" customWidth="1"/>
    <col min="11" max="11" width="13.7109375" style="309" bestFit="1" customWidth="1"/>
    <col min="12" max="12" width="7.7109375" style="309" bestFit="1" customWidth="1"/>
    <col min="13" max="13" width="10.7109375" style="309" bestFit="1" customWidth="1"/>
    <col min="14" max="14" width="11" style="309" bestFit="1" customWidth="1"/>
    <col min="15" max="15" width="7.7109375" style="309" bestFit="1" customWidth="1"/>
    <col min="16" max="16" width="13.7109375" style="309" bestFit="1" customWidth="1"/>
    <col min="17" max="17" width="7.7109375" style="309" bestFit="1" customWidth="1"/>
    <col min="18" max="18" width="8.42578125" style="309" bestFit="1" customWidth="1"/>
    <col min="19" max="19" width="15.7109375" style="309" bestFit="1" customWidth="1"/>
    <col min="20" max="20" width="7.7109375" style="309" bestFit="1" customWidth="1"/>
    <col min="21" max="21" width="13.7109375" style="309" bestFit="1" customWidth="1"/>
    <col min="22" max="22" width="7.7109375" style="309" bestFit="1" customWidth="1"/>
    <col min="23" max="23" width="10.7109375" style="309" bestFit="1" customWidth="1"/>
    <col min="24" max="24" width="18.28515625" style="309" bestFit="1" customWidth="1"/>
    <col min="25" max="27" width="7.7109375" style="309" bestFit="1" customWidth="1"/>
    <col min="28" max="28" width="8.42578125" style="309" bestFit="1" customWidth="1"/>
    <col min="29" max="29" width="7.85546875" style="309" bestFit="1" customWidth="1"/>
    <col min="30" max="32" width="7.7109375" style="309" bestFit="1" customWidth="1"/>
    <col min="33" max="33" width="8.42578125" style="309" bestFit="1" customWidth="1"/>
    <col min="34" max="46" width="8.42578125" style="309" customWidth="1"/>
    <col min="47" max="47" width="16.5703125" style="309" bestFit="1" customWidth="1"/>
    <col min="48" max="50" width="7.7109375" style="309" bestFit="1" customWidth="1"/>
    <col min="51" max="51" width="8.42578125" style="309" bestFit="1" customWidth="1"/>
    <col min="52" max="52" width="16.5703125" style="309" bestFit="1" customWidth="1"/>
    <col min="53" max="55" width="7.7109375" style="309" bestFit="1" customWidth="1"/>
    <col min="56" max="56" width="8.42578125" style="309" bestFit="1" customWidth="1"/>
    <col min="57" max="57" width="10.28515625" style="309" bestFit="1" customWidth="1"/>
    <col min="58" max="60" width="7.7109375" style="309" bestFit="1" customWidth="1"/>
    <col min="61" max="61" width="8.42578125" style="309" bestFit="1" customWidth="1"/>
    <col min="62" max="62" width="13.5703125" style="309" bestFit="1" customWidth="1"/>
    <col min="63" max="65" width="7.7109375" style="309" bestFit="1" customWidth="1"/>
    <col min="66" max="66" width="8.42578125" style="309" bestFit="1" customWidth="1"/>
    <col min="67" max="67" width="8.28515625" style="309" bestFit="1" customWidth="1"/>
    <col min="68" max="70" width="7.7109375" style="309" bestFit="1" customWidth="1"/>
    <col min="71" max="71" width="8.42578125" style="309" bestFit="1" customWidth="1"/>
    <col min="72" max="72" width="9" style="309" bestFit="1" customWidth="1"/>
    <col min="73" max="75" width="7.7109375" style="309" bestFit="1" customWidth="1"/>
    <col min="76" max="76" width="8.42578125" style="309" bestFit="1" customWidth="1"/>
    <col min="77" max="77" width="17.7109375" style="309" bestFit="1" customWidth="1"/>
    <col min="78" max="80" width="7.7109375" style="309" bestFit="1" customWidth="1"/>
    <col min="81" max="81" width="8.42578125" style="309" bestFit="1" customWidth="1"/>
    <col min="82" max="82" width="8.5703125" style="309" bestFit="1" customWidth="1"/>
    <col min="83" max="85" width="7.7109375" style="309" bestFit="1" customWidth="1"/>
    <col min="86" max="86" width="8.42578125" style="309" bestFit="1" customWidth="1"/>
    <col min="87" max="237" width="9.140625" style="309"/>
    <col min="238" max="276" width="2.42578125" style="309" customWidth="1"/>
    <col min="277" max="277" width="3.42578125" style="309" bestFit="1" customWidth="1"/>
    <col min="278" max="493" width="9.140625" style="309"/>
    <col min="494" max="532" width="2.42578125" style="309" customWidth="1"/>
    <col min="533" max="533" width="3.42578125" style="309" bestFit="1" customWidth="1"/>
    <col min="534" max="749" width="9.140625" style="309"/>
    <col min="750" max="788" width="2.42578125" style="309" customWidth="1"/>
    <col min="789" max="789" width="3.42578125" style="309" bestFit="1" customWidth="1"/>
    <col min="790" max="1005" width="9.140625" style="309"/>
    <col min="1006" max="1044" width="2.42578125" style="309" customWidth="1"/>
    <col min="1045" max="1045" width="3.42578125" style="309" bestFit="1" customWidth="1"/>
    <col min="1046" max="1261" width="9.140625" style="309"/>
    <col min="1262" max="1300" width="2.42578125" style="309" customWidth="1"/>
    <col min="1301" max="1301" width="3.42578125" style="309" bestFit="1" customWidth="1"/>
    <col min="1302" max="1517" width="9.140625" style="309"/>
    <col min="1518" max="1556" width="2.42578125" style="309" customWidth="1"/>
    <col min="1557" max="1557" width="3.42578125" style="309" bestFit="1" customWidth="1"/>
    <col min="1558" max="1773" width="9.140625" style="309"/>
    <col min="1774" max="1812" width="2.42578125" style="309" customWidth="1"/>
    <col min="1813" max="1813" width="3.42578125" style="309" bestFit="1" customWidth="1"/>
    <col min="1814" max="2029" width="9.140625" style="309"/>
    <col min="2030" max="2068" width="2.42578125" style="309" customWidth="1"/>
    <col min="2069" max="2069" width="3.42578125" style="309" bestFit="1" customWidth="1"/>
    <col min="2070" max="2285" width="9.140625" style="309"/>
    <col min="2286" max="2324" width="2.42578125" style="309" customWidth="1"/>
    <col min="2325" max="2325" width="3.42578125" style="309" bestFit="1" customWidth="1"/>
    <col min="2326" max="2541" width="9.140625" style="309"/>
    <col min="2542" max="2580" width="2.42578125" style="309" customWidth="1"/>
    <col min="2581" max="2581" width="3.42578125" style="309" bestFit="1" customWidth="1"/>
    <col min="2582" max="2797" width="9.140625" style="309"/>
    <col min="2798" max="2836" width="2.42578125" style="309" customWidth="1"/>
    <col min="2837" max="2837" width="3.42578125" style="309" bestFit="1" customWidth="1"/>
    <col min="2838" max="3053" width="9.140625" style="309"/>
    <col min="3054" max="3092" width="2.42578125" style="309" customWidth="1"/>
    <col min="3093" max="3093" width="3.42578125" style="309" bestFit="1" customWidth="1"/>
    <col min="3094" max="3309" width="9.140625" style="309"/>
    <col min="3310" max="3348" width="2.42578125" style="309" customWidth="1"/>
    <col min="3349" max="3349" width="3.42578125" style="309" bestFit="1" customWidth="1"/>
    <col min="3350" max="3565" width="9.140625" style="309"/>
    <col min="3566" max="3604" width="2.42578125" style="309" customWidth="1"/>
    <col min="3605" max="3605" width="3.42578125" style="309" bestFit="1" customWidth="1"/>
    <col min="3606" max="3821" width="9.140625" style="309"/>
    <col min="3822" max="3860" width="2.42578125" style="309" customWidth="1"/>
    <col min="3861" max="3861" width="3.42578125" style="309" bestFit="1" customWidth="1"/>
    <col min="3862" max="4077" width="9.140625" style="309"/>
    <col min="4078" max="4116" width="2.42578125" style="309" customWidth="1"/>
    <col min="4117" max="4117" width="3.42578125" style="309" bestFit="1" customWidth="1"/>
    <col min="4118" max="4333" width="9.140625" style="309"/>
    <col min="4334" max="4372" width="2.42578125" style="309" customWidth="1"/>
    <col min="4373" max="4373" width="3.42578125" style="309" bestFit="1" customWidth="1"/>
    <col min="4374" max="4589" width="9.140625" style="309"/>
    <col min="4590" max="4628" width="2.42578125" style="309" customWidth="1"/>
    <col min="4629" max="4629" width="3.42578125" style="309" bestFit="1" customWidth="1"/>
    <col min="4630" max="4845" width="9.140625" style="309"/>
    <col min="4846" max="4884" width="2.42578125" style="309" customWidth="1"/>
    <col min="4885" max="4885" width="3.42578125" style="309" bestFit="1" customWidth="1"/>
    <col min="4886" max="5101" width="9.140625" style="309"/>
    <col min="5102" max="5140" width="2.42578125" style="309" customWidth="1"/>
    <col min="5141" max="5141" width="3.42578125" style="309" bestFit="1" customWidth="1"/>
    <col min="5142" max="5357" width="9.140625" style="309"/>
    <col min="5358" max="5396" width="2.42578125" style="309" customWidth="1"/>
    <col min="5397" max="5397" width="3.42578125" style="309" bestFit="1" customWidth="1"/>
    <col min="5398" max="5613" width="9.140625" style="309"/>
    <col min="5614" max="5652" width="2.42578125" style="309" customWidth="1"/>
    <col min="5653" max="5653" width="3.42578125" style="309" bestFit="1" customWidth="1"/>
    <col min="5654" max="5869" width="9.140625" style="309"/>
    <col min="5870" max="5908" width="2.42578125" style="309" customWidth="1"/>
    <col min="5909" max="5909" width="3.42578125" style="309" bestFit="1" customWidth="1"/>
    <col min="5910" max="6125" width="9.140625" style="309"/>
    <col min="6126" max="6164" width="2.42578125" style="309" customWidth="1"/>
    <col min="6165" max="6165" width="3.42578125" style="309" bestFit="1" customWidth="1"/>
    <col min="6166" max="6381" width="9.140625" style="309"/>
    <col min="6382" max="6420" width="2.42578125" style="309" customWidth="1"/>
    <col min="6421" max="6421" width="3.42578125" style="309" bestFit="1" customWidth="1"/>
    <col min="6422" max="6637" width="9.140625" style="309"/>
    <col min="6638" max="6676" width="2.42578125" style="309" customWidth="1"/>
    <col min="6677" max="6677" width="3.42578125" style="309" bestFit="1" customWidth="1"/>
    <col min="6678" max="6893" width="9.140625" style="309"/>
    <col min="6894" max="6932" width="2.42578125" style="309" customWidth="1"/>
    <col min="6933" max="6933" width="3.42578125" style="309" bestFit="1" customWidth="1"/>
    <col min="6934" max="7149" width="9.140625" style="309"/>
    <col min="7150" max="7188" width="2.42578125" style="309" customWidth="1"/>
    <col min="7189" max="7189" width="3.42578125" style="309" bestFit="1" customWidth="1"/>
    <col min="7190" max="7405" width="9.140625" style="309"/>
    <col min="7406" max="7444" width="2.42578125" style="309" customWidth="1"/>
    <col min="7445" max="7445" width="3.42578125" style="309" bestFit="1" customWidth="1"/>
    <col min="7446" max="7661" width="9.140625" style="309"/>
    <col min="7662" max="7700" width="2.42578125" style="309" customWidth="1"/>
    <col min="7701" max="7701" width="3.42578125" style="309" bestFit="1" customWidth="1"/>
    <col min="7702" max="7917" width="9.140625" style="309"/>
    <col min="7918" max="7956" width="2.42578125" style="309" customWidth="1"/>
    <col min="7957" max="7957" width="3.42578125" style="309" bestFit="1" customWidth="1"/>
    <col min="7958" max="8173" width="9.140625" style="309"/>
    <col min="8174" max="8212" width="2.42578125" style="309" customWidth="1"/>
    <col min="8213" max="8213" width="3.42578125" style="309" bestFit="1" customWidth="1"/>
    <col min="8214" max="8429" width="9.140625" style="309"/>
    <col min="8430" max="8468" width="2.42578125" style="309" customWidth="1"/>
    <col min="8469" max="8469" width="3.42578125" style="309" bestFit="1" customWidth="1"/>
    <col min="8470" max="8685" width="9.140625" style="309"/>
    <col min="8686" max="8724" width="2.42578125" style="309" customWidth="1"/>
    <col min="8725" max="8725" width="3.42578125" style="309" bestFit="1" customWidth="1"/>
    <col min="8726" max="8941" width="9.140625" style="309"/>
    <col min="8942" max="8980" width="2.42578125" style="309" customWidth="1"/>
    <col min="8981" max="8981" width="3.42578125" style="309" bestFit="1" customWidth="1"/>
    <col min="8982" max="9197" width="9.140625" style="309"/>
    <col min="9198" max="9236" width="2.42578125" style="309" customWidth="1"/>
    <col min="9237" max="9237" width="3.42578125" style="309" bestFit="1" customWidth="1"/>
    <col min="9238" max="9453" width="9.140625" style="309"/>
    <col min="9454" max="9492" width="2.42578125" style="309" customWidth="1"/>
    <col min="9493" max="9493" width="3.42578125" style="309" bestFit="1" customWidth="1"/>
    <col min="9494" max="9709" width="9.140625" style="309"/>
    <col min="9710" max="9748" width="2.42578125" style="309" customWidth="1"/>
    <col min="9749" max="9749" width="3.42578125" style="309" bestFit="1" customWidth="1"/>
    <col min="9750" max="9965" width="9.140625" style="309"/>
    <col min="9966" max="10004" width="2.42578125" style="309" customWidth="1"/>
    <col min="10005" max="10005" width="3.42578125" style="309" bestFit="1" customWidth="1"/>
    <col min="10006" max="10221" width="9.140625" style="309"/>
    <col min="10222" max="10260" width="2.42578125" style="309" customWidth="1"/>
    <col min="10261" max="10261" width="3.42578125" style="309" bestFit="1" customWidth="1"/>
    <col min="10262" max="10477" width="9.140625" style="309"/>
    <col min="10478" max="10516" width="2.42578125" style="309" customWidth="1"/>
    <col min="10517" max="10517" width="3.42578125" style="309" bestFit="1" customWidth="1"/>
    <col min="10518" max="10733" width="9.140625" style="309"/>
    <col min="10734" max="10772" width="2.42578125" style="309" customWidth="1"/>
    <col min="10773" max="10773" width="3.42578125" style="309" bestFit="1" customWidth="1"/>
    <col min="10774" max="10989" width="9.140625" style="309"/>
    <col min="10990" max="11028" width="2.42578125" style="309" customWidth="1"/>
    <col min="11029" max="11029" width="3.42578125" style="309" bestFit="1" customWidth="1"/>
    <col min="11030" max="11245" width="9.140625" style="309"/>
    <col min="11246" max="11284" width="2.42578125" style="309" customWidth="1"/>
    <col min="11285" max="11285" width="3.42578125" style="309" bestFit="1" customWidth="1"/>
    <col min="11286" max="11501" width="9.140625" style="309"/>
    <col min="11502" max="11540" width="2.42578125" style="309" customWidth="1"/>
    <col min="11541" max="11541" width="3.42578125" style="309" bestFit="1" customWidth="1"/>
    <col min="11542" max="11757" width="9.140625" style="309"/>
    <col min="11758" max="11796" width="2.42578125" style="309" customWidth="1"/>
    <col min="11797" max="11797" width="3.42578125" style="309" bestFit="1" customWidth="1"/>
    <col min="11798" max="12013" width="9.140625" style="309"/>
    <col min="12014" max="12052" width="2.42578125" style="309" customWidth="1"/>
    <col min="12053" max="12053" width="3.42578125" style="309" bestFit="1" customWidth="1"/>
    <col min="12054" max="12269" width="9.140625" style="309"/>
    <col min="12270" max="12308" width="2.42578125" style="309" customWidth="1"/>
    <col min="12309" max="12309" width="3.42578125" style="309" bestFit="1" customWidth="1"/>
    <col min="12310" max="12525" width="9.140625" style="309"/>
    <col min="12526" max="12564" width="2.42578125" style="309" customWidth="1"/>
    <col min="12565" max="12565" width="3.42578125" style="309" bestFit="1" customWidth="1"/>
    <col min="12566" max="12781" width="9.140625" style="309"/>
    <col min="12782" max="12820" width="2.42578125" style="309" customWidth="1"/>
    <col min="12821" max="12821" width="3.42578125" style="309" bestFit="1" customWidth="1"/>
    <col min="12822" max="13037" width="9.140625" style="309"/>
    <col min="13038" max="13076" width="2.42578125" style="309" customWidth="1"/>
    <col min="13077" max="13077" width="3.42578125" style="309" bestFit="1" customWidth="1"/>
    <col min="13078" max="13293" width="9.140625" style="309"/>
    <col min="13294" max="13332" width="2.42578125" style="309" customWidth="1"/>
    <col min="13333" max="13333" width="3.42578125" style="309" bestFit="1" customWidth="1"/>
    <col min="13334" max="13549" width="9.140625" style="309"/>
    <col min="13550" max="13588" width="2.42578125" style="309" customWidth="1"/>
    <col min="13589" max="13589" width="3.42578125" style="309" bestFit="1" customWidth="1"/>
    <col min="13590" max="13805" width="9.140625" style="309"/>
    <col min="13806" max="13844" width="2.42578125" style="309" customWidth="1"/>
    <col min="13845" max="13845" width="3.42578125" style="309" bestFit="1" customWidth="1"/>
    <col min="13846" max="14061" width="9.140625" style="309"/>
    <col min="14062" max="14100" width="2.42578125" style="309" customWidth="1"/>
    <col min="14101" max="14101" width="3.42578125" style="309" bestFit="1" customWidth="1"/>
    <col min="14102" max="14317" width="9.140625" style="309"/>
    <col min="14318" max="14356" width="2.42578125" style="309" customWidth="1"/>
    <col min="14357" max="14357" width="3.42578125" style="309" bestFit="1" customWidth="1"/>
    <col min="14358" max="14573" width="9.140625" style="309"/>
    <col min="14574" max="14612" width="2.42578125" style="309" customWidth="1"/>
    <col min="14613" max="14613" width="3.42578125" style="309" bestFit="1" customWidth="1"/>
    <col min="14614" max="14829" width="9.140625" style="309"/>
    <col min="14830" max="14868" width="2.42578125" style="309" customWidth="1"/>
    <col min="14869" max="14869" width="3.42578125" style="309" bestFit="1" customWidth="1"/>
    <col min="14870" max="15085" width="9.140625" style="309"/>
    <col min="15086" max="15124" width="2.42578125" style="309" customWidth="1"/>
    <col min="15125" max="15125" width="3.42578125" style="309" bestFit="1" customWidth="1"/>
    <col min="15126" max="15341" width="9.140625" style="309"/>
    <col min="15342" max="15380" width="2.42578125" style="309" customWidth="1"/>
    <col min="15381" max="15381" width="3.42578125" style="309" bestFit="1" customWidth="1"/>
    <col min="15382" max="15597" width="9.140625" style="309"/>
    <col min="15598" max="15636" width="2.42578125" style="309" customWidth="1"/>
    <col min="15637" max="15637" width="3.42578125" style="309" bestFit="1" customWidth="1"/>
    <col min="15638" max="15853" width="9.140625" style="309"/>
    <col min="15854" max="15892" width="2.42578125" style="309" customWidth="1"/>
    <col min="15893" max="15893" width="3.42578125" style="309" bestFit="1" customWidth="1"/>
    <col min="15894" max="16109" width="9.140625" style="309"/>
    <col min="16110" max="16148" width="2.42578125" style="309" customWidth="1"/>
    <col min="16149" max="16149" width="3.42578125" style="309" bestFit="1" customWidth="1"/>
    <col min="16150" max="16384" width="9.140625" style="309"/>
  </cols>
  <sheetData>
    <row r="1" spans="1:8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18"/>
      <c r="BA1" s="318"/>
      <c r="BB1" s="321"/>
      <c r="BC1" s="322"/>
    </row>
    <row r="2" spans="1:8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18"/>
      <c r="AZ2" s="318"/>
      <c r="BA2" s="318"/>
      <c r="BB2" s="321"/>
      <c r="BC2" s="322"/>
    </row>
    <row r="3" spans="1:8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18"/>
      <c r="AP3" s="318"/>
      <c r="AQ3" s="318"/>
      <c r="AR3" s="318"/>
      <c r="AS3" s="318"/>
      <c r="AT3" s="318"/>
      <c r="AU3" s="318"/>
      <c r="AV3" s="318"/>
      <c r="AW3" s="318"/>
      <c r="AX3" s="318"/>
      <c r="AY3" s="318"/>
      <c r="AZ3" s="318"/>
      <c r="BA3" s="318"/>
      <c r="BB3" s="321"/>
      <c r="BC3" s="322"/>
    </row>
    <row r="4" spans="1:8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318"/>
      <c r="AX4" s="318"/>
      <c r="AY4" s="318"/>
      <c r="AZ4" s="318"/>
      <c r="BA4" s="318"/>
      <c r="BB4" s="321"/>
      <c r="BC4" s="322"/>
    </row>
    <row r="5" spans="1:8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21"/>
      <c r="BC5" s="322"/>
    </row>
    <row r="6" spans="1:86" ht="30.75" thickBot="1" x14ac:dyDescent="0.3">
      <c r="A6" s="32" t="s">
        <v>318</v>
      </c>
      <c r="B6" s="337"/>
      <c r="C6" s="337"/>
      <c r="D6" s="337"/>
      <c r="E6" s="373"/>
      <c r="F6" s="373"/>
      <c r="G6" s="373"/>
      <c r="H6" s="373"/>
      <c r="I6" s="353" t="s">
        <v>405</v>
      </c>
      <c r="J6" s="353"/>
      <c r="K6" s="353"/>
      <c r="L6" s="353"/>
      <c r="M6" s="353"/>
      <c r="N6" s="353" t="s">
        <v>406</v>
      </c>
      <c r="O6" s="353"/>
      <c r="P6" s="353"/>
      <c r="Q6" s="353"/>
      <c r="R6" s="353"/>
      <c r="S6" s="353" t="s">
        <v>407</v>
      </c>
      <c r="T6" s="353"/>
      <c r="U6" s="353"/>
      <c r="V6" s="353"/>
      <c r="W6" s="353"/>
      <c r="X6" s="353" t="s">
        <v>419</v>
      </c>
      <c r="Y6" s="353"/>
      <c r="Z6" s="353"/>
      <c r="AA6" s="353"/>
      <c r="AB6" s="353"/>
      <c r="AC6" s="353" t="s">
        <v>420</v>
      </c>
      <c r="AD6" s="353"/>
      <c r="AE6" s="353"/>
      <c r="AF6" s="353"/>
      <c r="AG6" s="353"/>
      <c r="AH6" s="457"/>
      <c r="AI6" s="457"/>
      <c r="AJ6" s="457"/>
      <c r="AK6" s="457"/>
      <c r="AL6" s="457"/>
      <c r="AM6" s="457"/>
      <c r="AN6" s="457"/>
      <c r="AO6" s="457"/>
      <c r="AP6" s="470"/>
      <c r="AQ6" s="457"/>
      <c r="AR6" s="457"/>
      <c r="AS6" s="457"/>
      <c r="AT6" s="457"/>
      <c r="AU6" s="353" t="s">
        <v>444</v>
      </c>
      <c r="AV6" s="353"/>
      <c r="AW6" s="353"/>
      <c r="AX6" s="353"/>
      <c r="AY6" s="353"/>
      <c r="AZ6" s="353" t="s">
        <v>445</v>
      </c>
      <c r="BA6" s="353"/>
      <c r="BB6" s="353"/>
      <c r="BC6" s="353"/>
      <c r="BD6" s="353"/>
      <c r="BE6" s="353" t="s">
        <v>446</v>
      </c>
      <c r="BF6" s="353"/>
      <c r="BG6" s="353"/>
      <c r="BH6" s="353"/>
      <c r="BI6" s="353"/>
      <c r="BJ6" s="353" t="s">
        <v>447</v>
      </c>
      <c r="BK6" s="353"/>
      <c r="BL6" s="353"/>
      <c r="BM6" s="353"/>
      <c r="BN6" s="353"/>
      <c r="BO6" s="353" t="s">
        <v>448</v>
      </c>
      <c r="BP6" s="353"/>
      <c r="BQ6" s="353"/>
      <c r="BR6" s="353"/>
      <c r="BS6" s="353"/>
      <c r="BT6" s="353" t="s">
        <v>449</v>
      </c>
      <c r="BU6" s="353"/>
      <c r="BV6" s="353"/>
      <c r="BW6" s="353"/>
      <c r="BX6" s="353"/>
      <c r="BY6" s="353" t="s">
        <v>450</v>
      </c>
      <c r="BZ6" s="353"/>
      <c r="CA6" s="353"/>
      <c r="CB6" s="353"/>
      <c r="CC6" s="353"/>
      <c r="CD6" s="353" t="s">
        <v>451</v>
      </c>
      <c r="CE6" s="353"/>
      <c r="CF6" s="353"/>
      <c r="CG6" s="353"/>
      <c r="CH6" s="353"/>
    </row>
    <row r="7" spans="1:86" ht="120" x14ac:dyDescent="0.25">
      <c r="A7" s="336" t="s">
        <v>295</v>
      </c>
      <c r="B7" s="331" t="s">
        <v>296</v>
      </c>
      <c r="C7" s="331" t="s">
        <v>302</v>
      </c>
      <c r="D7" s="331"/>
      <c r="E7" s="449" t="s">
        <v>538</v>
      </c>
      <c r="F7" s="450" t="s">
        <v>539</v>
      </c>
      <c r="G7" s="451" t="s">
        <v>540</v>
      </c>
      <c r="H7" s="452" t="s">
        <v>541</v>
      </c>
      <c r="I7" s="353" t="s">
        <v>408</v>
      </c>
      <c r="J7" s="358" t="s">
        <v>409</v>
      </c>
      <c r="K7" s="359" t="s">
        <v>410</v>
      </c>
      <c r="L7" s="359" t="s">
        <v>418</v>
      </c>
      <c r="M7" s="353" t="s">
        <v>414</v>
      </c>
      <c r="N7" s="353" t="s">
        <v>408</v>
      </c>
      <c r="O7" s="358" t="s">
        <v>409</v>
      </c>
      <c r="P7" s="359" t="s">
        <v>410</v>
      </c>
      <c r="Q7" s="359" t="s">
        <v>418</v>
      </c>
      <c r="R7" s="353" t="s">
        <v>414</v>
      </c>
      <c r="S7" s="353" t="s">
        <v>408</v>
      </c>
      <c r="T7" s="358" t="s">
        <v>409</v>
      </c>
      <c r="U7" s="359" t="s">
        <v>410</v>
      </c>
      <c r="V7" s="359" t="s">
        <v>418</v>
      </c>
      <c r="W7" s="353" t="s">
        <v>414</v>
      </c>
      <c r="X7" s="353" t="s">
        <v>408</v>
      </c>
      <c r="Y7" s="358" t="s">
        <v>409</v>
      </c>
      <c r="Z7" s="359" t="s">
        <v>410</v>
      </c>
      <c r="AA7" s="359" t="s">
        <v>418</v>
      </c>
      <c r="AB7" s="353" t="s">
        <v>414</v>
      </c>
      <c r="AC7" s="353" t="s">
        <v>408</v>
      </c>
      <c r="AD7" s="358" t="s">
        <v>409</v>
      </c>
      <c r="AE7" s="359" t="s">
        <v>410</v>
      </c>
      <c r="AF7" s="359" t="s">
        <v>418</v>
      </c>
      <c r="AG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440" t="s">
        <v>548</v>
      </c>
      <c r="AR7" s="471" t="s">
        <v>549</v>
      </c>
      <c r="AS7" s="445" t="s">
        <v>536</v>
      </c>
      <c r="AT7" s="446" t="s">
        <v>537</v>
      </c>
      <c r="AU7" s="353" t="s">
        <v>408</v>
      </c>
      <c r="AV7" s="358" t="s">
        <v>409</v>
      </c>
      <c r="AW7" s="359" t="s">
        <v>410</v>
      </c>
      <c r="AX7" s="359" t="s">
        <v>418</v>
      </c>
      <c r="AY7" s="353" t="s">
        <v>414</v>
      </c>
      <c r="AZ7" s="353" t="s">
        <v>408</v>
      </c>
      <c r="BA7" s="358" t="s">
        <v>409</v>
      </c>
      <c r="BB7" s="359" t="s">
        <v>410</v>
      </c>
      <c r="BC7" s="359" t="s">
        <v>418</v>
      </c>
      <c r="BD7" s="353" t="s">
        <v>414</v>
      </c>
      <c r="BE7" s="353" t="s">
        <v>408</v>
      </c>
      <c r="BF7" s="358" t="s">
        <v>409</v>
      </c>
      <c r="BG7" s="359" t="s">
        <v>410</v>
      </c>
      <c r="BH7" s="359" t="s">
        <v>418</v>
      </c>
      <c r="BI7" s="353" t="s">
        <v>414</v>
      </c>
      <c r="BJ7" s="353" t="s">
        <v>408</v>
      </c>
      <c r="BK7" s="358" t="s">
        <v>409</v>
      </c>
      <c r="BL7" s="359" t="s">
        <v>410</v>
      </c>
      <c r="BM7" s="359" t="s">
        <v>418</v>
      </c>
      <c r="BN7" s="353" t="s">
        <v>414</v>
      </c>
      <c r="BO7" s="353" t="s">
        <v>408</v>
      </c>
      <c r="BP7" s="358" t="s">
        <v>409</v>
      </c>
      <c r="BQ7" s="359" t="s">
        <v>410</v>
      </c>
      <c r="BR7" s="359" t="s">
        <v>418</v>
      </c>
      <c r="BS7" s="353" t="s">
        <v>414</v>
      </c>
      <c r="BT7" s="353" t="s">
        <v>408</v>
      </c>
      <c r="BU7" s="358" t="s">
        <v>409</v>
      </c>
      <c r="BV7" s="359" t="s">
        <v>410</v>
      </c>
      <c r="BW7" s="359" t="s">
        <v>418</v>
      </c>
      <c r="BX7" s="353" t="s">
        <v>414</v>
      </c>
      <c r="BY7" s="353" t="s">
        <v>408</v>
      </c>
      <c r="BZ7" s="358" t="s">
        <v>409</v>
      </c>
      <c r="CA7" s="359" t="s">
        <v>410</v>
      </c>
      <c r="CB7" s="359" t="s">
        <v>418</v>
      </c>
      <c r="CC7" s="353" t="s">
        <v>414</v>
      </c>
      <c r="CD7" s="353" t="s">
        <v>408</v>
      </c>
      <c r="CE7" s="358" t="s">
        <v>409</v>
      </c>
      <c r="CF7" s="359" t="s">
        <v>410</v>
      </c>
      <c r="CG7" s="359" t="s">
        <v>418</v>
      </c>
      <c r="CH7" s="353" t="s">
        <v>414</v>
      </c>
    </row>
    <row r="8" spans="1:86" ht="112.5" x14ac:dyDescent="0.25">
      <c r="A8" s="338" t="s">
        <v>319</v>
      </c>
      <c r="B8" s="429" t="s">
        <v>473</v>
      </c>
      <c r="C8" s="339">
        <v>2</v>
      </c>
      <c r="D8" s="339"/>
      <c r="E8" s="453" t="str">
        <f>IF(AND(AO8="IRR",SUM(AH8:AJ8)&gt;0),AP8,IF(AND(AO8="IRR",AQ8&lt;&gt;""),AQ8*'[5]Basic INFO'!$E$127,IF(AO8="IRR",AS8,"")))</f>
        <v/>
      </c>
      <c r="F8" s="454">
        <f>IF(AND(AO8="EUR",SUM(AH8:AJ8)&gt;0),AP8,IF(AND(AO8="EUR",AR8&lt;&gt;""),AR8*'[5]Basic INFO'!$C$138,IF(AO8="EUR",AT8,"")))</f>
        <v>1164712.8333333333</v>
      </c>
      <c r="G8" s="455" t="str">
        <f t="shared" ref="G8" si="0">IF(AO8="IRR",C8*E8,"")</f>
        <v/>
      </c>
      <c r="H8" s="456">
        <f t="shared" ref="H8" si="1">IF(AO8="EUR",C8*F8,"")</f>
        <v>2329425.6666666665</v>
      </c>
      <c r="I8" s="399" t="s">
        <v>452</v>
      </c>
      <c r="J8" s="399"/>
      <c r="K8" s="360">
        <v>1044138.5</v>
      </c>
      <c r="L8" s="399"/>
      <c r="M8" s="416">
        <v>45686</v>
      </c>
      <c r="N8" s="399" t="s">
        <v>453</v>
      </c>
      <c r="O8" s="399"/>
      <c r="P8" s="360">
        <v>1400000</v>
      </c>
      <c r="Q8" s="399"/>
      <c r="R8" s="399"/>
      <c r="S8" s="399" t="s">
        <v>411</v>
      </c>
      <c r="T8" s="399"/>
      <c r="U8" s="360">
        <v>1050000</v>
      </c>
      <c r="V8" s="399"/>
      <c r="W8" s="416">
        <v>45716</v>
      </c>
      <c r="X8" s="399" t="s">
        <v>454</v>
      </c>
      <c r="Y8" s="399"/>
      <c r="Z8" s="399"/>
      <c r="AA8" s="399"/>
      <c r="AB8" s="399" t="s">
        <v>438</v>
      </c>
      <c r="AC8" s="399" t="s">
        <v>455</v>
      </c>
      <c r="AD8" s="399"/>
      <c r="AE8" s="399"/>
      <c r="AF8" s="399"/>
      <c r="AG8" s="399" t="s">
        <v>433</v>
      </c>
      <c r="AH8" s="441">
        <f>IF(B8="","",COUNT(J8,O8,T8,Y8,AD8))</f>
        <v>0</v>
      </c>
      <c r="AI8" s="442">
        <f>IF(B8="","",COUNT(K8,P8,U8,Z8,AE8))</f>
        <v>3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1164712.8333333333</v>
      </c>
      <c r="AM8" s="442" t="str">
        <f>IF(AND(AJ8&lt;&gt;"",AJ8&gt;0),AVERAGE(L8,Q8,V8,AA8,AF8)/'[5]Basic INFO'!$C$103,"")</f>
        <v/>
      </c>
      <c r="AN8" s="442">
        <f>IF(SUM(AH8:AJ8)&lt;&gt;0,AVERAGE(AK8:AM8),"")</f>
        <v>1164712.8333333333</v>
      </c>
      <c r="AO8" s="472" t="s">
        <v>526</v>
      </c>
      <c r="AP8" s="444">
        <f>IF(B8="","",IF(SUM(AH8:AJ8)=0,"",IF(AO8="IRR",AN8*('[5]Basic INFO'!$C$101*'[5]Basic INFO'!$C$103),IF(AO8="EUR",AN8,AP8))))</f>
        <v>1164712.8333333333</v>
      </c>
      <c r="AQ8" s="473"/>
      <c r="AR8" s="474">
        <v>800000</v>
      </c>
      <c r="AS8" s="447"/>
      <c r="AT8" s="448"/>
      <c r="AU8" s="399" t="s">
        <v>457</v>
      </c>
      <c r="AV8" s="399"/>
      <c r="AW8" s="399"/>
      <c r="AX8" s="399"/>
      <c r="AY8" s="399" t="s">
        <v>433</v>
      </c>
      <c r="AZ8" s="399" t="s">
        <v>456</v>
      </c>
      <c r="BA8" s="399"/>
      <c r="BB8" s="399"/>
      <c r="BC8" s="399"/>
      <c r="BD8" s="399" t="s">
        <v>433</v>
      </c>
      <c r="BE8" s="399" t="s">
        <v>458</v>
      </c>
      <c r="BF8" s="399"/>
      <c r="BG8" s="399"/>
      <c r="BH8" s="399"/>
      <c r="BI8" s="399" t="s">
        <v>433</v>
      </c>
      <c r="BJ8" s="399" t="s">
        <v>459</v>
      </c>
      <c r="BK8" s="399"/>
      <c r="BL8" s="399"/>
      <c r="BM8" s="399"/>
      <c r="BN8" s="399" t="s">
        <v>433</v>
      </c>
      <c r="BO8" s="399" t="s">
        <v>460</v>
      </c>
      <c r="BP8" s="399"/>
      <c r="BQ8" s="399"/>
      <c r="BR8" s="399"/>
      <c r="BS8" s="399" t="s">
        <v>433</v>
      </c>
      <c r="BT8" s="399" t="s">
        <v>461</v>
      </c>
      <c r="BU8" s="399"/>
      <c r="BV8" s="399"/>
      <c r="BW8" s="399"/>
      <c r="BX8" s="399" t="s">
        <v>433</v>
      </c>
      <c r="BY8" s="399" t="s">
        <v>462</v>
      </c>
      <c r="BZ8" s="399"/>
      <c r="CA8" s="399"/>
      <c r="CB8" s="399"/>
      <c r="CC8" s="399" t="s">
        <v>433</v>
      </c>
      <c r="CD8" s="399" t="s">
        <v>463</v>
      </c>
      <c r="CE8" s="399"/>
      <c r="CF8" s="399"/>
      <c r="CG8" s="399"/>
      <c r="CH8" s="399" t="s">
        <v>433</v>
      </c>
    </row>
    <row r="9" spans="1:86" ht="101.25" x14ac:dyDescent="0.25">
      <c r="A9" s="338" t="s">
        <v>320</v>
      </c>
      <c r="B9" s="430" t="s">
        <v>474</v>
      </c>
      <c r="C9" s="339">
        <v>1</v>
      </c>
      <c r="D9" s="339"/>
      <c r="E9" s="453" t="str">
        <f>IF(AND(AO9="IRR",SUM(AH9:AJ9)&gt;0),AP9,IF(AND(AO9="IRR",AQ9&lt;&gt;""),AQ9*'[5]Basic INFO'!$E$127,IF(AO9="IRR",AS9,"")))</f>
        <v/>
      </c>
      <c r="F9" s="454">
        <f>IF(AND(AO9="EUR",SUM(AH9:AJ9)&gt;0),AP9,IF(AND(AO9="EUR",AR9&lt;&gt;""),AR9*'[5]Basic INFO'!$C$138,IF(AO9="EUR",AT9,"")))</f>
        <v>1090791.3333333333</v>
      </c>
      <c r="G9" s="455" t="str">
        <f t="shared" ref="G9" si="2">IF(AO9="IRR",C9*E9,"")</f>
        <v/>
      </c>
      <c r="H9" s="456">
        <f t="shared" ref="H9" si="3">IF(AO9="EUR",C9*F9,"")</f>
        <v>1090791.3333333333</v>
      </c>
      <c r="I9" s="399" t="s">
        <v>452</v>
      </c>
      <c r="J9" s="399"/>
      <c r="K9" s="360">
        <v>1452374</v>
      </c>
      <c r="L9" s="399"/>
      <c r="M9" s="416">
        <v>45686</v>
      </c>
      <c r="N9" s="399" t="s">
        <v>453</v>
      </c>
      <c r="O9" s="399"/>
      <c r="P9" s="360">
        <v>1200000</v>
      </c>
      <c r="Q9" s="399"/>
      <c r="R9" s="399"/>
      <c r="S9" s="399" t="s">
        <v>411</v>
      </c>
      <c r="T9" s="399"/>
      <c r="U9" s="360">
        <v>620000</v>
      </c>
      <c r="V9" s="399"/>
      <c r="W9" s="416">
        <v>45716</v>
      </c>
      <c r="X9" s="399" t="s">
        <v>454</v>
      </c>
      <c r="Y9" s="399"/>
      <c r="Z9" s="399"/>
      <c r="AA9" s="399"/>
      <c r="AB9" s="399" t="s">
        <v>438</v>
      </c>
      <c r="AC9" s="399" t="s">
        <v>455</v>
      </c>
      <c r="AD9" s="399"/>
      <c r="AE9" s="399"/>
      <c r="AF9" s="399"/>
      <c r="AG9" s="399" t="s">
        <v>433</v>
      </c>
      <c r="AH9" s="441">
        <f>IF(B9="","",COUNT(J9,O9,T9,Y9,AD9))</f>
        <v>0</v>
      </c>
      <c r="AI9" s="442">
        <f>IF(B9="","",COUNT(K9,P9,U9,Z9,AE9))</f>
        <v>3</v>
      </c>
      <c r="AJ9" s="442">
        <f>IF(B9="","",COUNT(L9,Q9,V9,AA9,AF9))</f>
        <v>0</v>
      </c>
      <c r="AK9" s="442" t="str">
        <f>IF(AND(AH9&lt;&gt;"",AH9&gt;0),AVERAGE(J9,O9,T9,Y9,AD9)/('[5]Basic INFO'!$C$101*'[5]Basic INFO'!$C$103),"")</f>
        <v/>
      </c>
      <c r="AL9" s="442">
        <f>IF(AND(AI9&lt;&gt;"",AI9&gt;0),AVERAGE(K9,P9,U9,Z9,AE9),"")</f>
        <v>1090791.3333333333</v>
      </c>
      <c r="AM9" s="442" t="str">
        <f>IF(AND(AJ9&lt;&gt;"",AJ9&gt;0),AVERAGE(L9,Q9,V9,AA9,AF9)/'[5]Basic INFO'!$C$103,"")</f>
        <v/>
      </c>
      <c r="AN9" s="442">
        <f>IF(SUM(AH9:AJ9)&lt;&gt;0,AVERAGE(AK9:AM9),"")</f>
        <v>1090791.3333333333</v>
      </c>
      <c r="AO9" s="472" t="s">
        <v>526</v>
      </c>
      <c r="AP9" s="444">
        <f>IF(B9="","",IF(SUM(AH9:AJ9)=0,"",IF(AO9="IRR",AN9*('[5]Basic INFO'!$C$101*'[5]Basic INFO'!$C$103),IF(AO9="EUR",AN9,AP9))))</f>
        <v>1090791.3333333333</v>
      </c>
      <c r="AQ9" s="399"/>
      <c r="AR9" s="399">
        <v>680000</v>
      </c>
      <c r="AS9" s="399"/>
      <c r="AT9" s="399"/>
      <c r="AU9" s="399" t="s">
        <v>457</v>
      </c>
      <c r="AV9" s="399"/>
      <c r="AW9" s="399"/>
      <c r="AX9" s="399"/>
      <c r="AY9" s="399" t="s">
        <v>433</v>
      </c>
      <c r="AZ9" s="399" t="s">
        <v>456</v>
      </c>
      <c r="BA9" s="399"/>
      <c r="BB9" s="399"/>
      <c r="BC9" s="399"/>
      <c r="BD9" s="399" t="s">
        <v>433</v>
      </c>
      <c r="BE9" s="399" t="s">
        <v>458</v>
      </c>
      <c r="BF9" s="399"/>
      <c r="BG9" s="399"/>
      <c r="BH9" s="399"/>
      <c r="BI9" s="399" t="s">
        <v>433</v>
      </c>
      <c r="BJ9" s="399" t="s">
        <v>459</v>
      </c>
      <c r="BK9" s="399"/>
      <c r="BL9" s="399"/>
      <c r="BM9" s="399"/>
      <c r="BN9" s="399" t="s">
        <v>433</v>
      </c>
      <c r="BO9" s="399" t="s">
        <v>460</v>
      </c>
      <c r="BP9" s="399"/>
      <c r="BQ9" s="399"/>
      <c r="BR9" s="399"/>
      <c r="BS9" s="399" t="s">
        <v>433</v>
      </c>
      <c r="BT9" s="399" t="s">
        <v>461</v>
      </c>
      <c r="BU9" s="399"/>
      <c r="BV9" s="399"/>
      <c r="BW9" s="399"/>
      <c r="BX9" s="399" t="s">
        <v>433</v>
      </c>
      <c r="BY9" s="399" t="s">
        <v>462</v>
      </c>
      <c r="BZ9" s="399"/>
      <c r="CA9" s="399"/>
      <c r="CB9" s="399"/>
      <c r="CC9" s="399" t="s">
        <v>433</v>
      </c>
      <c r="CD9" s="399" t="s">
        <v>463</v>
      </c>
      <c r="CE9" s="399"/>
      <c r="CF9" s="399"/>
      <c r="CG9" s="399"/>
      <c r="CH9" s="399" t="s">
        <v>433</v>
      </c>
    </row>
    <row r="10" spans="1:86" ht="30" x14ac:dyDescent="0.25">
      <c r="A10" s="457"/>
      <c r="B10" s="458" t="s">
        <v>542</v>
      </c>
      <c r="C10" s="457"/>
      <c r="D10" s="457"/>
      <c r="E10" s="459"/>
      <c r="F10" s="460"/>
      <c r="G10" s="461">
        <f>SUM(G8:G9)</f>
        <v>0</v>
      </c>
      <c r="H10" s="462">
        <f>SUM(H8:H9)</f>
        <v>3420217</v>
      </c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  <c r="AQ10" s="361"/>
      <c r="AR10" s="361"/>
      <c r="AS10" s="361"/>
      <c r="AT10" s="361"/>
      <c r="AU10" s="361"/>
      <c r="AV10" s="361"/>
      <c r="AW10" s="361"/>
      <c r="AX10" s="361"/>
      <c r="AY10" s="361"/>
      <c r="AZ10" s="361"/>
      <c r="BA10" s="361"/>
      <c r="BB10" s="361"/>
      <c r="BC10" s="361"/>
      <c r="BD10" s="361"/>
      <c r="BE10" s="361"/>
      <c r="BF10" s="361"/>
      <c r="BG10" s="361"/>
      <c r="BH10" s="361"/>
      <c r="BI10" s="361"/>
      <c r="BJ10" s="361"/>
      <c r="BK10" s="361"/>
      <c r="BL10" s="361"/>
      <c r="BM10" s="361"/>
      <c r="BN10" s="361"/>
      <c r="BO10" s="361"/>
      <c r="BP10" s="361"/>
      <c r="BQ10" s="361"/>
      <c r="BR10" s="361"/>
      <c r="BS10" s="361"/>
      <c r="BT10" s="361"/>
      <c r="BU10" s="361"/>
      <c r="BV10" s="361"/>
      <c r="BW10" s="361"/>
      <c r="BX10" s="361"/>
      <c r="BY10" s="361"/>
      <c r="BZ10" s="361"/>
      <c r="CA10" s="361"/>
      <c r="CB10" s="361"/>
      <c r="CC10" s="361"/>
      <c r="CD10" s="361"/>
      <c r="CE10" s="361"/>
      <c r="CF10" s="361"/>
      <c r="CG10" s="361"/>
      <c r="CH10" s="361"/>
    </row>
    <row r="11" spans="1:86" ht="15" x14ac:dyDescent="0.25">
      <c r="A11" s="463"/>
      <c r="B11" s="464" t="s">
        <v>543</v>
      </c>
      <c r="C11" s="463"/>
      <c r="D11" s="463"/>
      <c r="E11"/>
      <c r="F11"/>
      <c r="G11" s="465">
        <v>1.18</v>
      </c>
      <c r="H11" s="465">
        <v>1.18</v>
      </c>
    </row>
    <row r="12" spans="1:86" ht="15" x14ac:dyDescent="0.25">
      <c r="A12" s="463"/>
      <c r="B12" s="464" t="s">
        <v>544</v>
      </c>
      <c r="C12" s="463"/>
      <c r="D12" s="463"/>
      <c r="E12"/>
      <c r="F12"/>
      <c r="G12" s="466">
        <v>0.1</v>
      </c>
      <c r="H12" s="466">
        <v>0.1</v>
      </c>
    </row>
    <row r="13" spans="1:86" ht="30" x14ac:dyDescent="0.25">
      <c r="A13" s="463"/>
      <c r="B13" s="467" t="s">
        <v>545</v>
      </c>
      <c r="C13" s="463"/>
      <c r="D13" s="463"/>
      <c r="E13"/>
      <c r="F13"/>
      <c r="G13" s="468">
        <f>ROUND((G10*G11*(1+G12))/1000000,0)*1000000</f>
        <v>0</v>
      </c>
      <c r="H13" s="469">
        <f>ROUND(H10*H11*(1+H12)/1000,0)*1000</f>
        <v>4439000</v>
      </c>
    </row>
    <row r="14" spans="1:86" ht="12" x14ac:dyDescent="0.2">
      <c r="G14" s="461">
        <f>ROUND(SUMIF(AP:AP,"&gt;0",G:G)*G11*(1+G12)/1000000,0)*1000000</f>
        <v>0</v>
      </c>
      <c r="H14" s="462">
        <f>ROUND(SUMIF(AP:AP,"&gt;0",H:H)*H11*(1+H12)/1000,0)*1000</f>
        <v>4439000</v>
      </c>
    </row>
  </sheetData>
  <dataValidations disablePrompts="1" count="1">
    <dataValidation type="list" allowBlank="1" showInputMessage="1" showErrorMessage="1" sqref="WBW983032:WBX983035 JN65528:JO65531 TJ65528:TK65531 ADF65528:ADG65531 ANB65528:ANC65531 AWX65528:AWY65531 BGT65528:BGU65531 BQP65528:BQQ65531 CAL65528:CAM65531 CKH65528:CKI65531 CUD65528:CUE65531 DDZ65528:DEA65531 DNV65528:DNW65531 DXR65528:DXS65531 EHN65528:EHO65531 ERJ65528:ERK65531 FBF65528:FBG65531 FLB65528:FLC65531 FUX65528:FUY65531 GET65528:GEU65531 GOP65528:GOQ65531 GYL65528:GYM65531 HIH65528:HII65531 HSD65528:HSE65531 IBZ65528:ICA65531 ILV65528:ILW65531 IVR65528:IVS65531 JFN65528:JFO65531 JPJ65528:JPK65531 JZF65528:JZG65531 KJB65528:KJC65531 KSX65528:KSY65531 LCT65528:LCU65531 LMP65528:LMQ65531 LWL65528:LWM65531 MGH65528:MGI65531 MQD65528:MQE65531 MZZ65528:NAA65531 NJV65528:NJW65531 NTR65528:NTS65531 ODN65528:ODO65531 ONJ65528:ONK65531 OXF65528:OXG65531 PHB65528:PHC65531 PQX65528:PQY65531 QAT65528:QAU65531 QKP65528:QKQ65531 QUL65528:QUM65531 REH65528:REI65531 ROD65528:ROE65531 RXZ65528:RYA65531 SHV65528:SHW65531 SRR65528:SRS65531 TBN65528:TBO65531 TLJ65528:TLK65531 TVF65528:TVG65531 UFB65528:UFC65531 UOX65528:UOY65531 UYT65528:UYU65531 VIP65528:VIQ65531 VSL65528:VSM65531 WCH65528:WCI65531 WMD65528:WME65531 WVZ65528:WWA65531 JN131064:JO131067 TJ131064:TK131067 ADF131064:ADG131067 ANB131064:ANC131067 AWX131064:AWY131067 BGT131064:BGU131067 BQP131064:BQQ131067 CAL131064:CAM131067 CKH131064:CKI131067 CUD131064:CUE131067 DDZ131064:DEA131067 DNV131064:DNW131067 DXR131064:DXS131067 EHN131064:EHO131067 ERJ131064:ERK131067 FBF131064:FBG131067 FLB131064:FLC131067 FUX131064:FUY131067 GET131064:GEU131067 GOP131064:GOQ131067 GYL131064:GYM131067 HIH131064:HII131067 HSD131064:HSE131067 IBZ131064:ICA131067 ILV131064:ILW131067 IVR131064:IVS131067 JFN131064:JFO131067 JPJ131064:JPK131067 JZF131064:JZG131067 KJB131064:KJC131067 KSX131064:KSY131067 LCT131064:LCU131067 LMP131064:LMQ131067 LWL131064:LWM131067 MGH131064:MGI131067 MQD131064:MQE131067 MZZ131064:NAA131067 NJV131064:NJW131067 NTR131064:NTS131067 ODN131064:ODO131067 ONJ131064:ONK131067 OXF131064:OXG131067 PHB131064:PHC131067 PQX131064:PQY131067 QAT131064:QAU131067 QKP131064:QKQ131067 QUL131064:QUM131067 REH131064:REI131067 ROD131064:ROE131067 RXZ131064:RYA131067 SHV131064:SHW131067 SRR131064:SRS131067 TBN131064:TBO131067 TLJ131064:TLK131067 TVF131064:TVG131067 UFB131064:UFC131067 UOX131064:UOY131067 UYT131064:UYU131067 VIP131064:VIQ131067 VSL131064:VSM131067 WCH131064:WCI131067 WMD131064:WME131067 WVZ131064:WWA131067 JN196600:JO196603 TJ196600:TK196603 ADF196600:ADG196603 ANB196600:ANC196603 AWX196600:AWY196603 BGT196600:BGU196603 BQP196600:BQQ196603 CAL196600:CAM196603 CKH196600:CKI196603 CUD196600:CUE196603 DDZ196600:DEA196603 DNV196600:DNW196603 DXR196600:DXS196603 EHN196600:EHO196603 ERJ196600:ERK196603 FBF196600:FBG196603 FLB196600:FLC196603 FUX196600:FUY196603 GET196600:GEU196603 GOP196600:GOQ196603 GYL196600:GYM196603 HIH196600:HII196603 HSD196600:HSE196603 IBZ196600:ICA196603 ILV196600:ILW196603 IVR196600:IVS196603 JFN196600:JFO196603 JPJ196600:JPK196603 JZF196600:JZG196603 KJB196600:KJC196603 KSX196600:KSY196603 LCT196600:LCU196603 LMP196600:LMQ196603 LWL196600:LWM196603 MGH196600:MGI196603 MQD196600:MQE196603 MZZ196600:NAA196603 NJV196600:NJW196603 NTR196600:NTS196603 ODN196600:ODO196603 ONJ196600:ONK196603 OXF196600:OXG196603 PHB196600:PHC196603 PQX196600:PQY196603 QAT196600:QAU196603 QKP196600:QKQ196603 QUL196600:QUM196603 REH196600:REI196603 ROD196600:ROE196603 RXZ196600:RYA196603 SHV196600:SHW196603 SRR196600:SRS196603 TBN196600:TBO196603 TLJ196600:TLK196603 TVF196600:TVG196603 UFB196600:UFC196603 UOX196600:UOY196603 UYT196600:UYU196603 VIP196600:VIQ196603 VSL196600:VSM196603 WCH196600:WCI196603 WMD196600:WME196603 WVZ196600:WWA196603 JN262136:JO262139 TJ262136:TK262139 ADF262136:ADG262139 ANB262136:ANC262139 AWX262136:AWY262139 BGT262136:BGU262139 BQP262136:BQQ262139 CAL262136:CAM262139 CKH262136:CKI262139 CUD262136:CUE262139 DDZ262136:DEA262139 DNV262136:DNW262139 DXR262136:DXS262139 EHN262136:EHO262139 ERJ262136:ERK262139 FBF262136:FBG262139 FLB262136:FLC262139 FUX262136:FUY262139 GET262136:GEU262139 GOP262136:GOQ262139 GYL262136:GYM262139 HIH262136:HII262139 HSD262136:HSE262139 IBZ262136:ICA262139 ILV262136:ILW262139 IVR262136:IVS262139 JFN262136:JFO262139 JPJ262136:JPK262139 JZF262136:JZG262139 KJB262136:KJC262139 KSX262136:KSY262139 LCT262136:LCU262139 LMP262136:LMQ262139 LWL262136:LWM262139 MGH262136:MGI262139 MQD262136:MQE262139 MZZ262136:NAA262139 NJV262136:NJW262139 NTR262136:NTS262139 ODN262136:ODO262139 ONJ262136:ONK262139 OXF262136:OXG262139 PHB262136:PHC262139 PQX262136:PQY262139 QAT262136:QAU262139 QKP262136:QKQ262139 QUL262136:QUM262139 REH262136:REI262139 ROD262136:ROE262139 RXZ262136:RYA262139 SHV262136:SHW262139 SRR262136:SRS262139 TBN262136:TBO262139 TLJ262136:TLK262139 TVF262136:TVG262139 UFB262136:UFC262139 UOX262136:UOY262139 UYT262136:UYU262139 VIP262136:VIQ262139 VSL262136:VSM262139 WCH262136:WCI262139 WMD262136:WME262139 WVZ262136:WWA262139 JN327672:JO327675 TJ327672:TK327675 ADF327672:ADG327675 ANB327672:ANC327675 AWX327672:AWY327675 BGT327672:BGU327675 BQP327672:BQQ327675 CAL327672:CAM327675 CKH327672:CKI327675 CUD327672:CUE327675 DDZ327672:DEA327675 DNV327672:DNW327675 DXR327672:DXS327675 EHN327672:EHO327675 ERJ327672:ERK327675 FBF327672:FBG327675 FLB327672:FLC327675 FUX327672:FUY327675 GET327672:GEU327675 GOP327672:GOQ327675 GYL327672:GYM327675 HIH327672:HII327675 HSD327672:HSE327675 IBZ327672:ICA327675 ILV327672:ILW327675 IVR327672:IVS327675 JFN327672:JFO327675 JPJ327672:JPK327675 JZF327672:JZG327675 KJB327672:KJC327675 KSX327672:KSY327675 LCT327672:LCU327675 LMP327672:LMQ327675 LWL327672:LWM327675 MGH327672:MGI327675 MQD327672:MQE327675 MZZ327672:NAA327675 NJV327672:NJW327675 NTR327672:NTS327675 ODN327672:ODO327675 ONJ327672:ONK327675 OXF327672:OXG327675 PHB327672:PHC327675 PQX327672:PQY327675 QAT327672:QAU327675 QKP327672:QKQ327675 QUL327672:QUM327675 REH327672:REI327675 ROD327672:ROE327675 RXZ327672:RYA327675 SHV327672:SHW327675 SRR327672:SRS327675 TBN327672:TBO327675 TLJ327672:TLK327675 TVF327672:TVG327675 UFB327672:UFC327675 UOX327672:UOY327675 UYT327672:UYU327675 VIP327672:VIQ327675 VSL327672:VSM327675 WCH327672:WCI327675 WMD327672:WME327675 WVZ327672:WWA327675 JN393208:JO393211 TJ393208:TK393211 ADF393208:ADG393211 ANB393208:ANC393211 AWX393208:AWY393211 BGT393208:BGU393211 BQP393208:BQQ393211 CAL393208:CAM393211 CKH393208:CKI393211 CUD393208:CUE393211 DDZ393208:DEA393211 DNV393208:DNW393211 DXR393208:DXS393211 EHN393208:EHO393211 ERJ393208:ERK393211 FBF393208:FBG393211 FLB393208:FLC393211 FUX393208:FUY393211 GET393208:GEU393211 GOP393208:GOQ393211 GYL393208:GYM393211 HIH393208:HII393211 HSD393208:HSE393211 IBZ393208:ICA393211 ILV393208:ILW393211 IVR393208:IVS393211 JFN393208:JFO393211 JPJ393208:JPK393211 JZF393208:JZG393211 KJB393208:KJC393211 KSX393208:KSY393211 LCT393208:LCU393211 LMP393208:LMQ393211 LWL393208:LWM393211 MGH393208:MGI393211 MQD393208:MQE393211 MZZ393208:NAA393211 NJV393208:NJW393211 NTR393208:NTS393211 ODN393208:ODO393211 ONJ393208:ONK393211 OXF393208:OXG393211 PHB393208:PHC393211 PQX393208:PQY393211 QAT393208:QAU393211 QKP393208:QKQ393211 QUL393208:QUM393211 REH393208:REI393211 ROD393208:ROE393211 RXZ393208:RYA393211 SHV393208:SHW393211 SRR393208:SRS393211 TBN393208:TBO393211 TLJ393208:TLK393211 TVF393208:TVG393211 UFB393208:UFC393211 UOX393208:UOY393211 UYT393208:UYU393211 VIP393208:VIQ393211 VSL393208:VSM393211 WCH393208:WCI393211 WMD393208:WME393211 WVZ393208:WWA393211 JN458744:JO458747 TJ458744:TK458747 ADF458744:ADG458747 ANB458744:ANC458747 AWX458744:AWY458747 BGT458744:BGU458747 BQP458744:BQQ458747 CAL458744:CAM458747 CKH458744:CKI458747 CUD458744:CUE458747 DDZ458744:DEA458747 DNV458744:DNW458747 DXR458744:DXS458747 EHN458744:EHO458747 ERJ458744:ERK458747 FBF458744:FBG458747 FLB458744:FLC458747 FUX458744:FUY458747 GET458744:GEU458747 GOP458744:GOQ458747 GYL458744:GYM458747 HIH458744:HII458747 HSD458744:HSE458747 IBZ458744:ICA458747 ILV458744:ILW458747 IVR458744:IVS458747 JFN458744:JFO458747 JPJ458744:JPK458747 JZF458744:JZG458747 KJB458744:KJC458747 KSX458744:KSY458747 LCT458744:LCU458747 LMP458744:LMQ458747 LWL458744:LWM458747 MGH458744:MGI458747 MQD458744:MQE458747 MZZ458744:NAA458747 NJV458744:NJW458747 NTR458744:NTS458747 ODN458744:ODO458747 ONJ458744:ONK458747 OXF458744:OXG458747 PHB458744:PHC458747 PQX458744:PQY458747 QAT458744:QAU458747 QKP458744:QKQ458747 QUL458744:QUM458747 REH458744:REI458747 ROD458744:ROE458747 RXZ458744:RYA458747 SHV458744:SHW458747 SRR458744:SRS458747 TBN458744:TBO458747 TLJ458744:TLK458747 TVF458744:TVG458747 UFB458744:UFC458747 UOX458744:UOY458747 UYT458744:UYU458747 VIP458744:VIQ458747 VSL458744:VSM458747 WCH458744:WCI458747 WMD458744:WME458747 WVZ458744:WWA458747 JN524280:JO524283 TJ524280:TK524283 ADF524280:ADG524283 ANB524280:ANC524283 AWX524280:AWY524283 BGT524280:BGU524283 BQP524280:BQQ524283 CAL524280:CAM524283 CKH524280:CKI524283 CUD524280:CUE524283 DDZ524280:DEA524283 DNV524280:DNW524283 DXR524280:DXS524283 EHN524280:EHO524283 ERJ524280:ERK524283 FBF524280:FBG524283 FLB524280:FLC524283 FUX524280:FUY524283 GET524280:GEU524283 GOP524280:GOQ524283 GYL524280:GYM524283 HIH524280:HII524283 HSD524280:HSE524283 IBZ524280:ICA524283 ILV524280:ILW524283 IVR524280:IVS524283 JFN524280:JFO524283 JPJ524280:JPK524283 JZF524280:JZG524283 KJB524280:KJC524283 KSX524280:KSY524283 LCT524280:LCU524283 LMP524280:LMQ524283 LWL524280:LWM524283 MGH524280:MGI524283 MQD524280:MQE524283 MZZ524280:NAA524283 NJV524280:NJW524283 NTR524280:NTS524283 ODN524280:ODO524283 ONJ524280:ONK524283 OXF524280:OXG524283 PHB524280:PHC524283 PQX524280:PQY524283 QAT524280:QAU524283 QKP524280:QKQ524283 QUL524280:QUM524283 REH524280:REI524283 ROD524280:ROE524283 RXZ524280:RYA524283 SHV524280:SHW524283 SRR524280:SRS524283 TBN524280:TBO524283 TLJ524280:TLK524283 TVF524280:TVG524283 UFB524280:UFC524283 UOX524280:UOY524283 UYT524280:UYU524283 VIP524280:VIQ524283 VSL524280:VSM524283 WCH524280:WCI524283 WMD524280:WME524283 WVZ524280:WWA524283 JN589816:JO589819 TJ589816:TK589819 ADF589816:ADG589819 ANB589816:ANC589819 AWX589816:AWY589819 BGT589816:BGU589819 BQP589816:BQQ589819 CAL589816:CAM589819 CKH589816:CKI589819 CUD589816:CUE589819 DDZ589816:DEA589819 DNV589816:DNW589819 DXR589816:DXS589819 EHN589816:EHO589819 ERJ589816:ERK589819 FBF589816:FBG589819 FLB589816:FLC589819 FUX589816:FUY589819 GET589816:GEU589819 GOP589816:GOQ589819 GYL589816:GYM589819 HIH589816:HII589819 HSD589816:HSE589819 IBZ589816:ICA589819 ILV589816:ILW589819 IVR589816:IVS589819 JFN589816:JFO589819 JPJ589816:JPK589819 JZF589816:JZG589819 KJB589816:KJC589819 KSX589816:KSY589819 LCT589816:LCU589819 LMP589816:LMQ589819 LWL589816:LWM589819 MGH589816:MGI589819 MQD589816:MQE589819 MZZ589816:NAA589819 NJV589816:NJW589819 NTR589816:NTS589819 ODN589816:ODO589819 ONJ589816:ONK589819 OXF589816:OXG589819 PHB589816:PHC589819 PQX589816:PQY589819 QAT589816:QAU589819 QKP589816:QKQ589819 QUL589816:QUM589819 REH589816:REI589819 ROD589816:ROE589819 RXZ589816:RYA589819 SHV589816:SHW589819 SRR589816:SRS589819 TBN589816:TBO589819 TLJ589816:TLK589819 TVF589816:TVG589819 UFB589816:UFC589819 UOX589816:UOY589819 UYT589816:UYU589819 VIP589816:VIQ589819 VSL589816:VSM589819 WCH589816:WCI589819 WMD589816:WME589819 WVZ589816:WWA589819 JN655352:JO655355 TJ655352:TK655355 ADF655352:ADG655355 ANB655352:ANC655355 AWX655352:AWY655355 BGT655352:BGU655355 BQP655352:BQQ655355 CAL655352:CAM655355 CKH655352:CKI655355 CUD655352:CUE655355 DDZ655352:DEA655355 DNV655352:DNW655355 DXR655352:DXS655355 EHN655352:EHO655355 ERJ655352:ERK655355 FBF655352:FBG655355 FLB655352:FLC655355 FUX655352:FUY655355 GET655352:GEU655355 GOP655352:GOQ655355 GYL655352:GYM655355 HIH655352:HII655355 HSD655352:HSE655355 IBZ655352:ICA655355 ILV655352:ILW655355 IVR655352:IVS655355 JFN655352:JFO655355 JPJ655352:JPK655355 JZF655352:JZG655355 KJB655352:KJC655355 KSX655352:KSY655355 LCT655352:LCU655355 LMP655352:LMQ655355 LWL655352:LWM655355 MGH655352:MGI655355 MQD655352:MQE655355 MZZ655352:NAA655355 NJV655352:NJW655355 NTR655352:NTS655355 ODN655352:ODO655355 ONJ655352:ONK655355 OXF655352:OXG655355 PHB655352:PHC655355 PQX655352:PQY655355 QAT655352:QAU655355 QKP655352:QKQ655355 QUL655352:QUM655355 REH655352:REI655355 ROD655352:ROE655355 RXZ655352:RYA655355 SHV655352:SHW655355 SRR655352:SRS655355 TBN655352:TBO655355 TLJ655352:TLK655355 TVF655352:TVG655355 UFB655352:UFC655355 UOX655352:UOY655355 UYT655352:UYU655355 VIP655352:VIQ655355 VSL655352:VSM655355 WCH655352:WCI655355 WMD655352:WME655355 WVZ655352:WWA655355 JN720888:JO720891 TJ720888:TK720891 ADF720888:ADG720891 ANB720888:ANC720891 AWX720888:AWY720891 BGT720888:BGU720891 BQP720888:BQQ720891 CAL720888:CAM720891 CKH720888:CKI720891 CUD720888:CUE720891 DDZ720888:DEA720891 DNV720888:DNW720891 DXR720888:DXS720891 EHN720888:EHO720891 ERJ720888:ERK720891 FBF720888:FBG720891 FLB720888:FLC720891 FUX720888:FUY720891 GET720888:GEU720891 GOP720888:GOQ720891 GYL720888:GYM720891 HIH720888:HII720891 HSD720888:HSE720891 IBZ720888:ICA720891 ILV720888:ILW720891 IVR720888:IVS720891 JFN720888:JFO720891 JPJ720888:JPK720891 JZF720888:JZG720891 KJB720888:KJC720891 KSX720888:KSY720891 LCT720888:LCU720891 LMP720888:LMQ720891 LWL720888:LWM720891 MGH720888:MGI720891 MQD720888:MQE720891 MZZ720888:NAA720891 NJV720888:NJW720891 NTR720888:NTS720891 ODN720888:ODO720891 ONJ720888:ONK720891 OXF720888:OXG720891 PHB720888:PHC720891 PQX720888:PQY720891 QAT720888:QAU720891 QKP720888:QKQ720891 QUL720888:QUM720891 REH720888:REI720891 ROD720888:ROE720891 RXZ720888:RYA720891 SHV720888:SHW720891 SRR720888:SRS720891 TBN720888:TBO720891 TLJ720888:TLK720891 TVF720888:TVG720891 UFB720888:UFC720891 UOX720888:UOY720891 UYT720888:UYU720891 VIP720888:VIQ720891 VSL720888:VSM720891 WCH720888:WCI720891 WMD720888:WME720891 WVZ720888:WWA720891 JN786424:JO786427 TJ786424:TK786427 ADF786424:ADG786427 ANB786424:ANC786427 AWX786424:AWY786427 BGT786424:BGU786427 BQP786424:BQQ786427 CAL786424:CAM786427 CKH786424:CKI786427 CUD786424:CUE786427 DDZ786424:DEA786427 DNV786424:DNW786427 DXR786424:DXS786427 EHN786424:EHO786427 ERJ786424:ERK786427 FBF786424:FBG786427 FLB786424:FLC786427 FUX786424:FUY786427 GET786424:GEU786427 GOP786424:GOQ786427 GYL786424:GYM786427 HIH786424:HII786427 HSD786424:HSE786427 IBZ786424:ICA786427 ILV786424:ILW786427 IVR786424:IVS786427 JFN786424:JFO786427 JPJ786424:JPK786427 JZF786424:JZG786427 KJB786424:KJC786427 KSX786424:KSY786427 LCT786424:LCU786427 LMP786424:LMQ786427 LWL786424:LWM786427 MGH786424:MGI786427 MQD786424:MQE786427 MZZ786424:NAA786427 NJV786424:NJW786427 NTR786424:NTS786427 ODN786424:ODO786427 ONJ786424:ONK786427 OXF786424:OXG786427 PHB786424:PHC786427 PQX786424:PQY786427 QAT786424:QAU786427 QKP786424:QKQ786427 QUL786424:QUM786427 REH786424:REI786427 ROD786424:ROE786427 RXZ786424:RYA786427 SHV786424:SHW786427 SRR786424:SRS786427 TBN786424:TBO786427 TLJ786424:TLK786427 TVF786424:TVG786427 UFB786424:UFC786427 UOX786424:UOY786427 UYT786424:UYU786427 VIP786424:VIQ786427 VSL786424:VSM786427 WCH786424:WCI786427 WMD786424:WME786427 WVZ786424:WWA786427 JN851960:JO851963 TJ851960:TK851963 ADF851960:ADG851963 ANB851960:ANC851963 AWX851960:AWY851963 BGT851960:BGU851963 BQP851960:BQQ851963 CAL851960:CAM851963 CKH851960:CKI851963 CUD851960:CUE851963 DDZ851960:DEA851963 DNV851960:DNW851963 DXR851960:DXS851963 EHN851960:EHO851963 ERJ851960:ERK851963 FBF851960:FBG851963 FLB851960:FLC851963 FUX851960:FUY851963 GET851960:GEU851963 GOP851960:GOQ851963 GYL851960:GYM851963 HIH851960:HII851963 HSD851960:HSE851963 IBZ851960:ICA851963 ILV851960:ILW851963 IVR851960:IVS851963 JFN851960:JFO851963 JPJ851960:JPK851963 JZF851960:JZG851963 KJB851960:KJC851963 KSX851960:KSY851963 LCT851960:LCU851963 LMP851960:LMQ851963 LWL851960:LWM851963 MGH851960:MGI851963 MQD851960:MQE851963 MZZ851960:NAA851963 NJV851960:NJW851963 NTR851960:NTS851963 ODN851960:ODO851963 ONJ851960:ONK851963 OXF851960:OXG851963 PHB851960:PHC851963 PQX851960:PQY851963 QAT851960:QAU851963 QKP851960:QKQ851963 QUL851960:QUM851963 REH851960:REI851963 ROD851960:ROE851963 RXZ851960:RYA851963 SHV851960:SHW851963 SRR851960:SRS851963 TBN851960:TBO851963 TLJ851960:TLK851963 TVF851960:TVG851963 UFB851960:UFC851963 UOX851960:UOY851963 UYT851960:UYU851963 VIP851960:VIQ851963 VSL851960:VSM851963 WCH851960:WCI851963 WMD851960:WME851963 WVZ851960:WWA851963 JN917496:JO917499 TJ917496:TK917499 ADF917496:ADG917499 ANB917496:ANC917499 AWX917496:AWY917499 BGT917496:BGU917499 BQP917496:BQQ917499 CAL917496:CAM917499 CKH917496:CKI917499 CUD917496:CUE917499 DDZ917496:DEA917499 DNV917496:DNW917499 DXR917496:DXS917499 EHN917496:EHO917499 ERJ917496:ERK917499 FBF917496:FBG917499 FLB917496:FLC917499 FUX917496:FUY917499 GET917496:GEU917499 GOP917496:GOQ917499 GYL917496:GYM917499 HIH917496:HII917499 HSD917496:HSE917499 IBZ917496:ICA917499 ILV917496:ILW917499 IVR917496:IVS917499 JFN917496:JFO917499 JPJ917496:JPK917499 JZF917496:JZG917499 KJB917496:KJC917499 KSX917496:KSY917499 LCT917496:LCU917499 LMP917496:LMQ917499 LWL917496:LWM917499 MGH917496:MGI917499 MQD917496:MQE917499 MZZ917496:NAA917499 NJV917496:NJW917499 NTR917496:NTS917499 ODN917496:ODO917499 ONJ917496:ONK917499 OXF917496:OXG917499 PHB917496:PHC917499 PQX917496:PQY917499 QAT917496:QAU917499 QKP917496:QKQ917499 QUL917496:QUM917499 REH917496:REI917499 ROD917496:ROE917499 RXZ917496:RYA917499 SHV917496:SHW917499 SRR917496:SRS917499 TBN917496:TBO917499 TLJ917496:TLK917499 TVF917496:TVG917499 UFB917496:UFC917499 UOX917496:UOY917499 UYT917496:UYU917499 VIP917496:VIQ917499 VSL917496:VSM917499 WCH917496:WCI917499 WMD917496:WME917499 WVZ917496:WWA917499 JN983032:JO983035 TJ983032:TK983035 ADF983032:ADG983035 ANB983032:ANC983035 AWX983032:AWY983035 BGT983032:BGU983035 BQP983032:BQQ983035 CAL983032:CAM983035 CKH983032:CKI983035 CUD983032:CUE983035 DDZ983032:DEA983035 DNV983032:DNW983035 DXR983032:DXS983035 EHN983032:EHO983035 ERJ983032:ERK983035 FBF983032:FBG983035 FLB983032:FLC983035 FUX983032:FUY983035 GET983032:GEU983035 GOP983032:GOQ983035 GYL983032:GYM983035 HIH983032:HII983035 HSD983032:HSE983035 IBZ983032:ICA983035 ILV983032:ILW983035 IVR983032:IVS983035 JFN983032:JFO983035 JPJ983032:JPK983035 JZF983032:JZG983035 KJB983032:KJC983035 KSX983032:KSY983035 LCT983032:LCU983035 LMP983032:LMQ983035 LWL983032:LWM983035 MGH983032:MGI983035 MQD983032:MQE983035 MZZ983032:NAA983035 NJV983032:NJW983035 NTR983032:NTS983035 ODN983032:ODO983035 ONJ983032:ONK983035 OXF983032:OXG983035 PHB983032:PHC983035 PQX983032:PQY983035 QAT983032:QAU983035 QKP983032:QKQ983035 QUL983032:QUM983035 REH983032:REI983035 ROD983032:ROE983035 RXZ983032:RYA983035 SHV983032:SHW983035 SRR983032:SRS983035 TBN983032:TBO983035 TLJ983032:TLK983035 TVF983032:TVG983035 UFB983032:UFC983035 UOX983032:UOY983035 UYT983032:UYU983035 VIP983032:VIQ983035 VSL983032:VSM983035 WCH983032:WCI983035 WMD983032:WME983035 WVZ983032:WWA983035 WLS983032:WLT983035 IR65528:IS65531 SN65528:SO65531 ACJ65528:ACK65531 AMF65528:AMG65531 AWB65528:AWC65531 BFX65528:BFY65531 BPT65528:BPU65531 BZP65528:BZQ65531 CJL65528:CJM65531 CTH65528:CTI65531 DDD65528:DDE65531 DMZ65528:DNA65531 DWV65528:DWW65531 EGR65528:EGS65531 EQN65528:EQO65531 FAJ65528:FAK65531 FKF65528:FKG65531 FUB65528:FUC65531 GDX65528:GDY65531 GNT65528:GNU65531 GXP65528:GXQ65531 HHL65528:HHM65531 HRH65528:HRI65531 IBD65528:IBE65531 IKZ65528:ILA65531 IUV65528:IUW65531 JER65528:JES65531 JON65528:JOO65531 JYJ65528:JYK65531 KIF65528:KIG65531 KSB65528:KSC65531 LBX65528:LBY65531 LLT65528:LLU65531 LVP65528:LVQ65531 MFL65528:MFM65531 MPH65528:MPI65531 MZD65528:MZE65531 NIZ65528:NJA65531 NSV65528:NSW65531 OCR65528:OCS65531 OMN65528:OMO65531 OWJ65528:OWK65531 PGF65528:PGG65531 PQB65528:PQC65531 PZX65528:PZY65531 QJT65528:QJU65531 QTP65528:QTQ65531 RDL65528:RDM65531 RNH65528:RNI65531 RXD65528:RXE65531 SGZ65528:SHA65531 SQV65528:SQW65531 TAR65528:TAS65531 TKN65528:TKO65531 TUJ65528:TUK65531 UEF65528:UEG65531 UOB65528:UOC65531 UXX65528:UXY65531 VHT65528:VHU65531 VRP65528:VRQ65531 WBL65528:WBM65531 WLH65528:WLI65531 WVD65528:WVE65531 IR131064:IS131067 SN131064:SO131067 ACJ131064:ACK131067 AMF131064:AMG131067 AWB131064:AWC131067 BFX131064:BFY131067 BPT131064:BPU131067 BZP131064:BZQ131067 CJL131064:CJM131067 CTH131064:CTI131067 DDD131064:DDE131067 DMZ131064:DNA131067 DWV131064:DWW131067 EGR131064:EGS131067 EQN131064:EQO131067 FAJ131064:FAK131067 FKF131064:FKG131067 FUB131064:FUC131067 GDX131064:GDY131067 GNT131064:GNU131067 GXP131064:GXQ131067 HHL131064:HHM131067 HRH131064:HRI131067 IBD131064:IBE131067 IKZ131064:ILA131067 IUV131064:IUW131067 JER131064:JES131067 JON131064:JOO131067 JYJ131064:JYK131067 KIF131064:KIG131067 KSB131064:KSC131067 LBX131064:LBY131067 LLT131064:LLU131067 LVP131064:LVQ131067 MFL131064:MFM131067 MPH131064:MPI131067 MZD131064:MZE131067 NIZ131064:NJA131067 NSV131064:NSW131067 OCR131064:OCS131067 OMN131064:OMO131067 OWJ131064:OWK131067 PGF131064:PGG131067 PQB131064:PQC131067 PZX131064:PZY131067 QJT131064:QJU131067 QTP131064:QTQ131067 RDL131064:RDM131067 RNH131064:RNI131067 RXD131064:RXE131067 SGZ131064:SHA131067 SQV131064:SQW131067 TAR131064:TAS131067 TKN131064:TKO131067 TUJ131064:TUK131067 UEF131064:UEG131067 UOB131064:UOC131067 UXX131064:UXY131067 VHT131064:VHU131067 VRP131064:VRQ131067 WBL131064:WBM131067 WLH131064:WLI131067 WVD131064:WVE131067 IR196600:IS196603 SN196600:SO196603 ACJ196600:ACK196603 AMF196600:AMG196603 AWB196600:AWC196603 BFX196600:BFY196603 BPT196600:BPU196603 BZP196600:BZQ196603 CJL196600:CJM196603 CTH196600:CTI196603 DDD196600:DDE196603 DMZ196600:DNA196603 DWV196600:DWW196603 EGR196600:EGS196603 EQN196600:EQO196603 FAJ196600:FAK196603 FKF196600:FKG196603 FUB196600:FUC196603 GDX196600:GDY196603 GNT196600:GNU196603 GXP196600:GXQ196603 HHL196600:HHM196603 HRH196600:HRI196603 IBD196600:IBE196603 IKZ196600:ILA196603 IUV196600:IUW196603 JER196600:JES196603 JON196600:JOO196603 JYJ196600:JYK196603 KIF196600:KIG196603 KSB196600:KSC196603 LBX196600:LBY196603 LLT196600:LLU196603 LVP196600:LVQ196603 MFL196600:MFM196603 MPH196600:MPI196603 MZD196600:MZE196603 NIZ196600:NJA196603 NSV196600:NSW196603 OCR196600:OCS196603 OMN196600:OMO196603 OWJ196600:OWK196603 PGF196600:PGG196603 PQB196600:PQC196603 PZX196600:PZY196603 QJT196600:QJU196603 QTP196600:QTQ196603 RDL196600:RDM196603 RNH196600:RNI196603 RXD196600:RXE196603 SGZ196600:SHA196603 SQV196600:SQW196603 TAR196600:TAS196603 TKN196600:TKO196603 TUJ196600:TUK196603 UEF196600:UEG196603 UOB196600:UOC196603 UXX196600:UXY196603 VHT196600:VHU196603 VRP196600:VRQ196603 WBL196600:WBM196603 WLH196600:WLI196603 WVD196600:WVE196603 IR262136:IS262139 SN262136:SO262139 ACJ262136:ACK262139 AMF262136:AMG262139 AWB262136:AWC262139 BFX262136:BFY262139 BPT262136:BPU262139 BZP262136:BZQ262139 CJL262136:CJM262139 CTH262136:CTI262139 DDD262136:DDE262139 DMZ262136:DNA262139 DWV262136:DWW262139 EGR262136:EGS262139 EQN262136:EQO262139 FAJ262136:FAK262139 FKF262136:FKG262139 FUB262136:FUC262139 GDX262136:GDY262139 GNT262136:GNU262139 GXP262136:GXQ262139 HHL262136:HHM262139 HRH262136:HRI262139 IBD262136:IBE262139 IKZ262136:ILA262139 IUV262136:IUW262139 JER262136:JES262139 JON262136:JOO262139 JYJ262136:JYK262139 KIF262136:KIG262139 KSB262136:KSC262139 LBX262136:LBY262139 LLT262136:LLU262139 LVP262136:LVQ262139 MFL262136:MFM262139 MPH262136:MPI262139 MZD262136:MZE262139 NIZ262136:NJA262139 NSV262136:NSW262139 OCR262136:OCS262139 OMN262136:OMO262139 OWJ262136:OWK262139 PGF262136:PGG262139 PQB262136:PQC262139 PZX262136:PZY262139 QJT262136:QJU262139 QTP262136:QTQ262139 RDL262136:RDM262139 RNH262136:RNI262139 RXD262136:RXE262139 SGZ262136:SHA262139 SQV262136:SQW262139 TAR262136:TAS262139 TKN262136:TKO262139 TUJ262136:TUK262139 UEF262136:UEG262139 UOB262136:UOC262139 UXX262136:UXY262139 VHT262136:VHU262139 VRP262136:VRQ262139 WBL262136:WBM262139 WLH262136:WLI262139 WVD262136:WVE262139 IR327672:IS327675 SN327672:SO327675 ACJ327672:ACK327675 AMF327672:AMG327675 AWB327672:AWC327675 BFX327672:BFY327675 BPT327672:BPU327675 BZP327672:BZQ327675 CJL327672:CJM327675 CTH327672:CTI327675 DDD327672:DDE327675 DMZ327672:DNA327675 DWV327672:DWW327675 EGR327672:EGS327675 EQN327672:EQO327675 FAJ327672:FAK327675 FKF327672:FKG327675 FUB327672:FUC327675 GDX327672:GDY327675 GNT327672:GNU327675 GXP327672:GXQ327675 HHL327672:HHM327675 HRH327672:HRI327675 IBD327672:IBE327675 IKZ327672:ILA327675 IUV327672:IUW327675 JER327672:JES327675 JON327672:JOO327675 JYJ327672:JYK327675 KIF327672:KIG327675 KSB327672:KSC327675 LBX327672:LBY327675 LLT327672:LLU327675 LVP327672:LVQ327675 MFL327672:MFM327675 MPH327672:MPI327675 MZD327672:MZE327675 NIZ327672:NJA327675 NSV327672:NSW327675 OCR327672:OCS327675 OMN327672:OMO327675 OWJ327672:OWK327675 PGF327672:PGG327675 PQB327672:PQC327675 PZX327672:PZY327675 QJT327672:QJU327675 QTP327672:QTQ327675 RDL327672:RDM327675 RNH327672:RNI327675 RXD327672:RXE327675 SGZ327672:SHA327675 SQV327672:SQW327675 TAR327672:TAS327675 TKN327672:TKO327675 TUJ327672:TUK327675 UEF327672:UEG327675 UOB327672:UOC327675 UXX327672:UXY327675 VHT327672:VHU327675 VRP327672:VRQ327675 WBL327672:WBM327675 WLH327672:WLI327675 WVD327672:WVE327675 IR393208:IS393211 SN393208:SO393211 ACJ393208:ACK393211 AMF393208:AMG393211 AWB393208:AWC393211 BFX393208:BFY393211 BPT393208:BPU393211 BZP393208:BZQ393211 CJL393208:CJM393211 CTH393208:CTI393211 DDD393208:DDE393211 DMZ393208:DNA393211 DWV393208:DWW393211 EGR393208:EGS393211 EQN393208:EQO393211 FAJ393208:FAK393211 FKF393208:FKG393211 FUB393208:FUC393211 GDX393208:GDY393211 GNT393208:GNU393211 GXP393208:GXQ393211 HHL393208:HHM393211 HRH393208:HRI393211 IBD393208:IBE393211 IKZ393208:ILA393211 IUV393208:IUW393211 JER393208:JES393211 JON393208:JOO393211 JYJ393208:JYK393211 KIF393208:KIG393211 KSB393208:KSC393211 LBX393208:LBY393211 LLT393208:LLU393211 LVP393208:LVQ393211 MFL393208:MFM393211 MPH393208:MPI393211 MZD393208:MZE393211 NIZ393208:NJA393211 NSV393208:NSW393211 OCR393208:OCS393211 OMN393208:OMO393211 OWJ393208:OWK393211 PGF393208:PGG393211 PQB393208:PQC393211 PZX393208:PZY393211 QJT393208:QJU393211 QTP393208:QTQ393211 RDL393208:RDM393211 RNH393208:RNI393211 RXD393208:RXE393211 SGZ393208:SHA393211 SQV393208:SQW393211 TAR393208:TAS393211 TKN393208:TKO393211 TUJ393208:TUK393211 UEF393208:UEG393211 UOB393208:UOC393211 UXX393208:UXY393211 VHT393208:VHU393211 VRP393208:VRQ393211 WBL393208:WBM393211 WLH393208:WLI393211 WVD393208:WVE393211 IR458744:IS458747 SN458744:SO458747 ACJ458744:ACK458747 AMF458744:AMG458747 AWB458744:AWC458747 BFX458744:BFY458747 BPT458744:BPU458747 BZP458744:BZQ458747 CJL458744:CJM458747 CTH458744:CTI458747 DDD458744:DDE458747 DMZ458744:DNA458747 DWV458744:DWW458747 EGR458744:EGS458747 EQN458744:EQO458747 FAJ458744:FAK458747 FKF458744:FKG458747 FUB458744:FUC458747 GDX458744:GDY458747 GNT458744:GNU458747 GXP458744:GXQ458747 HHL458744:HHM458747 HRH458744:HRI458747 IBD458744:IBE458747 IKZ458744:ILA458747 IUV458744:IUW458747 JER458744:JES458747 JON458744:JOO458747 JYJ458744:JYK458747 KIF458744:KIG458747 KSB458744:KSC458747 LBX458744:LBY458747 LLT458744:LLU458747 LVP458744:LVQ458747 MFL458744:MFM458747 MPH458744:MPI458747 MZD458744:MZE458747 NIZ458744:NJA458747 NSV458744:NSW458747 OCR458744:OCS458747 OMN458744:OMO458747 OWJ458744:OWK458747 PGF458744:PGG458747 PQB458744:PQC458747 PZX458744:PZY458747 QJT458744:QJU458747 QTP458744:QTQ458747 RDL458744:RDM458747 RNH458744:RNI458747 RXD458744:RXE458747 SGZ458744:SHA458747 SQV458744:SQW458747 TAR458744:TAS458747 TKN458744:TKO458747 TUJ458744:TUK458747 UEF458744:UEG458747 UOB458744:UOC458747 UXX458744:UXY458747 VHT458744:VHU458747 VRP458744:VRQ458747 WBL458744:WBM458747 WLH458744:WLI458747 WVD458744:WVE458747 IR524280:IS524283 SN524280:SO524283 ACJ524280:ACK524283 AMF524280:AMG524283 AWB524280:AWC524283 BFX524280:BFY524283 BPT524280:BPU524283 BZP524280:BZQ524283 CJL524280:CJM524283 CTH524280:CTI524283 DDD524280:DDE524283 DMZ524280:DNA524283 DWV524280:DWW524283 EGR524280:EGS524283 EQN524280:EQO524283 FAJ524280:FAK524283 FKF524280:FKG524283 FUB524280:FUC524283 GDX524280:GDY524283 GNT524280:GNU524283 GXP524280:GXQ524283 HHL524280:HHM524283 HRH524280:HRI524283 IBD524280:IBE524283 IKZ524280:ILA524283 IUV524280:IUW524283 JER524280:JES524283 JON524280:JOO524283 JYJ524280:JYK524283 KIF524280:KIG524283 KSB524280:KSC524283 LBX524280:LBY524283 LLT524280:LLU524283 LVP524280:LVQ524283 MFL524280:MFM524283 MPH524280:MPI524283 MZD524280:MZE524283 NIZ524280:NJA524283 NSV524280:NSW524283 OCR524280:OCS524283 OMN524280:OMO524283 OWJ524280:OWK524283 PGF524280:PGG524283 PQB524280:PQC524283 PZX524280:PZY524283 QJT524280:QJU524283 QTP524280:QTQ524283 RDL524280:RDM524283 RNH524280:RNI524283 RXD524280:RXE524283 SGZ524280:SHA524283 SQV524280:SQW524283 TAR524280:TAS524283 TKN524280:TKO524283 TUJ524280:TUK524283 UEF524280:UEG524283 UOB524280:UOC524283 UXX524280:UXY524283 VHT524280:VHU524283 VRP524280:VRQ524283 WBL524280:WBM524283 WLH524280:WLI524283 WVD524280:WVE524283 IR589816:IS589819 SN589816:SO589819 ACJ589816:ACK589819 AMF589816:AMG589819 AWB589816:AWC589819 BFX589816:BFY589819 BPT589816:BPU589819 BZP589816:BZQ589819 CJL589816:CJM589819 CTH589816:CTI589819 DDD589816:DDE589819 DMZ589816:DNA589819 DWV589816:DWW589819 EGR589816:EGS589819 EQN589816:EQO589819 FAJ589816:FAK589819 FKF589816:FKG589819 FUB589816:FUC589819 GDX589816:GDY589819 GNT589816:GNU589819 GXP589816:GXQ589819 HHL589816:HHM589819 HRH589816:HRI589819 IBD589816:IBE589819 IKZ589816:ILA589819 IUV589816:IUW589819 JER589816:JES589819 JON589816:JOO589819 JYJ589816:JYK589819 KIF589816:KIG589819 KSB589816:KSC589819 LBX589816:LBY589819 LLT589816:LLU589819 LVP589816:LVQ589819 MFL589816:MFM589819 MPH589816:MPI589819 MZD589816:MZE589819 NIZ589816:NJA589819 NSV589816:NSW589819 OCR589816:OCS589819 OMN589816:OMO589819 OWJ589816:OWK589819 PGF589816:PGG589819 PQB589816:PQC589819 PZX589816:PZY589819 QJT589816:QJU589819 QTP589816:QTQ589819 RDL589816:RDM589819 RNH589816:RNI589819 RXD589816:RXE589819 SGZ589816:SHA589819 SQV589816:SQW589819 TAR589816:TAS589819 TKN589816:TKO589819 TUJ589816:TUK589819 UEF589816:UEG589819 UOB589816:UOC589819 UXX589816:UXY589819 VHT589816:VHU589819 VRP589816:VRQ589819 WBL589816:WBM589819 WLH589816:WLI589819 WVD589816:WVE589819 IR655352:IS655355 SN655352:SO655355 ACJ655352:ACK655355 AMF655352:AMG655355 AWB655352:AWC655355 BFX655352:BFY655355 BPT655352:BPU655355 BZP655352:BZQ655355 CJL655352:CJM655355 CTH655352:CTI655355 DDD655352:DDE655355 DMZ655352:DNA655355 DWV655352:DWW655355 EGR655352:EGS655355 EQN655352:EQO655355 FAJ655352:FAK655355 FKF655352:FKG655355 FUB655352:FUC655355 GDX655352:GDY655355 GNT655352:GNU655355 GXP655352:GXQ655355 HHL655352:HHM655355 HRH655352:HRI655355 IBD655352:IBE655355 IKZ655352:ILA655355 IUV655352:IUW655355 JER655352:JES655355 JON655352:JOO655355 JYJ655352:JYK655355 KIF655352:KIG655355 KSB655352:KSC655355 LBX655352:LBY655355 LLT655352:LLU655355 LVP655352:LVQ655355 MFL655352:MFM655355 MPH655352:MPI655355 MZD655352:MZE655355 NIZ655352:NJA655355 NSV655352:NSW655355 OCR655352:OCS655355 OMN655352:OMO655355 OWJ655352:OWK655355 PGF655352:PGG655355 PQB655352:PQC655355 PZX655352:PZY655355 QJT655352:QJU655355 QTP655352:QTQ655355 RDL655352:RDM655355 RNH655352:RNI655355 RXD655352:RXE655355 SGZ655352:SHA655355 SQV655352:SQW655355 TAR655352:TAS655355 TKN655352:TKO655355 TUJ655352:TUK655355 UEF655352:UEG655355 UOB655352:UOC655355 UXX655352:UXY655355 VHT655352:VHU655355 VRP655352:VRQ655355 WBL655352:WBM655355 WLH655352:WLI655355 WVD655352:WVE655355 IR720888:IS720891 SN720888:SO720891 ACJ720888:ACK720891 AMF720888:AMG720891 AWB720888:AWC720891 BFX720888:BFY720891 BPT720888:BPU720891 BZP720888:BZQ720891 CJL720888:CJM720891 CTH720888:CTI720891 DDD720888:DDE720891 DMZ720888:DNA720891 DWV720888:DWW720891 EGR720888:EGS720891 EQN720888:EQO720891 FAJ720888:FAK720891 FKF720888:FKG720891 FUB720888:FUC720891 GDX720888:GDY720891 GNT720888:GNU720891 GXP720888:GXQ720891 HHL720888:HHM720891 HRH720888:HRI720891 IBD720888:IBE720891 IKZ720888:ILA720891 IUV720888:IUW720891 JER720888:JES720891 JON720888:JOO720891 JYJ720888:JYK720891 KIF720888:KIG720891 KSB720888:KSC720891 LBX720888:LBY720891 LLT720888:LLU720891 LVP720888:LVQ720891 MFL720888:MFM720891 MPH720888:MPI720891 MZD720888:MZE720891 NIZ720888:NJA720891 NSV720888:NSW720891 OCR720888:OCS720891 OMN720888:OMO720891 OWJ720888:OWK720891 PGF720888:PGG720891 PQB720888:PQC720891 PZX720888:PZY720891 QJT720888:QJU720891 QTP720888:QTQ720891 RDL720888:RDM720891 RNH720888:RNI720891 RXD720888:RXE720891 SGZ720888:SHA720891 SQV720888:SQW720891 TAR720888:TAS720891 TKN720888:TKO720891 TUJ720888:TUK720891 UEF720888:UEG720891 UOB720888:UOC720891 UXX720888:UXY720891 VHT720888:VHU720891 VRP720888:VRQ720891 WBL720888:WBM720891 WLH720888:WLI720891 WVD720888:WVE720891 IR786424:IS786427 SN786424:SO786427 ACJ786424:ACK786427 AMF786424:AMG786427 AWB786424:AWC786427 BFX786424:BFY786427 BPT786424:BPU786427 BZP786424:BZQ786427 CJL786424:CJM786427 CTH786424:CTI786427 DDD786424:DDE786427 DMZ786424:DNA786427 DWV786424:DWW786427 EGR786424:EGS786427 EQN786424:EQO786427 FAJ786424:FAK786427 FKF786424:FKG786427 FUB786424:FUC786427 GDX786424:GDY786427 GNT786424:GNU786427 GXP786424:GXQ786427 HHL786424:HHM786427 HRH786424:HRI786427 IBD786424:IBE786427 IKZ786424:ILA786427 IUV786424:IUW786427 JER786424:JES786427 JON786424:JOO786427 JYJ786424:JYK786427 KIF786424:KIG786427 KSB786424:KSC786427 LBX786424:LBY786427 LLT786424:LLU786427 LVP786424:LVQ786427 MFL786424:MFM786427 MPH786424:MPI786427 MZD786424:MZE786427 NIZ786424:NJA786427 NSV786424:NSW786427 OCR786424:OCS786427 OMN786424:OMO786427 OWJ786424:OWK786427 PGF786424:PGG786427 PQB786424:PQC786427 PZX786424:PZY786427 QJT786424:QJU786427 QTP786424:QTQ786427 RDL786424:RDM786427 RNH786424:RNI786427 RXD786424:RXE786427 SGZ786424:SHA786427 SQV786424:SQW786427 TAR786424:TAS786427 TKN786424:TKO786427 TUJ786424:TUK786427 UEF786424:UEG786427 UOB786424:UOC786427 UXX786424:UXY786427 VHT786424:VHU786427 VRP786424:VRQ786427 WBL786424:WBM786427 WLH786424:WLI786427 WVD786424:WVE786427 IR851960:IS851963 SN851960:SO851963 ACJ851960:ACK851963 AMF851960:AMG851963 AWB851960:AWC851963 BFX851960:BFY851963 BPT851960:BPU851963 BZP851960:BZQ851963 CJL851960:CJM851963 CTH851960:CTI851963 DDD851960:DDE851963 DMZ851960:DNA851963 DWV851960:DWW851963 EGR851960:EGS851963 EQN851960:EQO851963 FAJ851960:FAK851963 FKF851960:FKG851963 FUB851960:FUC851963 GDX851960:GDY851963 GNT851960:GNU851963 GXP851960:GXQ851963 HHL851960:HHM851963 HRH851960:HRI851963 IBD851960:IBE851963 IKZ851960:ILA851963 IUV851960:IUW851963 JER851960:JES851963 JON851960:JOO851963 JYJ851960:JYK851963 KIF851960:KIG851963 KSB851960:KSC851963 LBX851960:LBY851963 LLT851960:LLU851963 LVP851960:LVQ851963 MFL851960:MFM851963 MPH851960:MPI851963 MZD851960:MZE851963 NIZ851960:NJA851963 NSV851960:NSW851963 OCR851960:OCS851963 OMN851960:OMO851963 OWJ851960:OWK851963 PGF851960:PGG851963 PQB851960:PQC851963 PZX851960:PZY851963 QJT851960:QJU851963 QTP851960:QTQ851963 RDL851960:RDM851963 RNH851960:RNI851963 RXD851960:RXE851963 SGZ851960:SHA851963 SQV851960:SQW851963 TAR851960:TAS851963 TKN851960:TKO851963 TUJ851960:TUK851963 UEF851960:UEG851963 UOB851960:UOC851963 UXX851960:UXY851963 VHT851960:VHU851963 VRP851960:VRQ851963 WBL851960:WBM851963 WLH851960:WLI851963 WVD851960:WVE851963 IR917496:IS917499 SN917496:SO917499 ACJ917496:ACK917499 AMF917496:AMG917499 AWB917496:AWC917499 BFX917496:BFY917499 BPT917496:BPU917499 BZP917496:BZQ917499 CJL917496:CJM917499 CTH917496:CTI917499 DDD917496:DDE917499 DMZ917496:DNA917499 DWV917496:DWW917499 EGR917496:EGS917499 EQN917496:EQO917499 FAJ917496:FAK917499 FKF917496:FKG917499 FUB917496:FUC917499 GDX917496:GDY917499 GNT917496:GNU917499 GXP917496:GXQ917499 HHL917496:HHM917499 HRH917496:HRI917499 IBD917496:IBE917499 IKZ917496:ILA917499 IUV917496:IUW917499 JER917496:JES917499 JON917496:JOO917499 JYJ917496:JYK917499 KIF917496:KIG917499 KSB917496:KSC917499 LBX917496:LBY917499 LLT917496:LLU917499 LVP917496:LVQ917499 MFL917496:MFM917499 MPH917496:MPI917499 MZD917496:MZE917499 NIZ917496:NJA917499 NSV917496:NSW917499 OCR917496:OCS917499 OMN917496:OMO917499 OWJ917496:OWK917499 PGF917496:PGG917499 PQB917496:PQC917499 PZX917496:PZY917499 QJT917496:QJU917499 QTP917496:QTQ917499 RDL917496:RDM917499 RNH917496:RNI917499 RXD917496:RXE917499 SGZ917496:SHA917499 SQV917496:SQW917499 TAR917496:TAS917499 TKN917496:TKO917499 TUJ917496:TUK917499 UEF917496:UEG917499 UOB917496:UOC917499 UXX917496:UXY917499 VHT917496:VHU917499 VRP917496:VRQ917499 WBL917496:WBM917499 WLH917496:WLI917499 WVD917496:WVE917499 IR983032:IS983035 SN983032:SO983035 ACJ983032:ACK983035 AMF983032:AMG983035 AWB983032:AWC983035 BFX983032:BFY983035 BPT983032:BPU983035 BZP983032:BZQ983035 CJL983032:CJM983035 CTH983032:CTI983035 DDD983032:DDE983035 DMZ983032:DNA983035 DWV983032:DWW983035 EGR983032:EGS983035 EQN983032:EQO983035 FAJ983032:FAK983035 FKF983032:FKG983035 FUB983032:FUC983035 GDX983032:GDY983035 GNT983032:GNU983035 GXP983032:GXQ983035 HHL983032:HHM983035 HRH983032:HRI983035 IBD983032:IBE983035 IKZ983032:ILA983035 IUV983032:IUW983035 JER983032:JES983035 JON983032:JOO983035 JYJ983032:JYK983035 KIF983032:KIG983035 KSB983032:KSC983035 LBX983032:LBY983035 LLT983032:LLU983035 LVP983032:LVQ983035 MFL983032:MFM983035 MPH983032:MPI983035 MZD983032:MZE983035 NIZ983032:NJA983035 NSV983032:NSW983035 OCR983032:OCS983035 OMN983032:OMO983035 OWJ983032:OWK983035 PGF983032:PGG983035 PQB983032:PQC983035 PZX983032:PZY983035 QJT983032:QJU983035 QTP983032:QTQ983035 RDL983032:RDM983035 RNH983032:RNI983035 RXD983032:RXE983035 SGZ983032:SHA983035 SQV983032:SQW983035 TAR983032:TAS983035 TKN983032:TKO983035 TUJ983032:TUK983035 UEF983032:UEG983035 UOB983032:UOC983035 UXX983032:UXY983035 VHT983032:VHU983035 VRP983032:VRQ983035 WBL983032:WBM983035 WLH983032:WLI983035 WVD983032:WVE983035 WVO983032:WVP983035 VSA983032:VSB983035 JC65528:JD65531 SY65528:SZ65531 ACU65528:ACV65531 AMQ65528:AMR65531 AWM65528:AWN65531 BGI65528:BGJ65531 BQE65528:BQF65531 CAA65528:CAB65531 CJW65528:CJX65531 CTS65528:CTT65531 DDO65528:DDP65531 DNK65528:DNL65531 DXG65528:DXH65531 EHC65528:EHD65531 EQY65528:EQZ65531 FAU65528:FAV65531 FKQ65528:FKR65531 FUM65528:FUN65531 GEI65528:GEJ65531 GOE65528:GOF65531 GYA65528:GYB65531 HHW65528:HHX65531 HRS65528:HRT65531 IBO65528:IBP65531 ILK65528:ILL65531 IVG65528:IVH65531 JFC65528:JFD65531 JOY65528:JOZ65531 JYU65528:JYV65531 KIQ65528:KIR65531 KSM65528:KSN65531 LCI65528:LCJ65531 LME65528:LMF65531 LWA65528:LWB65531 MFW65528:MFX65531 MPS65528:MPT65531 MZO65528:MZP65531 NJK65528:NJL65531 NTG65528:NTH65531 ODC65528:ODD65531 OMY65528:OMZ65531 OWU65528:OWV65531 PGQ65528:PGR65531 PQM65528:PQN65531 QAI65528:QAJ65531 QKE65528:QKF65531 QUA65528:QUB65531 RDW65528:RDX65531 RNS65528:RNT65531 RXO65528:RXP65531 SHK65528:SHL65531 SRG65528:SRH65531 TBC65528:TBD65531 TKY65528:TKZ65531 TUU65528:TUV65531 UEQ65528:UER65531 UOM65528:UON65531 UYI65528:UYJ65531 VIE65528:VIF65531 VSA65528:VSB65531 WBW65528:WBX65531 WLS65528:WLT65531 WVO65528:WVP65531 JC131064:JD131067 SY131064:SZ131067 ACU131064:ACV131067 AMQ131064:AMR131067 AWM131064:AWN131067 BGI131064:BGJ131067 BQE131064:BQF131067 CAA131064:CAB131067 CJW131064:CJX131067 CTS131064:CTT131067 DDO131064:DDP131067 DNK131064:DNL131067 DXG131064:DXH131067 EHC131064:EHD131067 EQY131064:EQZ131067 FAU131064:FAV131067 FKQ131064:FKR131067 FUM131064:FUN131067 GEI131064:GEJ131067 GOE131064:GOF131067 GYA131064:GYB131067 HHW131064:HHX131067 HRS131064:HRT131067 IBO131064:IBP131067 ILK131064:ILL131067 IVG131064:IVH131067 JFC131064:JFD131067 JOY131064:JOZ131067 JYU131064:JYV131067 KIQ131064:KIR131067 KSM131064:KSN131067 LCI131064:LCJ131067 LME131064:LMF131067 LWA131064:LWB131067 MFW131064:MFX131067 MPS131064:MPT131067 MZO131064:MZP131067 NJK131064:NJL131067 NTG131064:NTH131067 ODC131064:ODD131067 OMY131064:OMZ131067 OWU131064:OWV131067 PGQ131064:PGR131067 PQM131064:PQN131067 QAI131064:QAJ131067 QKE131064:QKF131067 QUA131064:QUB131067 RDW131064:RDX131067 RNS131064:RNT131067 RXO131064:RXP131067 SHK131064:SHL131067 SRG131064:SRH131067 TBC131064:TBD131067 TKY131064:TKZ131067 TUU131064:TUV131067 UEQ131064:UER131067 UOM131064:UON131067 UYI131064:UYJ131067 VIE131064:VIF131067 VSA131064:VSB131067 WBW131064:WBX131067 WLS131064:WLT131067 WVO131064:WVP131067 JC196600:JD196603 SY196600:SZ196603 ACU196600:ACV196603 AMQ196600:AMR196603 AWM196600:AWN196603 BGI196600:BGJ196603 BQE196600:BQF196603 CAA196600:CAB196603 CJW196600:CJX196603 CTS196600:CTT196603 DDO196600:DDP196603 DNK196600:DNL196603 DXG196600:DXH196603 EHC196600:EHD196603 EQY196600:EQZ196603 FAU196600:FAV196603 FKQ196600:FKR196603 FUM196600:FUN196603 GEI196600:GEJ196603 GOE196600:GOF196603 GYA196600:GYB196603 HHW196600:HHX196603 HRS196600:HRT196603 IBO196600:IBP196603 ILK196600:ILL196603 IVG196600:IVH196603 JFC196600:JFD196603 JOY196600:JOZ196603 JYU196600:JYV196603 KIQ196600:KIR196603 KSM196600:KSN196603 LCI196600:LCJ196603 LME196600:LMF196603 LWA196600:LWB196603 MFW196600:MFX196603 MPS196600:MPT196603 MZO196600:MZP196603 NJK196600:NJL196603 NTG196600:NTH196603 ODC196600:ODD196603 OMY196600:OMZ196603 OWU196600:OWV196603 PGQ196600:PGR196603 PQM196600:PQN196603 QAI196600:QAJ196603 QKE196600:QKF196603 QUA196600:QUB196603 RDW196600:RDX196603 RNS196600:RNT196603 RXO196600:RXP196603 SHK196600:SHL196603 SRG196600:SRH196603 TBC196600:TBD196603 TKY196600:TKZ196603 TUU196600:TUV196603 UEQ196600:UER196603 UOM196600:UON196603 UYI196600:UYJ196603 VIE196600:VIF196603 VSA196600:VSB196603 WBW196600:WBX196603 WLS196600:WLT196603 WVO196600:WVP196603 JC262136:JD262139 SY262136:SZ262139 ACU262136:ACV262139 AMQ262136:AMR262139 AWM262136:AWN262139 BGI262136:BGJ262139 BQE262136:BQF262139 CAA262136:CAB262139 CJW262136:CJX262139 CTS262136:CTT262139 DDO262136:DDP262139 DNK262136:DNL262139 DXG262136:DXH262139 EHC262136:EHD262139 EQY262136:EQZ262139 FAU262136:FAV262139 FKQ262136:FKR262139 FUM262136:FUN262139 GEI262136:GEJ262139 GOE262136:GOF262139 GYA262136:GYB262139 HHW262136:HHX262139 HRS262136:HRT262139 IBO262136:IBP262139 ILK262136:ILL262139 IVG262136:IVH262139 JFC262136:JFD262139 JOY262136:JOZ262139 JYU262136:JYV262139 KIQ262136:KIR262139 KSM262136:KSN262139 LCI262136:LCJ262139 LME262136:LMF262139 LWA262136:LWB262139 MFW262136:MFX262139 MPS262136:MPT262139 MZO262136:MZP262139 NJK262136:NJL262139 NTG262136:NTH262139 ODC262136:ODD262139 OMY262136:OMZ262139 OWU262136:OWV262139 PGQ262136:PGR262139 PQM262136:PQN262139 QAI262136:QAJ262139 QKE262136:QKF262139 QUA262136:QUB262139 RDW262136:RDX262139 RNS262136:RNT262139 RXO262136:RXP262139 SHK262136:SHL262139 SRG262136:SRH262139 TBC262136:TBD262139 TKY262136:TKZ262139 TUU262136:TUV262139 UEQ262136:UER262139 UOM262136:UON262139 UYI262136:UYJ262139 VIE262136:VIF262139 VSA262136:VSB262139 WBW262136:WBX262139 WLS262136:WLT262139 WVO262136:WVP262139 JC327672:JD327675 SY327672:SZ327675 ACU327672:ACV327675 AMQ327672:AMR327675 AWM327672:AWN327675 BGI327672:BGJ327675 BQE327672:BQF327675 CAA327672:CAB327675 CJW327672:CJX327675 CTS327672:CTT327675 DDO327672:DDP327675 DNK327672:DNL327675 DXG327672:DXH327675 EHC327672:EHD327675 EQY327672:EQZ327675 FAU327672:FAV327675 FKQ327672:FKR327675 FUM327672:FUN327675 GEI327672:GEJ327675 GOE327672:GOF327675 GYA327672:GYB327675 HHW327672:HHX327675 HRS327672:HRT327675 IBO327672:IBP327675 ILK327672:ILL327675 IVG327672:IVH327675 JFC327672:JFD327675 JOY327672:JOZ327675 JYU327672:JYV327675 KIQ327672:KIR327675 KSM327672:KSN327675 LCI327672:LCJ327675 LME327672:LMF327675 LWA327672:LWB327675 MFW327672:MFX327675 MPS327672:MPT327675 MZO327672:MZP327675 NJK327672:NJL327675 NTG327672:NTH327675 ODC327672:ODD327675 OMY327672:OMZ327675 OWU327672:OWV327675 PGQ327672:PGR327675 PQM327672:PQN327675 QAI327672:QAJ327675 QKE327672:QKF327675 QUA327672:QUB327675 RDW327672:RDX327675 RNS327672:RNT327675 RXO327672:RXP327675 SHK327672:SHL327675 SRG327672:SRH327675 TBC327672:TBD327675 TKY327672:TKZ327675 TUU327672:TUV327675 UEQ327672:UER327675 UOM327672:UON327675 UYI327672:UYJ327675 VIE327672:VIF327675 VSA327672:VSB327675 WBW327672:WBX327675 WLS327672:WLT327675 WVO327672:WVP327675 JC393208:JD393211 SY393208:SZ393211 ACU393208:ACV393211 AMQ393208:AMR393211 AWM393208:AWN393211 BGI393208:BGJ393211 BQE393208:BQF393211 CAA393208:CAB393211 CJW393208:CJX393211 CTS393208:CTT393211 DDO393208:DDP393211 DNK393208:DNL393211 DXG393208:DXH393211 EHC393208:EHD393211 EQY393208:EQZ393211 FAU393208:FAV393211 FKQ393208:FKR393211 FUM393208:FUN393211 GEI393208:GEJ393211 GOE393208:GOF393211 GYA393208:GYB393211 HHW393208:HHX393211 HRS393208:HRT393211 IBO393208:IBP393211 ILK393208:ILL393211 IVG393208:IVH393211 JFC393208:JFD393211 JOY393208:JOZ393211 JYU393208:JYV393211 KIQ393208:KIR393211 KSM393208:KSN393211 LCI393208:LCJ393211 LME393208:LMF393211 LWA393208:LWB393211 MFW393208:MFX393211 MPS393208:MPT393211 MZO393208:MZP393211 NJK393208:NJL393211 NTG393208:NTH393211 ODC393208:ODD393211 OMY393208:OMZ393211 OWU393208:OWV393211 PGQ393208:PGR393211 PQM393208:PQN393211 QAI393208:QAJ393211 QKE393208:QKF393211 QUA393208:QUB393211 RDW393208:RDX393211 RNS393208:RNT393211 RXO393208:RXP393211 SHK393208:SHL393211 SRG393208:SRH393211 TBC393208:TBD393211 TKY393208:TKZ393211 TUU393208:TUV393211 UEQ393208:UER393211 UOM393208:UON393211 UYI393208:UYJ393211 VIE393208:VIF393211 VSA393208:VSB393211 WBW393208:WBX393211 WLS393208:WLT393211 WVO393208:WVP393211 JC458744:JD458747 SY458744:SZ458747 ACU458744:ACV458747 AMQ458744:AMR458747 AWM458744:AWN458747 BGI458744:BGJ458747 BQE458744:BQF458747 CAA458744:CAB458747 CJW458744:CJX458747 CTS458744:CTT458747 DDO458744:DDP458747 DNK458744:DNL458747 DXG458744:DXH458747 EHC458744:EHD458747 EQY458744:EQZ458747 FAU458744:FAV458747 FKQ458744:FKR458747 FUM458744:FUN458747 GEI458744:GEJ458747 GOE458744:GOF458747 GYA458744:GYB458747 HHW458744:HHX458747 HRS458744:HRT458747 IBO458744:IBP458747 ILK458744:ILL458747 IVG458744:IVH458747 JFC458744:JFD458747 JOY458744:JOZ458747 JYU458744:JYV458747 KIQ458744:KIR458747 KSM458744:KSN458747 LCI458744:LCJ458747 LME458744:LMF458747 LWA458744:LWB458747 MFW458744:MFX458747 MPS458744:MPT458747 MZO458744:MZP458747 NJK458744:NJL458747 NTG458744:NTH458747 ODC458744:ODD458747 OMY458744:OMZ458747 OWU458744:OWV458747 PGQ458744:PGR458747 PQM458744:PQN458747 QAI458744:QAJ458747 QKE458744:QKF458747 QUA458744:QUB458747 RDW458744:RDX458747 RNS458744:RNT458747 RXO458744:RXP458747 SHK458744:SHL458747 SRG458744:SRH458747 TBC458744:TBD458747 TKY458744:TKZ458747 TUU458744:TUV458747 UEQ458744:UER458747 UOM458744:UON458747 UYI458744:UYJ458747 VIE458744:VIF458747 VSA458744:VSB458747 WBW458744:WBX458747 WLS458744:WLT458747 WVO458744:WVP458747 JC524280:JD524283 SY524280:SZ524283 ACU524280:ACV524283 AMQ524280:AMR524283 AWM524280:AWN524283 BGI524280:BGJ524283 BQE524280:BQF524283 CAA524280:CAB524283 CJW524280:CJX524283 CTS524280:CTT524283 DDO524280:DDP524283 DNK524280:DNL524283 DXG524280:DXH524283 EHC524280:EHD524283 EQY524280:EQZ524283 FAU524280:FAV524283 FKQ524280:FKR524283 FUM524280:FUN524283 GEI524280:GEJ524283 GOE524280:GOF524283 GYA524280:GYB524283 HHW524280:HHX524283 HRS524280:HRT524283 IBO524280:IBP524283 ILK524280:ILL524283 IVG524280:IVH524283 JFC524280:JFD524283 JOY524280:JOZ524283 JYU524280:JYV524283 KIQ524280:KIR524283 KSM524280:KSN524283 LCI524280:LCJ524283 LME524280:LMF524283 LWA524280:LWB524283 MFW524280:MFX524283 MPS524280:MPT524283 MZO524280:MZP524283 NJK524280:NJL524283 NTG524280:NTH524283 ODC524280:ODD524283 OMY524280:OMZ524283 OWU524280:OWV524283 PGQ524280:PGR524283 PQM524280:PQN524283 QAI524280:QAJ524283 QKE524280:QKF524283 QUA524280:QUB524283 RDW524280:RDX524283 RNS524280:RNT524283 RXO524280:RXP524283 SHK524280:SHL524283 SRG524280:SRH524283 TBC524280:TBD524283 TKY524280:TKZ524283 TUU524280:TUV524283 UEQ524280:UER524283 UOM524280:UON524283 UYI524280:UYJ524283 VIE524280:VIF524283 VSA524280:VSB524283 WBW524280:WBX524283 WLS524280:WLT524283 WVO524280:WVP524283 JC589816:JD589819 SY589816:SZ589819 ACU589816:ACV589819 AMQ589816:AMR589819 AWM589816:AWN589819 BGI589816:BGJ589819 BQE589816:BQF589819 CAA589816:CAB589819 CJW589816:CJX589819 CTS589816:CTT589819 DDO589816:DDP589819 DNK589816:DNL589819 DXG589816:DXH589819 EHC589816:EHD589819 EQY589816:EQZ589819 FAU589816:FAV589819 FKQ589816:FKR589819 FUM589816:FUN589819 GEI589816:GEJ589819 GOE589816:GOF589819 GYA589816:GYB589819 HHW589816:HHX589819 HRS589816:HRT589819 IBO589816:IBP589819 ILK589816:ILL589819 IVG589816:IVH589819 JFC589816:JFD589819 JOY589816:JOZ589819 JYU589816:JYV589819 KIQ589816:KIR589819 KSM589816:KSN589819 LCI589816:LCJ589819 LME589816:LMF589819 LWA589816:LWB589819 MFW589816:MFX589819 MPS589816:MPT589819 MZO589816:MZP589819 NJK589816:NJL589819 NTG589816:NTH589819 ODC589816:ODD589819 OMY589816:OMZ589819 OWU589816:OWV589819 PGQ589816:PGR589819 PQM589816:PQN589819 QAI589816:QAJ589819 QKE589816:QKF589819 QUA589816:QUB589819 RDW589816:RDX589819 RNS589816:RNT589819 RXO589816:RXP589819 SHK589816:SHL589819 SRG589816:SRH589819 TBC589816:TBD589819 TKY589816:TKZ589819 TUU589816:TUV589819 UEQ589816:UER589819 UOM589816:UON589819 UYI589816:UYJ589819 VIE589816:VIF589819 VSA589816:VSB589819 WBW589816:WBX589819 WLS589816:WLT589819 WVO589816:WVP589819 JC655352:JD655355 SY655352:SZ655355 ACU655352:ACV655355 AMQ655352:AMR655355 AWM655352:AWN655355 BGI655352:BGJ655355 BQE655352:BQF655355 CAA655352:CAB655355 CJW655352:CJX655355 CTS655352:CTT655355 DDO655352:DDP655355 DNK655352:DNL655355 DXG655352:DXH655355 EHC655352:EHD655355 EQY655352:EQZ655355 FAU655352:FAV655355 FKQ655352:FKR655355 FUM655352:FUN655355 GEI655352:GEJ655355 GOE655352:GOF655355 GYA655352:GYB655355 HHW655352:HHX655355 HRS655352:HRT655355 IBO655352:IBP655355 ILK655352:ILL655355 IVG655352:IVH655355 JFC655352:JFD655355 JOY655352:JOZ655355 JYU655352:JYV655355 KIQ655352:KIR655355 KSM655352:KSN655355 LCI655352:LCJ655355 LME655352:LMF655355 LWA655352:LWB655355 MFW655352:MFX655355 MPS655352:MPT655355 MZO655352:MZP655355 NJK655352:NJL655355 NTG655352:NTH655355 ODC655352:ODD655355 OMY655352:OMZ655355 OWU655352:OWV655355 PGQ655352:PGR655355 PQM655352:PQN655355 QAI655352:QAJ655355 QKE655352:QKF655355 QUA655352:QUB655355 RDW655352:RDX655355 RNS655352:RNT655355 RXO655352:RXP655355 SHK655352:SHL655355 SRG655352:SRH655355 TBC655352:TBD655355 TKY655352:TKZ655355 TUU655352:TUV655355 UEQ655352:UER655355 UOM655352:UON655355 UYI655352:UYJ655355 VIE655352:VIF655355 VSA655352:VSB655355 WBW655352:WBX655355 WLS655352:WLT655355 WVO655352:WVP655355 JC720888:JD720891 SY720888:SZ720891 ACU720888:ACV720891 AMQ720888:AMR720891 AWM720888:AWN720891 BGI720888:BGJ720891 BQE720888:BQF720891 CAA720888:CAB720891 CJW720888:CJX720891 CTS720888:CTT720891 DDO720888:DDP720891 DNK720888:DNL720891 DXG720888:DXH720891 EHC720888:EHD720891 EQY720888:EQZ720891 FAU720888:FAV720891 FKQ720888:FKR720891 FUM720888:FUN720891 GEI720888:GEJ720891 GOE720888:GOF720891 GYA720888:GYB720891 HHW720888:HHX720891 HRS720888:HRT720891 IBO720888:IBP720891 ILK720888:ILL720891 IVG720888:IVH720891 JFC720888:JFD720891 JOY720888:JOZ720891 JYU720888:JYV720891 KIQ720888:KIR720891 KSM720888:KSN720891 LCI720888:LCJ720891 LME720888:LMF720891 LWA720888:LWB720891 MFW720888:MFX720891 MPS720888:MPT720891 MZO720888:MZP720891 NJK720888:NJL720891 NTG720888:NTH720891 ODC720888:ODD720891 OMY720888:OMZ720891 OWU720888:OWV720891 PGQ720888:PGR720891 PQM720888:PQN720891 QAI720888:QAJ720891 QKE720888:QKF720891 QUA720888:QUB720891 RDW720888:RDX720891 RNS720888:RNT720891 RXO720888:RXP720891 SHK720888:SHL720891 SRG720888:SRH720891 TBC720888:TBD720891 TKY720888:TKZ720891 TUU720888:TUV720891 UEQ720888:UER720891 UOM720888:UON720891 UYI720888:UYJ720891 VIE720888:VIF720891 VSA720888:VSB720891 WBW720888:WBX720891 WLS720888:WLT720891 WVO720888:WVP720891 JC786424:JD786427 SY786424:SZ786427 ACU786424:ACV786427 AMQ786424:AMR786427 AWM786424:AWN786427 BGI786424:BGJ786427 BQE786424:BQF786427 CAA786424:CAB786427 CJW786424:CJX786427 CTS786424:CTT786427 DDO786424:DDP786427 DNK786424:DNL786427 DXG786424:DXH786427 EHC786424:EHD786427 EQY786424:EQZ786427 FAU786424:FAV786427 FKQ786424:FKR786427 FUM786424:FUN786427 GEI786424:GEJ786427 GOE786424:GOF786427 GYA786424:GYB786427 HHW786424:HHX786427 HRS786424:HRT786427 IBO786424:IBP786427 ILK786424:ILL786427 IVG786424:IVH786427 JFC786424:JFD786427 JOY786424:JOZ786427 JYU786424:JYV786427 KIQ786424:KIR786427 KSM786424:KSN786427 LCI786424:LCJ786427 LME786424:LMF786427 LWA786424:LWB786427 MFW786424:MFX786427 MPS786424:MPT786427 MZO786424:MZP786427 NJK786424:NJL786427 NTG786424:NTH786427 ODC786424:ODD786427 OMY786424:OMZ786427 OWU786424:OWV786427 PGQ786424:PGR786427 PQM786424:PQN786427 QAI786424:QAJ786427 QKE786424:QKF786427 QUA786424:QUB786427 RDW786424:RDX786427 RNS786424:RNT786427 RXO786424:RXP786427 SHK786424:SHL786427 SRG786424:SRH786427 TBC786424:TBD786427 TKY786424:TKZ786427 TUU786424:TUV786427 UEQ786424:UER786427 UOM786424:UON786427 UYI786424:UYJ786427 VIE786424:VIF786427 VSA786424:VSB786427 WBW786424:WBX786427 WLS786424:WLT786427 WVO786424:WVP786427 JC851960:JD851963 SY851960:SZ851963 ACU851960:ACV851963 AMQ851960:AMR851963 AWM851960:AWN851963 BGI851960:BGJ851963 BQE851960:BQF851963 CAA851960:CAB851963 CJW851960:CJX851963 CTS851960:CTT851963 DDO851960:DDP851963 DNK851960:DNL851963 DXG851960:DXH851963 EHC851960:EHD851963 EQY851960:EQZ851963 FAU851960:FAV851963 FKQ851960:FKR851963 FUM851960:FUN851963 GEI851960:GEJ851963 GOE851960:GOF851963 GYA851960:GYB851963 HHW851960:HHX851963 HRS851960:HRT851963 IBO851960:IBP851963 ILK851960:ILL851963 IVG851960:IVH851963 JFC851960:JFD851963 JOY851960:JOZ851963 JYU851960:JYV851963 KIQ851960:KIR851963 KSM851960:KSN851963 LCI851960:LCJ851963 LME851960:LMF851963 LWA851960:LWB851963 MFW851960:MFX851963 MPS851960:MPT851963 MZO851960:MZP851963 NJK851960:NJL851963 NTG851960:NTH851963 ODC851960:ODD851963 OMY851960:OMZ851963 OWU851960:OWV851963 PGQ851960:PGR851963 PQM851960:PQN851963 QAI851960:QAJ851963 QKE851960:QKF851963 QUA851960:QUB851963 RDW851960:RDX851963 RNS851960:RNT851963 RXO851960:RXP851963 SHK851960:SHL851963 SRG851960:SRH851963 TBC851960:TBD851963 TKY851960:TKZ851963 TUU851960:TUV851963 UEQ851960:UER851963 UOM851960:UON851963 UYI851960:UYJ851963 VIE851960:VIF851963 VSA851960:VSB851963 WBW851960:WBX851963 WLS851960:WLT851963 WVO851960:WVP851963 JC917496:JD917499 SY917496:SZ917499 ACU917496:ACV917499 AMQ917496:AMR917499 AWM917496:AWN917499 BGI917496:BGJ917499 BQE917496:BQF917499 CAA917496:CAB917499 CJW917496:CJX917499 CTS917496:CTT917499 DDO917496:DDP917499 DNK917496:DNL917499 DXG917496:DXH917499 EHC917496:EHD917499 EQY917496:EQZ917499 FAU917496:FAV917499 FKQ917496:FKR917499 FUM917496:FUN917499 GEI917496:GEJ917499 GOE917496:GOF917499 GYA917496:GYB917499 HHW917496:HHX917499 HRS917496:HRT917499 IBO917496:IBP917499 ILK917496:ILL917499 IVG917496:IVH917499 JFC917496:JFD917499 JOY917496:JOZ917499 JYU917496:JYV917499 KIQ917496:KIR917499 KSM917496:KSN917499 LCI917496:LCJ917499 LME917496:LMF917499 LWA917496:LWB917499 MFW917496:MFX917499 MPS917496:MPT917499 MZO917496:MZP917499 NJK917496:NJL917499 NTG917496:NTH917499 ODC917496:ODD917499 OMY917496:OMZ917499 OWU917496:OWV917499 PGQ917496:PGR917499 PQM917496:PQN917499 QAI917496:QAJ917499 QKE917496:QKF917499 QUA917496:QUB917499 RDW917496:RDX917499 RNS917496:RNT917499 RXO917496:RXP917499 SHK917496:SHL917499 SRG917496:SRH917499 TBC917496:TBD917499 TKY917496:TKZ917499 TUU917496:TUV917499 UEQ917496:UER917499 UOM917496:UON917499 UYI917496:UYJ917499 VIE917496:VIF917499 VSA917496:VSB917499 WBW917496:WBX917499 WLS917496:WLT917499 WVO917496:WVP917499 JC983032:JD983035 SY983032:SZ983035 ACU983032:ACV983035 AMQ983032:AMR983035 AWM983032:AWN983035 BGI983032:BGJ983035 BQE983032:BQF983035 CAA983032:CAB983035 CJW983032:CJX983035 CTS983032:CTT983035 DDO983032:DDP983035 DNK983032:DNL983035 DXG983032:DXH983035 EHC983032:EHD983035 EQY983032:EQZ983035 FAU983032:FAV983035 FKQ983032:FKR983035 FUM983032:FUN983035 GEI983032:GEJ983035 GOE983032:GOF983035 GYA983032:GYB983035 HHW983032:HHX983035 HRS983032:HRT983035 IBO983032:IBP983035 ILK983032:ILL983035 IVG983032:IVH983035 JFC983032:JFD983035 JOY983032:JOZ983035 JYU983032:JYV983035 KIQ983032:KIR983035 KSM983032:KSN983035 LCI983032:LCJ983035 LME983032:LMF983035 LWA983032:LWB983035 MFW983032:MFX983035 MPS983032:MPT983035 MZO983032:MZP983035 NJK983032:NJL983035 NTG983032:NTH983035 ODC983032:ODD983035 OMY983032:OMZ983035 OWU983032:OWV983035 PGQ983032:PGR983035 PQM983032:PQN983035 QAI983032:QAJ983035 QKE983032:QKF983035 QUA983032:QUB983035 RDW983032:RDX983035 RNS983032:RNT983035 RXO983032:RXP983035 SHK983032:SHL983035 SRG983032:SRH983035 TBC983032:TBD983035 TKY983032:TKZ983035 TUU983032:TUV983035 UEQ983032:UER983035 UOM983032:UON983035 UYI983032:UYJ983035 VIE983032:VIF983035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T16"/>
  <sheetViews>
    <sheetView view="pageBreakPreview" topLeftCell="H1" zoomScaleNormal="115" zoomScaleSheetLayoutView="100" workbookViewId="0">
      <selection activeCell="N6" sqref="N6:R6"/>
    </sheetView>
  </sheetViews>
  <sheetFormatPr defaultRowHeight="11.25" x14ac:dyDescent="0.2"/>
  <cols>
    <col min="1" max="1" width="5.28515625" style="309" bestFit="1" customWidth="1"/>
    <col min="2" max="2" width="40.7109375" style="309" customWidth="1"/>
    <col min="3" max="3" width="5.140625" style="309" bestFit="1" customWidth="1"/>
    <col min="4" max="4" width="5.140625" style="309" customWidth="1"/>
    <col min="5" max="5" width="14.85546875" style="309" bestFit="1" customWidth="1"/>
    <col min="6" max="6" width="15.5703125" style="309" bestFit="1" customWidth="1"/>
    <col min="7" max="7" width="19.7109375" style="309" bestFit="1" customWidth="1"/>
    <col min="8" max="8" width="11.5703125" style="309" bestFit="1" customWidth="1"/>
    <col min="9" max="9" width="18" style="309" bestFit="1" customWidth="1"/>
    <col min="10" max="10" width="7.7109375" style="341" bestFit="1" customWidth="1"/>
    <col min="11" max="12" width="7.7109375" style="342" bestFit="1" customWidth="1"/>
    <col min="13" max="13" width="8.42578125" style="309" bestFit="1" customWidth="1"/>
    <col min="14" max="14" width="7.140625" style="309" bestFit="1" customWidth="1"/>
    <col min="15" max="15" width="7.7109375" style="341" bestFit="1" customWidth="1"/>
    <col min="16" max="17" width="7.7109375" style="342" bestFit="1" customWidth="1"/>
    <col min="18" max="18" width="8.42578125" style="309" bestFit="1" customWidth="1"/>
    <col min="19" max="19" width="7.140625" style="309" bestFit="1" customWidth="1"/>
    <col min="20" max="20" width="7.7109375" style="341" bestFit="1" customWidth="1"/>
    <col min="21" max="22" width="7.7109375" style="342" bestFit="1" customWidth="1"/>
    <col min="23" max="23" width="8.42578125" style="309" bestFit="1" customWidth="1"/>
    <col min="24" max="24" width="12.7109375" style="309" bestFit="1" customWidth="1"/>
    <col min="25" max="25" width="7.7109375" style="341" bestFit="1" customWidth="1"/>
    <col min="26" max="26" width="9.140625" style="342" bestFit="1" customWidth="1"/>
    <col min="27" max="27" width="7.7109375" style="342" bestFit="1" customWidth="1"/>
    <col min="28" max="28" width="9" style="309" bestFit="1" customWidth="1"/>
    <col min="29" max="29" width="11.42578125" style="309" bestFit="1" customWidth="1"/>
    <col min="30" max="30" width="7.7109375" style="341" bestFit="1" customWidth="1"/>
    <col min="31" max="31" width="9.140625" style="342" bestFit="1" customWidth="1"/>
    <col min="32" max="32" width="7.7109375" style="342" bestFit="1" customWidth="1"/>
    <col min="33" max="33" width="9.7109375" style="309" bestFit="1" customWidth="1"/>
    <col min="34" max="42" width="9.140625" style="309"/>
    <col min="43" max="43" width="14.85546875" style="309" bestFit="1" customWidth="1"/>
    <col min="44" max="44" width="15.5703125" style="309" bestFit="1" customWidth="1"/>
    <col min="45" max="224" width="9.140625" style="309"/>
    <col min="225" max="263" width="2.42578125" style="309" customWidth="1"/>
    <col min="264" max="264" width="3.42578125" style="309" bestFit="1" customWidth="1"/>
    <col min="265" max="480" width="9.140625" style="309"/>
    <col min="481" max="519" width="2.42578125" style="309" customWidth="1"/>
    <col min="520" max="520" width="3.42578125" style="309" bestFit="1" customWidth="1"/>
    <col min="521" max="736" width="9.140625" style="309"/>
    <col min="737" max="775" width="2.42578125" style="309" customWidth="1"/>
    <col min="776" max="776" width="3.42578125" style="309" bestFit="1" customWidth="1"/>
    <col min="777" max="992" width="9.140625" style="309"/>
    <col min="993" max="1031" width="2.42578125" style="309" customWidth="1"/>
    <col min="1032" max="1032" width="3.42578125" style="309" bestFit="1" customWidth="1"/>
    <col min="1033" max="1248" width="9.140625" style="309"/>
    <col min="1249" max="1287" width="2.42578125" style="309" customWidth="1"/>
    <col min="1288" max="1288" width="3.42578125" style="309" bestFit="1" customWidth="1"/>
    <col min="1289" max="1504" width="9.140625" style="309"/>
    <col min="1505" max="1543" width="2.42578125" style="309" customWidth="1"/>
    <col min="1544" max="1544" width="3.42578125" style="309" bestFit="1" customWidth="1"/>
    <col min="1545" max="1760" width="9.140625" style="309"/>
    <col min="1761" max="1799" width="2.42578125" style="309" customWidth="1"/>
    <col min="1800" max="1800" width="3.42578125" style="309" bestFit="1" customWidth="1"/>
    <col min="1801" max="2016" width="9.140625" style="309"/>
    <col min="2017" max="2055" width="2.42578125" style="309" customWidth="1"/>
    <col min="2056" max="2056" width="3.42578125" style="309" bestFit="1" customWidth="1"/>
    <col min="2057" max="2272" width="9.140625" style="309"/>
    <col min="2273" max="2311" width="2.42578125" style="309" customWidth="1"/>
    <col min="2312" max="2312" width="3.42578125" style="309" bestFit="1" customWidth="1"/>
    <col min="2313" max="2528" width="9.140625" style="309"/>
    <col min="2529" max="2567" width="2.42578125" style="309" customWidth="1"/>
    <col min="2568" max="2568" width="3.42578125" style="309" bestFit="1" customWidth="1"/>
    <col min="2569" max="2784" width="9.140625" style="309"/>
    <col min="2785" max="2823" width="2.42578125" style="309" customWidth="1"/>
    <col min="2824" max="2824" width="3.42578125" style="309" bestFit="1" customWidth="1"/>
    <col min="2825" max="3040" width="9.140625" style="309"/>
    <col min="3041" max="3079" width="2.42578125" style="309" customWidth="1"/>
    <col min="3080" max="3080" width="3.42578125" style="309" bestFit="1" customWidth="1"/>
    <col min="3081" max="3296" width="9.140625" style="309"/>
    <col min="3297" max="3335" width="2.42578125" style="309" customWidth="1"/>
    <col min="3336" max="3336" width="3.42578125" style="309" bestFit="1" customWidth="1"/>
    <col min="3337" max="3552" width="9.140625" style="309"/>
    <col min="3553" max="3591" width="2.42578125" style="309" customWidth="1"/>
    <col min="3592" max="3592" width="3.42578125" style="309" bestFit="1" customWidth="1"/>
    <col min="3593" max="3808" width="9.140625" style="309"/>
    <col min="3809" max="3847" width="2.42578125" style="309" customWidth="1"/>
    <col min="3848" max="3848" width="3.42578125" style="309" bestFit="1" customWidth="1"/>
    <col min="3849" max="4064" width="9.140625" style="309"/>
    <col min="4065" max="4103" width="2.42578125" style="309" customWidth="1"/>
    <col min="4104" max="4104" width="3.42578125" style="309" bestFit="1" customWidth="1"/>
    <col min="4105" max="4320" width="9.140625" style="309"/>
    <col min="4321" max="4359" width="2.42578125" style="309" customWidth="1"/>
    <col min="4360" max="4360" width="3.42578125" style="309" bestFit="1" customWidth="1"/>
    <col min="4361" max="4576" width="9.140625" style="309"/>
    <col min="4577" max="4615" width="2.42578125" style="309" customWidth="1"/>
    <col min="4616" max="4616" width="3.42578125" style="309" bestFit="1" customWidth="1"/>
    <col min="4617" max="4832" width="9.140625" style="309"/>
    <col min="4833" max="4871" width="2.42578125" style="309" customWidth="1"/>
    <col min="4872" max="4872" width="3.42578125" style="309" bestFit="1" customWidth="1"/>
    <col min="4873" max="5088" width="9.140625" style="309"/>
    <col min="5089" max="5127" width="2.42578125" style="309" customWidth="1"/>
    <col min="5128" max="5128" width="3.42578125" style="309" bestFit="1" customWidth="1"/>
    <col min="5129" max="5344" width="9.140625" style="309"/>
    <col min="5345" max="5383" width="2.42578125" style="309" customWidth="1"/>
    <col min="5384" max="5384" width="3.42578125" style="309" bestFit="1" customWidth="1"/>
    <col min="5385" max="5600" width="9.140625" style="309"/>
    <col min="5601" max="5639" width="2.42578125" style="309" customWidth="1"/>
    <col min="5640" max="5640" width="3.42578125" style="309" bestFit="1" customWidth="1"/>
    <col min="5641" max="5856" width="9.140625" style="309"/>
    <col min="5857" max="5895" width="2.42578125" style="309" customWidth="1"/>
    <col min="5896" max="5896" width="3.42578125" style="309" bestFit="1" customWidth="1"/>
    <col min="5897" max="6112" width="9.140625" style="309"/>
    <col min="6113" max="6151" width="2.42578125" style="309" customWidth="1"/>
    <col min="6152" max="6152" width="3.42578125" style="309" bestFit="1" customWidth="1"/>
    <col min="6153" max="6368" width="9.140625" style="309"/>
    <col min="6369" max="6407" width="2.42578125" style="309" customWidth="1"/>
    <col min="6408" max="6408" width="3.42578125" style="309" bestFit="1" customWidth="1"/>
    <col min="6409" max="6624" width="9.140625" style="309"/>
    <col min="6625" max="6663" width="2.42578125" style="309" customWidth="1"/>
    <col min="6664" max="6664" width="3.42578125" style="309" bestFit="1" customWidth="1"/>
    <col min="6665" max="6880" width="9.140625" style="309"/>
    <col min="6881" max="6919" width="2.42578125" style="309" customWidth="1"/>
    <col min="6920" max="6920" width="3.42578125" style="309" bestFit="1" customWidth="1"/>
    <col min="6921" max="7136" width="9.140625" style="309"/>
    <col min="7137" max="7175" width="2.42578125" style="309" customWidth="1"/>
    <col min="7176" max="7176" width="3.42578125" style="309" bestFit="1" customWidth="1"/>
    <col min="7177" max="7392" width="9.140625" style="309"/>
    <col min="7393" max="7431" width="2.42578125" style="309" customWidth="1"/>
    <col min="7432" max="7432" width="3.42578125" style="309" bestFit="1" customWidth="1"/>
    <col min="7433" max="7648" width="9.140625" style="309"/>
    <col min="7649" max="7687" width="2.42578125" style="309" customWidth="1"/>
    <col min="7688" max="7688" width="3.42578125" style="309" bestFit="1" customWidth="1"/>
    <col min="7689" max="7904" width="9.140625" style="309"/>
    <col min="7905" max="7943" width="2.42578125" style="309" customWidth="1"/>
    <col min="7944" max="7944" width="3.42578125" style="309" bestFit="1" customWidth="1"/>
    <col min="7945" max="8160" width="9.140625" style="309"/>
    <col min="8161" max="8199" width="2.42578125" style="309" customWidth="1"/>
    <col min="8200" max="8200" width="3.42578125" style="309" bestFit="1" customWidth="1"/>
    <col min="8201" max="8416" width="9.140625" style="309"/>
    <col min="8417" max="8455" width="2.42578125" style="309" customWidth="1"/>
    <col min="8456" max="8456" width="3.42578125" style="309" bestFit="1" customWidth="1"/>
    <col min="8457" max="8672" width="9.140625" style="309"/>
    <col min="8673" max="8711" width="2.42578125" style="309" customWidth="1"/>
    <col min="8712" max="8712" width="3.42578125" style="309" bestFit="1" customWidth="1"/>
    <col min="8713" max="8928" width="9.140625" style="309"/>
    <col min="8929" max="8967" width="2.42578125" style="309" customWidth="1"/>
    <col min="8968" max="8968" width="3.42578125" style="309" bestFit="1" customWidth="1"/>
    <col min="8969" max="9184" width="9.140625" style="309"/>
    <col min="9185" max="9223" width="2.42578125" style="309" customWidth="1"/>
    <col min="9224" max="9224" width="3.42578125" style="309" bestFit="1" customWidth="1"/>
    <col min="9225" max="9440" width="9.140625" style="309"/>
    <col min="9441" max="9479" width="2.42578125" style="309" customWidth="1"/>
    <col min="9480" max="9480" width="3.42578125" style="309" bestFit="1" customWidth="1"/>
    <col min="9481" max="9696" width="9.140625" style="309"/>
    <col min="9697" max="9735" width="2.42578125" style="309" customWidth="1"/>
    <col min="9736" max="9736" width="3.42578125" style="309" bestFit="1" customWidth="1"/>
    <col min="9737" max="9952" width="9.140625" style="309"/>
    <col min="9953" max="9991" width="2.42578125" style="309" customWidth="1"/>
    <col min="9992" max="9992" width="3.42578125" style="309" bestFit="1" customWidth="1"/>
    <col min="9993" max="10208" width="9.140625" style="309"/>
    <col min="10209" max="10247" width="2.42578125" style="309" customWidth="1"/>
    <col min="10248" max="10248" width="3.42578125" style="309" bestFit="1" customWidth="1"/>
    <col min="10249" max="10464" width="9.140625" style="309"/>
    <col min="10465" max="10503" width="2.42578125" style="309" customWidth="1"/>
    <col min="10504" max="10504" width="3.42578125" style="309" bestFit="1" customWidth="1"/>
    <col min="10505" max="10720" width="9.140625" style="309"/>
    <col min="10721" max="10759" width="2.42578125" style="309" customWidth="1"/>
    <col min="10760" max="10760" width="3.42578125" style="309" bestFit="1" customWidth="1"/>
    <col min="10761" max="10976" width="9.140625" style="309"/>
    <col min="10977" max="11015" width="2.42578125" style="309" customWidth="1"/>
    <col min="11016" max="11016" width="3.42578125" style="309" bestFit="1" customWidth="1"/>
    <col min="11017" max="11232" width="9.140625" style="309"/>
    <col min="11233" max="11271" width="2.42578125" style="309" customWidth="1"/>
    <col min="11272" max="11272" width="3.42578125" style="309" bestFit="1" customWidth="1"/>
    <col min="11273" max="11488" width="9.140625" style="309"/>
    <col min="11489" max="11527" width="2.42578125" style="309" customWidth="1"/>
    <col min="11528" max="11528" width="3.42578125" style="309" bestFit="1" customWidth="1"/>
    <col min="11529" max="11744" width="9.140625" style="309"/>
    <col min="11745" max="11783" width="2.42578125" style="309" customWidth="1"/>
    <col min="11784" max="11784" width="3.42578125" style="309" bestFit="1" customWidth="1"/>
    <col min="11785" max="12000" width="9.140625" style="309"/>
    <col min="12001" max="12039" width="2.42578125" style="309" customWidth="1"/>
    <col min="12040" max="12040" width="3.42578125" style="309" bestFit="1" customWidth="1"/>
    <col min="12041" max="12256" width="9.140625" style="309"/>
    <col min="12257" max="12295" width="2.42578125" style="309" customWidth="1"/>
    <col min="12296" max="12296" width="3.42578125" style="309" bestFit="1" customWidth="1"/>
    <col min="12297" max="12512" width="9.140625" style="309"/>
    <col min="12513" max="12551" width="2.42578125" style="309" customWidth="1"/>
    <col min="12552" max="12552" width="3.42578125" style="309" bestFit="1" customWidth="1"/>
    <col min="12553" max="12768" width="9.140625" style="309"/>
    <col min="12769" max="12807" width="2.42578125" style="309" customWidth="1"/>
    <col min="12808" max="12808" width="3.42578125" style="309" bestFit="1" customWidth="1"/>
    <col min="12809" max="13024" width="9.140625" style="309"/>
    <col min="13025" max="13063" width="2.42578125" style="309" customWidth="1"/>
    <col min="13064" max="13064" width="3.42578125" style="309" bestFit="1" customWidth="1"/>
    <col min="13065" max="13280" width="9.140625" style="309"/>
    <col min="13281" max="13319" width="2.42578125" style="309" customWidth="1"/>
    <col min="13320" max="13320" width="3.42578125" style="309" bestFit="1" customWidth="1"/>
    <col min="13321" max="13536" width="9.140625" style="309"/>
    <col min="13537" max="13575" width="2.42578125" style="309" customWidth="1"/>
    <col min="13576" max="13576" width="3.42578125" style="309" bestFit="1" customWidth="1"/>
    <col min="13577" max="13792" width="9.140625" style="309"/>
    <col min="13793" max="13831" width="2.42578125" style="309" customWidth="1"/>
    <col min="13832" max="13832" width="3.42578125" style="309" bestFit="1" customWidth="1"/>
    <col min="13833" max="14048" width="9.140625" style="309"/>
    <col min="14049" max="14087" width="2.42578125" style="309" customWidth="1"/>
    <col min="14088" max="14088" width="3.42578125" style="309" bestFit="1" customWidth="1"/>
    <col min="14089" max="14304" width="9.140625" style="309"/>
    <col min="14305" max="14343" width="2.42578125" style="309" customWidth="1"/>
    <col min="14344" max="14344" width="3.42578125" style="309" bestFit="1" customWidth="1"/>
    <col min="14345" max="14560" width="9.140625" style="309"/>
    <col min="14561" max="14599" width="2.42578125" style="309" customWidth="1"/>
    <col min="14600" max="14600" width="3.42578125" style="309" bestFit="1" customWidth="1"/>
    <col min="14601" max="14816" width="9.140625" style="309"/>
    <col min="14817" max="14855" width="2.42578125" style="309" customWidth="1"/>
    <col min="14856" max="14856" width="3.42578125" style="309" bestFit="1" customWidth="1"/>
    <col min="14857" max="15072" width="9.140625" style="309"/>
    <col min="15073" max="15111" width="2.42578125" style="309" customWidth="1"/>
    <col min="15112" max="15112" width="3.42578125" style="309" bestFit="1" customWidth="1"/>
    <col min="15113" max="15328" width="9.140625" style="309"/>
    <col min="15329" max="15367" width="2.42578125" style="309" customWidth="1"/>
    <col min="15368" max="15368" width="3.42578125" style="309" bestFit="1" customWidth="1"/>
    <col min="15369" max="15584" width="9.140625" style="309"/>
    <col min="15585" max="15623" width="2.42578125" style="309" customWidth="1"/>
    <col min="15624" max="15624" width="3.42578125" style="309" bestFit="1" customWidth="1"/>
    <col min="15625" max="15840" width="9.140625" style="309"/>
    <col min="15841" max="15879" width="2.42578125" style="309" customWidth="1"/>
    <col min="15880" max="15880" width="3.42578125" style="309" bestFit="1" customWidth="1"/>
    <col min="15881" max="16096" width="9.140625" style="309"/>
    <col min="16097" max="16135" width="2.42578125" style="309" customWidth="1"/>
    <col min="16136" max="16136" width="3.42578125" style="309" bestFit="1" customWidth="1"/>
    <col min="16137" max="16384" width="9.140625" style="309"/>
  </cols>
  <sheetData>
    <row r="1" spans="1:4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  <c r="AQ1" s="315"/>
      <c r="AR1" s="316"/>
    </row>
    <row r="2" spans="1:4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  <c r="AQ2" s="315"/>
      <c r="AR2" s="316"/>
    </row>
    <row r="3" spans="1:4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  <c r="AQ3" s="315"/>
      <c r="AR3" s="316"/>
    </row>
    <row r="4" spans="1:4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  <c r="AQ4" s="315"/>
      <c r="AR4" s="316"/>
    </row>
    <row r="5" spans="1:4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  <c r="AQ5" s="315"/>
      <c r="AR5" s="316"/>
    </row>
    <row r="6" spans="1:46" ht="15.75" thickBot="1" x14ac:dyDescent="0.3">
      <c r="A6" s="32" t="s">
        <v>305</v>
      </c>
      <c r="B6" s="337"/>
      <c r="C6" s="337"/>
      <c r="D6" s="337"/>
      <c r="E6" s="373"/>
      <c r="F6" s="373"/>
      <c r="G6" s="373"/>
      <c r="H6" s="373"/>
      <c r="I6" s="635" t="s">
        <v>405</v>
      </c>
      <c r="J6" s="636"/>
      <c r="K6" s="636"/>
      <c r="L6" s="636"/>
      <c r="M6" s="637"/>
      <c r="N6" s="635" t="s">
        <v>406</v>
      </c>
      <c r="O6" s="636"/>
      <c r="P6" s="636"/>
      <c r="Q6" s="636"/>
      <c r="R6" s="637"/>
      <c r="S6" s="635" t="s">
        <v>407</v>
      </c>
      <c r="T6" s="636"/>
      <c r="U6" s="636"/>
      <c r="V6" s="636"/>
      <c r="W6" s="637"/>
      <c r="X6" s="635" t="s">
        <v>419</v>
      </c>
      <c r="Y6" s="636"/>
      <c r="Z6" s="636"/>
      <c r="AA6" s="636"/>
      <c r="AB6" s="637"/>
      <c r="AC6" s="635" t="s">
        <v>420</v>
      </c>
      <c r="AD6" s="636"/>
      <c r="AE6" s="636"/>
      <c r="AF6" s="636"/>
      <c r="AG6" s="637"/>
      <c r="AQ6" s="373"/>
      <c r="AR6" s="373"/>
    </row>
    <row r="7" spans="1:46" ht="120" x14ac:dyDescent="0.25">
      <c r="A7" s="336" t="s">
        <v>295</v>
      </c>
      <c r="B7" s="331" t="s">
        <v>296</v>
      </c>
      <c r="C7" s="331" t="s">
        <v>302</v>
      </c>
      <c r="D7" s="331"/>
      <c r="E7" s="449" t="s">
        <v>538</v>
      </c>
      <c r="F7" s="450" t="s">
        <v>539</v>
      </c>
      <c r="G7" s="451" t="s">
        <v>540</v>
      </c>
      <c r="H7" s="452" t="s">
        <v>541</v>
      </c>
      <c r="I7" s="353" t="s">
        <v>408</v>
      </c>
      <c r="J7" s="358" t="s">
        <v>409</v>
      </c>
      <c r="K7" s="359" t="s">
        <v>410</v>
      </c>
      <c r="L7" s="359" t="s">
        <v>418</v>
      </c>
      <c r="M7" s="353" t="s">
        <v>414</v>
      </c>
      <c r="N7" s="353" t="s">
        <v>408</v>
      </c>
      <c r="O7" s="358" t="s">
        <v>409</v>
      </c>
      <c r="P7" s="359" t="s">
        <v>410</v>
      </c>
      <c r="Q7" s="359" t="s">
        <v>418</v>
      </c>
      <c r="R7" s="353" t="s">
        <v>414</v>
      </c>
      <c r="S7" s="353" t="s">
        <v>408</v>
      </c>
      <c r="T7" s="358" t="s">
        <v>409</v>
      </c>
      <c r="U7" s="359" t="s">
        <v>410</v>
      </c>
      <c r="V7" s="359" t="s">
        <v>418</v>
      </c>
      <c r="W7" s="353" t="s">
        <v>414</v>
      </c>
      <c r="X7" s="353" t="s">
        <v>408</v>
      </c>
      <c r="Y7" s="358" t="s">
        <v>409</v>
      </c>
      <c r="Z7" s="359" t="s">
        <v>410</v>
      </c>
      <c r="AA7" s="359" t="s">
        <v>418</v>
      </c>
      <c r="AB7" s="353" t="s">
        <v>414</v>
      </c>
      <c r="AC7" s="353" t="s">
        <v>408</v>
      </c>
      <c r="AD7" s="358" t="s">
        <v>409</v>
      </c>
      <c r="AE7" s="359" t="s">
        <v>410</v>
      </c>
      <c r="AF7" s="359" t="s">
        <v>418</v>
      </c>
      <c r="AG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90" x14ac:dyDescent="0.25">
      <c r="A8" s="338" t="s">
        <v>346</v>
      </c>
      <c r="B8" s="429" t="s">
        <v>475</v>
      </c>
      <c r="C8" s="339">
        <v>1</v>
      </c>
      <c r="D8" s="339"/>
      <c r="E8" s="453">
        <f>IF(AND(AO8="IRR",SUM(AH8:AJ8)&gt;0),AP8,IF(AND(AO8="IRR",AQ8&lt;&gt;""),AQ8*'[5]Basic INFO'!$E$127,IF(AO8="IRR",AS8,"")))</f>
        <v>45889667999.999992</v>
      </c>
      <c r="F8" s="454" t="str">
        <f>IF(AND(AO8="EUR",SUM(AH8:AJ8)&gt;0),AP8,IF(AND(AO8="EUR",AR8&lt;&gt;""),AR8*'[5]Basic INFO'!$C$138,IF(AO8="EUR",AT8,"")))</f>
        <v/>
      </c>
      <c r="G8" s="455">
        <f t="shared" ref="G8" si="0">IF(AO8="IRR",C8*E8,"")</f>
        <v>45889667999.999992</v>
      </c>
      <c r="H8" s="456" t="str">
        <f t="shared" ref="H8" si="1">IF(AO8="EUR",C8*F8,"")</f>
        <v/>
      </c>
      <c r="I8" s="399" t="s">
        <v>413</v>
      </c>
      <c r="J8" s="431"/>
      <c r="K8" s="415"/>
      <c r="L8" s="415"/>
      <c r="M8" s="399" t="s">
        <v>433</v>
      </c>
      <c r="N8" s="399" t="s">
        <v>421</v>
      </c>
      <c r="O8" s="431"/>
      <c r="P8" s="415"/>
      <c r="Q8" s="415"/>
      <c r="R8" s="399" t="s">
        <v>433</v>
      </c>
      <c r="S8" s="399" t="s">
        <v>422</v>
      </c>
      <c r="T8" s="431"/>
      <c r="U8" s="415"/>
      <c r="V8" s="415"/>
      <c r="W8" s="399" t="s">
        <v>433</v>
      </c>
      <c r="X8" s="399" t="s">
        <v>423</v>
      </c>
      <c r="Y8" s="431"/>
      <c r="Z8" s="415">
        <v>84000</v>
      </c>
      <c r="AA8" s="415"/>
      <c r="AB8" s="427" t="s">
        <v>425</v>
      </c>
      <c r="AC8" s="399" t="s">
        <v>424</v>
      </c>
      <c r="AD8" s="431"/>
      <c r="AE8" s="415">
        <f>4*12000</f>
        <v>48000</v>
      </c>
      <c r="AF8" s="415"/>
      <c r="AG8" s="416">
        <v>45801</v>
      </c>
      <c r="AH8" s="441">
        <f>IF(B8="","",COUNT(J8,O8,T8,Y8,AD8))</f>
        <v>0</v>
      </c>
      <c r="AI8" s="442">
        <f>IF(B8="","",COUNT(K8,P8,U8,Z8,AE8))</f>
        <v>2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66000</v>
      </c>
      <c r="AM8" s="442" t="str">
        <f>IF(AND(AJ8&lt;&gt;"",AJ8&gt;0),AVERAGE(L8,Q8,V8,AA8,AF8)/'[5]Basic INFO'!$C$103,"")</f>
        <v/>
      </c>
      <c r="AN8" s="442">
        <f>IF(SUM(AH8:AJ8)&lt;&gt;0,AVERAGE(AK8:AM8),"")</f>
        <v>66000</v>
      </c>
      <c r="AO8" s="309" t="s">
        <v>525</v>
      </c>
      <c r="AP8" s="444">
        <f>IF(B8="","",IF(SUM(AH8:AJ8)=0,"",IF(AO8="IRR",AN8*('[5]Basic INFO'!$C$101*'[5]Basic INFO'!$C$103),IF(AO8="EUR",AN8,AP8))))</f>
        <v>45889667999.999992</v>
      </c>
      <c r="AQ8" s="428">
        <v>1700000000</v>
      </c>
      <c r="AR8" s="428"/>
      <c r="AS8" s="447"/>
      <c r="AT8" s="448"/>
    </row>
    <row r="9" spans="1:46" ht="112.5" x14ac:dyDescent="0.25">
      <c r="A9" s="338" t="s">
        <v>347</v>
      </c>
      <c r="B9" s="429" t="s">
        <v>476</v>
      </c>
      <c r="C9" s="339">
        <v>1</v>
      </c>
      <c r="D9" s="339"/>
      <c r="E9" s="453">
        <f>IF(AND(AO9="IRR",SUM(AH9:AJ9)&gt;0),AP9,IF(AND(AO9="IRR",AQ9&lt;&gt;""),AQ9*'[5]Basic INFO'!$E$127,IF(AO9="IRR",AS9,"")))</f>
        <v>11124767999.999998</v>
      </c>
      <c r="F9" s="454" t="str">
        <f>IF(AND(AO9="EUR",SUM(AH9:AJ9)&gt;0),AP9,IF(AND(AO9="EUR",AR9&lt;&gt;""),AR9*'[5]Basic INFO'!$C$138,IF(AO9="EUR",AT9,"")))</f>
        <v/>
      </c>
      <c r="G9" s="455">
        <f t="shared" ref="G9:G11" si="2">IF(AO9="IRR",C9*E9,"")</f>
        <v>11124767999.999998</v>
      </c>
      <c r="H9" s="456" t="str">
        <f t="shared" ref="H9:H11" si="3">IF(AO9="EUR",C9*F9,"")</f>
        <v/>
      </c>
      <c r="I9" s="399" t="s">
        <v>413</v>
      </c>
      <c r="J9" s="431"/>
      <c r="K9" s="415"/>
      <c r="L9" s="415"/>
      <c r="M9" s="399" t="s">
        <v>433</v>
      </c>
      <c r="N9" s="399" t="s">
        <v>421</v>
      </c>
      <c r="O9" s="431"/>
      <c r="P9" s="415"/>
      <c r="Q9" s="415"/>
      <c r="R9" s="399" t="s">
        <v>433</v>
      </c>
      <c r="S9" s="399" t="s">
        <v>422</v>
      </c>
      <c r="T9" s="431"/>
      <c r="U9" s="415"/>
      <c r="V9" s="415"/>
      <c r="W9" s="399" t="s">
        <v>433</v>
      </c>
      <c r="X9" s="399" t="s">
        <v>423</v>
      </c>
      <c r="Y9" s="431"/>
      <c r="Z9" s="415">
        <v>16000</v>
      </c>
      <c r="AA9" s="415"/>
      <c r="AB9" s="399" t="s">
        <v>425</v>
      </c>
      <c r="AC9" s="399" t="s">
        <v>424</v>
      </c>
      <c r="AD9" s="431"/>
      <c r="AE9" s="415">
        <f>4*4000</f>
        <v>16000</v>
      </c>
      <c r="AF9" s="415"/>
      <c r="AG9" s="416">
        <v>45801</v>
      </c>
      <c r="AH9" s="441">
        <f t="shared" ref="AH9:AH11" si="4">IF(B9="","",COUNT(J9,O9,T9,Y9,AD9))</f>
        <v>0</v>
      </c>
      <c r="AI9" s="442">
        <f t="shared" ref="AI9:AI11" si="5">IF(B9="","",COUNT(K9,P9,U9,Z9,AE9))</f>
        <v>2</v>
      </c>
      <c r="AJ9" s="442">
        <f t="shared" ref="AJ9:AJ11" si="6">IF(B9="","",COUNT(L9,Q9,V9,AA9,AF9))</f>
        <v>0</v>
      </c>
      <c r="AK9" s="442" t="str">
        <f>IF(AND(AH9&lt;&gt;"",AH9&gt;0),AVERAGE(J9,O9,T9,Y9,AD9)/('[5]Basic INFO'!$C$101*'[5]Basic INFO'!$C$103),"")</f>
        <v/>
      </c>
      <c r="AL9" s="442">
        <f t="shared" ref="AL9:AL11" si="7">IF(AND(AI9&lt;&gt;"",AI9&gt;0),AVERAGE(K9,P9,U9,Z9,AE9),"")</f>
        <v>16000</v>
      </c>
      <c r="AM9" s="442" t="str">
        <f>IF(AND(AJ9&lt;&gt;"",AJ9&gt;0),AVERAGE(L9,Q9,V9,AA9,AF9)/'[5]Basic INFO'!$C$103,"")</f>
        <v/>
      </c>
      <c r="AN9" s="442">
        <f t="shared" ref="AN9:AN11" si="8">IF(SUM(AH9:AJ9)&lt;&gt;0,AVERAGE(AK9:AM9),"")</f>
        <v>16000</v>
      </c>
      <c r="AO9" s="309" t="s">
        <v>525</v>
      </c>
      <c r="AP9" s="444">
        <f>IF(B9="","",IF(SUM(AH9:AJ9)=0,"",IF(AO9="IRR",AN9*('[5]Basic INFO'!$C$101*'[5]Basic INFO'!$C$103),IF(AO9="EUR",AN9,AP9))))</f>
        <v>11124767999.999998</v>
      </c>
      <c r="AQ9" s="428">
        <v>675000000</v>
      </c>
      <c r="AR9" s="428"/>
      <c r="AS9" s="447"/>
      <c r="AT9" s="448"/>
    </row>
    <row r="10" spans="1:46" ht="101.25" x14ac:dyDescent="0.25">
      <c r="A10" s="338" t="s">
        <v>348</v>
      </c>
      <c r="B10" s="429" t="s">
        <v>547</v>
      </c>
      <c r="C10" s="339">
        <v>1</v>
      </c>
      <c r="D10" s="339"/>
      <c r="E10" s="453">
        <f>IF(AND(AO10="IRR",SUM(AH10:AJ10)&gt;0),AP10,IF(AND(AO10="IRR",AQ10&lt;&gt;""),AQ10*'[5]Basic INFO'!$E$127,IF(AO10="IRR",AS10,"")))</f>
        <v>36711734399.999992</v>
      </c>
      <c r="F10" s="454" t="str">
        <f>IF(AND(AO10="EUR",SUM(AH10:AJ10)&gt;0),AP10,IF(AND(AO10="EUR",AR10&lt;&gt;""),AR10*'[5]Basic INFO'!$C$138,IF(AO10="EUR",AT10,"")))</f>
        <v/>
      </c>
      <c r="G10" s="455">
        <f t="shared" si="2"/>
        <v>36711734399.999992</v>
      </c>
      <c r="H10" s="456" t="str">
        <f t="shared" si="3"/>
        <v/>
      </c>
      <c r="I10" s="399" t="s">
        <v>413</v>
      </c>
      <c r="J10" s="431"/>
      <c r="K10" s="415"/>
      <c r="L10" s="415"/>
      <c r="M10" s="399" t="s">
        <v>433</v>
      </c>
      <c r="N10" s="399" t="s">
        <v>421</v>
      </c>
      <c r="O10" s="431"/>
      <c r="P10" s="415"/>
      <c r="Q10" s="415"/>
      <c r="R10" s="399" t="s">
        <v>433</v>
      </c>
      <c r="S10" s="399" t="s">
        <v>422</v>
      </c>
      <c r="T10" s="431"/>
      <c r="U10" s="415"/>
      <c r="V10" s="415"/>
      <c r="W10" s="399" t="s">
        <v>433</v>
      </c>
      <c r="X10" s="399" t="s">
        <v>423</v>
      </c>
      <c r="Y10" s="431"/>
      <c r="Z10" s="415">
        <v>65600</v>
      </c>
      <c r="AA10" s="415"/>
      <c r="AB10" s="399" t="s">
        <v>426</v>
      </c>
      <c r="AC10" s="399" t="s">
        <v>424</v>
      </c>
      <c r="AD10" s="431"/>
      <c r="AE10" s="415">
        <f>4*10000</f>
        <v>40000</v>
      </c>
      <c r="AF10" s="415"/>
      <c r="AG10" s="416">
        <v>45801</v>
      </c>
      <c r="AH10" s="441">
        <f t="shared" si="4"/>
        <v>0</v>
      </c>
      <c r="AI10" s="442">
        <f t="shared" si="5"/>
        <v>2</v>
      </c>
      <c r="AJ10" s="442">
        <f t="shared" si="6"/>
        <v>0</v>
      </c>
      <c r="AK10" s="442" t="str">
        <f>IF(AND(AH10&lt;&gt;"",AH10&gt;0),AVERAGE(J10,O10,T10,Y10,AD10)/('[5]Basic INFO'!$C$101*'[5]Basic INFO'!$C$103),"")</f>
        <v/>
      </c>
      <c r="AL10" s="442">
        <f t="shared" si="7"/>
        <v>52800</v>
      </c>
      <c r="AM10" s="442" t="str">
        <f>IF(AND(AJ10&lt;&gt;"",AJ10&gt;0),AVERAGE(L10,Q10,V10,AA10,AF10)/'[5]Basic INFO'!$C$103,"")</f>
        <v/>
      </c>
      <c r="AN10" s="442">
        <f t="shared" si="8"/>
        <v>52800</v>
      </c>
      <c r="AO10" s="309" t="s">
        <v>525</v>
      </c>
      <c r="AP10" s="444">
        <f>IF(B10="","",IF(SUM(AH10:AJ10)=0,"",IF(AO10="IRR",AN10*('[5]Basic INFO'!$C$101*'[5]Basic INFO'!$C$103),IF(AO10="EUR",AN10,AP10))))</f>
        <v>36711734399.999992</v>
      </c>
      <c r="AQ10" s="428">
        <v>1600000000</v>
      </c>
      <c r="AR10" s="428"/>
      <c r="AS10" s="447"/>
      <c r="AT10" s="448"/>
    </row>
    <row r="11" spans="1:46" ht="90" x14ac:dyDescent="0.25">
      <c r="A11" s="338" t="s">
        <v>301</v>
      </c>
      <c r="B11" s="429" t="s">
        <v>546</v>
      </c>
      <c r="C11" s="339">
        <v>1</v>
      </c>
      <c r="D11" s="339"/>
      <c r="E11" s="453">
        <f>IF(AND(AO11="IRR",SUM(AH11:AJ11)&gt;0),AP11,IF(AND(AO11="IRR",AQ11&lt;&gt;""),AQ11*'[5]Basic INFO'!$E$127,IF(AO11="IRR",AS11,"")))</f>
        <v>10290410399.999998</v>
      </c>
      <c r="F11" s="454" t="str">
        <f>IF(AND(AO11="EUR",SUM(AH11:AJ11)&gt;0),AP11,IF(AND(AO11="EUR",AR11&lt;&gt;""),AR11*'[5]Basic INFO'!$C$138,IF(AO11="EUR",AT11,"")))</f>
        <v/>
      </c>
      <c r="G11" s="455">
        <f t="shared" si="2"/>
        <v>10290410399.999998</v>
      </c>
      <c r="H11" s="456" t="str">
        <f t="shared" si="3"/>
        <v/>
      </c>
      <c r="I11" s="399" t="s">
        <v>413</v>
      </c>
      <c r="J11" s="431"/>
      <c r="K11" s="415"/>
      <c r="L11" s="415"/>
      <c r="M11" s="399" t="s">
        <v>433</v>
      </c>
      <c r="N11" s="399" t="s">
        <v>421</v>
      </c>
      <c r="O11" s="431"/>
      <c r="P11" s="415"/>
      <c r="Q11" s="415"/>
      <c r="R11" s="399" t="s">
        <v>433</v>
      </c>
      <c r="S11" s="399" t="s">
        <v>422</v>
      </c>
      <c r="T11" s="431"/>
      <c r="U11" s="415"/>
      <c r="V11" s="415"/>
      <c r="W11" s="399" t="s">
        <v>433</v>
      </c>
      <c r="X11" s="399" t="s">
        <v>423</v>
      </c>
      <c r="Y11" s="431"/>
      <c r="Z11" s="415">
        <v>21600</v>
      </c>
      <c r="AA11" s="415"/>
      <c r="AB11" s="399" t="s">
        <v>426</v>
      </c>
      <c r="AC11" s="399" t="s">
        <v>424</v>
      </c>
      <c r="AD11" s="431"/>
      <c r="AE11" s="415">
        <f>4*2000</f>
        <v>8000</v>
      </c>
      <c r="AF11" s="415"/>
      <c r="AG11" s="416">
        <v>45801</v>
      </c>
      <c r="AH11" s="441">
        <f t="shared" si="4"/>
        <v>0</v>
      </c>
      <c r="AI11" s="442">
        <f t="shared" si="5"/>
        <v>2</v>
      </c>
      <c r="AJ11" s="442">
        <f t="shared" si="6"/>
        <v>0</v>
      </c>
      <c r="AK11" s="442" t="str">
        <f>IF(AND(AH11&lt;&gt;"",AH11&gt;0),AVERAGE(J11,O11,T11,Y11,AD11)/('[5]Basic INFO'!$C$101*'[5]Basic INFO'!$C$103),"")</f>
        <v/>
      </c>
      <c r="AL11" s="442">
        <f t="shared" si="7"/>
        <v>14800</v>
      </c>
      <c r="AM11" s="442" t="str">
        <f>IF(AND(AJ11&lt;&gt;"",AJ11&gt;0),AVERAGE(L11,Q11,V11,AA11,AF11)/'[5]Basic INFO'!$C$103,"")</f>
        <v/>
      </c>
      <c r="AN11" s="442">
        <f t="shared" si="8"/>
        <v>14800</v>
      </c>
      <c r="AO11" s="309" t="s">
        <v>525</v>
      </c>
      <c r="AP11" s="444">
        <f>IF(B11="","",IF(SUM(AH11:AJ11)=0,"",IF(AO11="IRR",AN11*('[5]Basic INFO'!$C$101*'[5]Basic INFO'!$C$103),IF(AO11="EUR",AN11,AP11))))</f>
        <v>10290410399.999998</v>
      </c>
      <c r="AQ11" s="428">
        <v>370000000</v>
      </c>
      <c r="AR11" s="428"/>
      <c r="AS11" s="447"/>
      <c r="AT11" s="448"/>
    </row>
    <row r="12" spans="1:46" ht="30" x14ac:dyDescent="0.25">
      <c r="A12" s="457"/>
      <c r="B12" s="458" t="s">
        <v>542</v>
      </c>
      <c r="C12" s="457"/>
      <c r="D12" s="457"/>
      <c r="E12" s="459"/>
      <c r="F12" s="460"/>
      <c r="G12" s="461">
        <f>SUM(G8:G11)</f>
        <v>104016580799.99998</v>
      </c>
      <c r="H12" s="462">
        <f>SUM(H8:H11)</f>
        <v>0</v>
      </c>
      <c r="I12" s="361"/>
      <c r="J12" s="432"/>
      <c r="K12" s="433"/>
      <c r="L12" s="433"/>
      <c r="M12" s="361"/>
      <c r="N12" s="361"/>
      <c r="O12" s="432"/>
      <c r="P12" s="433"/>
      <c r="Q12" s="433"/>
      <c r="R12" s="361"/>
      <c r="S12" s="361"/>
      <c r="T12" s="432"/>
      <c r="U12" s="433"/>
      <c r="V12" s="433"/>
      <c r="W12" s="361"/>
      <c r="X12" s="361"/>
      <c r="Y12" s="432"/>
      <c r="Z12" s="433"/>
      <c r="AA12" s="433"/>
      <c r="AB12" s="361"/>
      <c r="AC12" s="361"/>
      <c r="AD12" s="432"/>
      <c r="AE12" s="433"/>
      <c r="AF12" s="433"/>
      <c r="AG12" s="361"/>
      <c r="AQ12" s="378" t="s">
        <v>297</v>
      </c>
      <c r="AR12" s="378" t="s">
        <v>298</v>
      </c>
    </row>
    <row r="13" spans="1:46" ht="15" x14ac:dyDescent="0.25">
      <c r="A13" s="463"/>
      <c r="B13" s="464" t="s">
        <v>543</v>
      </c>
      <c r="C13" s="463"/>
      <c r="D13" s="463"/>
      <c r="E13"/>
      <c r="F13"/>
      <c r="G13" s="465">
        <v>1.18</v>
      </c>
      <c r="H13" s="465">
        <v>1.18</v>
      </c>
      <c r="AQ13" s="328"/>
      <c r="AR13" s="328"/>
    </row>
    <row r="14" spans="1:46" ht="15" x14ac:dyDescent="0.25">
      <c r="A14" s="463"/>
      <c r="B14" s="464" t="s">
        <v>544</v>
      </c>
      <c r="C14" s="463"/>
      <c r="D14" s="463"/>
      <c r="E14"/>
      <c r="F14"/>
      <c r="G14" s="466">
        <v>0.1</v>
      </c>
      <c r="H14" s="466">
        <v>0.1</v>
      </c>
      <c r="AQ14" s="340"/>
      <c r="AR14" s="340"/>
    </row>
    <row r="15" spans="1:46" ht="15" x14ac:dyDescent="0.25">
      <c r="A15" s="463"/>
      <c r="B15" s="467" t="s">
        <v>545</v>
      </c>
      <c r="C15" s="463"/>
      <c r="D15" s="463"/>
      <c r="E15"/>
      <c r="F15"/>
      <c r="G15" s="468">
        <f>ROUND((G12*G13*(1+G14))/1000000,0)*1000000</f>
        <v>135014000000</v>
      </c>
      <c r="H15" s="469">
        <f>ROUND(H12*H13*(1+H14)/1000,0)*1000</f>
        <v>0</v>
      </c>
      <c r="AQ15" s="340"/>
      <c r="AR15" s="340"/>
    </row>
    <row r="16" spans="1:46" ht="12" x14ac:dyDescent="0.2">
      <c r="G16" s="461">
        <f>ROUND(SUMIF(AP:AP,"&gt;0",G:G)*G13*(1+G14)/1000000,0)*1000000</f>
        <v>135014000000</v>
      </c>
      <c r="H16" s="462">
        <f>ROUND(SUMIF(AP:AP,"&gt;0",H:H)*H13*(1+H14)/1000,0)*1000</f>
        <v>0</v>
      </c>
    </row>
  </sheetData>
  <mergeCells count="5">
    <mergeCell ref="I6:M6"/>
    <mergeCell ref="N6:R6"/>
    <mergeCell ref="S6:W6"/>
    <mergeCell ref="X6:AB6"/>
    <mergeCell ref="AC6:AG6"/>
  </mergeCells>
  <dataValidations disablePrompts="1" count="1">
    <dataValidation type="list" allowBlank="1" showInputMessage="1" showErrorMessage="1" sqref="WBJ983035:WBK983038 JA65531:JB65534 SW65531:SX65534 ACS65531:ACT65534 AMO65531:AMP65534 AWK65531:AWL65534 BGG65531:BGH65534 BQC65531:BQD65534 BZY65531:BZZ65534 CJU65531:CJV65534 CTQ65531:CTR65534 DDM65531:DDN65534 DNI65531:DNJ65534 DXE65531:DXF65534 EHA65531:EHB65534 EQW65531:EQX65534 FAS65531:FAT65534 FKO65531:FKP65534 FUK65531:FUL65534 GEG65531:GEH65534 GOC65531:GOD65534 GXY65531:GXZ65534 HHU65531:HHV65534 HRQ65531:HRR65534 IBM65531:IBN65534 ILI65531:ILJ65534 IVE65531:IVF65534 JFA65531:JFB65534 JOW65531:JOX65534 JYS65531:JYT65534 KIO65531:KIP65534 KSK65531:KSL65534 LCG65531:LCH65534 LMC65531:LMD65534 LVY65531:LVZ65534 MFU65531:MFV65534 MPQ65531:MPR65534 MZM65531:MZN65534 NJI65531:NJJ65534 NTE65531:NTF65534 ODA65531:ODB65534 OMW65531:OMX65534 OWS65531:OWT65534 PGO65531:PGP65534 PQK65531:PQL65534 QAG65531:QAH65534 QKC65531:QKD65534 QTY65531:QTZ65534 RDU65531:RDV65534 RNQ65531:RNR65534 RXM65531:RXN65534 SHI65531:SHJ65534 SRE65531:SRF65534 TBA65531:TBB65534 TKW65531:TKX65534 TUS65531:TUT65534 UEO65531:UEP65534 UOK65531:UOL65534 UYG65531:UYH65534 VIC65531:VID65534 VRY65531:VRZ65534 WBU65531:WBV65534 WLQ65531:WLR65534 WVM65531:WVN65534 JA131067:JB131070 SW131067:SX131070 ACS131067:ACT131070 AMO131067:AMP131070 AWK131067:AWL131070 BGG131067:BGH131070 BQC131067:BQD131070 BZY131067:BZZ131070 CJU131067:CJV131070 CTQ131067:CTR131070 DDM131067:DDN131070 DNI131067:DNJ131070 DXE131067:DXF131070 EHA131067:EHB131070 EQW131067:EQX131070 FAS131067:FAT131070 FKO131067:FKP131070 FUK131067:FUL131070 GEG131067:GEH131070 GOC131067:GOD131070 GXY131067:GXZ131070 HHU131067:HHV131070 HRQ131067:HRR131070 IBM131067:IBN131070 ILI131067:ILJ131070 IVE131067:IVF131070 JFA131067:JFB131070 JOW131067:JOX131070 JYS131067:JYT131070 KIO131067:KIP131070 KSK131067:KSL131070 LCG131067:LCH131070 LMC131067:LMD131070 LVY131067:LVZ131070 MFU131067:MFV131070 MPQ131067:MPR131070 MZM131067:MZN131070 NJI131067:NJJ131070 NTE131067:NTF131070 ODA131067:ODB131070 OMW131067:OMX131070 OWS131067:OWT131070 PGO131067:PGP131070 PQK131067:PQL131070 QAG131067:QAH131070 QKC131067:QKD131070 QTY131067:QTZ131070 RDU131067:RDV131070 RNQ131067:RNR131070 RXM131067:RXN131070 SHI131067:SHJ131070 SRE131067:SRF131070 TBA131067:TBB131070 TKW131067:TKX131070 TUS131067:TUT131070 UEO131067:UEP131070 UOK131067:UOL131070 UYG131067:UYH131070 VIC131067:VID131070 VRY131067:VRZ131070 WBU131067:WBV131070 WLQ131067:WLR131070 WVM131067:WVN131070 JA196603:JB196606 SW196603:SX196606 ACS196603:ACT196606 AMO196603:AMP196606 AWK196603:AWL196606 BGG196603:BGH196606 BQC196603:BQD196606 BZY196603:BZZ196606 CJU196603:CJV196606 CTQ196603:CTR196606 DDM196603:DDN196606 DNI196603:DNJ196606 DXE196603:DXF196606 EHA196603:EHB196606 EQW196603:EQX196606 FAS196603:FAT196606 FKO196603:FKP196606 FUK196603:FUL196606 GEG196603:GEH196606 GOC196603:GOD196606 GXY196603:GXZ196606 HHU196603:HHV196606 HRQ196603:HRR196606 IBM196603:IBN196606 ILI196603:ILJ196606 IVE196603:IVF196606 JFA196603:JFB196606 JOW196603:JOX196606 JYS196603:JYT196606 KIO196603:KIP196606 KSK196603:KSL196606 LCG196603:LCH196606 LMC196603:LMD196606 LVY196603:LVZ196606 MFU196603:MFV196606 MPQ196603:MPR196606 MZM196603:MZN196606 NJI196603:NJJ196606 NTE196603:NTF196606 ODA196603:ODB196606 OMW196603:OMX196606 OWS196603:OWT196606 PGO196603:PGP196606 PQK196603:PQL196606 QAG196603:QAH196606 QKC196603:QKD196606 QTY196603:QTZ196606 RDU196603:RDV196606 RNQ196603:RNR196606 RXM196603:RXN196606 SHI196603:SHJ196606 SRE196603:SRF196606 TBA196603:TBB196606 TKW196603:TKX196606 TUS196603:TUT196606 UEO196603:UEP196606 UOK196603:UOL196606 UYG196603:UYH196606 VIC196603:VID196606 VRY196603:VRZ196606 WBU196603:WBV196606 WLQ196603:WLR196606 WVM196603:WVN196606 JA262139:JB262142 SW262139:SX262142 ACS262139:ACT262142 AMO262139:AMP262142 AWK262139:AWL262142 BGG262139:BGH262142 BQC262139:BQD262142 BZY262139:BZZ262142 CJU262139:CJV262142 CTQ262139:CTR262142 DDM262139:DDN262142 DNI262139:DNJ262142 DXE262139:DXF262142 EHA262139:EHB262142 EQW262139:EQX262142 FAS262139:FAT262142 FKO262139:FKP262142 FUK262139:FUL262142 GEG262139:GEH262142 GOC262139:GOD262142 GXY262139:GXZ262142 HHU262139:HHV262142 HRQ262139:HRR262142 IBM262139:IBN262142 ILI262139:ILJ262142 IVE262139:IVF262142 JFA262139:JFB262142 JOW262139:JOX262142 JYS262139:JYT262142 KIO262139:KIP262142 KSK262139:KSL262142 LCG262139:LCH262142 LMC262139:LMD262142 LVY262139:LVZ262142 MFU262139:MFV262142 MPQ262139:MPR262142 MZM262139:MZN262142 NJI262139:NJJ262142 NTE262139:NTF262142 ODA262139:ODB262142 OMW262139:OMX262142 OWS262139:OWT262142 PGO262139:PGP262142 PQK262139:PQL262142 QAG262139:QAH262142 QKC262139:QKD262142 QTY262139:QTZ262142 RDU262139:RDV262142 RNQ262139:RNR262142 RXM262139:RXN262142 SHI262139:SHJ262142 SRE262139:SRF262142 TBA262139:TBB262142 TKW262139:TKX262142 TUS262139:TUT262142 UEO262139:UEP262142 UOK262139:UOL262142 UYG262139:UYH262142 VIC262139:VID262142 VRY262139:VRZ262142 WBU262139:WBV262142 WLQ262139:WLR262142 WVM262139:WVN262142 JA327675:JB327678 SW327675:SX327678 ACS327675:ACT327678 AMO327675:AMP327678 AWK327675:AWL327678 BGG327675:BGH327678 BQC327675:BQD327678 BZY327675:BZZ327678 CJU327675:CJV327678 CTQ327675:CTR327678 DDM327675:DDN327678 DNI327675:DNJ327678 DXE327675:DXF327678 EHA327675:EHB327678 EQW327675:EQX327678 FAS327675:FAT327678 FKO327675:FKP327678 FUK327675:FUL327678 GEG327675:GEH327678 GOC327675:GOD327678 GXY327675:GXZ327678 HHU327675:HHV327678 HRQ327675:HRR327678 IBM327675:IBN327678 ILI327675:ILJ327678 IVE327675:IVF327678 JFA327675:JFB327678 JOW327675:JOX327678 JYS327675:JYT327678 KIO327675:KIP327678 KSK327675:KSL327678 LCG327675:LCH327678 LMC327675:LMD327678 LVY327675:LVZ327678 MFU327675:MFV327678 MPQ327675:MPR327678 MZM327675:MZN327678 NJI327675:NJJ327678 NTE327675:NTF327678 ODA327675:ODB327678 OMW327675:OMX327678 OWS327675:OWT327678 PGO327675:PGP327678 PQK327675:PQL327678 QAG327675:QAH327678 QKC327675:QKD327678 QTY327675:QTZ327678 RDU327675:RDV327678 RNQ327675:RNR327678 RXM327675:RXN327678 SHI327675:SHJ327678 SRE327675:SRF327678 TBA327675:TBB327678 TKW327675:TKX327678 TUS327675:TUT327678 UEO327675:UEP327678 UOK327675:UOL327678 UYG327675:UYH327678 VIC327675:VID327678 VRY327675:VRZ327678 WBU327675:WBV327678 WLQ327675:WLR327678 WVM327675:WVN327678 JA393211:JB393214 SW393211:SX393214 ACS393211:ACT393214 AMO393211:AMP393214 AWK393211:AWL393214 BGG393211:BGH393214 BQC393211:BQD393214 BZY393211:BZZ393214 CJU393211:CJV393214 CTQ393211:CTR393214 DDM393211:DDN393214 DNI393211:DNJ393214 DXE393211:DXF393214 EHA393211:EHB393214 EQW393211:EQX393214 FAS393211:FAT393214 FKO393211:FKP393214 FUK393211:FUL393214 GEG393211:GEH393214 GOC393211:GOD393214 GXY393211:GXZ393214 HHU393211:HHV393214 HRQ393211:HRR393214 IBM393211:IBN393214 ILI393211:ILJ393214 IVE393211:IVF393214 JFA393211:JFB393214 JOW393211:JOX393214 JYS393211:JYT393214 KIO393211:KIP393214 KSK393211:KSL393214 LCG393211:LCH393214 LMC393211:LMD393214 LVY393211:LVZ393214 MFU393211:MFV393214 MPQ393211:MPR393214 MZM393211:MZN393214 NJI393211:NJJ393214 NTE393211:NTF393214 ODA393211:ODB393214 OMW393211:OMX393214 OWS393211:OWT393214 PGO393211:PGP393214 PQK393211:PQL393214 QAG393211:QAH393214 QKC393211:QKD393214 QTY393211:QTZ393214 RDU393211:RDV393214 RNQ393211:RNR393214 RXM393211:RXN393214 SHI393211:SHJ393214 SRE393211:SRF393214 TBA393211:TBB393214 TKW393211:TKX393214 TUS393211:TUT393214 UEO393211:UEP393214 UOK393211:UOL393214 UYG393211:UYH393214 VIC393211:VID393214 VRY393211:VRZ393214 WBU393211:WBV393214 WLQ393211:WLR393214 WVM393211:WVN393214 JA458747:JB458750 SW458747:SX458750 ACS458747:ACT458750 AMO458747:AMP458750 AWK458747:AWL458750 BGG458747:BGH458750 BQC458747:BQD458750 BZY458747:BZZ458750 CJU458747:CJV458750 CTQ458747:CTR458750 DDM458747:DDN458750 DNI458747:DNJ458750 DXE458747:DXF458750 EHA458747:EHB458750 EQW458747:EQX458750 FAS458747:FAT458750 FKO458747:FKP458750 FUK458747:FUL458750 GEG458747:GEH458750 GOC458747:GOD458750 GXY458747:GXZ458750 HHU458747:HHV458750 HRQ458747:HRR458750 IBM458747:IBN458750 ILI458747:ILJ458750 IVE458747:IVF458750 JFA458747:JFB458750 JOW458747:JOX458750 JYS458747:JYT458750 KIO458747:KIP458750 KSK458747:KSL458750 LCG458747:LCH458750 LMC458747:LMD458750 LVY458747:LVZ458750 MFU458747:MFV458750 MPQ458747:MPR458750 MZM458747:MZN458750 NJI458747:NJJ458750 NTE458747:NTF458750 ODA458747:ODB458750 OMW458747:OMX458750 OWS458747:OWT458750 PGO458747:PGP458750 PQK458747:PQL458750 QAG458747:QAH458750 QKC458747:QKD458750 QTY458747:QTZ458750 RDU458747:RDV458750 RNQ458747:RNR458750 RXM458747:RXN458750 SHI458747:SHJ458750 SRE458747:SRF458750 TBA458747:TBB458750 TKW458747:TKX458750 TUS458747:TUT458750 UEO458747:UEP458750 UOK458747:UOL458750 UYG458747:UYH458750 VIC458747:VID458750 VRY458747:VRZ458750 WBU458747:WBV458750 WLQ458747:WLR458750 WVM458747:WVN458750 JA524283:JB524286 SW524283:SX524286 ACS524283:ACT524286 AMO524283:AMP524286 AWK524283:AWL524286 BGG524283:BGH524286 BQC524283:BQD524286 BZY524283:BZZ524286 CJU524283:CJV524286 CTQ524283:CTR524286 DDM524283:DDN524286 DNI524283:DNJ524286 DXE524283:DXF524286 EHA524283:EHB524286 EQW524283:EQX524286 FAS524283:FAT524286 FKO524283:FKP524286 FUK524283:FUL524286 GEG524283:GEH524286 GOC524283:GOD524286 GXY524283:GXZ524286 HHU524283:HHV524286 HRQ524283:HRR524286 IBM524283:IBN524286 ILI524283:ILJ524286 IVE524283:IVF524286 JFA524283:JFB524286 JOW524283:JOX524286 JYS524283:JYT524286 KIO524283:KIP524286 KSK524283:KSL524286 LCG524283:LCH524286 LMC524283:LMD524286 LVY524283:LVZ524286 MFU524283:MFV524286 MPQ524283:MPR524286 MZM524283:MZN524286 NJI524283:NJJ524286 NTE524283:NTF524286 ODA524283:ODB524286 OMW524283:OMX524286 OWS524283:OWT524286 PGO524283:PGP524286 PQK524283:PQL524286 QAG524283:QAH524286 QKC524283:QKD524286 QTY524283:QTZ524286 RDU524283:RDV524286 RNQ524283:RNR524286 RXM524283:RXN524286 SHI524283:SHJ524286 SRE524283:SRF524286 TBA524283:TBB524286 TKW524283:TKX524286 TUS524283:TUT524286 UEO524283:UEP524286 UOK524283:UOL524286 UYG524283:UYH524286 VIC524283:VID524286 VRY524283:VRZ524286 WBU524283:WBV524286 WLQ524283:WLR524286 WVM524283:WVN524286 JA589819:JB589822 SW589819:SX589822 ACS589819:ACT589822 AMO589819:AMP589822 AWK589819:AWL589822 BGG589819:BGH589822 BQC589819:BQD589822 BZY589819:BZZ589822 CJU589819:CJV589822 CTQ589819:CTR589822 DDM589819:DDN589822 DNI589819:DNJ589822 DXE589819:DXF589822 EHA589819:EHB589822 EQW589819:EQX589822 FAS589819:FAT589822 FKO589819:FKP589822 FUK589819:FUL589822 GEG589819:GEH589822 GOC589819:GOD589822 GXY589819:GXZ589822 HHU589819:HHV589822 HRQ589819:HRR589822 IBM589819:IBN589822 ILI589819:ILJ589822 IVE589819:IVF589822 JFA589819:JFB589822 JOW589819:JOX589822 JYS589819:JYT589822 KIO589819:KIP589822 KSK589819:KSL589822 LCG589819:LCH589822 LMC589819:LMD589822 LVY589819:LVZ589822 MFU589819:MFV589822 MPQ589819:MPR589822 MZM589819:MZN589822 NJI589819:NJJ589822 NTE589819:NTF589822 ODA589819:ODB589822 OMW589819:OMX589822 OWS589819:OWT589822 PGO589819:PGP589822 PQK589819:PQL589822 QAG589819:QAH589822 QKC589819:QKD589822 QTY589819:QTZ589822 RDU589819:RDV589822 RNQ589819:RNR589822 RXM589819:RXN589822 SHI589819:SHJ589822 SRE589819:SRF589822 TBA589819:TBB589822 TKW589819:TKX589822 TUS589819:TUT589822 UEO589819:UEP589822 UOK589819:UOL589822 UYG589819:UYH589822 VIC589819:VID589822 VRY589819:VRZ589822 WBU589819:WBV589822 WLQ589819:WLR589822 WVM589819:WVN589822 JA655355:JB655358 SW655355:SX655358 ACS655355:ACT655358 AMO655355:AMP655358 AWK655355:AWL655358 BGG655355:BGH655358 BQC655355:BQD655358 BZY655355:BZZ655358 CJU655355:CJV655358 CTQ655355:CTR655358 DDM655355:DDN655358 DNI655355:DNJ655358 DXE655355:DXF655358 EHA655355:EHB655358 EQW655355:EQX655358 FAS655355:FAT655358 FKO655355:FKP655358 FUK655355:FUL655358 GEG655355:GEH655358 GOC655355:GOD655358 GXY655355:GXZ655358 HHU655355:HHV655358 HRQ655355:HRR655358 IBM655355:IBN655358 ILI655355:ILJ655358 IVE655355:IVF655358 JFA655355:JFB655358 JOW655355:JOX655358 JYS655355:JYT655358 KIO655355:KIP655358 KSK655355:KSL655358 LCG655355:LCH655358 LMC655355:LMD655358 LVY655355:LVZ655358 MFU655355:MFV655358 MPQ655355:MPR655358 MZM655355:MZN655358 NJI655355:NJJ655358 NTE655355:NTF655358 ODA655355:ODB655358 OMW655355:OMX655358 OWS655355:OWT655358 PGO655355:PGP655358 PQK655355:PQL655358 QAG655355:QAH655358 QKC655355:QKD655358 QTY655355:QTZ655358 RDU655355:RDV655358 RNQ655355:RNR655358 RXM655355:RXN655358 SHI655355:SHJ655358 SRE655355:SRF655358 TBA655355:TBB655358 TKW655355:TKX655358 TUS655355:TUT655358 UEO655355:UEP655358 UOK655355:UOL655358 UYG655355:UYH655358 VIC655355:VID655358 VRY655355:VRZ655358 WBU655355:WBV655358 WLQ655355:WLR655358 WVM655355:WVN655358 JA720891:JB720894 SW720891:SX720894 ACS720891:ACT720894 AMO720891:AMP720894 AWK720891:AWL720894 BGG720891:BGH720894 BQC720891:BQD720894 BZY720891:BZZ720894 CJU720891:CJV720894 CTQ720891:CTR720894 DDM720891:DDN720894 DNI720891:DNJ720894 DXE720891:DXF720894 EHA720891:EHB720894 EQW720891:EQX720894 FAS720891:FAT720894 FKO720891:FKP720894 FUK720891:FUL720894 GEG720891:GEH720894 GOC720891:GOD720894 GXY720891:GXZ720894 HHU720891:HHV720894 HRQ720891:HRR720894 IBM720891:IBN720894 ILI720891:ILJ720894 IVE720891:IVF720894 JFA720891:JFB720894 JOW720891:JOX720894 JYS720891:JYT720894 KIO720891:KIP720894 KSK720891:KSL720894 LCG720891:LCH720894 LMC720891:LMD720894 LVY720891:LVZ720894 MFU720891:MFV720894 MPQ720891:MPR720894 MZM720891:MZN720894 NJI720891:NJJ720894 NTE720891:NTF720894 ODA720891:ODB720894 OMW720891:OMX720894 OWS720891:OWT720894 PGO720891:PGP720894 PQK720891:PQL720894 QAG720891:QAH720894 QKC720891:QKD720894 QTY720891:QTZ720894 RDU720891:RDV720894 RNQ720891:RNR720894 RXM720891:RXN720894 SHI720891:SHJ720894 SRE720891:SRF720894 TBA720891:TBB720894 TKW720891:TKX720894 TUS720891:TUT720894 UEO720891:UEP720894 UOK720891:UOL720894 UYG720891:UYH720894 VIC720891:VID720894 VRY720891:VRZ720894 WBU720891:WBV720894 WLQ720891:WLR720894 WVM720891:WVN720894 JA786427:JB786430 SW786427:SX786430 ACS786427:ACT786430 AMO786427:AMP786430 AWK786427:AWL786430 BGG786427:BGH786430 BQC786427:BQD786430 BZY786427:BZZ786430 CJU786427:CJV786430 CTQ786427:CTR786430 DDM786427:DDN786430 DNI786427:DNJ786430 DXE786427:DXF786430 EHA786427:EHB786430 EQW786427:EQX786430 FAS786427:FAT786430 FKO786427:FKP786430 FUK786427:FUL786430 GEG786427:GEH786430 GOC786427:GOD786430 GXY786427:GXZ786430 HHU786427:HHV786430 HRQ786427:HRR786430 IBM786427:IBN786430 ILI786427:ILJ786430 IVE786427:IVF786430 JFA786427:JFB786430 JOW786427:JOX786430 JYS786427:JYT786430 KIO786427:KIP786430 KSK786427:KSL786430 LCG786427:LCH786430 LMC786427:LMD786430 LVY786427:LVZ786430 MFU786427:MFV786430 MPQ786427:MPR786430 MZM786427:MZN786430 NJI786427:NJJ786430 NTE786427:NTF786430 ODA786427:ODB786430 OMW786427:OMX786430 OWS786427:OWT786430 PGO786427:PGP786430 PQK786427:PQL786430 QAG786427:QAH786430 QKC786427:QKD786430 QTY786427:QTZ786430 RDU786427:RDV786430 RNQ786427:RNR786430 RXM786427:RXN786430 SHI786427:SHJ786430 SRE786427:SRF786430 TBA786427:TBB786430 TKW786427:TKX786430 TUS786427:TUT786430 UEO786427:UEP786430 UOK786427:UOL786430 UYG786427:UYH786430 VIC786427:VID786430 VRY786427:VRZ786430 WBU786427:WBV786430 WLQ786427:WLR786430 WVM786427:WVN786430 JA851963:JB851966 SW851963:SX851966 ACS851963:ACT851966 AMO851963:AMP851966 AWK851963:AWL851966 BGG851963:BGH851966 BQC851963:BQD851966 BZY851963:BZZ851966 CJU851963:CJV851966 CTQ851963:CTR851966 DDM851963:DDN851966 DNI851963:DNJ851966 DXE851963:DXF851966 EHA851963:EHB851966 EQW851963:EQX851966 FAS851963:FAT851966 FKO851963:FKP851966 FUK851963:FUL851966 GEG851963:GEH851966 GOC851963:GOD851966 GXY851963:GXZ851966 HHU851963:HHV851966 HRQ851963:HRR851966 IBM851963:IBN851966 ILI851963:ILJ851966 IVE851963:IVF851966 JFA851963:JFB851966 JOW851963:JOX851966 JYS851963:JYT851966 KIO851963:KIP851966 KSK851963:KSL851966 LCG851963:LCH851966 LMC851963:LMD851966 LVY851963:LVZ851966 MFU851963:MFV851966 MPQ851963:MPR851966 MZM851963:MZN851966 NJI851963:NJJ851966 NTE851963:NTF851966 ODA851963:ODB851966 OMW851963:OMX851966 OWS851963:OWT851966 PGO851963:PGP851966 PQK851963:PQL851966 QAG851963:QAH851966 QKC851963:QKD851966 QTY851963:QTZ851966 RDU851963:RDV851966 RNQ851963:RNR851966 RXM851963:RXN851966 SHI851963:SHJ851966 SRE851963:SRF851966 TBA851963:TBB851966 TKW851963:TKX851966 TUS851963:TUT851966 UEO851963:UEP851966 UOK851963:UOL851966 UYG851963:UYH851966 VIC851963:VID851966 VRY851963:VRZ851966 WBU851963:WBV851966 WLQ851963:WLR851966 WVM851963:WVN851966 JA917499:JB917502 SW917499:SX917502 ACS917499:ACT917502 AMO917499:AMP917502 AWK917499:AWL917502 BGG917499:BGH917502 BQC917499:BQD917502 BZY917499:BZZ917502 CJU917499:CJV917502 CTQ917499:CTR917502 DDM917499:DDN917502 DNI917499:DNJ917502 DXE917499:DXF917502 EHA917499:EHB917502 EQW917499:EQX917502 FAS917499:FAT917502 FKO917499:FKP917502 FUK917499:FUL917502 GEG917499:GEH917502 GOC917499:GOD917502 GXY917499:GXZ917502 HHU917499:HHV917502 HRQ917499:HRR917502 IBM917499:IBN917502 ILI917499:ILJ917502 IVE917499:IVF917502 JFA917499:JFB917502 JOW917499:JOX917502 JYS917499:JYT917502 KIO917499:KIP917502 KSK917499:KSL917502 LCG917499:LCH917502 LMC917499:LMD917502 LVY917499:LVZ917502 MFU917499:MFV917502 MPQ917499:MPR917502 MZM917499:MZN917502 NJI917499:NJJ917502 NTE917499:NTF917502 ODA917499:ODB917502 OMW917499:OMX917502 OWS917499:OWT917502 PGO917499:PGP917502 PQK917499:PQL917502 QAG917499:QAH917502 QKC917499:QKD917502 QTY917499:QTZ917502 RDU917499:RDV917502 RNQ917499:RNR917502 RXM917499:RXN917502 SHI917499:SHJ917502 SRE917499:SRF917502 TBA917499:TBB917502 TKW917499:TKX917502 TUS917499:TUT917502 UEO917499:UEP917502 UOK917499:UOL917502 UYG917499:UYH917502 VIC917499:VID917502 VRY917499:VRZ917502 WBU917499:WBV917502 WLQ917499:WLR917502 WVM917499:WVN917502 JA983035:JB983038 SW983035:SX983038 ACS983035:ACT983038 AMO983035:AMP983038 AWK983035:AWL983038 BGG983035:BGH983038 BQC983035:BQD983038 BZY983035:BZZ983038 CJU983035:CJV983038 CTQ983035:CTR983038 DDM983035:DDN983038 DNI983035:DNJ983038 DXE983035:DXF983038 EHA983035:EHB983038 EQW983035:EQX983038 FAS983035:FAT983038 FKO983035:FKP983038 FUK983035:FUL983038 GEG983035:GEH983038 GOC983035:GOD983038 GXY983035:GXZ983038 HHU983035:HHV983038 HRQ983035:HRR983038 IBM983035:IBN983038 ILI983035:ILJ983038 IVE983035:IVF983038 JFA983035:JFB983038 JOW983035:JOX983038 JYS983035:JYT983038 KIO983035:KIP983038 KSK983035:KSL983038 LCG983035:LCH983038 LMC983035:LMD983038 LVY983035:LVZ983038 MFU983035:MFV983038 MPQ983035:MPR983038 MZM983035:MZN983038 NJI983035:NJJ983038 NTE983035:NTF983038 ODA983035:ODB983038 OMW983035:OMX983038 OWS983035:OWT983038 PGO983035:PGP983038 PQK983035:PQL983038 QAG983035:QAH983038 QKC983035:QKD983038 QTY983035:QTZ983038 RDU983035:RDV983038 RNQ983035:RNR983038 RXM983035:RXN983038 SHI983035:SHJ983038 SRE983035:SRF983038 TBA983035:TBB983038 TKW983035:TKX983038 TUS983035:TUT983038 UEO983035:UEP983038 UOK983035:UOL983038 UYG983035:UYH983038 VIC983035:VID983038 VRY983035:VRZ983038 WBU983035:WBV983038 WLQ983035:WLR983038 WVM983035:WVN983038 WLF983035:WLG983038 IE65531:IF65534 SA65531:SB65534 ABW65531:ABX65534 ALS65531:ALT65534 AVO65531:AVP65534 BFK65531:BFL65534 BPG65531:BPH65534 BZC65531:BZD65534 CIY65531:CIZ65534 CSU65531:CSV65534 DCQ65531:DCR65534 DMM65531:DMN65534 DWI65531:DWJ65534 EGE65531:EGF65534 EQA65531:EQB65534 EZW65531:EZX65534 FJS65531:FJT65534 FTO65531:FTP65534 GDK65531:GDL65534 GNG65531:GNH65534 GXC65531:GXD65534 HGY65531:HGZ65534 HQU65531:HQV65534 IAQ65531:IAR65534 IKM65531:IKN65534 IUI65531:IUJ65534 JEE65531:JEF65534 JOA65531:JOB65534 JXW65531:JXX65534 KHS65531:KHT65534 KRO65531:KRP65534 LBK65531:LBL65534 LLG65531:LLH65534 LVC65531:LVD65534 MEY65531:MEZ65534 MOU65531:MOV65534 MYQ65531:MYR65534 NIM65531:NIN65534 NSI65531:NSJ65534 OCE65531:OCF65534 OMA65531:OMB65534 OVW65531:OVX65534 PFS65531:PFT65534 PPO65531:PPP65534 PZK65531:PZL65534 QJG65531:QJH65534 QTC65531:QTD65534 RCY65531:RCZ65534 RMU65531:RMV65534 RWQ65531:RWR65534 SGM65531:SGN65534 SQI65531:SQJ65534 TAE65531:TAF65534 TKA65531:TKB65534 TTW65531:TTX65534 UDS65531:UDT65534 UNO65531:UNP65534 UXK65531:UXL65534 VHG65531:VHH65534 VRC65531:VRD65534 WAY65531:WAZ65534 WKU65531:WKV65534 WUQ65531:WUR65534 IE131067:IF131070 SA131067:SB131070 ABW131067:ABX131070 ALS131067:ALT131070 AVO131067:AVP131070 BFK131067:BFL131070 BPG131067:BPH131070 BZC131067:BZD131070 CIY131067:CIZ131070 CSU131067:CSV131070 DCQ131067:DCR131070 DMM131067:DMN131070 DWI131067:DWJ131070 EGE131067:EGF131070 EQA131067:EQB131070 EZW131067:EZX131070 FJS131067:FJT131070 FTO131067:FTP131070 GDK131067:GDL131070 GNG131067:GNH131070 GXC131067:GXD131070 HGY131067:HGZ131070 HQU131067:HQV131070 IAQ131067:IAR131070 IKM131067:IKN131070 IUI131067:IUJ131070 JEE131067:JEF131070 JOA131067:JOB131070 JXW131067:JXX131070 KHS131067:KHT131070 KRO131067:KRP131070 LBK131067:LBL131070 LLG131067:LLH131070 LVC131067:LVD131070 MEY131067:MEZ131070 MOU131067:MOV131070 MYQ131067:MYR131070 NIM131067:NIN131070 NSI131067:NSJ131070 OCE131067:OCF131070 OMA131067:OMB131070 OVW131067:OVX131070 PFS131067:PFT131070 PPO131067:PPP131070 PZK131067:PZL131070 QJG131067:QJH131070 QTC131067:QTD131070 RCY131067:RCZ131070 RMU131067:RMV131070 RWQ131067:RWR131070 SGM131067:SGN131070 SQI131067:SQJ131070 TAE131067:TAF131070 TKA131067:TKB131070 TTW131067:TTX131070 UDS131067:UDT131070 UNO131067:UNP131070 UXK131067:UXL131070 VHG131067:VHH131070 VRC131067:VRD131070 WAY131067:WAZ131070 WKU131067:WKV131070 WUQ131067:WUR131070 IE196603:IF196606 SA196603:SB196606 ABW196603:ABX196606 ALS196603:ALT196606 AVO196603:AVP196606 BFK196603:BFL196606 BPG196603:BPH196606 BZC196603:BZD196606 CIY196603:CIZ196606 CSU196603:CSV196606 DCQ196603:DCR196606 DMM196603:DMN196606 DWI196603:DWJ196606 EGE196603:EGF196606 EQA196603:EQB196606 EZW196603:EZX196606 FJS196603:FJT196606 FTO196603:FTP196606 GDK196603:GDL196606 GNG196603:GNH196606 GXC196603:GXD196606 HGY196603:HGZ196606 HQU196603:HQV196606 IAQ196603:IAR196606 IKM196603:IKN196606 IUI196603:IUJ196606 JEE196603:JEF196606 JOA196603:JOB196606 JXW196603:JXX196606 KHS196603:KHT196606 KRO196603:KRP196606 LBK196603:LBL196606 LLG196603:LLH196606 LVC196603:LVD196606 MEY196603:MEZ196606 MOU196603:MOV196606 MYQ196603:MYR196606 NIM196603:NIN196606 NSI196603:NSJ196606 OCE196603:OCF196606 OMA196603:OMB196606 OVW196603:OVX196606 PFS196603:PFT196606 PPO196603:PPP196606 PZK196603:PZL196606 QJG196603:QJH196606 QTC196603:QTD196606 RCY196603:RCZ196606 RMU196603:RMV196606 RWQ196603:RWR196606 SGM196603:SGN196606 SQI196603:SQJ196606 TAE196603:TAF196606 TKA196603:TKB196606 TTW196603:TTX196606 UDS196603:UDT196606 UNO196603:UNP196606 UXK196603:UXL196606 VHG196603:VHH196606 VRC196603:VRD196606 WAY196603:WAZ196606 WKU196603:WKV196606 WUQ196603:WUR196606 IE262139:IF262142 SA262139:SB262142 ABW262139:ABX262142 ALS262139:ALT262142 AVO262139:AVP262142 BFK262139:BFL262142 BPG262139:BPH262142 BZC262139:BZD262142 CIY262139:CIZ262142 CSU262139:CSV262142 DCQ262139:DCR262142 DMM262139:DMN262142 DWI262139:DWJ262142 EGE262139:EGF262142 EQA262139:EQB262142 EZW262139:EZX262142 FJS262139:FJT262142 FTO262139:FTP262142 GDK262139:GDL262142 GNG262139:GNH262142 GXC262139:GXD262142 HGY262139:HGZ262142 HQU262139:HQV262142 IAQ262139:IAR262142 IKM262139:IKN262142 IUI262139:IUJ262142 JEE262139:JEF262142 JOA262139:JOB262142 JXW262139:JXX262142 KHS262139:KHT262142 KRO262139:KRP262142 LBK262139:LBL262142 LLG262139:LLH262142 LVC262139:LVD262142 MEY262139:MEZ262142 MOU262139:MOV262142 MYQ262139:MYR262142 NIM262139:NIN262142 NSI262139:NSJ262142 OCE262139:OCF262142 OMA262139:OMB262142 OVW262139:OVX262142 PFS262139:PFT262142 PPO262139:PPP262142 PZK262139:PZL262142 QJG262139:QJH262142 QTC262139:QTD262142 RCY262139:RCZ262142 RMU262139:RMV262142 RWQ262139:RWR262142 SGM262139:SGN262142 SQI262139:SQJ262142 TAE262139:TAF262142 TKA262139:TKB262142 TTW262139:TTX262142 UDS262139:UDT262142 UNO262139:UNP262142 UXK262139:UXL262142 VHG262139:VHH262142 VRC262139:VRD262142 WAY262139:WAZ262142 WKU262139:WKV262142 WUQ262139:WUR262142 IE327675:IF327678 SA327675:SB327678 ABW327675:ABX327678 ALS327675:ALT327678 AVO327675:AVP327678 BFK327675:BFL327678 BPG327675:BPH327678 BZC327675:BZD327678 CIY327675:CIZ327678 CSU327675:CSV327678 DCQ327675:DCR327678 DMM327675:DMN327678 DWI327675:DWJ327678 EGE327675:EGF327678 EQA327675:EQB327678 EZW327675:EZX327678 FJS327675:FJT327678 FTO327675:FTP327678 GDK327675:GDL327678 GNG327675:GNH327678 GXC327675:GXD327678 HGY327675:HGZ327678 HQU327675:HQV327678 IAQ327675:IAR327678 IKM327675:IKN327678 IUI327675:IUJ327678 JEE327675:JEF327678 JOA327675:JOB327678 JXW327675:JXX327678 KHS327675:KHT327678 KRO327675:KRP327678 LBK327675:LBL327678 LLG327675:LLH327678 LVC327675:LVD327678 MEY327675:MEZ327678 MOU327675:MOV327678 MYQ327675:MYR327678 NIM327675:NIN327678 NSI327675:NSJ327678 OCE327675:OCF327678 OMA327675:OMB327678 OVW327675:OVX327678 PFS327675:PFT327678 PPO327675:PPP327678 PZK327675:PZL327678 QJG327675:QJH327678 QTC327675:QTD327678 RCY327675:RCZ327678 RMU327675:RMV327678 RWQ327675:RWR327678 SGM327675:SGN327678 SQI327675:SQJ327678 TAE327675:TAF327678 TKA327675:TKB327678 TTW327675:TTX327678 UDS327675:UDT327678 UNO327675:UNP327678 UXK327675:UXL327678 VHG327675:VHH327678 VRC327675:VRD327678 WAY327675:WAZ327678 WKU327675:WKV327678 WUQ327675:WUR327678 IE393211:IF393214 SA393211:SB393214 ABW393211:ABX393214 ALS393211:ALT393214 AVO393211:AVP393214 BFK393211:BFL393214 BPG393211:BPH393214 BZC393211:BZD393214 CIY393211:CIZ393214 CSU393211:CSV393214 DCQ393211:DCR393214 DMM393211:DMN393214 DWI393211:DWJ393214 EGE393211:EGF393214 EQA393211:EQB393214 EZW393211:EZX393214 FJS393211:FJT393214 FTO393211:FTP393214 GDK393211:GDL393214 GNG393211:GNH393214 GXC393211:GXD393214 HGY393211:HGZ393214 HQU393211:HQV393214 IAQ393211:IAR393214 IKM393211:IKN393214 IUI393211:IUJ393214 JEE393211:JEF393214 JOA393211:JOB393214 JXW393211:JXX393214 KHS393211:KHT393214 KRO393211:KRP393214 LBK393211:LBL393214 LLG393211:LLH393214 LVC393211:LVD393214 MEY393211:MEZ393214 MOU393211:MOV393214 MYQ393211:MYR393214 NIM393211:NIN393214 NSI393211:NSJ393214 OCE393211:OCF393214 OMA393211:OMB393214 OVW393211:OVX393214 PFS393211:PFT393214 PPO393211:PPP393214 PZK393211:PZL393214 QJG393211:QJH393214 QTC393211:QTD393214 RCY393211:RCZ393214 RMU393211:RMV393214 RWQ393211:RWR393214 SGM393211:SGN393214 SQI393211:SQJ393214 TAE393211:TAF393214 TKA393211:TKB393214 TTW393211:TTX393214 UDS393211:UDT393214 UNO393211:UNP393214 UXK393211:UXL393214 VHG393211:VHH393214 VRC393211:VRD393214 WAY393211:WAZ393214 WKU393211:WKV393214 WUQ393211:WUR393214 IE458747:IF458750 SA458747:SB458750 ABW458747:ABX458750 ALS458747:ALT458750 AVO458747:AVP458750 BFK458747:BFL458750 BPG458747:BPH458750 BZC458747:BZD458750 CIY458747:CIZ458750 CSU458747:CSV458750 DCQ458747:DCR458750 DMM458747:DMN458750 DWI458747:DWJ458750 EGE458747:EGF458750 EQA458747:EQB458750 EZW458747:EZX458750 FJS458747:FJT458750 FTO458747:FTP458750 GDK458747:GDL458750 GNG458747:GNH458750 GXC458747:GXD458750 HGY458747:HGZ458750 HQU458747:HQV458750 IAQ458747:IAR458750 IKM458747:IKN458750 IUI458747:IUJ458750 JEE458747:JEF458750 JOA458747:JOB458750 JXW458747:JXX458750 KHS458747:KHT458750 KRO458747:KRP458750 LBK458747:LBL458750 LLG458747:LLH458750 LVC458747:LVD458750 MEY458747:MEZ458750 MOU458747:MOV458750 MYQ458747:MYR458750 NIM458747:NIN458750 NSI458747:NSJ458750 OCE458747:OCF458750 OMA458747:OMB458750 OVW458747:OVX458750 PFS458747:PFT458750 PPO458747:PPP458750 PZK458747:PZL458750 QJG458747:QJH458750 QTC458747:QTD458750 RCY458747:RCZ458750 RMU458747:RMV458750 RWQ458747:RWR458750 SGM458747:SGN458750 SQI458747:SQJ458750 TAE458747:TAF458750 TKA458747:TKB458750 TTW458747:TTX458750 UDS458747:UDT458750 UNO458747:UNP458750 UXK458747:UXL458750 VHG458747:VHH458750 VRC458747:VRD458750 WAY458747:WAZ458750 WKU458747:WKV458750 WUQ458747:WUR458750 IE524283:IF524286 SA524283:SB524286 ABW524283:ABX524286 ALS524283:ALT524286 AVO524283:AVP524286 BFK524283:BFL524286 BPG524283:BPH524286 BZC524283:BZD524286 CIY524283:CIZ524286 CSU524283:CSV524286 DCQ524283:DCR524286 DMM524283:DMN524286 DWI524283:DWJ524286 EGE524283:EGF524286 EQA524283:EQB524286 EZW524283:EZX524286 FJS524283:FJT524286 FTO524283:FTP524286 GDK524283:GDL524286 GNG524283:GNH524286 GXC524283:GXD524286 HGY524283:HGZ524286 HQU524283:HQV524286 IAQ524283:IAR524286 IKM524283:IKN524286 IUI524283:IUJ524286 JEE524283:JEF524286 JOA524283:JOB524286 JXW524283:JXX524286 KHS524283:KHT524286 KRO524283:KRP524286 LBK524283:LBL524286 LLG524283:LLH524286 LVC524283:LVD524286 MEY524283:MEZ524286 MOU524283:MOV524286 MYQ524283:MYR524286 NIM524283:NIN524286 NSI524283:NSJ524286 OCE524283:OCF524286 OMA524283:OMB524286 OVW524283:OVX524286 PFS524283:PFT524286 PPO524283:PPP524286 PZK524283:PZL524286 QJG524283:QJH524286 QTC524283:QTD524286 RCY524283:RCZ524286 RMU524283:RMV524286 RWQ524283:RWR524286 SGM524283:SGN524286 SQI524283:SQJ524286 TAE524283:TAF524286 TKA524283:TKB524286 TTW524283:TTX524286 UDS524283:UDT524286 UNO524283:UNP524286 UXK524283:UXL524286 VHG524283:VHH524286 VRC524283:VRD524286 WAY524283:WAZ524286 WKU524283:WKV524286 WUQ524283:WUR524286 IE589819:IF589822 SA589819:SB589822 ABW589819:ABX589822 ALS589819:ALT589822 AVO589819:AVP589822 BFK589819:BFL589822 BPG589819:BPH589822 BZC589819:BZD589822 CIY589819:CIZ589822 CSU589819:CSV589822 DCQ589819:DCR589822 DMM589819:DMN589822 DWI589819:DWJ589822 EGE589819:EGF589822 EQA589819:EQB589822 EZW589819:EZX589822 FJS589819:FJT589822 FTO589819:FTP589822 GDK589819:GDL589822 GNG589819:GNH589822 GXC589819:GXD589822 HGY589819:HGZ589822 HQU589819:HQV589822 IAQ589819:IAR589822 IKM589819:IKN589822 IUI589819:IUJ589822 JEE589819:JEF589822 JOA589819:JOB589822 JXW589819:JXX589822 KHS589819:KHT589822 KRO589819:KRP589822 LBK589819:LBL589822 LLG589819:LLH589822 LVC589819:LVD589822 MEY589819:MEZ589822 MOU589819:MOV589822 MYQ589819:MYR589822 NIM589819:NIN589822 NSI589819:NSJ589822 OCE589819:OCF589822 OMA589819:OMB589822 OVW589819:OVX589822 PFS589819:PFT589822 PPO589819:PPP589822 PZK589819:PZL589822 QJG589819:QJH589822 QTC589819:QTD589822 RCY589819:RCZ589822 RMU589819:RMV589822 RWQ589819:RWR589822 SGM589819:SGN589822 SQI589819:SQJ589822 TAE589819:TAF589822 TKA589819:TKB589822 TTW589819:TTX589822 UDS589819:UDT589822 UNO589819:UNP589822 UXK589819:UXL589822 VHG589819:VHH589822 VRC589819:VRD589822 WAY589819:WAZ589822 WKU589819:WKV589822 WUQ589819:WUR589822 IE655355:IF655358 SA655355:SB655358 ABW655355:ABX655358 ALS655355:ALT655358 AVO655355:AVP655358 BFK655355:BFL655358 BPG655355:BPH655358 BZC655355:BZD655358 CIY655355:CIZ655358 CSU655355:CSV655358 DCQ655355:DCR655358 DMM655355:DMN655358 DWI655355:DWJ655358 EGE655355:EGF655358 EQA655355:EQB655358 EZW655355:EZX655358 FJS655355:FJT655358 FTO655355:FTP655358 GDK655355:GDL655358 GNG655355:GNH655358 GXC655355:GXD655358 HGY655355:HGZ655358 HQU655355:HQV655358 IAQ655355:IAR655358 IKM655355:IKN655358 IUI655355:IUJ655358 JEE655355:JEF655358 JOA655355:JOB655358 JXW655355:JXX655358 KHS655355:KHT655358 KRO655355:KRP655358 LBK655355:LBL655358 LLG655355:LLH655358 LVC655355:LVD655358 MEY655355:MEZ655358 MOU655355:MOV655358 MYQ655355:MYR655358 NIM655355:NIN655358 NSI655355:NSJ655358 OCE655355:OCF655358 OMA655355:OMB655358 OVW655355:OVX655358 PFS655355:PFT655358 PPO655355:PPP655358 PZK655355:PZL655358 QJG655355:QJH655358 QTC655355:QTD655358 RCY655355:RCZ655358 RMU655355:RMV655358 RWQ655355:RWR655358 SGM655355:SGN655358 SQI655355:SQJ655358 TAE655355:TAF655358 TKA655355:TKB655358 TTW655355:TTX655358 UDS655355:UDT655358 UNO655355:UNP655358 UXK655355:UXL655358 VHG655355:VHH655358 VRC655355:VRD655358 WAY655355:WAZ655358 WKU655355:WKV655358 WUQ655355:WUR655358 IE720891:IF720894 SA720891:SB720894 ABW720891:ABX720894 ALS720891:ALT720894 AVO720891:AVP720894 BFK720891:BFL720894 BPG720891:BPH720894 BZC720891:BZD720894 CIY720891:CIZ720894 CSU720891:CSV720894 DCQ720891:DCR720894 DMM720891:DMN720894 DWI720891:DWJ720894 EGE720891:EGF720894 EQA720891:EQB720894 EZW720891:EZX720894 FJS720891:FJT720894 FTO720891:FTP720894 GDK720891:GDL720894 GNG720891:GNH720894 GXC720891:GXD720894 HGY720891:HGZ720894 HQU720891:HQV720894 IAQ720891:IAR720894 IKM720891:IKN720894 IUI720891:IUJ720894 JEE720891:JEF720894 JOA720891:JOB720894 JXW720891:JXX720894 KHS720891:KHT720894 KRO720891:KRP720894 LBK720891:LBL720894 LLG720891:LLH720894 LVC720891:LVD720894 MEY720891:MEZ720894 MOU720891:MOV720894 MYQ720891:MYR720894 NIM720891:NIN720894 NSI720891:NSJ720894 OCE720891:OCF720894 OMA720891:OMB720894 OVW720891:OVX720894 PFS720891:PFT720894 PPO720891:PPP720894 PZK720891:PZL720894 QJG720891:QJH720894 QTC720891:QTD720894 RCY720891:RCZ720894 RMU720891:RMV720894 RWQ720891:RWR720894 SGM720891:SGN720894 SQI720891:SQJ720894 TAE720891:TAF720894 TKA720891:TKB720894 TTW720891:TTX720894 UDS720891:UDT720894 UNO720891:UNP720894 UXK720891:UXL720894 VHG720891:VHH720894 VRC720891:VRD720894 WAY720891:WAZ720894 WKU720891:WKV720894 WUQ720891:WUR720894 IE786427:IF786430 SA786427:SB786430 ABW786427:ABX786430 ALS786427:ALT786430 AVO786427:AVP786430 BFK786427:BFL786430 BPG786427:BPH786430 BZC786427:BZD786430 CIY786427:CIZ786430 CSU786427:CSV786430 DCQ786427:DCR786430 DMM786427:DMN786430 DWI786427:DWJ786430 EGE786427:EGF786430 EQA786427:EQB786430 EZW786427:EZX786430 FJS786427:FJT786430 FTO786427:FTP786430 GDK786427:GDL786430 GNG786427:GNH786430 GXC786427:GXD786430 HGY786427:HGZ786430 HQU786427:HQV786430 IAQ786427:IAR786430 IKM786427:IKN786430 IUI786427:IUJ786430 JEE786427:JEF786430 JOA786427:JOB786430 JXW786427:JXX786430 KHS786427:KHT786430 KRO786427:KRP786430 LBK786427:LBL786430 LLG786427:LLH786430 LVC786427:LVD786430 MEY786427:MEZ786430 MOU786427:MOV786430 MYQ786427:MYR786430 NIM786427:NIN786430 NSI786427:NSJ786430 OCE786427:OCF786430 OMA786427:OMB786430 OVW786427:OVX786430 PFS786427:PFT786430 PPO786427:PPP786430 PZK786427:PZL786430 QJG786427:QJH786430 QTC786427:QTD786430 RCY786427:RCZ786430 RMU786427:RMV786430 RWQ786427:RWR786430 SGM786427:SGN786430 SQI786427:SQJ786430 TAE786427:TAF786430 TKA786427:TKB786430 TTW786427:TTX786430 UDS786427:UDT786430 UNO786427:UNP786430 UXK786427:UXL786430 VHG786427:VHH786430 VRC786427:VRD786430 WAY786427:WAZ786430 WKU786427:WKV786430 WUQ786427:WUR786430 IE851963:IF851966 SA851963:SB851966 ABW851963:ABX851966 ALS851963:ALT851966 AVO851963:AVP851966 BFK851963:BFL851966 BPG851963:BPH851966 BZC851963:BZD851966 CIY851963:CIZ851966 CSU851963:CSV851966 DCQ851963:DCR851966 DMM851963:DMN851966 DWI851963:DWJ851966 EGE851963:EGF851966 EQA851963:EQB851966 EZW851963:EZX851966 FJS851963:FJT851966 FTO851963:FTP851966 GDK851963:GDL851966 GNG851963:GNH851966 GXC851963:GXD851966 HGY851963:HGZ851966 HQU851963:HQV851966 IAQ851963:IAR851966 IKM851963:IKN851966 IUI851963:IUJ851966 JEE851963:JEF851966 JOA851963:JOB851966 JXW851963:JXX851966 KHS851963:KHT851966 KRO851963:KRP851966 LBK851963:LBL851966 LLG851963:LLH851966 LVC851963:LVD851966 MEY851963:MEZ851966 MOU851963:MOV851966 MYQ851963:MYR851966 NIM851963:NIN851966 NSI851963:NSJ851966 OCE851963:OCF851966 OMA851963:OMB851966 OVW851963:OVX851966 PFS851963:PFT851966 PPO851963:PPP851966 PZK851963:PZL851966 QJG851963:QJH851966 QTC851963:QTD851966 RCY851963:RCZ851966 RMU851963:RMV851966 RWQ851963:RWR851966 SGM851963:SGN851966 SQI851963:SQJ851966 TAE851963:TAF851966 TKA851963:TKB851966 TTW851963:TTX851966 UDS851963:UDT851966 UNO851963:UNP851966 UXK851963:UXL851966 VHG851963:VHH851966 VRC851963:VRD851966 WAY851963:WAZ851966 WKU851963:WKV851966 WUQ851963:WUR851966 IE917499:IF917502 SA917499:SB917502 ABW917499:ABX917502 ALS917499:ALT917502 AVO917499:AVP917502 BFK917499:BFL917502 BPG917499:BPH917502 BZC917499:BZD917502 CIY917499:CIZ917502 CSU917499:CSV917502 DCQ917499:DCR917502 DMM917499:DMN917502 DWI917499:DWJ917502 EGE917499:EGF917502 EQA917499:EQB917502 EZW917499:EZX917502 FJS917499:FJT917502 FTO917499:FTP917502 GDK917499:GDL917502 GNG917499:GNH917502 GXC917499:GXD917502 HGY917499:HGZ917502 HQU917499:HQV917502 IAQ917499:IAR917502 IKM917499:IKN917502 IUI917499:IUJ917502 JEE917499:JEF917502 JOA917499:JOB917502 JXW917499:JXX917502 KHS917499:KHT917502 KRO917499:KRP917502 LBK917499:LBL917502 LLG917499:LLH917502 LVC917499:LVD917502 MEY917499:MEZ917502 MOU917499:MOV917502 MYQ917499:MYR917502 NIM917499:NIN917502 NSI917499:NSJ917502 OCE917499:OCF917502 OMA917499:OMB917502 OVW917499:OVX917502 PFS917499:PFT917502 PPO917499:PPP917502 PZK917499:PZL917502 QJG917499:QJH917502 QTC917499:QTD917502 RCY917499:RCZ917502 RMU917499:RMV917502 RWQ917499:RWR917502 SGM917499:SGN917502 SQI917499:SQJ917502 TAE917499:TAF917502 TKA917499:TKB917502 TTW917499:TTX917502 UDS917499:UDT917502 UNO917499:UNP917502 UXK917499:UXL917502 VHG917499:VHH917502 VRC917499:VRD917502 WAY917499:WAZ917502 WKU917499:WKV917502 WUQ917499:WUR917502 IE983035:IF983038 SA983035:SB983038 ABW983035:ABX983038 ALS983035:ALT983038 AVO983035:AVP983038 BFK983035:BFL983038 BPG983035:BPH983038 BZC983035:BZD983038 CIY983035:CIZ983038 CSU983035:CSV983038 DCQ983035:DCR983038 DMM983035:DMN983038 DWI983035:DWJ983038 EGE983035:EGF983038 EQA983035:EQB983038 EZW983035:EZX983038 FJS983035:FJT983038 FTO983035:FTP983038 GDK983035:GDL983038 GNG983035:GNH983038 GXC983035:GXD983038 HGY983035:HGZ983038 HQU983035:HQV983038 IAQ983035:IAR983038 IKM983035:IKN983038 IUI983035:IUJ983038 JEE983035:JEF983038 JOA983035:JOB983038 JXW983035:JXX983038 KHS983035:KHT983038 KRO983035:KRP983038 LBK983035:LBL983038 LLG983035:LLH983038 LVC983035:LVD983038 MEY983035:MEZ983038 MOU983035:MOV983038 MYQ983035:MYR983038 NIM983035:NIN983038 NSI983035:NSJ983038 OCE983035:OCF983038 OMA983035:OMB983038 OVW983035:OVX983038 PFS983035:PFT983038 PPO983035:PPP983038 PZK983035:PZL983038 QJG983035:QJH983038 QTC983035:QTD983038 RCY983035:RCZ983038 RMU983035:RMV983038 RWQ983035:RWR983038 SGM983035:SGN983038 SQI983035:SQJ983038 TAE983035:TAF983038 TKA983035:TKB983038 TTW983035:TTX983038 UDS983035:UDT983038 UNO983035:UNP983038 UXK983035:UXL983038 VHG983035:VHH983038 VRC983035:VRD983038 WAY983035:WAZ983038 WKU983035:WKV983038 WUQ983035:WUR983038 WVB983035:WVC983038 VRN983035:VRO983038 IP65531:IQ65534 SL65531:SM65534 ACH65531:ACI65534 AMD65531:AME65534 AVZ65531:AWA65534 BFV65531:BFW65534 BPR65531:BPS65534 BZN65531:BZO65534 CJJ65531:CJK65534 CTF65531:CTG65534 DDB65531:DDC65534 DMX65531:DMY65534 DWT65531:DWU65534 EGP65531:EGQ65534 EQL65531:EQM65534 FAH65531:FAI65534 FKD65531:FKE65534 FTZ65531:FUA65534 GDV65531:GDW65534 GNR65531:GNS65534 GXN65531:GXO65534 HHJ65531:HHK65534 HRF65531:HRG65534 IBB65531:IBC65534 IKX65531:IKY65534 IUT65531:IUU65534 JEP65531:JEQ65534 JOL65531:JOM65534 JYH65531:JYI65534 KID65531:KIE65534 KRZ65531:KSA65534 LBV65531:LBW65534 LLR65531:LLS65534 LVN65531:LVO65534 MFJ65531:MFK65534 MPF65531:MPG65534 MZB65531:MZC65534 NIX65531:NIY65534 NST65531:NSU65534 OCP65531:OCQ65534 OML65531:OMM65534 OWH65531:OWI65534 PGD65531:PGE65534 PPZ65531:PQA65534 PZV65531:PZW65534 QJR65531:QJS65534 QTN65531:QTO65534 RDJ65531:RDK65534 RNF65531:RNG65534 RXB65531:RXC65534 SGX65531:SGY65534 SQT65531:SQU65534 TAP65531:TAQ65534 TKL65531:TKM65534 TUH65531:TUI65534 UED65531:UEE65534 UNZ65531:UOA65534 UXV65531:UXW65534 VHR65531:VHS65534 VRN65531:VRO65534 WBJ65531:WBK65534 WLF65531:WLG65534 WVB65531:WVC65534 IP131067:IQ131070 SL131067:SM131070 ACH131067:ACI131070 AMD131067:AME131070 AVZ131067:AWA131070 BFV131067:BFW131070 BPR131067:BPS131070 BZN131067:BZO131070 CJJ131067:CJK131070 CTF131067:CTG131070 DDB131067:DDC131070 DMX131067:DMY131070 DWT131067:DWU131070 EGP131067:EGQ131070 EQL131067:EQM131070 FAH131067:FAI131070 FKD131067:FKE131070 FTZ131067:FUA131070 GDV131067:GDW131070 GNR131067:GNS131070 GXN131067:GXO131070 HHJ131067:HHK131070 HRF131067:HRG131070 IBB131067:IBC131070 IKX131067:IKY131070 IUT131067:IUU131070 JEP131067:JEQ131070 JOL131067:JOM131070 JYH131067:JYI131070 KID131067:KIE131070 KRZ131067:KSA131070 LBV131067:LBW131070 LLR131067:LLS131070 LVN131067:LVO131070 MFJ131067:MFK131070 MPF131067:MPG131070 MZB131067:MZC131070 NIX131067:NIY131070 NST131067:NSU131070 OCP131067:OCQ131070 OML131067:OMM131070 OWH131067:OWI131070 PGD131067:PGE131070 PPZ131067:PQA131070 PZV131067:PZW131070 QJR131067:QJS131070 QTN131067:QTO131070 RDJ131067:RDK131070 RNF131067:RNG131070 RXB131067:RXC131070 SGX131067:SGY131070 SQT131067:SQU131070 TAP131067:TAQ131070 TKL131067:TKM131070 TUH131067:TUI131070 UED131067:UEE131070 UNZ131067:UOA131070 UXV131067:UXW131070 VHR131067:VHS131070 VRN131067:VRO131070 WBJ131067:WBK131070 WLF131067:WLG131070 WVB131067:WVC131070 IP196603:IQ196606 SL196603:SM196606 ACH196603:ACI196606 AMD196603:AME196606 AVZ196603:AWA196606 BFV196603:BFW196606 BPR196603:BPS196606 BZN196603:BZO196606 CJJ196603:CJK196606 CTF196603:CTG196606 DDB196603:DDC196606 DMX196603:DMY196606 DWT196603:DWU196606 EGP196603:EGQ196606 EQL196603:EQM196606 FAH196603:FAI196606 FKD196603:FKE196606 FTZ196603:FUA196606 GDV196603:GDW196606 GNR196603:GNS196606 GXN196603:GXO196606 HHJ196603:HHK196606 HRF196603:HRG196606 IBB196603:IBC196606 IKX196603:IKY196606 IUT196603:IUU196606 JEP196603:JEQ196606 JOL196603:JOM196606 JYH196603:JYI196606 KID196603:KIE196606 KRZ196603:KSA196606 LBV196603:LBW196606 LLR196603:LLS196606 LVN196603:LVO196606 MFJ196603:MFK196606 MPF196603:MPG196606 MZB196603:MZC196606 NIX196603:NIY196606 NST196603:NSU196606 OCP196603:OCQ196606 OML196603:OMM196606 OWH196603:OWI196606 PGD196603:PGE196606 PPZ196603:PQA196606 PZV196603:PZW196606 QJR196603:QJS196606 QTN196603:QTO196606 RDJ196603:RDK196606 RNF196603:RNG196606 RXB196603:RXC196606 SGX196603:SGY196606 SQT196603:SQU196606 TAP196603:TAQ196606 TKL196603:TKM196606 TUH196603:TUI196606 UED196603:UEE196606 UNZ196603:UOA196606 UXV196603:UXW196606 VHR196603:VHS196606 VRN196603:VRO196606 WBJ196603:WBK196606 WLF196603:WLG196606 WVB196603:WVC196606 IP262139:IQ262142 SL262139:SM262142 ACH262139:ACI262142 AMD262139:AME262142 AVZ262139:AWA262142 BFV262139:BFW262142 BPR262139:BPS262142 BZN262139:BZO262142 CJJ262139:CJK262142 CTF262139:CTG262142 DDB262139:DDC262142 DMX262139:DMY262142 DWT262139:DWU262142 EGP262139:EGQ262142 EQL262139:EQM262142 FAH262139:FAI262142 FKD262139:FKE262142 FTZ262139:FUA262142 GDV262139:GDW262142 GNR262139:GNS262142 GXN262139:GXO262142 HHJ262139:HHK262142 HRF262139:HRG262142 IBB262139:IBC262142 IKX262139:IKY262142 IUT262139:IUU262142 JEP262139:JEQ262142 JOL262139:JOM262142 JYH262139:JYI262142 KID262139:KIE262142 KRZ262139:KSA262142 LBV262139:LBW262142 LLR262139:LLS262142 LVN262139:LVO262142 MFJ262139:MFK262142 MPF262139:MPG262142 MZB262139:MZC262142 NIX262139:NIY262142 NST262139:NSU262142 OCP262139:OCQ262142 OML262139:OMM262142 OWH262139:OWI262142 PGD262139:PGE262142 PPZ262139:PQA262142 PZV262139:PZW262142 QJR262139:QJS262142 QTN262139:QTO262142 RDJ262139:RDK262142 RNF262139:RNG262142 RXB262139:RXC262142 SGX262139:SGY262142 SQT262139:SQU262142 TAP262139:TAQ262142 TKL262139:TKM262142 TUH262139:TUI262142 UED262139:UEE262142 UNZ262139:UOA262142 UXV262139:UXW262142 VHR262139:VHS262142 VRN262139:VRO262142 WBJ262139:WBK262142 WLF262139:WLG262142 WVB262139:WVC262142 IP327675:IQ327678 SL327675:SM327678 ACH327675:ACI327678 AMD327675:AME327678 AVZ327675:AWA327678 BFV327675:BFW327678 BPR327675:BPS327678 BZN327675:BZO327678 CJJ327675:CJK327678 CTF327675:CTG327678 DDB327675:DDC327678 DMX327675:DMY327678 DWT327675:DWU327678 EGP327675:EGQ327678 EQL327675:EQM327678 FAH327675:FAI327678 FKD327675:FKE327678 FTZ327675:FUA327678 GDV327675:GDW327678 GNR327675:GNS327678 GXN327675:GXO327678 HHJ327675:HHK327678 HRF327675:HRG327678 IBB327675:IBC327678 IKX327675:IKY327678 IUT327675:IUU327678 JEP327675:JEQ327678 JOL327675:JOM327678 JYH327675:JYI327678 KID327675:KIE327678 KRZ327675:KSA327678 LBV327675:LBW327678 LLR327675:LLS327678 LVN327675:LVO327678 MFJ327675:MFK327678 MPF327675:MPG327678 MZB327675:MZC327678 NIX327675:NIY327678 NST327675:NSU327678 OCP327675:OCQ327678 OML327675:OMM327678 OWH327675:OWI327678 PGD327675:PGE327678 PPZ327675:PQA327678 PZV327675:PZW327678 QJR327675:QJS327678 QTN327675:QTO327678 RDJ327675:RDK327678 RNF327675:RNG327678 RXB327675:RXC327678 SGX327675:SGY327678 SQT327675:SQU327678 TAP327675:TAQ327678 TKL327675:TKM327678 TUH327675:TUI327678 UED327675:UEE327678 UNZ327675:UOA327678 UXV327675:UXW327678 VHR327675:VHS327678 VRN327675:VRO327678 WBJ327675:WBK327678 WLF327675:WLG327678 WVB327675:WVC327678 IP393211:IQ393214 SL393211:SM393214 ACH393211:ACI393214 AMD393211:AME393214 AVZ393211:AWA393214 BFV393211:BFW393214 BPR393211:BPS393214 BZN393211:BZO393214 CJJ393211:CJK393214 CTF393211:CTG393214 DDB393211:DDC393214 DMX393211:DMY393214 DWT393211:DWU393214 EGP393211:EGQ393214 EQL393211:EQM393214 FAH393211:FAI393214 FKD393211:FKE393214 FTZ393211:FUA393214 GDV393211:GDW393214 GNR393211:GNS393214 GXN393211:GXO393214 HHJ393211:HHK393214 HRF393211:HRG393214 IBB393211:IBC393214 IKX393211:IKY393214 IUT393211:IUU393214 JEP393211:JEQ393214 JOL393211:JOM393214 JYH393211:JYI393214 KID393211:KIE393214 KRZ393211:KSA393214 LBV393211:LBW393214 LLR393211:LLS393214 LVN393211:LVO393214 MFJ393211:MFK393214 MPF393211:MPG393214 MZB393211:MZC393214 NIX393211:NIY393214 NST393211:NSU393214 OCP393211:OCQ393214 OML393211:OMM393214 OWH393211:OWI393214 PGD393211:PGE393214 PPZ393211:PQA393214 PZV393211:PZW393214 QJR393211:QJS393214 QTN393211:QTO393214 RDJ393211:RDK393214 RNF393211:RNG393214 RXB393211:RXC393214 SGX393211:SGY393214 SQT393211:SQU393214 TAP393211:TAQ393214 TKL393211:TKM393214 TUH393211:TUI393214 UED393211:UEE393214 UNZ393211:UOA393214 UXV393211:UXW393214 VHR393211:VHS393214 VRN393211:VRO393214 WBJ393211:WBK393214 WLF393211:WLG393214 WVB393211:WVC393214 IP458747:IQ458750 SL458747:SM458750 ACH458747:ACI458750 AMD458747:AME458750 AVZ458747:AWA458750 BFV458747:BFW458750 BPR458747:BPS458750 BZN458747:BZO458750 CJJ458747:CJK458750 CTF458747:CTG458750 DDB458747:DDC458750 DMX458747:DMY458750 DWT458747:DWU458750 EGP458747:EGQ458750 EQL458747:EQM458750 FAH458747:FAI458750 FKD458747:FKE458750 FTZ458747:FUA458750 GDV458747:GDW458750 GNR458747:GNS458750 GXN458747:GXO458750 HHJ458747:HHK458750 HRF458747:HRG458750 IBB458747:IBC458750 IKX458747:IKY458750 IUT458747:IUU458750 JEP458747:JEQ458750 JOL458747:JOM458750 JYH458747:JYI458750 KID458747:KIE458750 KRZ458747:KSA458750 LBV458747:LBW458750 LLR458747:LLS458750 LVN458747:LVO458750 MFJ458747:MFK458750 MPF458747:MPG458750 MZB458747:MZC458750 NIX458747:NIY458750 NST458747:NSU458750 OCP458747:OCQ458750 OML458747:OMM458750 OWH458747:OWI458750 PGD458747:PGE458750 PPZ458747:PQA458750 PZV458747:PZW458750 QJR458747:QJS458750 QTN458747:QTO458750 RDJ458747:RDK458750 RNF458747:RNG458750 RXB458747:RXC458750 SGX458747:SGY458750 SQT458747:SQU458750 TAP458747:TAQ458750 TKL458747:TKM458750 TUH458747:TUI458750 UED458747:UEE458750 UNZ458747:UOA458750 UXV458747:UXW458750 VHR458747:VHS458750 VRN458747:VRO458750 WBJ458747:WBK458750 WLF458747:WLG458750 WVB458747:WVC458750 IP524283:IQ524286 SL524283:SM524286 ACH524283:ACI524286 AMD524283:AME524286 AVZ524283:AWA524286 BFV524283:BFW524286 BPR524283:BPS524286 BZN524283:BZO524286 CJJ524283:CJK524286 CTF524283:CTG524286 DDB524283:DDC524286 DMX524283:DMY524286 DWT524283:DWU524286 EGP524283:EGQ524286 EQL524283:EQM524286 FAH524283:FAI524286 FKD524283:FKE524286 FTZ524283:FUA524286 GDV524283:GDW524286 GNR524283:GNS524286 GXN524283:GXO524286 HHJ524283:HHK524286 HRF524283:HRG524286 IBB524283:IBC524286 IKX524283:IKY524286 IUT524283:IUU524286 JEP524283:JEQ524286 JOL524283:JOM524286 JYH524283:JYI524286 KID524283:KIE524286 KRZ524283:KSA524286 LBV524283:LBW524286 LLR524283:LLS524286 LVN524283:LVO524286 MFJ524283:MFK524286 MPF524283:MPG524286 MZB524283:MZC524286 NIX524283:NIY524286 NST524283:NSU524286 OCP524283:OCQ524286 OML524283:OMM524286 OWH524283:OWI524286 PGD524283:PGE524286 PPZ524283:PQA524286 PZV524283:PZW524286 QJR524283:QJS524286 QTN524283:QTO524286 RDJ524283:RDK524286 RNF524283:RNG524286 RXB524283:RXC524286 SGX524283:SGY524286 SQT524283:SQU524286 TAP524283:TAQ524286 TKL524283:TKM524286 TUH524283:TUI524286 UED524283:UEE524286 UNZ524283:UOA524286 UXV524283:UXW524286 VHR524283:VHS524286 VRN524283:VRO524286 WBJ524283:WBK524286 WLF524283:WLG524286 WVB524283:WVC524286 IP589819:IQ589822 SL589819:SM589822 ACH589819:ACI589822 AMD589819:AME589822 AVZ589819:AWA589822 BFV589819:BFW589822 BPR589819:BPS589822 BZN589819:BZO589822 CJJ589819:CJK589822 CTF589819:CTG589822 DDB589819:DDC589822 DMX589819:DMY589822 DWT589819:DWU589822 EGP589819:EGQ589822 EQL589819:EQM589822 FAH589819:FAI589822 FKD589819:FKE589822 FTZ589819:FUA589822 GDV589819:GDW589822 GNR589819:GNS589822 GXN589819:GXO589822 HHJ589819:HHK589822 HRF589819:HRG589822 IBB589819:IBC589822 IKX589819:IKY589822 IUT589819:IUU589822 JEP589819:JEQ589822 JOL589819:JOM589822 JYH589819:JYI589822 KID589819:KIE589822 KRZ589819:KSA589822 LBV589819:LBW589822 LLR589819:LLS589822 LVN589819:LVO589822 MFJ589819:MFK589822 MPF589819:MPG589822 MZB589819:MZC589822 NIX589819:NIY589822 NST589819:NSU589822 OCP589819:OCQ589822 OML589819:OMM589822 OWH589819:OWI589822 PGD589819:PGE589822 PPZ589819:PQA589822 PZV589819:PZW589822 QJR589819:QJS589822 QTN589819:QTO589822 RDJ589819:RDK589822 RNF589819:RNG589822 RXB589819:RXC589822 SGX589819:SGY589822 SQT589819:SQU589822 TAP589819:TAQ589822 TKL589819:TKM589822 TUH589819:TUI589822 UED589819:UEE589822 UNZ589819:UOA589822 UXV589819:UXW589822 VHR589819:VHS589822 VRN589819:VRO589822 WBJ589819:WBK589822 WLF589819:WLG589822 WVB589819:WVC589822 IP655355:IQ655358 SL655355:SM655358 ACH655355:ACI655358 AMD655355:AME655358 AVZ655355:AWA655358 BFV655355:BFW655358 BPR655355:BPS655358 BZN655355:BZO655358 CJJ655355:CJK655358 CTF655355:CTG655358 DDB655355:DDC655358 DMX655355:DMY655358 DWT655355:DWU655358 EGP655355:EGQ655358 EQL655355:EQM655358 FAH655355:FAI655358 FKD655355:FKE655358 FTZ655355:FUA655358 GDV655355:GDW655358 GNR655355:GNS655358 GXN655355:GXO655358 HHJ655355:HHK655358 HRF655355:HRG655358 IBB655355:IBC655358 IKX655355:IKY655358 IUT655355:IUU655358 JEP655355:JEQ655358 JOL655355:JOM655358 JYH655355:JYI655358 KID655355:KIE655358 KRZ655355:KSA655358 LBV655355:LBW655358 LLR655355:LLS655358 LVN655355:LVO655358 MFJ655355:MFK655358 MPF655355:MPG655358 MZB655355:MZC655358 NIX655355:NIY655358 NST655355:NSU655358 OCP655355:OCQ655358 OML655355:OMM655358 OWH655355:OWI655358 PGD655355:PGE655358 PPZ655355:PQA655358 PZV655355:PZW655358 QJR655355:QJS655358 QTN655355:QTO655358 RDJ655355:RDK655358 RNF655355:RNG655358 RXB655355:RXC655358 SGX655355:SGY655358 SQT655355:SQU655358 TAP655355:TAQ655358 TKL655355:TKM655358 TUH655355:TUI655358 UED655355:UEE655358 UNZ655355:UOA655358 UXV655355:UXW655358 VHR655355:VHS655358 VRN655355:VRO655358 WBJ655355:WBK655358 WLF655355:WLG655358 WVB655355:WVC655358 IP720891:IQ720894 SL720891:SM720894 ACH720891:ACI720894 AMD720891:AME720894 AVZ720891:AWA720894 BFV720891:BFW720894 BPR720891:BPS720894 BZN720891:BZO720894 CJJ720891:CJK720894 CTF720891:CTG720894 DDB720891:DDC720894 DMX720891:DMY720894 DWT720891:DWU720894 EGP720891:EGQ720894 EQL720891:EQM720894 FAH720891:FAI720894 FKD720891:FKE720894 FTZ720891:FUA720894 GDV720891:GDW720894 GNR720891:GNS720894 GXN720891:GXO720894 HHJ720891:HHK720894 HRF720891:HRG720894 IBB720891:IBC720894 IKX720891:IKY720894 IUT720891:IUU720894 JEP720891:JEQ720894 JOL720891:JOM720894 JYH720891:JYI720894 KID720891:KIE720894 KRZ720891:KSA720894 LBV720891:LBW720894 LLR720891:LLS720894 LVN720891:LVO720894 MFJ720891:MFK720894 MPF720891:MPG720894 MZB720891:MZC720894 NIX720891:NIY720894 NST720891:NSU720894 OCP720891:OCQ720894 OML720891:OMM720894 OWH720891:OWI720894 PGD720891:PGE720894 PPZ720891:PQA720894 PZV720891:PZW720894 QJR720891:QJS720894 QTN720891:QTO720894 RDJ720891:RDK720894 RNF720891:RNG720894 RXB720891:RXC720894 SGX720891:SGY720894 SQT720891:SQU720894 TAP720891:TAQ720894 TKL720891:TKM720894 TUH720891:TUI720894 UED720891:UEE720894 UNZ720891:UOA720894 UXV720891:UXW720894 VHR720891:VHS720894 VRN720891:VRO720894 WBJ720891:WBK720894 WLF720891:WLG720894 WVB720891:WVC720894 IP786427:IQ786430 SL786427:SM786430 ACH786427:ACI786430 AMD786427:AME786430 AVZ786427:AWA786430 BFV786427:BFW786430 BPR786427:BPS786430 BZN786427:BZO786430 CJJ786427:CJK786430 CTF786427:CTG786430 DDB786427:DDC786430 DMX786427:DMY786430 DWT786427:DWU786430 EGP786427:EGQ786430 EQL786427:EQM786430 FAH786427:FAI786430 FKD786427:FKE786430 FTZ786427:FUA786430 GDV786427:GDW786430 GNR786427:GNS786430 GXN786427:GXO786430 HHJ786427:HHK786430 HRF786427:HRG786430 IBB786427:IBC786430 IKX786427:IKY786430 IUT786427:IUU786430 JEP786427:JEQ786430 JOL786427:JOM786430 JYH786427:JYI786430 KID786427:KIE786430 KRZ786427:KSA786430 LBV786427:LBW786430 LLR786427:LLS786430 LVN786427:LVO786430 MFJ786427:MFK786430 MPF786427:MPG786430 MZB786427:MZC786430 NIX786427:NIY786430 NST786427:NSU786430 OCP786427:OCQ786430 OML786427:OMM786430 OWH786427:OWI786430 PGD786427:PGE786430 PPZ786427:PQA786430 PZV786427:PZW786430 QJR786427:QJS786430 QTN786427:QTO786430 RDJ786427:RDK786430 RNF786427:RNG786430 RXB786427:RXC786430 SGX786427:SGY786430 SQT786427:SQU786430 TAP786427:TAQ786430 TKL786427:TKM786430 TUH786427:TUI786430 UED786427:UEE786430 UNZ786427:UOA786430 UXV786427:UXW786430 VHR786427:VHS786430 VRN786427:VRO786430 WBJ786427:WBK786430 WLF786427:WLG786430 WVB786427:WVC786430 IP851963:IQ851966 SL851963:SM851966 ACH851963:ACI851966 AMD851963:AME851966 AVZ851963:AWA851966 BFV851963:BFW851966 BPR851963:BPS851966 BZN851963:BZO851966 CJJ851963:CJK851966 CTF851963:CTG851966 DDB851963:DDC851966 DMX851963:DMY851966 DWT851963:DWU851966 EGP851963:EGQ851966 EQL851963:EQM851966 FAH851963:FAI851966 FKD851963:FKE851966 FTZ851963:FUA851966 GDV851963:GDW851966 GNR851963:GNS851966 GXN851963:GXO851966 HHJ851963:HHK851966 HRF851963:HRG851966 IBB851963:IBC851966 IKX851963:IKY851966 IUT851963:IUU851966 JEP851963:JEQ851966 JOL851963:JOM851966 JYH851963:JYI851966 KID851963:KIE851966 KRZ851963:KSA851966 LBV851963:LBW851966 LLR851963:LLS851966 LVN851963:LVO851966 MFJ851963:MFK851966 MPF851963:MPG851966 MZB851963:MZC851966 NIX851963:NIY851966 NST851963:NSU851966 OCP851963:OCQ851966 OML851963:OMM851966 OWH851963:OWI851966 PGD851963:PGE851966 PPZ851963:PQA851966 PZV851963:PZW851966 QJR851963:QJS851966 QTN851963:QTO851966 RDJ851963:RDK851966 RNF851963:RNG851966 RXB851963:RXC851966 SGX851963:SGY851966 SQT851963:SQU851966 TAP851963:TAQ851966 TKL851963:TKM851966 TUH851963:TUI851966 UED851963:UEE851966 UNZ851963:UOA851966 UXV851963:UXW851966 VHR851963:VHS851966 VRN851963:VRO851966 WBJ851963:WBK851966 WLF851963:WLG851966 WVB851963:WVC851966 IP917499:IQ917502 SL917499:SM917502 ACH917499:ACI917502 AMD917499:AME917502 AVZ917499:AWA917502 BFV917499:BFW917502 BPR917499:BPS917502 BZN917499:BZO917502 CJJ917499:CJK917502 CTF917499:CTG917502 DDB917499:DDC917502 DMX917499:DMY917502 DWT917499:DWU917502 EGP917499:EGQ917502 EQL917499:EQM917502 FAH917499:FAI917502 FKD917499:FKE917502 FTZ917499:FUA917502 GDV917499:GDW917502 GNR917499:GNS917502 GXN917499:GXO917502 HHJ917499:HHK917502 HRF917499:HRG917502 IBB917499:IBC917502 IKX917499:IKY917502 IUT917499:IUU917502 JEP917499:JEQ917502 JOL917499:JOM917502 JYH917499:JYI917502 KID917499:KIE917502 KRZ917499:KSA917502 LBV917499:LBW917502 LLR917499:LLS917502 LVN917499:LVO917502 MFJ917499:MFK917502 MPF917499:MPG917502 MZB917499:MZC917502 NIX917499:NIY917502 NST917499:NSU917502 OCP917499:OCQ917502 OML917499:OMM917502 OWH917499:OWI917502 PGD917499:PGE917502 PPZ917499:PQA917502 PZV917499:PZW917502 QJR917499:QJS917502 QTN917499:QTO917502 RDJ917499:RDK917502 RNF917499:RNG917502 RXB917499:RXC917502 SGX917499:SGY917502 SQT917499:SQU917502 TAP917499:TAQ917502 TKL917499:TKM917502 TUH917499:TUI917502 UED917499:UEE917502 UNZ917499:UOA917502 UXV917499:UXW917502 VHR917499:VHS917502 VRN917499:VRO917502 WBJ917499:WBK917502 WLF917499:WLG917502 WVB917499:WVC917502 IP983035:IQ983038 SL983035:SM983038 ACH983035:ACI983038 AMD983035:AME983038 AVZ983035:AWA983038 BFV983035:BFW983038 BPR983035:BPS983038 BZN983035:BZO983038 CJJ983035:CJK983038 CTF983035:CTG983038 DDB983035:DDC983038 DMX983035:DMY983038 DWT983035:DWU983038 EGP983035:EGQ983038 EQL983035:EQM983038 FAH983035:FAI983038 FKD983035:FKE983038 FTZ983035:FUA983038 GDV983035:GDW983038 GNR983035:GNS983038 GXN983035:GXO983038 HHJ983035:HHK983038 HRF983035:HRG983038 IBB983035:IBC983038 IKX983035:IKY983038 IUT983035:IUU983038 JEP983035:JEQ983038 JOL983035:JOM983038 JYH983035:JYI983038 KID983035:KIE983038 KRZ983035:KSA983038 LBV983035:LBW983038 LLR983035:LLS983038 LVN983035:LVO983038 MFJ983035:MFK983038 MPF983035:MPG983038 MZB983035:MZC983038 NIX983035:NIY983038 NST983035:NSU983038 OCP983035:OCQ983038 OML983035:OMM983038 OWH983035:OWI983038 PGD983035:PGE983038 PPZ983035:PQA983038 PZV983035:PZW983038 QJR983035:QJS983038 QTN983035:QTO983038 RDJ983035:RDK983038 RNF983035:RNG983038 RXB983035:RXC983038 SGX983035:SGY983038 SQT983035:SQU983038 TAP983035:TAQ983038 TKL983035:TKM983038 TUH983035:TUI983038 UED983035:UEE983038 UNZ983035:UOA983038 UXV983035:UXW983038 VHR983035:VHS983038">
      <formula1>"YES,NO"</formula1>
    </dataValidation>
  </dataValidations>
  <printOptions horizontalCentered="1"/>
  <pageMargins left="0" right="0" top="0" bottom="0" header="0" footer="0"/>
  <pageSetup paperSize="9" scale="96" orientation="landscape" blackAndWhite="1" verticalDpi="300" r:id="rId1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T25"/>
  <sheetViews>
    <sheetView view="pageBreakPreview" topLeftCell="A4" zoomScaleNormal="115" zoomScaleSheetLayoutView="100" workbookViewId="0">
      <selection activeCell="A9" sqref="A9"/>
    </sheetView>
  </sheetViews>
  <sheetFormatPr defaultRowHeight="15" x14ac:dyDescent="0.25"/>
  <cols>
    <col min="1" max="1" width="7.28515625" style="361" customWidth="1"/>
    <col min="2" max="2" width="40.7109375" style="349" customWidth="1"/>
    <col min="3" max="3" width="5.42578125" style="349" bestFit="1" customWidth="1"/>
    <col min="4" max="4" width="15.7109375" style="349" customWidth="1"/>
    <col min="5" max="5" width="14.85546875" style="349" bestFit="1" customWidth="1"/>
    <col min="6" max="6" width="15.5703125" style="349" bestFit="1" customWidth="1"/>
    <col min="7" max="7" width="21.42578125" style="349" bestFit="1" customWidth="1"/>
    <col min="8" max="8" width="11.5703125" style="349" bestFit="1" customWidth="1"/>
    <col min="9" max="9" width="9.140625" style="361"/>
    <col min="10" max="10" width="9.140625" style="408"/>
    <col min="11" max="12" width="9.140625" style="409"/>
    <col min="13" max="13" width="9.140625" style="349"/>
    <col min="14" max="14" width="9.140625" style="361"/>
    <col min="15" max="15" width="9.140625" style="408"/>
    <col min="16" max="17" width="9.140625" style="409"/>
    <col min="18" max="18" width="9.140625" style="349"/>
    <col min="19" max="19" width="9.140625" style="361"/>
    <col min="20" max="20" width="9.140625" style="408"/>
    <col min="21" max="22" width="9.140625" style="409"/>
    <col min="23" max="23" width="9.140625" style="349"/>
    <col min="24" max="24" width="9.140625" style="361"/>
    <col min="25" max="25" width="9.140625" style="408"/>
    <col min="26" max="26" width="10.28515625" style="409" bestFit="1" customWidth="1"/>
    <col min="27" max="27" width="9.140625" style="409"/>
    <col min="28" max="28" width="9.140625" style="349"/>
    <col min="29" max="29" width="9.140625" style="361"/>
    <col min="30" max="30" width="9.140625" style="408"/>
    <col min="31" max="31" width="10.140625" style="409" bestFit="1" customWidth="1"/>
    <col min="32" max="32" width="9.140625" style="409"/>
    <col min="33" max="33" width="9.7109375" style="349" bestFit="1" customWidth="1"/>
    <col min="34" max="41" width="9.140625" style="349"/>
    <col min="42" max="42" width="19" style="349" bestFit="1" customWidth="1"/>
    <col min="43" max="43" width="14.85546875" style="349" bestFit="1" customWidth="1"/>
    <col min="44" max="44" width="15.5703125" style="349" bestFit="1" customWidth="1"/>
    <col min="45" max="224" width="9.140625" style="349"/>
    <col min="225" max="263" width="2.42578125" style="349" customWidth="1"/>
    <col min="264" max="264" width="3.42578125" style="349" bestFit="1" customWidth="1"/>
    <col min="265" max="480" width="9.140625" style="349"/>
    <col min="481" max="519" width="2.42578125" style="349" customWidth="1"/>
    <col min="520" max="520" width="3.42578125" style="349" bestFit="1" customWidth="1"/>
    <col min="521" max="736" width="9.140625" style="349"/>
    <col min="737" max="775" width="2.42578125" style="349" customWidth="1"/>
    <col min="776" max="776" width="3.42578125" style="349" bestFit="1" customWidth="1"/>
    <col min="777" max="992" width="9.140625" style="349"/>
    <col min="993" max="1031" width="2.42578125" style="349" customWidth="1"/>
    <col min="1032" max="1032" width="3.42578125" style="349" bestFit="1" customWidth="1"/>
    <col min="1033" max="1248" width="9.140625" style="349"/>
    <col min="1249" max="1287" width="2.42578125" style="349" customWidth="1"/>
    <col min="1288" max="1288" width="3.42578125" style="349" bestFit="1" customWidth="1"/>
    <col min="1289" max="1504" width="9.140625" style="349"/>
    <col min="1505" max="1543" width="2.42578125" style="349" customWidth="1"/>
    <col min="1544" max="1544" width="3.42578125" style="349" bestFit="1" customWidth="1"/>
    <col min="1545" max="1760" width="9.140625" style="349"/>
    <col min="1761" max="1799" width="2.42578125" style="349" customWidth="1"/>
    <col min="1800" max="1800" width="3.42578125" style="349" bestFit="1" customWidth="1"/>
    <col min="1801" max="2016" width="9.140625" style="349"/>
    <col min="2017" max="2055" width="2.42578125" style="349" customWidth="1"/>
    <col min="2056" max="2056" width="3.42578125" style="349" bestFit="1" customWidth="1"/>
    <col min="2057" max="2272" width="9.140625" style="349"/>
    <col min="2273" max="2311" width="2.42578125" style="349" customWidth="1"/>
    <col min="2312" max="2312" width="3.42578125" style="349" bestFit="1" customWidth="1"/>
    <col min="2313" max="2528" width="9.140625" style="349"/>
    <col min="2529" max="2567" width="2.42578125" style="349" customWidth="1"/>
    <col min="2568" max="2568" width="3.42578125" style="349" bestFit="1" customWidth="1"/>
    <col min="2569" max="2784" width="9.140625" style="349"/>
    <col min="2785" max="2823" width="2.42578125" style="349" customWidth="1"/>
    <col min="2824" max="2824" width="3.42578125" style="349" bestFit="1" customWidth="1"/>
    <col min="2825" max="3040" width="9.140625" style="349"/>
    <col min="3041" max="3079" width="2.42578125" style="349" customWidth="1"/>
    <col min="3080" max="3080" width="3.42578125" style="349" bestFit="1" customWidth="1"/>
    <col min="3081" max="3296" width="9.140625" style="349"/>
    <col min="3297" max="3335" width="2.42578125" style="349" customWidth="1"/>
    <col min="3336" max="3336" width="3.42578125" style="349" bestFit="1" customWidth="1"/>
    <col min="3337" max="3552" width="9.140625" style="349"/>
    <col min="3553" max="3591" width="2.42578125" style="349" customWidth="1"/>
    <col min="3592" max="3592" width="3.42578125" style="349" bestFit="1" customWidth="1"/>
    <col min="3593" max="3808" width="9.140625" style="349"/>
    <col min="3809" max="3847" width="2.42578125" style="349" customWidth="1"/>
    <col min="3848" max="3848" width="3.42578125" style="349" bestFit="1" customWidth="1"/>
    <col min="3849" max="4064" width="9.140625" style="349"/>
    <col min="4065" max="4103" width="2.42578125" style="349" customWidth="1"/>
    <col min="4104" max="4104" width="3.42578125" style="349" bestFit="1" customWidth="1"/>
    <col min="4105" max="4320" width="9.140625" style="349"/>
    <col min="4321" max="4359" width="2.42578125" style="349" customWidth="1"/>
    <col min="4360" max="4360" width="3.42578125" style="349" bestFit="1" customWidth="1"/>
    <col min="4361" max="4576" width="9.140625" style="349"/>
    <col min="4577" max="4615" width="2.42578125" style="349" customWidth="1"/>
    <col min="4616" max="4616" width="3.42578125" style="349" bestFit="1" customWidth="1"/>
    <col min="4617" max="4832" width="9.140625" style="349"/>
    <col min="4833" max="4871" width="2.42578125" style="349" customWidth="1"/>
    <col min="4872" max="4872" width="3.42578125" style="349" bestFit="1" customWidth="1"/>
    <col min="4873" max="5088" width="9.140625" style="349"/>
    <col min="5089" max="5127" width="2.42578125" style="349" customWidth="1"/>
    <col min="5128" max="5128" width="3.42578125" style="349" bestFit="1" customWidth="1"/>
    <col min="5129" max="5344" width="9.140625" style="349"/>
    <col min="5345" max="5383" width="2.42578125" style="349" customWidth="1"/>
    <col min="5384" max="5384" width="3.42578125" style="349" bestFit="1" customWidth="1"/>
    <col min="5385" max="5600" width="9.140625" style="349"/>
    <col min="5601" max="5639" width="2.42578125" style="349" customWidth="1"/>
    <col min="5640" max="5640" width="3.42578125" style="349" bestFit="1" customWidth="1"/>
    <col min="5641" max="5856" width="9.140625" style="349"/>
    <col min="5857" max="5895" width="2.42578125" style="349" customWidth="1"/>
    <col min="5896" max="5896" width="3.42578125" style="349" bestFit="1" customWidth="1"/>
    <col min="5897" max="6112" width="9.140625" style="349"/>
    <col min="6113" max="6151" width="2.42578125" style="349" customWidth="1"/>
    <col min="6152" max="6152" width="3.42578125" style="349" bestFit="1" customWidth="1"/>
    <col min="6153" max="6368" width="9.140625" style="349"/>
    <col min="6369" max="6407" width="2.42578125" style="349" customWidth="1"/>
    <col min="6408" max="6408" width="3.42578125" style="349" bestFit="1" customWidth="1"/>
    <col min="6409" max="6624" width="9.140625" style="349"/>
    <col min="6625" max="6663" width="2.42578125" style="349" customWidth="1"/>
    <col min="6664" max="6664" width="3.42578125" style="349" bestFit="1" customWidth="1"/>
    <col min="6665" max="6880" width="9.140625" style="349"/>
    <col min="6881" max="6919" width="2.42578125" style="349" customWidth="1"/>
    <col min="6920" max="6920" width="3.42578125" style="349" bestFit="1" customWidth="1"/>
    <col min="6921" max="7136" width="9.140625" style="349"/>
    <col min="7137" max="7175" width="2.42578125" style="349" customWidth="1"/>
    <col min="7176" max="7176" width="3.42578125" style="349" bestFit="1" customWidth="1"/>
    <col min="7177" max="7392" width="9.140625" style="349"/>
    <col min="7393" max="7431" width="2.42578125" style="349" customWidth="1"/>
    <col min="7432" max="7432" width="3.42578125" style="349" bestFit="1" customWidth="1"/>
    <col min="7433" max="7648" width="9.140625" style="349"/>
    <col min="7649" max="7687" width="2.42578125" style="349" customWidth="1"/>
    <col min="7688" max="7688" width="3.42578125" style="349" bestFit="1" customWidth="1"/>
    <col min="7689" max="7904" width="9.140625" style="349"/>
    <col min="7905" max="7943" width="2.42578125" style="349" customWidth="1"/>
    <col min="7944" max="7944" width="3.42578125" style="349" bestFit="1" customWidth="1"/>
    <col min="7945" max="8160" width="9.140625" style="349"/>
    <col min="8161" max="8199" width="2.42578125" style="349" customWidth="1"/>
    <col min="8200" max="8200" width="3.42578125" style="349" bestFit="1" customWidth="1"/>
    <col min="8201" max="8416" width="9.140625" style="349"/>
    <col min="8417" max="8455" width="2.42578125" style="349" customWidth="1"/>
    <col min="8456" max="8456" width="3.42578125" style="349" bestFit="1" customWidth="1"/>
    <col min="8457" max="8672" width="9.140625" style="349"/>
    <col min="8673" max="8711" width="2.42578125" style="349" customWidth="1"/>
    <col min="8712" max="8712" width="3.42578125" style="349" bestFit="1" customWidth="1"/>
    <col min="8713" max="8928" width="9.140625" style="349"/>
    <col min="8929" max="8967" width="2.42578125" style="349" customWidth="1"/>
    <col min="8968" max="8968" width="3.42578125" style="349" bestFit="1" customWidth="1"/>
    <col min="8969" max="9184" width="9.140625" style="349"/>
    <col min="9185" max="9223" width="2.42578125" style="349" customWidth="1"/>
    <col min="9224" max="9224" width="3.42578125" style="349" bestFit="1" customWidth="1"/>
    <col min="9225" max="9440" width="9.140625" style="349"/>
    <col min="9441" max="9479" width="2.42578125" style="349" customWidth="1"/>
    <col min="9480" max="9480" width="3.42578125" style="349" bestFit="1" customWidth="1"/>
    <col min="9481" max="9696" width="9.140625" style="349"/>
    <col min="9697" max="9735" width="2.42578125" style="349" customWidth="1"/>
    <col min="9736" max="9736" width="3.42578125" style="349" bestFit="1" customWidth="1"/>
    <col min="9737" max="9952" width="9.140625" style="349"/>
    <col min="9953" max="9991" width="2.42578125" style="349" customWidth="1"/>
    <col min="9992" max="9992" width="3.42578125" style="349" bestFit="1" customWidth="1"/>
    <col min="9993" max="10208" width="9.140625" style="349"/>
    <col min="10209" max="10247" width="2.42578125" style="349" customWidth="1"/>
    <col min="10248" max="10248" width="3.42578125" style="349" bestFit="1" customWidth="1"/>
    <col min="10249" max="10464" width="9.140625" style="349"/>
    <col min="10465" max="10503" width="2.42578125" style="349" customWidth="1"/>
    <col min="10504" max="10504" width="3.42578125" style="349" bestFit="1" customWidth="1"/>
    <col min="10505" max="10720" width="9.140625" style="349"/>
    <col min="10721" max="10759" width="2.42578125" style="349" customWidth="1"/>
    <col min="10760" max="10760" width="3.42578125" style="349" bestFit="1" customWidth="1"/>
    <col min="10761" max="10976" width="9.140625" style="349"/>
    <col min="10977" max="11015" width="2.42578125" style="349" customWidth="1"/>
    <col min="11016" max="11016" width="3.42578125" style="349" bestFit="1" customWidth="1"/>
    <col min="11017" max="11232" width="9.140625" style="349"/>
    <col min="11233" max="11271" width="2.42578125" style="349" customWidth="1"/>
    <col min="11272" max="11272" width="3.42578125" style="349" bestFit="1" customWidth="1"/>
    <col min="11273" max="11488" width="9.140625" style="349"/>
    <col min="11489" max="11527" width="2.42578125" style="349" customWidth="1"/>
    <col min="11528" max="11528" width="3.42578125" style="349" bestFit="1" customWidth="1"/>
    <col min="11529" max="11744" width="9.140625" style="349"/>
    <col min="11745" max="11783" width="2.42578125" style="349" customWidth="1"/>
    <col min="11784" max="11784" width="3.42578125" style="349" bestFit="1" customWidth="1"/>
    <col min="11785" max="12000" width="9.140625" style="349"/>
    <col min="12001" max="12039" width="2.42578125" style="349" customWidth="1"/>
    <col min="12040" max="12040" width="3.42578125" style="349" bestFit="1" customWidth="1"/>
    <col min="12041" max="12256" width="9.140625" style="349"/>
    <col min="12257" max="12295" width="2.42578125" style="349" customWidth="1"/>
    <col min="12296" max="12296" width="3.42578125" style="349" bestFit="1" customWidth="1"/>
    <col min="12297" max="12512" width="9.140625" style="349"/>
    <col min="12513" max="12551" width="2.42578125" style="349" customWidth="1"/>
    <col min="12552" max="12552" width="3.42578125" style="349" bestFit="1" customWidth="1"/>
    <col min="12553" max="12768" width="9.140625" style="349"/>
    <col min="12769" max="12807" width="2.42578125" style="349" customWidth="1"/>
    <col min="12808" max="12808" width="3.42578125" style="349" bestFit="1" customWidth="1"/>
    <col min="12809" max="13024" width="9.140625" style="349"/>
    <col min="13025" max="13063" width="2.42578125" style="349" customWidth="1"/>
    <col min="13064" max="13064" width="3.42578125" style="349" bestFit="1" customWidth="1"/>
    <col min="13065" max="13280" width="9.140625" style="349"/>
    <col min="13281" max="13319" width="2.42578125" style="349" customWidth="1"/>
    <col min="13320" max="13320" width="3.42578125" style="349" bestFit="1" customWidth="1"/>
    <col min="13321" max="13536" width="9.140625" style="349"/>
    <col min="13537" max="13575" width="2.42578125" style="349" customWidth="1"/>
    <col min="13576" max="13576" width="3.42578125" style="349" bestFit="1" customWidth="1"/>
    <col min="13577" max="13792" width="9.140625" style="349"/>
    <col min="13793" max="13831" width="2.42578125" style="349" customWidth="1"/>
    <col min="13832" max="13832" width="3.42578125" style="349" bestFit="1" customWidth="1"/>
    <col min="13833" max="14048" width="9.140625" style="349"/>
    <col min="14049" max="14087" width="2.42578125" style="349" customWidth="1"/>
    <col min="14088" max="14088" width="3.42578125" style="349" bestFit="1" customWidth="1"/>
    <col min="14089" max="14304" width="9.140625" style="349"/>
    <col min="14305" max="14343" width="2.42578125" style="349" customWidth="1"/>
    <col min="14344" max="14344" width="3.42578125" style="349" bestFit="1" customWidth="1"/>
    <col min="14345" max="14560" width="9.140625" style="349"/>
    <col min="14561" max="14599" width="2.42578125" style="349" customWidth="1"/>
    <col min="14600" max="14600" width="3.42578125" style="349" bestFit="1" customWidth="1"/>
    <col min="14601" max="14816" width="9.140625" style="349"/>
    <col min="14817" max="14855" width="2.42578125" style="349" customWidth="1"/>
    <col min="14856" max="14856" width="3.42578125" style="349" bestFit="1" customWidth="1"/>
    <col min="14857" max="15072" width="9.140625" style="349"/>
    <col min="15073" max="15111" width="2.42578125" style="349" customWidth="1"/>
    <col min="15112" max="15112" width="3.42578125" style="349" bestFit="1" customWidth="1"/>
    <col min="15113" max="15328" width="9.140625" style="349"/>
    <col min="15329" max="15367" width="2.42578125" style="349" customWidth="1"/>
    <col min="15368" max="15368" width="3.42578125" style="349" bestFit="1" customWidth="1"/>
    <col min="15369" max="15584" width="9.140625" style="349"/>
    <col min="15585" max="15623" width="2.42578125" style="349" customWidth="1"/>
    <col min="15624" max="15624" width="3.42578125" style="349" bestFit="1" customWidth="1"/>
    <col min="15625" max="15840" width="9.140625" style="349"/>
    <col min="15841" max="15879" width="2.42578125" style="349" customWidth="1"/>
    <col min="15880" max="15880" width="3.42578125" style="349" bestFit="1" customWidth="1"/>
    <col min="15881" max="16096" width="9.140625" style="349"/>
    <col min="16097" max="16135" width="2.42578125" style="349" customWidth="1"/>
    <col min="16136" max="16136" width="3.42578125" style="349" bestFit="1" customWidth="1"/>
    <col min="16137" max="16384" width="9.140625" style="349"/>
  </cols>
  <sheetData>
    <row r="1" spans="1:4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  <c r="AQ1" s="315"/>
      <c r="AR1" s="316"/>
    </row>
    <row r="2" spans="1:4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  <c r="AQ2" s="315"/>
      <c r="AR2" s="316"/>
    </row>
    <row r="3" spans="1:4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  <c r="AQ3" s="315"/>
      <c r="AR3" s="316"/>
    </row>
    <row r="4" spans="1:4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  <c r="AQ4" s="315"/>
      <c r="AR4" s="316"/>
    </row>
    <row r="5" spans="1:4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  <c r="AQ5" s="315"/>
      <c r="AR5" s="316"/>
    </row>
    <row r="6" spans="1:46" ht="15.75" thickBot="1" x14ac:dyDescent="0.3">
      <c r="A6" s="426" t="s">
        <v>303</v>
      </c>
      <c r="B6" s="352"/>
      <c r="C6" s="352"/>
      <c r="D6" s="352"/>
      <c r="E6" s="352"/>
      <c r="F6" s="352"/>
      <c r="G6" s="352"/>
      <c r="H6" s="352"/>
      <c r="I6" s="634" t="s">
        <v>405</v>
      </c>
      <c r="J6" s="634"/>
      <c r="K6" s="634"/>
      <c r="L6" s="634"/>
      <c r="M6" s="634"/>
      <c r="N6" s="634" t="s">
        <v>406</v>
      </c>
      <c r="O6" s="634"/>
      <c r="P6" s="634"/>
      <c r="Q6" s="634"/>
      <c r="R6" s="634"/>
      <c r="S6" s="634" t="s">
        <v>407</v>
      </c>
      <c r="T6" s="634"/>
      <c r="U6" s="634"/>
      <c r="V6" s="634"/>
      <c r="W6" s="634"/>
      <c r="X6" s="634" t="s">
        <v>419</v>
      </c>
      <c r="Y6" s="634"/>
      <c r="Z6" s="634"/>
      <c r="AA6" s="634"/>
      <c r="AB6" s="634"/>
      <c r="AC6" s="634" t="s">
        <v>420</v>
      </c>
      <c r="AD6" s="634"/>
      <c r="AE6" s="634"/>
      <c r="AF6" s="634"/>
      <c r="AG6" s="634"/>
      <c r="AQ6" s="352"/>
      <c r="AR6" s="352"/>
    </row>
    <row r="7" spans="1:46" s="361" customFormat="1" ht="120" x14ac:dyDescent="0.25">
      <c r="A7" s="354" t="s">
        <v>295</v>
      </c>
      <c r="B7" s="356" t="s">
        <v>296</v>
      </c>
      <c r="C7" s="356" t="s">
        <v>302</v>
      </c>
      <c r="D7" s="356"/>
      <c r="E7" s="449" t="s">
        <v>538</v>
      </c>
      <c r="F7" s="450" t="s">
        <v>539</v>
      </c>
      <c r="G7" s="451" t="s">
        <v>540</v>
      </c>
      <c r="H7" s="452" t="s">
        <v>541</v>
      </c>
      <c r="I7" s="353" t="s">
        <v>408</v>
      </c>
      <c r="J7" s="358" t="s">
        <v>409</v>
      </c>
      <c r="K7" s="359" t="s">
        <v>410</v>
      </c>
      <c r="L7" s="359" t="s">
        <v>418</v>
      </c>
      <c r="M7" s="353" t="s">
        <v>414</v>
      </c>
      <c r="N7" s="353" t="s">
        <v>408</v>
      </c>
      <c r="O7" s="358" t="s">
        <v>409</v>
      </c>
      <c r="P7" s="359" t="s">
        <v>410</v>
      </c>
      <c r="Q7" s="359" t="s">
        <v>418</v>
      </c>
      <c r="R7" s="353" t="s">
        <v>414</v>
      </c>
      <c r="S7" s="353" t="s">
        <v>408</v>
      </c>
      <c r="T7" s="358" t="s">
        <v>409</v>
      </c>
      <c r="U7" s="359" t="s">
        <v>410</v>
      </c>
      <c r="V7" s="359" t="s">
        <v>418</v>
      </c>
      <c r="W7" s="353" t="s">
        <v>414</v>
      </c>
      <c r="X7" s="353" t="s">
        <v>408</v>
      </c>
      <c r="Y7" s="358" t="s">
        <v>409</v>
      </c>
      <c r="Z7" s="359" t="s">
        <v>410</v>
      </c>
      <c r="AA7" s="359" t="s">
        <v>418</v>
      </c>
      <c r="AB7" s="353" t="s">
        <v>414</v>
      </c>
      <c r="AC7" s="353" t="s">
        <v>408</v>
      </c>
      <c r="AD7" s="358" t="s">
        <v>409</v>
      </c>
      <c r="AE7" s="359" t="s">
        <v>410</v>
      </c>
      <c r="AF7" s="359" t="s">
        <v>418</v>
      </c>
      <c r="AG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135" x14ac:dyDescent="0.25">
      <c r="A8" s="401" t="s">
        <v>304</v>
      </c>
      <c r="B8" s="381" t="s">
        <v>477</v>
      </c>
      <c r="C8" s="363">
        <v>1</v>
      </c>
      <c r="D8" s="363"/>
      <c r="E8" s="453">
        <f>IF(AND(AO8="IRR",SUM(AH8:AJ8)&gt;0),AP8,IF(AND(AO8="IRR",AQ8&lt;&gt;""),AQ8*'[5]Basic INFO'!$E$127,IF(AO8="IRR",AS8,"")))</f>
        <v>283333934999.99994</v>
      </c>
      <c r="F8" s="454" t="str">
        <f>IF(AND(AO8="EUR",SUM(AH8:AJ8)&gt;0),AP8,IF(AND(AO8="EUR",AR8&lt;&gt;""),AR8*'[5]Basic INFO'!$C$138,IF(AO8="EUR",AT8,"")))</f>
        <v/>
      </c>
      <c r="G8" s="455">
        <f t="shared" ref="G8" si="0">IF(AO8="IRR",C8*E8,"")</f>
        <v>283333934999.99994</v>
      </c>
      <c r="H8" s="456" t="str">
        <f t="shared" ref="H8" si="1">IF(AO8="EUR",C8*F8,"")</f>
        <v/>
      </c>
      <c r="I8" s="399" t="s">
        <v>413</v>
      </c>
      <c r="J8" s="410"/>
      <c r="K8" s="400"/>
      <c r="L8" s="400"/>
      <c r="M8" s="411" t="s">
        <v>433</v>
      </c>
      <c r="N8" s="399" t="s">
        <v>421</v>
      </c>
      <c r="O8" s="410"/>
      <c r="P8" s="400"/>
      <c r="Q8" s="400"/>
      <c r="R8" s="411" t="s">
        <v>433</v>
      </c>
      <c r="S8" s="399" t="s">
        <v>422</v>
      </c>
      <c r="T8" s="410"/>
      <c r="U8" s="400"/>
      <c r="V8" s="400"/>
      <c r="W8" s="411" t="s">
        <v>433</v>
      </c>
      <c r="X8" s="399" t="s">
        <v>423</v>
      </c>
      <c r="Y8" s="410"/>
      <c r="Z8" s="400">
        <v>540000</v>
      </c>
      <c r="AA8" s="400"/>
      <c r="AB8" s="412" t="s">
        <v>425</v>
      </c>
      <c r="AC8" s="399" t="s">
        <v>424</v>
      </c>
      <c r="AD8" s="410"/>
      <c r="AE8" s="400">
        <f>2.5*110000</f>
        <v>275000</v>
      </c>
      <c r="AF8" s="400"/>
      <c r="AG8" s="412">
        <v>45801</v>
      </c>
      <c r="AH8" s="441">
        <f>IF(B8="","",COUNT(J8,O8,T8,Y8,AD8))</f>
        <v>0</v>
      </c>
      <c r="AI8" s="442">
        <f>IF(B8="","",COUNT(K8,P8,U8,Z8,AE8))</f>
        <v>2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407500</v>
      </c>
      <c r="AM8" s="442" t="str">
        <f>IF(AND(AJ8&lt;&gt;"",AJ8&gt;0),AVERAGE(L8,Q8,V8,AA8,AF8)/'[5]Basic INFO'!$C$103,"")</f>
        <v/>
      </c>
      <c r="AN8" s="442">
        <f>IF(SUM(AH8:AJ8)&lt;&gt;0,AVERAGE(AK8:AM8),"")</f>
        <v>407500</v>
      </c>
      <c r="AO8" s="349" t="s">
        <v>525</v>
      </c>
      <c r="AP8" s="444">
        <f>IF(B8="","",IF(SUM(AH8:AJ8)=0,"",IF(AO8="IRR",AN8*('[5]Basic INFO'!$C$101*'[5]Basic INFO'!$C$103),IF(AO8="EUR",AN8,AP8))))</f>
        <v>283333934999.99994</v>
      </c>
      <c r="AQ8" s="364">
        <v>22500000000</v>
      </c>
      <c r="AR8" s="364"/>
      <c r="AS8" s="447"/>
      <c r="AT8" s="448"/>
    </row>
    <row r="9" spans="1:46" ht="120" x14ac:dyDescent="0.25">
      <c r="A9" s="401" t="s">
        <v>349</v>
      </c>
      <c r="B9" s="381" t="s">
        <v>478</v>
      </c>
      <c r="C9" s="363">
        <v>2</v>
      </c>
      <c r="D9" s="363"/>
      <c r="E9" s="453">
        <f>IF(AND(AO9="IRR",SUM(AH9:AJ9)&gt;0),AP9,IF(AND(AO9="IRR",AQ9&lt;&gt;""),AQ9*'[5]Basic INFO'!$E$127,IF(AO9="IRR",AS9,"")))</f>
        <v>162525907499.99997</v>
      </c>
      <c r="F9" s="454" t="str">
        <f>IF(AND(AO9="EUR",SUM(AH9:AJ9)&gt;0),AP9,IF(AND(AO9="EUR",AR9&lt;&gt;""),AR9*'[5]Basic INFO'!$C$138,IF(AO9="EUR",AT9,"")))</f>
        <v/>
      </c>
      <c r="G9" s="455">
        <f t="shared" ref="G9" si="2">IF(AO9="IRR",C9*E9,"")</f>
        <v>325051814999.99994</v>
      </c>
      <c r="H9" s="456" t="str">
        <f t="shared" ref="H9" si="3">IF(AO9="EUR",C9*F9,"")</f>
        <v/>
      </c>
      <c r="I9" s="399" t="s">
        <v>413</v>
      </c>
      <c r="J9" s="410"/>
      <c r="K9" s="400"/>
      <c r="L9" s="400"/>
      <c r="M9" s="411" t="s">
        <v>433</v>
      </c>
      <c r="N9" s="399" t="s">
        <v>421</v>
      </c>
      <c r="O9" s="410"/>
      <c r="P9" s="400"/>
      <c r="Q9" s="400"/>
      <c r="R9" s="411" t="s">
        <v>433</v>
      </c>
      <c r="S9" s="399" t="s">
        <v>422</v>
      </c>
      <c r="T9" s="410"/>
      <c r="U9" s="400"/>
      <c r="V9" s="400"/>
      <c r="W9" s="411" t="s">
        <v>433</v>
      </c>
      <c r="X9" s="399" t="s">
        <v>423</v>
      </c>
      <c r="Y9" s="410"/>
      <c r="Z9" s="400">
        <v>292500</v>
      </c>
      <c r="AA9" s="400"/>
      <c r="AB9" s="412" t="s">
        <v>426</v>
      </c>
      <c r="AC9" s="399" t="s">
        <v>424</v>
      </c>
      <c r="AD9" s="410"/>
      <c r="AE9" s="400">
        <f>2.5*70000</f>
        <v>175000</v>
      </c>
      <c r="AF9" s="400"/>
      <c r="AG9" s="412">
        <v>45801</v>
      </c>
      <c r="AH9" s="441">
        <f t="shared" ref="AH9" si="4">IF(B9="","",COUNT(J9,O9,T9,Y9,AD9))</f>
        <v>0</v>
      </c>
      <c r="AI9" s="442">
        <f t="shared" ref="AI9" si="5">IF(B9="","",COUNT(K9,P9,U9,Z9,AE9))</f>
        <v>2</v>
      </c>
      <c r="AJ9" s="442">
        <f t="shared" ref="AJ9" si="6">IF(B9="","",COUNT(L9,Q9,V9,AA9,AF9))</f>
        <v>0</v>
      </c>
      <c r="AK9" s="442" t="str">
        <f>IF(AND(AH9&lt;&gt;"",AH9&gt;0),AVERAGE(J9,O9,T9,Y9,AD9)/('[5]Basic INFO'!$C$101*'[5]Basic INFO'!$C$103),"")</f>
        <v/>
      </c>
      <c r="AL9" s="442">
        <f t="shared" ref="AL9" si="7">IF(AND(AI9&lt;&gt;"",AI9&gt;0),AVERAGE(K9,P9,U9,Z9,AE9),"")</f>
        <v>233750</v>
      </c>
      <c r="AM9" s="442" t="str">
        <f>IF(AND(AJ9&lt;&gt;"",AJ9&gt;0),AVERAGE(L9,Q9,V9,AA9,AF9)/'[5]Basic INFO'!$C$103,"")</f>
        <v/>
      </c>
      <c r="AN9" s="442">
        <f t="shared" ref="AN9" si="8">IF(SUM(AH9:AJ9)&lt;&gt;0,AVERAGE(AK9:AM9),"")</f>
        <v>233750</v>
      </c>
      <c r="AO9" s="349" t="s">
        <v>525</v>
      </c>
      <c r="AP9" s="444">
        <f>IF(B9="","",IF(SUM(AH9:AJ9)=0,"",IF(AO9="IRR",AN9*('[5]Basic INFO'!$C$101*'[5]Basic INFO'!$C$103),IF(AO9="EUR",AN9,AP9))))</f>
        <v>162525907499.99997</v>
      </c>
      <c r="AQ9" s="364">
        <v>13000000000</v>
      </c>
      <c r="AR9" s="364"/>
      <c r="AS9" s="447"/>
      <c r="AT9" s="448"/>
    </row>
    <row r="10" spans="1:46" ht="30" x14ac:dyDescent="0.25">
      <c r="A10" s="457"/>
      <c r="B10" s="458" t="s">
        <v>542</v>
      </c>
      <c r="C10" s="457"/>
      <c r="D10" s="457"/>
      <c r="E10" s="459"/>
      <c r="F10" s="460"/>
      <c r="G10" s="461">
        <f>SUM(G8:G9)</f>
        <v>608385749999.99988</v>
      </c>
      <c r="H10" s="462">
        <f>SUM(H8:H9)</f>
        <v>0</v>
      </c>
      <c r="AQ10" s="378" t="s">
        <v>297</v>
      </c>
      <c r="AR10" s="378" t="s">
        <v>298</v>
      </c>
    </row>
    <row r="11" spans="1:46" x14ac:dyDescent="0.25">
      <c r="A11" s="463"/>
      <c r="B11" s="464" t="s">
        <v>543</v>
      </c>
      <c r="C11" s="463"/>
      <c r="D11" s="463"/>
      <c r="E11"/>
      <c r="F11"/>
      <c r="G11" s="465">
        <v>1.18</v>
      </c>
      <c r="H11" s="465">
        <v>1.18</v>
      </c>
      <c r="AQ11" s="379"/>
      <c r="AR11" s="379"/>
    </row>
    <row r="12" spans="1:46" x14ac:dyDescent="0.25">
      <c r="A12" s="463"/>
      <c r="B12" s="464" t="s">
        <v>544</v>
      </c>
      <c r="C12" s="463"/>
      <c r="D12" s="463"/>
      <c r="E12"/>
      <c r="F12"/>
      <c r="G12" s="466">
        <v>0.1</v>
      </c>
      <c r="H12" s="466">
        <v>0.1</v>
      </c>
      <c r="AQ12" s="370"/>
      <c r="AR12" s="370"/>
    </row>
    <row r="13" spans="1:46" x14ac:dyDescent="0.25">
      <c r="A13" s="463"/>
      <c r="B13" s="467" t="s">
        <v>545</v>
      </c>
      <c r="C13" s="463"/>
      <c r="D13" s="463"/>
      <c r="E13"/>
      <c r="F13"/>
      <c r="G13" s="468">
        <f>ROUND((G10*G11*(1+G12))/1000000,0)*1000000</f>
        <v>789685000000</v>
      </c>
      <c r="H13" s="469">
        <f>ROUND(H10*H11*(1+H12)/1000,0)*1000</f>
        <v>0</v>
      </c>
      <c r="AQ13" s="370"/>
      <c r="AR13" s="370"/>
    </row>
    <row r="14" spans="1:46" x14ac:dyDescent="0.25">
      <c r="A14" s="434"/>
      <c r="B14" s="367"/>
      <c r="C14" s="369"/>
      <c r="D14" s="369"/>
      <c r="E14" s="370"/>
      <c r="F14" s="370"/>
      <c r="G14" s="461">
        <f>ROUND(SUMIF(AP:AP,"&gt;0",G:G)*G11*(1+G12)/1000000,0)*1000000</f>
        <v>789685000000</v>
      </c>
      <c r="H14" s="462">
        <f>ROUND(SUMIF(AP:AP,"&gt;0",H:H)*H11*(1+H12)/1000,0)*1000</f>
        <v>0</v>
      </c>
      <c r="AQ14" s="370"/>
      <c r="AR14" s="370"/>
    </row>
    <row r="15" spans="1:46" x14ac:dyDescent="0.25">
      <c r="A15" s="434"/>
      <c r="B15" s="367"/>
      <c r="C15" s="369"/>
      <c r="D15" s="369"/>
      <c r="E15" s="370"/>
      <c r="F15" s="370"/>
      <c r="G15" s="370"/>
      <c r="H15" s="370"/>
      <c r="AQ15" s="370"/>
      <c r="AR15" s="370"/>
    </row>
    <row r="16" spans="1:46" x14ac:dyDescent="0.25">
      <c r="A16" s="434"/>
      <c r="B16" s="367"/>
      <c r="C16" s="369"/>
      <c r="D16" s="369"/>
      <c r="E16" s="370"/>
      <c r="F16" s="370"/>
      <c r="G16" s="370"/>
      <c r="H16" s="370"/>
      <c r="AQ16" s="370"/>
      <c r="AR16" s="370"/>
    </row>
    <row r="17" spans="1:44" x14ac:dyDescent="0.25">
      <c r="A17" s="434"/>
      <c r="B17" s="367"/>
      <c r="C17" s="369"/>
      <c r="D17" s="369"/>
      <c r="E17" s="370"/>
      <c r="F17" s="370"/>
      <c r="G17" s="370"/>
      <c r="H17" s="370"/>
      <c r="AQ17" s="370"/>
      <c r="AR17" s="370"/>
    </row>
    <row r="18" spans="1:44" x14ac:dyDescent="0.25">
      <c r="A18" s="434"/>
      <c r="B18" s="367"/>
      <c r="C18" s="369"/>
      <c r="D18" s="369"/>
      <c r="E18" s="370"/>
      <c r="F18" s="370"/>
      <c r="G18" s="370"/>
      <c r="H18" s="370"/>
      <c r="AQ18" s="370"/>
      <c r="AR18" s="370"/>
    </row>
    <row r="19" spans="1:44" x14ac:dyDescent="0.25">
      <c r="A19" s="434"/>
      <c r="B19" s="367"/>
      <c r="C19" s="369"/>
      <c r="D19" s="369"/>
      <c r="E19" s="370"/>
      <c r="F19" s="370"/>
      <c r="G19" s="370"/>
      <c r="H19" s="370"/>
      <c r="AQ19" s="370"/>
      <c r="AR19" s="370"/>
    </row>
    <row r="20" spans="1:44" x14ac:dyDescent="0.25">
      <c r="A20" s="434"/>
      <c r="B20" s="367"/>
      <c r="C20" s="369"/>
      <c r="D20" s="369"/>
      <c r="E20" s="370"/>
      <c r="F20" s="370"/>
      <c r="G20" s="370"/>
      <c r="H20" s="370"/>
      <c r="AQ20" s="370"/>
      <c r="AR20" s="370"/>
    </row>
    <row r="21" spans="1:44" x14ac:dyDescent="0.25">
      <c r="A21" s="434"/>
      <c r="B21" s="367"/>
      <c r="C21" s="369"/>
      <c r="D21" s="369"/>
      <c r="E21" s="370"/>
      <c r="F21" s="370"/>
      <c r="G21" s="370"/>
      <c r="H21" s="370"/>
      <c r="AQ21" s="370"/>
      <c r="AR21" s="370"/>
    </row>
    <row r="22" spans="1:44" x14ac:dyDescent="0.25">
      <c r="A22" s="434"/>
      <c r="B22" s="367"/>
      <c r="C22" s="369"/>
      <c r="D22" s="369"/>
      <c r="E22" s="370"/>
      <c r="F22" s="370"/>
      <c r="G22" s="370"/>
      <c r="H22" s="370"/>
      <c r="AQ22" s="370"/>
      <c r="AR22" s="370"/>
    </row>
    <row r="23" spans="1:44" x14ac:dyDescent="0.25">
      <c r="A23" s="434"/>
      <c r="B23" s="367"/>
      <c r="C23" s="369"/>
      <c r="D23" s="369"/>
      <c r="E23" s="370"/>
      <c r="F23" s="370"/>
      <c r="G23" s="370"/>
      <c r="H23" s="370"/>
      <c r="AQ23" s="370"/>
      <c r="AR23" s="370"/>
    </row>
    <row r="24" spans="1:44" x14ac:dyDescent="0.25">
      <c r="A24" s="434"/>
      <c r="B24" s="367"/>
      <c r="C24" s="369"/>
      <c r="D24" s="369"/>
      <c r="E24" s="370"/>
      <c r="F24" s="370"/>
      <c r="G24" s="370"/>
      <c r="H24" s="370"/>
      <c r="AQ24" s="370"/>
      <c r="AR24" s="370"/>
    </row>
    <row r="25" spans="1:44" ht="15.75" thickBot="1" x14ac:dyDescent="0.3">
      <c r="A25" s="435"/>
      <c r="B25" s="372"/>
      <c r="C25" s="372"/>
      <c r="D25" s="372"/>
      <c r="E25" s="372"/>
      <c r="F25" s="372"/>
      <c r="G25" s="372"/>
      <c r="H25" s="372"/>
      <c r="AQ25" s="372"/>
      <c r="AR25" s="372"/>
    </row>
  </sheetData>
  <mergeCells count="5">
    <mergeCell ref="I6:M6"/>
    <mergeCell ref="N6:R6"/>
    <mergeCell ref="S6:W6"/>
    <mergeCell ref="X6:AB6"/>
    <mergeCell ref="AC6:AG6"/>
  </mergeCells>
  <dataValidations disablePrompts="1" count="1">
    <dataValidation type="list" allowBlank="1" showInputMessage="1" showErrorMessage="1" sqref="WBJ983045:WBK983048 JA65541:JB65544 SW65541:SX65544 ACS65541:ACT65544 AMO65541:AMP65544 AWK65541:AWL65544 BGG65541:BGH65544 BQC65541:BQD65544 BZY65541:BZZ65544 CJU65541:CJV65544 CTQ65541:CTR65544 DDM65541:DDN65544 DNI65541:DNJ65544 DXE65541:DXF65544 EHA65541:EHB65544 EQW65541:EQX65544 FAS65541:FAT65544 FKO65541:FKP65544 FUK65541:FUL65544 GEG65541:GEH65544 GOC65541:GOD65544 GXY65541:GXZ65544 HHU65541:HHV65544 HRQ65541:HRR65544 IBM65541:IBN65544 ILI65541:ILJ65544 IVE65541:IVF65544 JFA65541:JFB65544 JOW65541:JOX65544 JYS65541:JYT65544 KIO65541:KIP65544 KSK65541:KSL65544 LCG65541:LCH65544 LMC65541:LMD65544 LVY65541:LVZ65544 MFU65541:MFV65544 MPQ65541:MPR65544 MZM65541:MZN65544 NJI65541:NJJ65544 NTE65541:NTF65544 ODA65541:ODB65544 OMW65541:OMX65544 OWS65541:OWT65544 PGO65541:PGP65544 PQK65541:PQL65544 QAG65541:QAH65544 QKC65541:QKD65544 QTY65541:QTZ65544 RDU65541:RDV65544 RNQ65541:RNR65544 RXM65541:RXN65544 SHI65541:SHJ65544 SRE65541:SRF65544 TBA65541:TBB65544 TKW65541:TKX65544 TUS65541:TUT65544 UEO65541:UEP65544 UOK65541:UOL65544 UYG65541:UYH65544 VIC65541:VID65544 VRY65541:VRZ65544 WBU65541:WBV65544 WLQ65541:WLR65544 WVM65541:WVN65544 JA131077:JB131080 SW131077:SX131080 ACS131077:ACT131080 AMO131077:AMP131080 AWK131077:AWL131080 BGG131077:BGH131080 BQC131077:BQD131080 BZY131077:BZZ131080 CJU131077:CJV131080 CTQ131077:CTR131080 DDM131077:DDN131080 DNI131077:DNJ131080 DXE131077:DXF131080 EHA131077:EHB131080 EQW131077:EQX131080 FAS131077:FAT131080 FKO131077:FKP131080 FUK131077:FUL131080 GEG131077:GEH131080 GOC131077:GOD131080 GXY131077:GXZ131080 HHU131077:HHV131080 HRQ131077:HRR131080 IBM131077:IBN131080 ILI131077:ILJ131080 IVE131077:IVF131080 JFA131077:JFB131080 JOW131077:JOX131080 JYS131077:JYT131080 KIO131077:KIP131080 KSK131077:KSL131080 LCG131077:LCH131080 LMC131077:LMD131080 LVY131077:LVZ131080 MFU131077:MFV131080 MPQ131077:MPR131080 MZM131077:MZN131080 NJI131077:NJJ131080 NTE131077:NTF131080 ODA131077:ODB131080 OMW131077:OMX131080 OWS131077:OWT131080 PGO131077:PGP131080 PQK131077:PQL131080 QAG131077:QAH131080 QKC131077:QKD131080 QTY131077:QTZ131080 RDU131077:RDV131080 RNQ131077:RNR131080 RXM131077:RXN131080 SHI131077:SHJ131080 SRE131077:SRF131080 TBA131077:TBB131080 TKW131077:TKX131080 TUS131077:TUT131080 UEO131077:UEP131080 UOK131077:UOL131080 UYG131077:UYH131080 VIC131077:VID131080 VRY131077:VRZ131080 WBU131077:WBV131080 WLQ131077:WLR131080 WVM131077:WVN131080 JA196613:JB196616 SW196613:SX196616 ACS196613:ACT196616 AMO196613:AMP196616 AWK196613:AWL196616 BGG196613:BGH196616 BQC196613:BQD196616 BZY196613:BZZ196616 CJU196613:CJV196616 CTQ196613:CTR196616 DDM196613:DDN196616 DNI196613:DNJ196616 DXE196613:DXF196616 EHA196613:EHB196616 EQW196613:EQX196616 FAS196613:FAT196616 FKO196613:FKP196616 FUK196613:FUL196616 GEG196613:GEH196616 GOC196613:GOD196616 GXY196613:GXZ196616 HHU196613:HHV196616 HRQ196613:HRR196616 IBM196613:IBN196616 ILI196613:ILJ196616 IVE196613:IVF196616 JFA196613:JFB196616 JOW196613:JOX196616 JYS196613:JYT196616 KIO196613:KIP196616 KSK196613:KSL196616 LCG196613:LCH196616 LMC196613:LMD196616 LVY196613:LVZ196616 MFU196613:MFV196616 MPQ196613:MPR196616 MZM196613:MZN196616 NJI196613:NJJ196616 NTE196613:NTF196616 ODA196613:ODB196616 OMW196613:OMX196616 OWS196613:OWT196616 PGO196613:PGP196616 PQK196613:PQL196616 QAG196613:QAH196616 QKC196613:QKD196616 QTY196613:QTZ196616 RDU196613:RDV196616 RNQ196613:RNR196616 RXM196613:RXN196616 SHI196613:SHJ196616 SRE196613:SRF196616 TBA196613:TBB196616 TKW196613:TKX196616 TUS196613:TUT196616 UEO196613:UEP196616 UOK196613:UOL196616 UYG196613:UYH196616 VIC196613:VID196616 VRY196613:VRZ196616 WBU196613:WBV196616 WLQ196613:WLR196616 WVM196613:WVN196616 JA262149:JB262152 SW262149:SX262152 ACS262149:ACT262152 AMO262149:AMP262152 AWK262149:AWL262152 BGG262149:BGH262152 BQC262149:BQD262152 BZY262149:BZZ262152 CJU262149:CJV262152 CTQ262149:CTR262152 DDM262149:DDN262152 DNI262149:DNJ262152 DXE262149:DXF262152 EHA262149:EHB262152 EQW262149:EQX262152 FAS262149:FAT262152 FKO262149:FKP262152 FUK262149:FUL262152 GEG262149:GEH262152 GOC262149:GOD262152 GXY262149:GXZ262152 HHU262149:HHV262152 HRQ262149:HRR262152 IBM262149:IBN262152 ILI262149:ILJ262152 IVE262149:IVF262152 JFA262149:JFB262152 JOW262149:JOX262152 JYS262149:JYT262152 KIO262149:KIP262152 KSK262149:KSL262152 LCG262149:LCH262152 LMC262149:LMD262152 LVY262149:LVZ262152 MFU262149:MFV262152 MPQ262149:MPR262152 MZM262149:MZN262152 NJI262149:NJJ262152 NTE262149:NTF262152 ODA262149:ODB262152 OMW262149:OMX262152 OWS262149:OWT262152 PGO262149:PGP262152 PQK262149:PQL262152 QAG262149:QAH262152 QKC262149:QKD262152 QTY262149:QTZ262152 RDU262149:RDV262152 RNQ262149:RNR262152 RXM262149:RXN262152 SHI262149:SHJ262152 SRE262149:SRF262152 TBA262149:TBB262152 TKW262149:TKX262152 TUS262149:TUT262152 UEO262149:UEP262152 UOK262149:UOL262152 UYG262149:UYH262152 VIC262149:VID262152 VRY262149:VRZ262152 WBU262149:WBV262152 WLQ262149:WLR262152 WVM262149:WVN262152 JA327685:JB327688 SW327685:SX327688 ACS327685:ACT327688 AMO327685:AMP327688 AWK327685:AWL327688 BGG327685:BGH327688 BQC327685:BQD327688 BZY327685:BZZ327688 CJU327685:CJV327688 CTQ327685:CTR327688 DDM327685:DDN327688 DNI327685:DNJ327688 DXE327685:DXF327688 EHA327685:EHB327688 EQW327685:EQX327688 FAS327685:FAT327688 FKO327685:FKP327688 FUK327685:FUL327688 GEG327685:GEH327688 GOC327685:GOD327688 GXY327685:GXZ327688 HHU327685:HHV327688 HRQ327685:HRR327688 IBM327685:IBN327688 ILI327685:ILJ327688 IVE327685:IVF327688 JFA327685:JFB327688 JOW327685:JOX327688 JYS327685:JYT327688 KIO327685:KIP327688 KSK327685:KSL327688 LCG327685:LCH327688 LMC327685:LMD327688 LVY327685:LVZ327688 MFU327685:MFV327688 MPQ327685:MPR327688 MZM327685:MZN327688 NJI327685:NJJ327688 NTE327685:NTF327688 ODA327685:ODB327688 OMW327685:OMX327688 OWS327685:OWT327688 PGO327685:PGP327688 PQK327685:PQL327688 QAG327685:QAH327688 QKC327685:QKD327688 QTY327685:QTZ327688 RDU327685:RDV327688 RNQ327685:RNR327688 RXM327685:RXN327688 SHI327685:SHJ327688 SRE327685:SRF327688 TBA327685:TBB327688 TKW327685:TKX327688 TUS327685:TUT327688 UEO327685:UEP327688 UOK327685:UOL327688 UYG327685:UYH327688 VIC327685:VID327688 VRY327685:VRZ327688 WBU327685:WBV327688 WLQ327685:WLR327688 WVM327685:WVN327688 JA393221:JB393224 SW393221:SX393224 ACS393221:ACT393224 AMO393221:AMP393224 AWK393221:AWL393224 BGG393221:BGH393224 BQC393221:BQD393224 BZY393221:BZZ393224 CJU393221:CJV393224 CTQ393221:CTR393224 DDM393221:DDN393224 DNI393221:DNJ393224 DXE393221:DXF393224 EHA393221:EHB393224 EQW393221:EQX393224 FAS393221:FAT393224 FKO393221:FKP393224 FUK393221:FUL393224 GEG393221:GEH393224 GOC393221:GOD393224 GXY393221:GXZ393224 HHU393221:HHV393224 HRQ393221:HRR393224 IBM393221:IBN393224 ILI393221:ILJ393224 IVE393221:IVF393224 JFA393221:JFB393224 JOW393221:JOX393224 JYS393221:JYT393224 KIO393221:KIP393224 KSK393221:KSL393224 LCG393221:LCH393224 LMC393221:LMD393224 LVY393221:LVZ393224 MFU393221:MFV393224 MPQ393221:MPR393224 MZM393221:MZN393224 NJI393221:NJJ393224 NTE393221:NTF393224 ODA393221:ODB393224 OMW393221:OMX393224 OWS393221:OWT393224 PGO393221:PGP393224 PQK393221:PQL393224 QAG393221:QAH393224 QKC393221:QKD393224 QTY393221:QTZ393224 RDU393221:RDV393224 RNQ393221:RNR393224 RXM393221:RXN393224 SHI393221:SHJ393224 SRE393221:SRF393224 TBA393221:TBB393224 TKW393221:TKX393224 TUS393221:TUT393224 UEO393221:UEP393224 UOK393221:UOL393224 UYG393221:UYH393224 VIC393221:VID393224 VRY393221:VRZ393224 WBU393221:WBV393224 WLQ393221:WLR393224 WVM393221:WVN393224 JA458757:JB458760 SW458757:SX458760 ACS458757:ACT458760 AMO458757:AMP458760 AWK458757:AWL458760 BGG458757:BGH458760 BQC458757:BQD458760 BZY458757:BZZ458760 CJU458757:CJV458760 CTQ458757:CTR458760 DDM458757:DDN458760 DNI458757:DNJ458760 DXE458757:DXF458760 EHA458757:EHB458760 EQW458757:EQX458760 FAS458757:FAT458760 FKO458757:FKP458760 FUK458757:FUL458760 GEG458757:GEH458760 GOC458757:GOD458760 GXY458757:GXZ458760 HHU458757:HHV458760 HRQ458757:HRR458760 IBM458757:IBN458760 ILI458757:ILJ458760 IVE458757:IVF458760 JFA458757:JFB458760 JOW458757:JOX458760 JYS458757:JYT458760 KIO458757:KIP458760 KSK458757:KSL458760 LCG458757:LCH458760 LMC458757:LMD458760 LVY458757:LVZ458760 MFU458757:MFV458760 MPQ458757:MPR458760 MZM458757:MZN458760 NJI458757:NJJ458760 NTE458757:NTF458760 ODA458757:ODB458760 OMW458757:OMX458760 OWS458757:OWT458760 PGO458757:PGP458760 PQK458757:PQL458760 QAG458757:QAH458760 QKC458757:QKD458760 QTY458757:QTZ458760 RDU458757:RDV458760 RNQ458757:RNR458760 RXM458757:RXN458760 SHI458757:SHJ458760 SRE458757:SRF458760 TBA458757:TBB458760 TKW458757:TKX458760 TUS458757:TUT458760 UEO458757:UEP458760 UOK458757:UOL458760 UYG458757:UYH458760 VIC458757:VID458760 VRY458757:VRZ458760 WBU458757:WBV458760 WLQ458757:WLR458760 WVM458757:WVN458760 JA524293:JB524296 SW524293:SX524296 ACS524293:ACT524296 AMO524293:AMP524296 AWK524293:AWL524296 BGG524293:BGH524296 BQC524293:BQD524296 BZY524293:BZZ524296 CJU524293:CJV524296 CTQ524293:CTR524296 DDM524293:DDN524296 DNI524293:DNJ524296 DXE524293:DXF524296 EHA524293:EHB524296 EQW524293:EQX524296 FAS524293:FAT524296 FKO524293:FKP524296 FUK524293:FUL524296 GEG524293:GEH524296 GOC524293:GOD524296 GXY524293:GXZ524296 HHU524293:HHV524296 HRQ524293:HRR524296 IBM524293:IBN524296 ILI524293:ILJ524296 IVE524293:IVF524296 JFA524293:JFB524296 JOW524293:JOX524296 JYS524293:JYT524296 KIO524293:KIP524296 KSK524293:KSL524296 LCG524293:LCH524296 LMC524293:LMD524296 LVY524293:LVZ524296 MFU524293:MFV524296 MPQ524293:MPR524296 MZM524293:MZN524296 NJI524293:NJJ524296 NTE524293:NTF524296 ODA524293:ODB524296 OMW524293:OMX524296 OWS524293:OWT524296 PGO524293:PGP524296 PQK524293:PQL524296 QAG524293:QAH524296 QKC524293:QKD524296 QTY524293:QTZ524296 RDU524293:RDV524296 RNQ524293:RNR524296 RXM524293:RXN524296 SHI524293:SHJ524296 SRE524293:SRF524296 TBA524293:TBB524296 TKW524293:TKX524296 TUS524293:TUT524296 UEO524293:UEP524296 UOK524293:UOL524296 UYG524293:UYH524296 VIC524293:VID524296 VRY524293:VRZ524296 WBU524293:WBV524296 WLQ524293:WLR524296 WVM524293:WVN524296 JA589829:JB589832 SW589829:SX589832 ACS589829:ACT589832 AMO589829:AMP589832 AWK589829:AWL589832 BGG589829:BGH589832 BQC589829:BQD589832 BZY589829:BZZ589832 CJU589829:CJV589832 CTQ589829:CTR589832 DDM589829:DDN589832 DNI589829:DNJ589832 DXE589829:DXF589832 EHA589829:EHB589832 EQW589829:EQX589832 FAS589829:FAT589832 FKO589829:FKP589832 FUK589829:FUL589832 GEG589829:GEH589832 GOC589829:GOD589832 GXY589829:GXZ589832 HHU589829:HHV589832 HRQ589829:HRR589832 IBM589829:IBN589832 ILI589829:ILJ589832 IVE589829:IVF589832 JFA589829:JFB589832 JOW589829:JOX589832 JYS589829:JYT589832 KIO589829:KIP589832 KSK589829:KSL589832 LCG589829:LCH589832 LMC589829:LMD589832 LVY589829:LVZ589832 MFU589829:MFV589832 MPQ589829:MPR589832 MZM589829:MZN589832 NJI589829:NJJ589832 NTE589829:NTF589832 ODA589829:ODB589832 OMW589829:OMX589832 OWS589829:OWT589832 PGO589829:PGP589832 PQK589829:PQL589832 QAG589829:QAH589832 QKC589829:QKD589832 QTY589829:QTZ589832 RDU589829:RDV589832 RNQ589829:RNR589832 RXM589829:RXN589832 SHI589829:SHJ589832 SRE589829:SRF589832 TBA589829:TBB589832 TKW589829:TKX589832 TUS589829:TUT589832 UEO589829:UEP589832 UOK589829:UOL589832 UYG589829:UYH589832 VIC589829:VID589832 VRY589829:VRZ589832 WBU589829:WBV589832 WLQ589829:WLR589832 WVM589829:WVN589832 JA655365:JB655368 SW655365:SX655368 ACS655365:ACT655368 AMO655365:AMP655368 AWK655365:AWL655368 BGG655365:BGH655368 BQC655365:BQD655368 BZY655365:BZZ655368 CJU655365:CJV655368 CTQ655365:CTR655368 DDM655365:DDN655368 DNI655365:DNJ655368 DXE655365:DXF655368 EHA655365:EHB655368 EQW655365:EQX655368 FAS655365:FAT655368 FKO655365:FKP655368 FUK655365:FUL655368 GEG655365:GEH655368 GOC655365:GOD655368 GXY655365:GXZ655368 HHU655365:HHV655368 HRQ655365:HRR655368 IBM655365:IBN655368 ILI655365:ILJ655368 IVE655365:IVF655368 JFA655365:JFB655368 JOW655365:JOX655368 JYS655365:JYT655368 KIO655365:KIP655368 KSK655365:KSL655368 LCG655365:LCH655368 LMC655365:LMD655368 LVY655365:LVZ655368 MFU655365:MFV655368 MPQ655365:MPR655368 MZM655365:MZN655368 NJI655365:NJJ655368 NTE655365:NTF655368 ODA655365:ODB655368 OMW655365:OMX655368 OWS655365:OWT655368 PGO655365:PGP655368 PQK655365:PQL655368 QAG655365:QAH655368 QKC655365:QKD655368 QTY655365:QTZ655368 RDU655365:RDV655368 RNQ655365:RNR655368 RXM655365:RXN655368 SHI655365:SHJ655368 SRE655365:SRF655368 TBA655365:TBB655368 TKW655365:TKX655368 TUS655365:TUT655368 UEO655365:UEP655368 UOK655365:UOL655368 UYG655365:UYH655368 VIC655365:VID655368 VRY655365:VRZ655368 WBU655365:WBV655368 WLQ655365:WLR655368 WVM655365:WVN655368 JA720901:JB720904 SW720901:SX720904 ACS720901:ACT720904 AMO720901:AMP720904 AWK720901:AWL720904 BGG720901:BGH720904 BQC720901:BQD720904 BZY720901:BZZ720904 CJU720901:CJV720904 CTQ720901:CTR720904 DDM720901:DDN720904 DNI720901:DNJ720904 DXE720901:DXF720904 EHA720901:EHB720904 EQW720901:EQX720904 FAS720901:FAT720904 FKO720901:FKP720904 FUK720901:FUL720904 GEG720901:GEH720904 GOC720901:GOD720904 GXY720901:GXZ720904 HHU720901:HHV720904 HRQ720901:HRR720904 IBM720901:IBN720904 ILI720901:ILJ720904 IVE720901:IVF720904 JFA720901:JFB720904 JOW720901:JOX720904 JYS720901:JYT720904 KIO720901:KIP720904 KSK720901:KSL720904 LCG720901:LCH720904 LMC720901:LMD720904 LVY720901:LVZ720904 MFU720901:MFV720904 MPQ720901:MPR720904 MZM720901:MZN720904 NJI720901:NJJ720904 NTE720901:NTF720904 ODA720901:ODB720904 OMW720901:OMX720904 OWS720901:OWT720904 PGO720901:PGP720904 PQK720901:PQL720904 QAG720901:QAH720904 QKC720901:QKD720904 QTY720901:QTZ720904 RDU720901:RDV720904 RNQ720901:RNR720904 RXM720901:RXN720904 SHI720901:SHJ720904 SRE720901:SRF720904 TBA720901:TBB720904 TKW720901:TKX720904 TUS720901:TUT720904 UEO720901:UEP720904 UOK720901:UOL720904 UYG720901:UYH720904 VIC720901:VID720904 VRY720901:VRZ720904 WBU720901:WBV720904 WLQ720901:WLR720904 WVM720901:WVN720904 JA786437:JB786440 SW786437:SX786440 ACS786437:ACT786440 AMO786437:AMP786440 AWK786437:AWL786440 BGG786437:BGH786440 BQC786437:BQD786440 BZY786437:BZZ786440 CJU786437:CJV786440 CTQ786437:CTR786440 DDM786437:DDN786440 DNI786437:DNJ786440 DXE786437:DXF786440 EHA786437:EHB786440 EQW786437:EQX786440 FAS786437:FAT786440 FKO786437:FKP786440 FUK786437:FUL786440 GEG786437:GEH786440 GOC786437:GOD786440 GXY786437:GXZ786440 HHU786437:HHV786440 HRQ786437:HRR786440 IBM786437:IBN786440 ILI786437:ILJ786440 IVE786437:IVF786440 JFA786437:JFB786440 JOW786437:JOX786440 JYS786437:JYT786440 KIO786437:KIP786440 KSK786437:KSL786440 LCG786437:LCH786440 LMC786437:LMD786440 LVY786437:LVZ786440 MFU786437:MFV786440 MPQ786437:MPR786440 MZM786437:MZN786440 NJI786437:NJJ786440 NTE786437:NTF786440 ODA786437:ODB786440 OMW786437:OMX786440 OWS786437:OWT786440 PGO786437:PGP786440 PQK786437:PQL786440 QAG786437:QAH786440 QKC786437:QKD786440 QTY786437:QTZ786440 RDU786437:RDV786440 RNQ786437:RNR786440 RXM786437:RXN786440 SHI786437:SHJ786440 SRE786437:SRF786440 TBA786437:TBB786440 TKW786437:TKX786440 TUS786437:TUT786440 UEO786437:UEP786440 UOK786437:UOL786440 UYG786437:UYH786440 VIC786437:VID786440 VRY786437:VRZ786440 WBU786437:WBV786440 WLQ786437:WLR786440 WVM786437:WVN786440 JA851973:JB851976 SW851973:SX851976 ACS851973:ACT851976 AMO851973:AMP851976 AWK851973:AWL851976 BGG851973:BGH851976 BQC851973:BQD851976 BZY851973:BZZ851976 CJU851973:CJV851976 CTQ851973:CTR851976 DDM851973:DDN851976 DNI851973:DNJ851976 DXE851973:DXF851976 EHA851973:EHB851976 EQW851973:EQX851976 FAS851973:FAT851976 FKO851973:FKP851976 FUK851973:FUL851976 GEG851973:GEH851976 GOC851973:GOD851976 GXY851973:GXZ851976 HHU851973:HHV851976 HRQ851973:HRR851976 IBM851973:IBN851976 ILI851973:ILJ851976 IVE851973:IVF851976 JFA851973:JFB851976 JOW851973:JOX851976 JYS851973:JYT851976 KIO851973:KIP851976 KSK851973:KSL851976 LCG851973:LCH851976 LMC851973:LMD851976 LVY851973:LVZ851976 MFU851973:MFV851976 MPQ851973:MPR851976 MZM851973:MZN851976 NJI851973:NJJ851976 NTE851973:NTF851976 ODA851973:ODB851976 OMW851973:OMX851976 OWS851973:OWT851976 PGO851973:PGP851976 PQK851973:PQL851976 QAG851973:QAH851976 QKC851973:QKD851976 QTY851973:QTZ851976 RDU851973:RDV851976 RNQ851973:RNR851976 RXM851973:RXN851976 SHI851973:SHJ851976 SRE851973:SRF851976 TBA851973:TBB851976 TKW851973:TKX851976 TUS851973:TUT851976 UEO851973:UEP851976 UOK851973:UOL851976 UYG851973:UYH851976 VIC851973:VID851976 VRY851973:VRZ851976 WBU851973:WBV851976 WLQ851973:WLR851976 WVM851973:WVN851976 JA917509:JB917512 SW917509:SX917512 ACS917509:ACT917512 AMO917509:AMP917512 AWK917509:AWL917512 BGG917509:BGH917512 BQC917509:BQD917512 BZY917509:BZZ917512 CJU917509:CJV917512 CTQ917509:CTR917512 DDM917509:DDN917512 DNI917509:DNJ917512 DXE917509:DXF917512 EHA917509:EHB917512 EQW917509:EQX917512 FAS917509:FAT917512 FKO917509:FKP917512 FUK917509:FUL917512 GEG917509:GEH917512 GOC917509:GOD917512 GXY917509:GXZ917512 HHU917509:HHV917512 HRQ917509:HRR917512 IBM917509:IBN917512 ILI917509:ILJ917512 IVE917509:IVF917512 JFA917509:JFB917512 JOW917509:JOX917512 JYS917509:JYT917512 KIO917509:KIP917512 KSK917509:KSL917512 LCG917509:LCH917512 LMC917509:LMD917512 LVY917509:LVZ917512 MFU917509:MFV917512 MPQ917509:MPR917512 MZM917509:MZN917512 NJI917509:NJJ917512 NTE917509:NTF917512 ODA917509:ODB917512 OMW917509:OMX917512 OWS917509:OWT917512 PGO917509:PGP917512 PQK917509:PQL917512 QAG917509:QAH917512 QKC917509:QKD917512 QTY917509:QTZ917512 RDU917509:RDV917512 RNQ917509:RNR917512 RXM917509:RXN917512 SHI917509:SHJ917512 SRE917509:SRF917512 TBA917509:TBB917512 TKW917509:TKX917512 TUS917509:TUT917512 UEO917509:UEP917512 UOK917509:UOL917512 UYG917509:UYH917512 VIC917509:VID917512 VRY917509:VRZ917512 WBU917509:WBV917512 WLQ917509:WLR917512 WVM917509:WVN917512 JA983045:JB983048 SW983045:SX983048 ACS983045:ACT983048 AMO983045:AMP983048 AWK983045:AWL983048 BGG983045:BGH983048 BQC983045:BQD983048 BZY983045:BZZ983048 CJU983045:CJV983048 CTQ983045:CTR983048 DDM983045:DDN983048 DNI983045:DNJ983048 DXE983045:DXF983048 EHA983045:EHB983048 EQW983045:EQX983048 FAS983045:FAT983048 FKO983045:FKP983048 FUK983045:FUL983048 GEG983045:GEH983048 GOC983045:GOD983048 GXY983045:GXZ983048 HHU983045:HHV983048 HRQ983045:HRR983048 IBM983045:IBN983048 ILI983045:ILJ983048 IVE983045:IVF983048 JFA983045:JFB983048 JOW983045:JOX983048 JYS983045:JYT983048 KIO983045:KIP983048 KSK983045:KSL983048 LCG983045:LCH983048 LMC983045:LMD983048 LVY983045:LVZ983048 MFU983045:MFV983048 MPQ983045:MPR983048 MZM983045:MZN983048 NJI983045:NJJ983048 NTE983045:NTF983048 ODA983045:ODB983048 OMW983045:OMX983048 OWS983045:OWT983048 PGO983045:PGP983048 PQK983045:PQL983048 QAG983045:QAH983048 QKC983045:QKD983048 QTY983045:QTZ983048 RDU983045:RDV983048 RNQ983045:RNR983048 RXM983045:RXN983048 SHI983045:SHJ983048 SRE983045:SRF983048 TBA983045:TBB983048 TKW983045:TKX983048 TUS983045:TUT983048 UEO983045:UEP983048 UOK983045:UOL983048 UYG983045:UYH983048 VIC983045:VID983048 VRY983045:VRZ983048 WBU983045:WBV983048 WLQ983045:WLR983048 WVM983045:WVN983048 WLF983045:WLG983048 IE65541:IF65544 SA65541:SB65544 ABW65541:ABX65544 ALS65541:ALT65544 AVO65541:AVP65544 BFK65541:BFL65544 BPG65541:BPH65544 BZC65541:BZD65544 CIY65541:CIZ65544 CSU65541:CSV65544 DCQ65541:DCR65544 DMM65541:DMN65544 DWI65541:DWJ65544 EGE65541:EGF65544 EQA65541:EQB65544 EZW65541:EZX65544 FJS65541:FJT65544 FTO65541:FTP65544 GDK65541:GDL65544 GNG65541:GNH65544 GXC65541:GXD65544 HGY65541:HGZ65544 HQU65541:HQV65544 IAQ65541:IAR65544 IKM65541:IKN65544 IUI65541:IUJ65544 JEE65541:JEF65544 JOA65541:JOB65544 JXW65541:JXX65544 KHS65541:KHT65544 KRO65541:KRP65544 LBK65541:LBL65544 LLG65541:LLH65544 LVC65541:LVD65544 MEY65541:MEZ65544 MOU65541:MOV65544 MYQ65541:MYR65544 NIM65541:NIN65544 NSI65541:NSJ65544 OCE65541:OCF65544 OMA65541:OMB65544 OVW65541:OVX65544 PFS65541:PFT65544 PPO65541:PPP65544 PZK65541:PZL65544 QJG65541:QJH65544 QTC65541:QTD65544 RCY65541:RCZ65544 RMU65541:RMV65544 RWQ65541:RWR65544 SGM65541:SGN65544 SQI65541:SQJ65544 TAE65541:TAF65544 TKA65541:TKB65544 TTW65541:TTX65544 UDS65541:UDT65544 UNO65541:UNP65544 UXK65541:UXL65544 VHG65541:VHH65544 VRC65541:VRD65544 WAY65541:WAZ65544 WKU65541:WKV65544 WUQ65541:WUR65544 IE131077:IF131080 SA131077:SB131080 ABW131077:ABX131080 ALS131077:ALT131080 AVO131077:AVP131080 BFK131077:BFL131080 BPG131077:BPH131080 BZC131077:BZD131080 CIY131077:CIZ131080 CSU131077:CSV131080 DCQ131077:DCR131080 DMM131077:DMN131080 DWI131077:DWJ131080 EGE131077:EGF131080 EQA131077:EQB131080 EZW131077:EZX131080 FJS131077:FJT131080 FTO131077:FTP131080 GDK131077:GDL131080 GNG131077:GNH131080 GXC131077:GXD131080 HGY131077:HGZ131080 HQU131077:HQV131080 IAQ131077:IAR131080 IKM131077:IKN131080 IUI131077:IUJ131080 JEE131077:JEF131080 JOA131077:JOB131080 JXW131077:JXX131080 KHS131077:KHT131080 KRO131077:KRP131080 LBK131077:LBL131080 LLG131077:LLH131080 LVC131077:LVD131080 MEY131077:MEZ131080 MOU131077:MOV131080 MYQ131077:MYR131080 NIM131077:NIN131080 NSI131077:NSJ131080 OCE131077:OCF131080 OMA131077:OMB131080 OVW131077:OVX131080 PFS131077:PFT131080 PPO131077:PPP131080 PZK131077:PZL131080 QJG131077:QJH131080 QTC131077:QTD131080 RCY131077:RCZ131080 RMU131077:RMV131080 RWQ131077:RWR131080 SGM131077:SGN131080 SQI131077:SQJ131080 TAE131077:TAF131080 TKA131077:TKB131080 TTW131077:TTX131080 UDS131077:UDT131080 UNO131077:UNP131080 UXK131077:UXL131080 VHG131077:VHH131080 VRC131077:VRD131080 WAY131077:WAZ131080 WKU131077:WKV131080 WUQ131077:WUR131080 IE196613:IF196616 SA196613:SB196616 ABW196613:ABX196616 ALS196613:ALT196616 AVO196613:AVP196616 BFK196613:BFL196616 BPG196613:BPH196616 BZC196613:BZD196616 CIY196613:CIZ196616 CSU196613:CSV196616 DCQ196613:DCR196616 DMM196613:DMN196616 DWI196613:DWJ196616 EGE196613:EGF196616 EQA196613:EQB196616 EZW196613:EZX196616 FJS196613:FJT196616 FTO196613:FTP196616 GDK196613:GDL196616 GNG196613:GNH196616 GXC196613:GXD196616 HGY196613:HGZ196616 HQU196613:HQV196616 IAQ196613:IAR196616 IKM196613:IKN196616 IUI196613:IUJ196616 JEE196613:JEF196616 JOA196613:JOB196616 JXW196613:JXX196616 KHS196613:KHT196616 KRO196613:KRP196616 LBK196613:LBL196616 LLG196613:LLH196616 LVC196613:LVD196616 MEY196613:MEZ196616 MOU196613:MOV196616 MYQ196613:MYR196616 NIM196613:NIN196616 NSI196613:NSJ196616 OCE196613:OCF196616 OMA196613:OMB196616 OVW196613:OVX196616 PFS196613:PFT196616 PPO196613:PPP196616 PZK196613:PZL196616 QJG196613:QJH196616 QTC196613:QTD196616 RCY196613:RCZ196616 RMU196613:RMV196616 RWQ196613:RWR196616 SGM196613:SGN196616 SQI196613:SQJ196616 TAE196613:TAF196616 TKA196613:TKB196616 TTW196613:TTX196616 UDS196613:UDT196616 UNO196613:UNP196616 UXK196613:UXL196616 VHG196613:VHH196616 VRC196613:VRD196616 WAY196613:WAZ196616 WKU196613:WKV196616 WUQ196613:WUR196616 IE262149:IF262152 SA262149:SB262152 ABW262149:ABX262152 ALS262149:ALT262152 AVO262149:AVP262152 BFK262149:BFL262152 BPG262149:BPH262152 BZC262149:BZD262152 CIY262149:CIZ262152 CSU262149:CSV262152 DCQ262149:DCR262152 DMM262149:DMN262152 DWI262149:DWJ262152 EGE262149:EGF262152 EQA262149:EQB262152 EZW262149:EZX262152 FJS262149:FJT262152 FTO262149:FTP262152 GDK262149:GDL262152 GNG262149:GNH262152 GXC262149:GXD262152 HGY262149:HGZ262152 HQU262149:HQV262152 IAQ262149:IAR262152 IKM262149:IKN262152 IUI262149:IUJ262152 JEE262149:JEF262152 JOA262149:JOB262152 JXW262149:JXX262152 KHS262149:KHT262152 KRO262149:KRP262152 LBK262149:LBL262152 LLG262149:LLH262152 LVC262149:LVD262152 MEY262149:MEZ262152 MOU262149:MOV262152 MYQ262149:MYR262152 NIM262149:NIN262152 NSI262149:NSJ262152 OCE262149:OCF262152 OMA262149:OMB262152 OVW262149:OVX262152 PFS262149:PFT262152 PPO262149:PPP262152 PZK262149:PZL262152 QJG262149:QJH262152 QTC262149:QTD262152 RCY262149:RCZ262152 RMU262149:RMV262152 RWQ262149:RWR262152 SGM262149:SGN262152 SQI262149:SQJ262152 TAE262149:TAF262152 TKA262149:TKB262152 TTW262149:TTX262152 UDS262149:UDT262152 UNO262149:UNP262152 UXK262149:UXL262152 VHG262149:VHH262152 VRC262149:VRD262152 WAY262149:WAZ262152 WKU262149:WKV262152 WUQ262149:WUR262152 IE327685:IF327688 SA327685:SB327688 ABW327685:ABX327688 ALS327685:ALT327688 AVO327685:AVP327688 BFK327685:BFL327688 BPG327685:BPH327688 BZC327685:BZD327688 CIY327685:CIZ327688 CSU327685:CSV327688 DCQ327685:DCR327688 DMM327685:DMN327688 DWI327685:DWJ327688 EGE327685:EGF327688 EQA327685:EQB327688 EZW327685:EZX327688 FJS327685:FJT327688 FTO327685:FTP327688 GDK327685:GDL327688 GNG327685:GNH327688 GXC327685:GXD327688 HGY327685:HGZ327688 HQU327685:HQV327688 IAQ327685:IAR327688 IKM327685:IKN327688 IUI327685:IUJ327688 JEE327685:JEF327688 JOA327685:JOB327688 JXW327685:JXX327688 KHS327685:KHT327688 KRO327685:KRP327688 LBK327685:LBL327688 LLG327685:LLH327688 LVC327685:LVD327688 MEY327685:MEZ327688 MOU327685:MOV327688 MYQ327685:MYR327688 NIM327685:NIN327688 NSI327685:NSJ327688 OCE327685:OCF327688 OMA327685:OMB327688 OVW327685:OVX327688 PFS327685:PFT327688 PPO327685:PPP327688 PZK327685:PZL327688 QJG327685:QJH327688 QTC327685:QTD327688 RCY327685:RCZ327688 RMU327685:RMV327688 RWQ327685:RWR327688 SGM327685:SGN327688 SQI327685:SQJ327688 TAE327685:TAF327688 TKA327685:TKB327688 TTW327685:TTX327688 UDS327685:UDT327688 UNO327685:UNP327688 UXK327685:UXL327688 VHG327685:VHH327688 VRC327685:VRD327688 WAY327685:WAZ327688 WKU327685:WKV327688 WUQ327685:WUR327688 IE393221:IF393224 SA393221:SB393224 ABW393221:ABX393224 ALS393221:ALT393224 AVO393221:AVP393224 BFK393221:BFL393224 BPG393221:BPH393224 BZC393221:BZD393224 CIY393221:CIZ393224 CSU393221:CSV393224 DCQ393221:DCR393224 DMM393221:DMN393224 DWI393221:DWJ393224 EGE393221:EGF393224 EQA393221:EQB393224 EZW393221:EZX393224 FJS393221:FJT393224 FTO393221:FTP393224 GDK393221:GDL393224 GNG393221:GNH393224 GXC393221:GXD393224 HGY393221:HGZ393224 HQU393221:HQV393224 IAQ393221:IAR393224 IKM393221:IKN393224 IUI393221:IUJ393224 JEE393221:JEF393224 JOA393221:JOB393224 JXW393221:JXX393224 KHS393221:KHT393224 KRO393221:KRP393224 LBK393221:LBL393224 LLG393221:LLH393224 LVC393221:LVD393224 MEY393221:MEZ393224 MOU393221:MOV393224 MYQ393221:MYR393224 NIM393221:NIN393224 NSI393221:NSJ393224 OCE393221:OCF393224 OMA393221:OMB393224 OVW393221:OVX393224 PFS393221:PFT393224 PPO393221:PPP393224 PZK393221:PZL393224 QJG393221:QJH393224 QTC393221:QTD393224 RCY393221:RCZ393224 RMU393221:RMV393224 RWQ393221:RWR393224 SGM393221:SGN393224 SQI393221:SQJ393224 TAE393221:TAF393224 TKA393221:TKB393224 TTW393221:TTX393224 UDS393221:UDT393224 UNO393221:UNP393224 UXK393221:UXL393224 VHG393221:VHH393224 VRC393221:VRD393224 WAY393221:WAZ393224 WKU393221:WKV393224 WUQ393221:WUR393224 IE458757:IF458760 SA458757:SB458760 ABW458757:ABX458760 ALS458757:ALT458760 AVO458757:AVP458760 BFK458757:BFL458760 BPG458757:BPH458760 BZC458757:BZD458760 CIY458757:CIZ458760 CSU458757:CSV458760 DCQ458757:DCR458760 DMM458757:DMN458760 DWI458757:DWJ458760 EGE458757:EGF458760 EQA458757:EQB458760 EZW458757:EZX458760 FJS458757:FJT458760 FTO458757:FTP458760 GDK458757:GDL458760 GNG458757:GNH458760 GXC458757:GXD458760 HGY458757:HGZ458760 HQU458757:HQV458760 IAQ458757:IAR458760 IKM458757:IKN458760 IUI458757:IUJ458760 JEE458757:JEF458760 JOA458757:JOB458760 JXW458757:JXX458760 KHS458757:KHT458760 KRO458757:KRP458760 LBK458757:LBL458760 LLG458757:LLH458760 LVC458757:LVD458760 MEY458757:MEZ458760 MOU458757:MOV458760 MYQ458757:MYR458760 NIM458757:NIN458760 NSI458757:NSJ458760 OCE458757:OCF458760 OMA458757:OMB458760 OVW458757:OVX458760 PFS458757:PFT458760 PPO458757:PPP458760 PZK458757:PZL458760 QJG458757:QJH458760 QTC458757:QTD458760 RCY458757:RCZ458760 RMU458757:RMV458760 RWQ458757:RWR458760 SGM458757:SGN458760 SQI458757:SQJ458760 TAE458757:TAF458760 TKA458757:TKB458760 TTW458757:TTX458760 UDS458757:UDT458760 UNO458757:UNP458760 UXK458757:UXL458760 VHG458757:VHH458760 VRC458757:VRD458760 WAY458757:WAZ458760 WKU458757:WKV458760 WUQ458757:WUR458760 IE524293:IF524296 SA524293:SB524296 ABW524293:ABX524296 ALS524293:ALT524296 AVO524293:AVP524296 BFK524293:BFL524296 BPG524293:BPH524296 BZC524293:BZD524296 CIY524293:CIZ524296 CSU524293:CSV524296 DCQ524293:DCR524296 DMM524293:DMN524296 DWI524293:DWJ524296 EGE524293:EGF524296 EQA524293:EQB524296 EZW524293:EZX524296 FJS524293:FJT524296 FTO524293:FTP524296 GDK524293:GDL524296 GNG524293:GNH524296 GXC524293:GXD524296 HGY524293:HGZ524296 HQU524293:HQV524296 IAQ524293:IAR524296 IKM524293:IKN524296 IUI524293:IUJ524296 JEE524293:JEF524296 JOA524293:JOB524296 JXW524293:JXX524296 KHS524293:KHT524296 KRO524293:KRP524296 LBK524293:LBL524296 LLG524293:LLH524296 LVC524293:LVD524296 MEY524293:MEZ524296 MOU524293:MOV524296 MYQ524293:MYR524296 NIM524293:NIN524296 NSI524293:NSJ524296 OCE524293:OCF524296 OMA524293:OMB524296 OVW524293:OVX524296 PFS524293:PFT524296 PPO524293:PPP524296 PZK524293:PZL524296 QJG524293:QJH524296 QTC524293:QTD524296 RCY524293:RCZ524296 RMU524293:RMV524296 RWQ524293:RWR524296 SGM524293:SGN524296 SQI524293:SQJ524296 TAE524293:TAF524296 TKA524293:TKB524296 TTW524293:TTX524296 UDS524293:UDT524296 UNO524293:UNP524296 UXK524293:UXL524296 VHG524293:VHH524296 VRC524293:VRD524296 WAY524293:WAZ524296 WKU524293:WKV524296 WUQ524293:WUR524296 IE589829:IF589832 SA589829:SB589832 ABW589829:ABX589832 ALS589829:ALT589832 AVO589829:AVP589832 BFK589829:BFL589832 BPG589829:BPH589832 BZC589829:BZD589832 CIY589829:CIZ589832 CSU589829:CSV589832 DCQ589829:DCR589832 DMM589829:DMN589832 DWI589829:DWJ589832 EGE589829:EGF589832 EQA589829:EQB589832 EZW589829:EZX589832 FJS589829:FJT589832 FTO589829:FTP589832 GDK589829:GDL589832 GNG589829:GNH589832 GXC589829:GXD589832 HGY589829:HGZ589832 HQU589829:HQV589832 IAQ589829:IAR589832 IKM589829:IKN589832 IUI589829:IUJ589832 JEE589829:JEF589832 JOA589829:JOB589832 JXW589829:JXX589832 KHS589829:KHT589832 KRO589829:KRP589832 LBK589829:LBL589832 LLG589829:LLH589832 LVC589829:LVD589832 MEY589829:MEZ589832 MOU589829:MOV589832 MYQ589829:MYR589832 NIM589829:NIN589832 NSI589829:NSJ589832 OCE589829:OCF589832 OMA589829:OMB589832 OVW589829:OVX589832 PFS589829:PFT589832 PPO589829:PPP589832 PZK589829:PZL589832 QJG589829:QJH589832 QTC589829:QTD589832 RCY589829:RCZ589832 RMU589829:RMV589832 RWQ589829:RWR589832 SGM589829:SGN589832 SQI589829:SQJ589832 TAE589829:TAF589832 TKA589829:TKB589832 TTW589829:TTX589832 UDS589829:UDT589832 UNO589829:UNP589832 UXK589829:UXL589832 VHG589829:VHH589832 VRC589829:VRD589832 WAY589829:WAZ589832 WKU589829:WKV589832 WUQ589829:WUR589832 IE655365:IF655368 SA655365:SB655368 ABW655365:ABX655368 ALS655365:ALT655368 AVO655365:AVP655368 BFK655365:BFL655368 BPG655365:BPH655368 BZC655365:BZD655368 CIY655365:CIZ655368 CSU655365:CSV655368 DCQ655365:DCR655368 DMM655365:DMN655368 DWI655365:DWJ655368 EGE655365:EGF655368 EQA655365:EQB655368 EZW655365:EZX655368 FJS655365:FJT655368 FTO655365:FTP655368 GDK655365:GDL655368 GNG655365:GNH655368 GXC655365:GXD655368 HGY655365:HGZ655368 HQU655365:HQV655368 IAQ655365:IAR655368 IKM655365:IKN655368 IUI655365:IUJ655368 JEE655365:JEF655368 JOA655365:JOB655368 JXW655365:JXX655368 KHS655365:KHT655368 KRO655365:KRP655368 LBK655365:LBL655368 LLG655365:LLH655368 LVC655365:LVD655368 MEY655365:MEZ655368 MOU655365:MOV655368 MYQ655365:MYR655368 NIM655365:NIN655368 NSI655365:NSJ655368 OCE655365:OCF655368 OMA655365:OMB655368 OVW655365:OVX655368 PFS655365:PFT655368 PPO655365:PPP655368 PZK655365:PZL655368 QJG655365:QJH655368 QTC655365:QTD655368 RCY655365:RCZ655368 RMU655365:RMV655368 RWQ655365:RWR655368 SGM655365:SGN655368 SQI655365:SQJ655368 TAE655365:TAF655368 TKA655365:TKB655368 TTW655365:TTX655368 UDS655365:UDT655368 UNO655365:UNP655368 UXK655365:UXL655368 VHG655365:VHH655368 VRC655365:VRD655368 WAY655365:WAZ655368 WKU655365:WKV655368 WUQ655365:WUR655368 IE720901:IF720904 SA720901:SB720904 ABW720901:ABX720904 ALS720901:ALT720904 AVO720901:AVP720904 BFK720901:BFL720904 BPG720901:BPH720904 BZC720901:BZD720904 CIY720901:CIZ720904 CSU720901:CSV720904 DCQ720901:DCR720904 DMM720901:DMN720904 DWI720901:DWJ720904 EGE720901:EGF720904 EQA720901:EQB720904 EZW720901:EZX720904 FJS720901:FJT720904 FTO720901:FTP720904 GDK720901:GDL720904 GNG720901:GNH720904 GXC720901:GXD720904 HGY720901:HGZ720904 HQU720901:HQV720904 IAQ720901:IAR720904 IKM720901:IKN720904 IUI720901:IUJ720904 JEE720901:JEF720904 JOA720901:JOB720904 JXW720901:JXX720904 KHS720901:KHT720904 KRO720901:KRP720904 LBK720901:LBL720904 LLG720901:LLH720904 LVC720901:LVD720904 MEY720901:MEZ720904 MOU720901:MOV720904 MYQ720901:MYR720904 NIM720901:NIN720904 NSI720901:NSJ720904 OCE720901:OCF720904 OMA720901:OMB720904 OVW720901:OVX720904 PFS720901:PFT720904 PPO720901:PPP720904 PZK720901:PZL720904 QJG720901:QJH720904 QTC720901:QTD720904 RCY720901:RCZ720904 RMU720901:RMV720904 RWQ720901:RWR720904 SGM720901:SGN720904 SQI720901:SQJ720904 TAE720901:TAF720904 TKA720901:TKB720904 TTW720901:TTX720904 UDS720901:UDT720904 UNO720901:UNP720904 UXK720901:UXL720904 VHG720901:VHH720904 VRC720901:VRD720904 WAY720901:WAZ720904 WKU720901:WKV720904 WUQ720901:WUR720904 IE786437:IF786440 SA786437:SB786440 ABW786437:ABX786440 ALS786437:ALT786440 AVO786437:AVP786440 BFK786437:BFL786440 BPG786437:BPH786440 BZC786437:BZD786440 CIY786437:CIZ786440 CSU786437:CSV786440 DCQ786437:DCR786440 DMM786437:DMN786440 DWI786437:DWJ786440 EGE786437:EGF786440 EQA786437:EQB786440 EZW786437:EZX786440 FJS786437:FJT786440 FTO786437:FTP786440 GDK786437:GDL786440 GNG786437:GNH786440 GXC786437:GXD786440 HGY786437:HGZ786440 HQU786437:HQV786440 IAQ786437:IAR786440 IKM786437:IKN786440 IUI786437:IUJ786440 JEE786437:JEF786440 JOA786437:JOB786440 JXW786437:JXX786440 KHS786437:KHT786440 KRO786437:KRP786440 LBK786437:LBL786440 LLG786437:LLH786440 LVC786437:LVD786440 MEY786437:MEZ786440 MOU786437:MOV786440 MYQ786437:MYR786440 NIM786437:NIN786440 NSI786437:NSJ786440 OCE786437:OCF786440 OMA786437:OMB786440 OVW786437:OVX786440 PFS786437:PFT786440 PPO786437:PPP786440 PZK786437:PZL786440 QJG786437:QJH786440 QTC786437:QTD786440 RCY786437:RCZ786440 RMU786437:RMV786440 RWQ786437:RWR786440 SGM786437:SGN786440 SQI786437:SQJ786440 TAE786437:TAF786440 TKA786437:TKB786440 TTW786437:TTX786440 UDS786437:UDT786440 UNO786437:UNP786440 UXK786437:UXL786440 VHG786437:VHH786440 VRC786437:VRD786440 WAY786437:WAZ786440 WKU786437:WKV786440 WUQ786437:WUR786440 IE851973:IF851976 SA851973:SB851976 ABW851973:ABX851976 ALS851973:ALT851976 AVO851973:AVP851976 BFK851973:BFL851976 BPG851973:BPH851976 BZC851973:BZD851976 CIY851973:CIZ851976 CSU851973:CSV851976 DCQ851973:DCR851976 DMM851973:DMN851976 DWI851973:DWJ851976 EGE851973:EGF851976 EQA851973:EQB851976 EZW851973:EZX851976 FJS851973:FJT851976 FTO851973:FTP851976 GDK851973:GDL851976 GNG851973:GNH851976 GXC851973:GXD851976 HGY851973:HGZ851976 HQU851973:HQV851976 IAQ851973:IAR851976 IKM851973:IKN851976 IUI851973:IUJ851976 JEE851973:JEF851976 JOA851973:JOB851976 JXW851973:JXX851976 KHS851973:KHT851976 KRO851973:KRP851976 LBK851973:LBL851976 LLG851973:LLH851976 LVC851973:LVD851976 MEY851973:MEZ851976 MOU851973:MOV851976 MYQ851973:MYR851976 NIM851973:NIN851976 NSI851973:NSJ851976 OCE851973:OCF851976 OMA851973:OMB851976 OVW851973:OVX851976 PFS851973:PFT851976 PPO851973:PPP851976 PZK851973:PZL851976 QJG851973:QJH851976 QTC851973:QTD851976 RCY851973:RCZ851976 RMU851973:RMV851976 RWQ851973:RWR851976 SGM851973:SGN851976 SQI851973:SQJ851976 TAE851973:TAF851976 TKA851973:TKB851976 TTW851973:TTX851976 UDS851973:UDT851976 UNO851973:UNP851976 UXK851973:UXL851976 VHG851973:VHH851976 VRC851973:VRD851976 WAY851973:WAZ851976 WKU851973:WKV851976 WUQ851973:WUR851976 IE917509:IF917512 SA917509:SB917512 ABW917509:ABX917512 ALS917509:ALT917512 AVO917509:AVP917512 BFK917509:BFL917512 BPG917509:BPH917512 BZC917509:BZD917512 CIY917509:CIZ917512 CSU917509:CSV917512 DCQ917509:DCR917512 DMM917509:DMN917512 DWI917509:DWJ917512 EGE917509:EGF917512 EQA917509:EQB917512 EZW917509:EZX917512 FJS917509:FJT917512 FTO917509:FTP917512 GDK917509:GDL917512 GNG917509:GNH917512 GXC917509:GXD917512 HGY917509:HGZ917512 HQU917509:HQV917512 IAQ917509:IAR917512 IKM917509:IKN917512 IUI917509:IUJ917512 JEE917509:JEF917512 JOA917509:JOB917512 JXW917509:JXX917512 KHS917509:KHT917512 KRO917509:KRP917512 LBK917509:LBL917512 LLG917509:LLH917512 LVC917509:LVD917512 MEY917509:MEZ917512 MOU917509:MOV917512 MYQ917509:MYR917512 NIM917509:NIN917512 NSI917509:NSJ917512 OCE917509:OCF917512 OMA917509:OMB917512 OVW917509:OVX917512 PFS917509:PFT917512 PPO917509:PPP917512 PZK917509:PZL917512 QJG917509:QJH917512 QTC917509:QTD917512 RCY917509:RCZ917512 RMU917509:RMV917512 RWQ917509:RWR917512 SGM917509:SGN917512 SQI917509:SQJ917512 TAE917509:TAF917512 TKA917509:TKB917512 TTW917509:TTX917512 UDS917509:UDT917512 UNO917509:UNP917512 UXK917509:UXL917512 VHG917509:VHH917512 VRC917509:VRD917512 WAY917509:WAZ917512 WKU917509:WKV917512 WUQ917509:WUR917512 IE983045:IF983048 SA983045:SB983048 ABW983045:ABX983048 ALS983045:ALT983048 AVO983045:AVP983048 BFK983045:BFL983048 BPG983045:BPH983048 BZC983045:BZD983048 CIY983045:CIZ983048 CSU983045:CSV983048 DCQ983045:DCR983048 DMM983045:DMN983048 DWI983045:DWJ983048 EGE983045:EGF983048 EQA983045:EQB983048 EZW983045:EZX983048 FJS983045:FJT983048 FTO983045:FTP983048 GDK983045:GDL983048 GNG983045:GNH983048 GXC983045:GXD983048 HGY983045:HGZ983048 HQU983045:HQV983048 IAQ983045:IAR983048 IKM983045:IKN983048 IUI983045:IUJ983048 JEE983045:JEF983048 JOA983045:JOB983048 JXW983045:JXX983048 KHS983045:KHT983048 KRO983045:KRP983048 LBK983045:LBL983048 LLG983045:LLH983048 LVC983045:LVD983048 MEY983045:MEZ983048 MOU983045:MOV983048 MYQ983045:MYR983048 NIM983045:NIN983048 NSI983045:NSJ983048 OCE983045:OCF983048 OMA983045:OMB983048 OVW983045:OVX983048 PFS983045:PFT983048 PPO983045:PPP983048 PZK983045:PZL983048 QJG983045:QJH983048 QTC983045:QTD983048 RCY983045:RCZ983048 RMU983045:RMV983048 RWQ983045:RWR983048 SGM983045:SGN983048 SQI983045:SQJ983048 TAE983045:TAF983048 TKA983045:TKB983048 TTW983045:TTX983048 UDS983045:UDT983048 UNO983045:UNP983048 UXK983045:UXL983048 VHG983045:VHH983048 VRC983045:VRD983048 WAY983045:WAZ983048 WKU983045:WKV983048 WUQ983045:WUR983048 WVB983045:WVC983048 VRN983045:VRO983048 IP65541:IQ65544 SL65541:SM65544 ACH65541:ACI65544 AMD65541:AME65544 AVZ65541:AWA65544 BFV65541:BFW65544 BPR65541:BPS65544 BZN65541:BZO65544 CJJ65541:CJK65544 CTF65541:CTG65544 DDB65541:DDC65544 DMX65541:DMY65544 DWT65541:DWU65544 EGP65541:EGQ65544 EQL65541:EQM65544 FAH65541:FAI65544 FKD65541:FKE65544 FTZ65541:FUA65544 GDV65541:GDW65544 GNR65541:GNS65544 GXN65541:GXO65544 HHJ65541:HHK65544 HRF65541:HRG65544 IBB65541:IBC65544 IKX65541:IKY65544 IUT65541:IUU65544 JEP65541:JEQ65544 JOL65541:JOM65544 JYH65541:JYI65544 KID65541:KIE65544 KRZ65541:KSA65544 LBV65541:LBW65544 LLR65541:LLS65544 LVN65541:LVO65544 MFJ65541:MFK65544 MPF65541:MPG65544 MZB65541:MZC65544 NIX65541:NIY65544 NST65541:NSU65544 OCP65541:OCQ65544 OML65541:OMM65544 OWH65541:OWI65544 PGD65541:PGE65544 PPZ65541:PQA65544 PZV65541:PZW65544 QJR65541:QJS65544 QTN65541:QTO65544 RDJ65541:RDK65544 RNF65541:RNG65544 RXB65541:RXC65544 SGX65541:SGY65544 SQT65541:SQU65544 TAP65541:TAQ65544 TKL65541:TKM65544 TUH65541:TUI65544 UED65541:UEE65544 UNZ65541:UOA65544 UXV65541:UXW65544 VHR65541:VHS65544 VRN65541:VRO65544 WBJ65541:WBK65544 WLF65541:WLG65544 WVB65541:WVC65544 IP131077:IQ131080 SL131077:SM131080 ACH131077:ACI131080 AMD131077:AME131080 AVZ131077:AWA131080 BFV131077:BFW131080 BPR131077:BPS131080 BZN131077:BZO131080 CJJ131077:CJK131080 CTF131077:CTG131080 DDB131077:DDC131080 DMX131077:DMY131080 DWT131077:DWU131080 EGP131077:EGQ131080 EQL131077:EQM131080 FAH131077:FAI131080 FKD131077:FKE131080 FTZ131077:FUA131080 GDV131077:GDW131080 GNR131077:GNS131080 GXN131077:GXO131080 HHJ131077:HHK131080 HRF131077:HRG131080 IBB131077:IBC131080 IKX131077:IKY131080 IUT131077:IUU131080 JEP131077:JEQ131080 JOL131077:JOM131080 JYH131077:JYI131080 KID131077:KIE131080 KRZ131077:KSA131080 LBV131077:LBW131080 LLR131077:LLS131080 LVN131077:LVO131080 MFJ131077:MFK131080 MPF131077:MPG131080 MZB131077:MZC131080 NIX131077:NIY131080 NST131077:NSU131080 OCP131077:OCQ131080 OML131077:OMM131080 OWH131077:OWI131080 PGD131077:PGE131080 PPZ131077:PQA131080 PZV131077:PZW131080 QJR131077:QJS131080 QTN131077:QTO131080 RDJ131077:RDK131080 RNF131077:RNG131080 RXB131077:RXC131080 SGX131077:SGY131080 SQT131077:SQU131080 TAP131077:TAQ131080 TKL131077:TKM131080 TUH131077:TUI131080 UED131077:UEE131080 UNZ131077:UOA131080 UXV131077:UXW131080 VHR131077:VHS131080 VRN131077:VRO131080 WBJ131077:WBK131080 WLF131077:WLG131080 WVB131077:WVC131080 IP196613:IQ196616 SL196613:SM196616 ACH196613:ACI196616 AMD196613:AME196616 AVZ196613:AWA196616 BFV196613:BFW196616 BPR196613:BPS196616 BZN196613:BZO196616 CJJ196613:CJK196616 CTF196613:CTG196616 DDB196613:DDC196616 DMX196613:DMY196616 DWT196613:DWU196616 EGP196613:EGQ196616 EQL196613:EQM196616 FAH196613:FAI196616 FKD196613:FKE196616 FTZ196613:FUA196616 GDV196613:GDW196616 GNR196613:GNS196616 GXN196613:GXO196616 HHJ196613:HHK196616 HRF196613:HRG196616 IBB196613:IBC196616 IKX196613:IKY196616 IUT196613:IUU196616 JEP196613:JEQ196616 JOL196613:JOM196616 JYH196613:JYI196616 KID196613:KIE196616 KRZ196613:KSA196616 LBV196613:LBW196616 LLR196613:LLS196616 LVN196613:LVO196616 MFJ196613:MFK196616 MPF196613:MPG196616 MZB196613:MZC196616 NIX196613:NIY196616 NST196613:NSU196616 OCP196613:OCQ196616 OML196613:OMM196616 OWH196613:OWI196616 PGD196613:PGE196616 PPZ196613:PQA196616 PZV196613:PZW196616 QJR196613:QJS196616 QTN196613:QTO196616 RDJ196613:RDK196616 RNF196613:RNG196616 RXB196613:RXC196616 SGX196613:SGY196616 SQT196613:SQU196616 TAP196613:TAQ196616 TKL196613:TKM196616 TUH196613:TUI196616 UED196613:UEE196616 UNZ196613:UOA196616 UXV196613:UXW196616 VHR196613:VHS196616 VRN196613:VRO196616 WBJ196613:WBK196616 WLF196613:WLG196616 WVB196613:WVC196616 IP262149:IQ262152 SL262149:SM262152 ACH262149:ACI262152 AMD262149:AME262152 AVZ262149:AWA262152 BFV262149:BFW262152 BPR262149:BPS262152 BZN262149:BZO262152 CJJ262149:CJK262152 CTF262149:CTG262152 DDB262149:DDC262152 DMX262149:DMY262152 DWT262149:DWU262152 EGP262149:EGQ262152 EQL262149:EQM262152 FAH262149:FAI262152 FKD262149:FKE262152 FTZ262149:FUA262152 GDV262149:GDW262152 GNR262149:GNS262152 GXN262149:GXO262152 HHJ262149:HHK262152 HRF262149:HRG262152 IBB262149:IBC262152 IKX262149:IKY262152 IUT262149:IUU262152 JEP262149:JEQ262152 JOL262149:JOM262152 JYH262149:JYI262152 KID262149:KIE262152 KRZ262149:KSA262152 LBV262149:LBW262152 LLR262149:LLS262152 LVN262149:LVO262152 MFJ262149:MFK262152 MPF262149:MPG262152 MZB262149:MZC262152 NIX262149:NIY262152 NST262149:NSU262152 OCP262149:OCQ262152 OML262149:OMM262152 OWH262149:OWI262152 PGD262149:PGE262152 PPZ262149:PQA262152 PZV262149:PZW262152 QJR262149:QJS262152 QTN262149:QTO262152 RDJ262149:RDK262152 RNF262149:RNG262152 RXB262149:RXC262152 SGX262149:SGY262152 SQT262149:SQU262152 TAP262149:TAQ262152 TKL262149:TKM262152 TUH262149:TUI262152 UED262149:UEE262152 UNZ262149:UOA262152 UXV262149:UXW262152 VHR262149:VHS262152 VRN262149:VRO262152 WBJ262149:WBK262152 WLF262149:WLG262152 WVB262149:WVC262152 IP327685:IQ327688 SL327685:SM327688 ACH327685:ACI327688 AMD327685:AME327688 AVZ327685:AWA327688 BFV327685:BFW327688 BPR327685:BPS327688 BZN327685:BZO327688 CJJ327685:CJK327688 CTF327685:CTG327688 DDB327685:DDC327688 DMX327685:DMY327688 DWT327685:DWU327688 EGP327685:EGQ327688 EQL327685:EQM327688 FAH327685:FAI327688 FKD327685:FKE327688 FTZ327685:FUA327688 GDV327685:GDW327688 GNR327685:GNS327688 GXN327685:GXO327688 HHJ327685:HHK327688 HRF327685:HRG327688 IBB327685:IBC327688 IKX327685:IKY327688 IUT327685:IUU327688 JEP327685:JEQ327688 JOL327685:JOM327688 JYH327685:JYI327688 KID327685:KIE327688 KRZ327685:KSA327688 LBV327685:LBW327688 LLR327685:LLS327688 LVN327685:LVO327688 MFJ327685:MFK327688 MPF327685:MPG327688 MZB327685:MZC327688 NIX327685:NIY327688 NST327685:NSU327688 OCP327685:OCQ327688 OML327685:OMM327688 OWH327685:OWI327688 PGD327685:PGE327688 PPZ327685:PQA327688 PZV327685:PZW327688 QJR327685:QJS327688 QTN327685:QTO327688 RDJ327685:RDK327688 RNF327685:RNG327688 RXB327685:RXC327688 SGX327685:SGY327688 SQT327685:SQU327688 TAP327685:TAQ327688 TKL327685:TKM327688 TUH327685:TUI327688 UED327685:UEE327688 UNZ327685:UOA327688 UXV327685:UXW327688 VHR327685:VHS327688 VRN327685:VRO327688 WBJ327685:WBK327688 WLF327685:WLG327688 WVB327685:WVC327688 IP393221:IQ393224 SL393221:SM393224 ACH393221:ACI393224 AMD393221:AME393224 AVZ393221:AWA393224 BFV393221:BFW393224 BPR393221:BPS393224 BZN393221:BZO393224 CJJ393221:CJK393224 CTF393221:CTG393224 DDB393221:DDC393224 DMX393221:DMY393224 DWT393221:DWU393224 EGP393221:EGQ393224 EQL393221:EQM393224 FAH393221:FAI393224 FKD393221:FKE393224 FTZ393221:FUA393224 GDV393221:GDW393224 GNR393221:GNS393224 GXN393221:GXO393224 HHJ393221:HHK393224 HRF393221:HRG393224 IBB393221:IBC393224 IKX393221:IKY393224 IUT393221:IUU393224 JEP393221:JEQ393224 JOL393221:JOM393224 JYH393221:JYI393224 KID393221:KIE393224 KRZ393221:KSA393224 LBV393221:LBW393224 LLR393221:LLS393224 LVN393221:LVO393224 MFJ393221:MFK393224 MPF393221:MPG393224 MZB393221:MZC393224 NIX393221:NIY393224 NST393221:NSU393224 OCP393221:OCQ393224 OML393221:OMM393224 OWH393221:OWI393224 PGD393221:PGE393224 PPZ393221:PQA393224 PZV393221:PZW393224 QJR393221:QJS393224 QTN393221:QTO393224 RDJ393221:RDK393224 RNF393221:RNG393224 RXB393221:RXC393224 SGX393221:SGY393224 SQT393221:SQU393224 TAP393221:TAQ393224 TKL393221:TKM393224 TUH393221:TUI393224 UED393221:UEE393224 UNZ393221:UOA393224 UXV393221:UXW393224 VHR393221:VHS393224 VRN393221:VRO393224 WBJ393221:WBK393224 WLF393221:WLG393224 WVB393221:WVC393224 IP458757:IQ458760 SL458757:SM458760 ACH458757:ACI458760 AMD458757:AME458760 AVZ458757:AWA458760 BFV458757:BFW458760 BPR458757:BPS458760 BZN458757:BZO458760 CJJ458757:CJK458760 CTF458757:CTG458760 DDB458757:DDC458760 DMX458757:DMY458760 DWT458757:DWU458760 EGP458757:EGQ458760 EQL458757:EQM458760 FAH458757:FAI458760 FKD458757:FKE458760 FTZ458757:FUA458760 GDV458757:GDW458760 GNR458757:GNS458760 GXN458757:GXO458760 HHJ458757:HHK458760 HRF458757:HRG458760 IBB458757:IBC458760 IKX458757:IKY458760 IUT458757:IUU458760 JEP458757:JEQ458760 JOL458757:JOM458760 JYH458757:JYI458760 KID458757:KIE458760 KRZ458757:KSA458760 LBV458757:LBW458760 LLR458757:LLS458760 LVN458757:LVO458760 MFJ458757:MFK458760 MPF458757:MPG458760 MZB458757:MZC458760 NIX458757:NIY458760 NST458757:NSU458760 OCP458757:OCQ458760 OML458757:OMM458760 OWH458757:OWI458760 PGD458757:PGE458760 PPZ458757:PQA458760 PZV458757:PZW458760 QJR458757:QJS458760 QTN458757:QTO458760 RDJ458757:RDK458760 RNF458757:RNG458760 RXB458757:RXC458760 SGX458757:SGY458760 SQT458757:SQU458760 TAP458757:TAQ458760 TKL458757:TKM458760 TUH458757:TUI458760 UED458757:UEE458760 UNZ458757:UOA458760 UXV458757:UXW458760 VHR458757:VHS458760 VRN458757:VRO458760 WBJ458757:WBK458760 WLF458757:WLG458760 WVB458757:WVC458760 IP524293:IQ524296 SL524293:SM524296 ACH524293:ACI524296 AMD524293:AME524296 AVZ524293:AWA524296 BFV524293:BFW524296 BPR524293:BPS524296 BZN524293:BZO524296 CJJ524293:CJK524296 CTF524293:CTG524296 DDB524293:DDC524296 DMX524293:DMY524296 DWT524293:DWU524296 EGP524293:EGQ524296 EQL524293:EQM524296 FAH524293:FAI524296 FKD524293:FKE524296 FTZ524293:FUA524296 GDV524293:GDW524296 GNR524293:GNS524296 GXN524293:GXO524296 HHJ524293:HHK524296 HRF524293:HRG524296 IBB524293:IBC524296 IKX524293:IKY524296 IUT524293:IUU524296 JEP524293:JEQ524296 JOL524293:JOM524296 JYH524293:JYI524296 KID524293:KIE524296 KRZ524293:KSA524296 LBV524293:LBW524296 LLR524293:LLS524296 LVN524293:LVO524296 MFJ524293:MFK524296 MPF524293:MPG524296 MZB524293:MZC524296 NIX524293:NIY524296 NST524293:NSU524296 OCP524293:OCQ524296 OML524293:OMM524296 OWH524293:OWI524296 PGD524293:PGE524296 PPZ524293:PQA524296 PZV524293:PZW524296 QJR524293:QJS524296 QTN524293:QTO524296 RDJ524293:RDK524296 RNF524293:RNG524296 RXB524293:RXC524296 SGX524293:SGY524296 SQT524293:SQU524296 TAP524293:TAQ524296 TKL524293:TKM524296 TUH524293:TUI524296 UED524293:UEE524296 UNZ524293:UOA524296 UXV524293:UXW524296 VHR524293:VHS524296 VRN524293:VRO524296 WBJ524293:WBK524296 WLF524293:WLG524296 WVB524293:WVC524296 IP589829:IQ589832 SL589829:SM589832 ACH589829:ACI589832 AMD589829:AME589832 AVZ589829:AWA589832 BFV589829:BFW589832 BPR589829:BPS589832 BZN589829:BZO589832 CJJ589829:CJK589832 CTF589829:CTG589832 DDB589829:DDC589832 DMX589829:DMY589832 DWT589829:DWU589832 EGP589829:EGQ589832 EQL589829:EQM589832 FAH589829:FAI589832 FKD589829:FKE589832 FTZ589829:FUA589832 GDV589829:GDW589832 GNR589829:GNS589832 GXN589829:GXO589832 HHJ589829:HHK589832 HRF589829:HRG589832 IBB589829:IBC589832 IKX589829:IKY589832 IUT589829:IUU589832 JEP589829:JEQ589832 JOL589829:JOM589832 JYH589829:JYI589832 KID589829:KIE589832 KRZ589829:KSA589832 LBV589829:LBW589832 LLR589829:LLS589832 LVN589829:LVO589832 MFJ589829:MFK589832 MPF589829:MPG589832 MZB589829:MZC589832 NIX589829:NIY589832 NST589829:NSU589832 OCP589829:OCQ589832 OML589829:OMM589832 OWH589829:OWI589832 PGD589829:PGE589832 PPZ589829:PQA589832 PZV589829:PZW589832 QJR589829:QJS589832 QTN589829:QTO589832 RDJ589829:RDK589832 RNF589829:RNG589832 RXB589829:RXC589832 SGX589829:SGY589832 SQT589829:SQU589832 TAP589829:TAQ589832 TKL589829:TKM589832 TUH589829:TUI589832 UED589829:UEE589832 UNZ589829:UOA589832 UXV589829:UXW589832 VHR589829:VHS589832 VRN589829:VRO589832 WBJ589829:WBK589832 WLF589829:WLG589832 WVB589829:WVC589832 IP655365:IQ655368 SL655365:SM655368 ACH655365:ACI655368 AMD655365:AME655368 AVZ655365:AWA655368 BFV655365:BFW655368 BPR655365:BPS655368 BZN655365:BZO655368 CJJ655365:CJK655368 CTF655365:CTG655368 DDB655365:DDC655368 DMX655365:DMY655368 DWT655365:DWU655368 EGP655365:EGQ655368 EQL655365:EQM655368 FAH655365:FAI655368 FKD655365:FKE655368 FTZ655365:FUA655368 GDV655365:GDW655368 GNR655365:GNS655368 GXN655365:GXO655368 HHJ655365:HHK655368 HRF655365:HRG655368 IBB655365:IBC655368 IKX655365:IKY655368 IUT655365:IUU655368 JEP655365:JEQ655368 JOL655365:JOM655368 JYH655365:JYI655368 KID655365:KIE655368 KRZ655365:KSA655368 LBV655365:LBW655368 LLR655365:LLS655368 LVN655365:LVO655368 MFJ655365:MFK655368 MPF655365:MPG655368 MZB655365:MZC655368 NIX655365:NIY655368 NST655365:NSU655368 OCP655365:OCQ655368 OML655365:OMM655368 OWH655365:OWI655368 PGD655365:PGE655368 PPZ655365:PQA655368 PZV655365:PZW655368 QJR655365:QJS655368 QTN655365:QTO655368 RDJ655365:RDK655368 RNF655365:RNG655368 RXB655365:RXC655368 SGX655365:SGY655368 SQT655365:SQU655368 TAP655365:TAQ655368 TKL655365:TKM655368 TUH655365:TUI655368 UED655365:UEE655368 UNZ655365:UOA655368 UXV655365:UXW655368 VHR655365:VHS655368 VRN655365:VRO655368 WBJ655365:WBK655368 WLF655365:WLG655368 WVB655365:WVC655368 IP720901:IQ720904 SL720901:SM720904 ACH720901:ACI720904 AMD720901:AME720904 AVZ720901:AWA720904 BFV720901:BFW720904 BPR720901:BPS720904 BZN720901:BZO720904 CJJ720901:CJK720904 CTF720901:CTG720904 DDB720901:DDC720904 DMX720901:DMY720904 DWT720901:DWU720904 EGP720901:EGQ720904 EQL720901:EQM720904 FAH720901:FAI720904 FKD720901:FKE720904 FTZ720901:FUA720904 GDV720901:GDW720904 GNR720901:GNS720904 GXN720901:GXO720904 HHJ720901:HHK720904 HRF720901:HRG720904 IBB720901:IBC720904 IKX720901:IKY720904 IUT720901:IUU720904 JEP720901:JEQ720904 JOL720901:JOM720904 JYH720901:JYI720904 KID720901:KIE720904 KRZ720901:KSA720904 LBV720901:LBW720904 LLR720901:LLS720904 LVN720901:LVO720904 MFJ720901:MFK720904 MPF720901:MPG720904 MZB720901:MZC720904 NIX720901:NIY720904 NST720901:NSU720904 OCP720901:OCQ720904 OML720901:OMM720904 OWH720901:OWI720904 PGD720901:PGE720904 PPZ720901:PQA720904 PZV720901:PZW720904 QJR720901:QJS720904 QTN720901:QTO720904 RDJ720901:RDK720904 RNF720901:RNG720904 RXB720901:RXC720904 SGX720901:SGY720904 SQT720901:SQU720904 TAP720901:TAQ720904 TKL720901:TKM720904 TUH720901:TUI720904 UED720901:UEE720904 UNZ720901:UOA720904 UXV720901:UXW720904 VHR720901:VHS720904 VRN720901:VRO720904 WBJ720901:WBK720904 WLF720901:WLG720904 WVB720901:WVC720904 IP786437:IQ786440 SL786437:SM786440 ACH786437:ACI786440 AMD786437:AME786440 AVZ786437:AWA786440 BFV786437:BFW786440 BPR786437:BPS786440 BZN786437:BZO786440 CJJ786437:CJK786440 CTF786437:CTG786440 DDB786437:DDC786440 DMX786437:DMY786440 DWT786437:DWU786440 EGP786437:EGQ786440 EQL786437:EQM786440 FAH786437:FAI786440 FKD786437:FKE786440 FTZ786437:FUA786440 GDV786437:GDW786440 GNR786437:GNS786440 GXN786437:GXO786440 HHJ786437:HHK786440 HRF786437:HRG786440 IBB786437:IBC786440 IKX786437:IKY786440 IUT786437:IUU786440 JEP786437:JEQ786440 JOL786437:JOM786440 JYH786437:JYI786440 KID786437:KIE786440 KRZ786437:KSA786440 LBV786437:LBW786440 LLR786437:LLS786440 LVN786437:LVO786440 MFJ786437:MFK786440 MPF786437:MPG786440 MZB786437:MZC786440 NIX786437:NIY786440 NST786437:NSU786440 OCP786437:OCQ786440 OML786437:OMM786440 OWH786437:OWI786440 PGD786437:PGE786440 PPZ786437:PQA786440 PZV786437:PZW786440 QJR786437:QJS786440 QTN786437:QTO786440 RDJ786437:RDK786440 RNF786437:RNG786440 RXB786437:RXC786440 SGX786437:SGY786440 SQT786437:SQU786440 TAP786437:TAQ786440 TKL786437:TKM786440 TUH786437:TUI786440 UED786437:UEE786440 UNZ786437:UOA786440 UXV786437:UXW786440 VHR786437:VHS786440 VRN786437:VRO786440 WBJ786437:WBK786440 WLF786437:WLG786440 WVB786437:WVC786440 IP851973:IQ851976 SL851973:SM851976 ACH851973:ACI851976 AMD851973:AME851976 AVZ851973:AWA851976 BFV851973:BFW851976 BPR851973:BPS851976 BZN851973:BZO851976 CJJ851973:CJK851976 CTF851973:CTG851976 DDB851973:DDC851976 DMX851973:DMY851976 DWT851973:DWU851976 EGP851973:EGQ851976 EQL851973:EQM851976 FAH851973:FAI851976 FKD851973:FKE851976 FTZ851973:FUA851976 GDV851973:GDW851976 GNR851973:GNS851976 GXN851973:GXO851976 HHJ851973:HHK851976 HRF851973:HRG851976 IBB851973:IBC851976 IKX851973:IKY851976 IUT851973:IUU851976 JEP851973:JEQ851976 JOL851973:JOM851976 JYH851973:JYI851976 KID851973:KIE851976 KRZ851973:KSA851976 LBV851973:LBW851976 LLR851973:LLS851976 LVN851973:LVO851976 MFJ851973:MFK851976 MPF851973:MPG851976 MZB851973:MZC851976 NIX851973:NIY851976 NST851973:NSU851976 OCP851973:OCQ851976 OML851973:OMM851976 OWH851973:OWI851976 PGD851973:PGE851976 PPZ851973:PQA851976 PZV851973:PZW851976 QJR851973:QJS851976 QTN851973:QTO851976 RDJ851973:RDK851976 RNF851973:RNG851976 RXB851973:RXC851976 SGX851973:SGY851976 SQT851973:SQU851976 TAP851973:TAQ851976 TKL851973:TKM851976 TUH851973:TUI851976 UED851973:UEE851976 UNZ851973:UOA851976 UXV851973:UXW851976 VHR851973:VHS851976 VRN851973:VRO851976 WBJ851973:WBK851976 WLF851973:WLG851976 WVB851973:WVC851976 IP917509:IQ917512 SL917509:SM917512 ACH917509:ACI917512 AMD917509:AME917512 AVZ917509:AWA917512 BFV917509:BFW917512 BPR917509:BPS917512 BZN917509:BZO917512 CJJ917509:CJK917512 CTF917509:CTG917512 DDB917509:DDC917512 DMX917509:DMY917512 DWT917509:DWU917512 EGP917509:EGQ917512 EQL917509:EQM917512 FAH917509:FAI917512 FKD917509:FKE917512 FTZ917509:FUA917512 GDV917509:GDW917512 GNR917509:GNS917512 GXN917509:GXO917512 HHJ917509:HHK917512 HRF917509:HRG917512 IBB917509:IBC917512 IKX917509:IKY917512 IUT917509:IUU917512 JEP917509:JEQ917512 JOL917509:JOM917512 JYH917509:JYI917512 KID917509:KIE917512 KRZ917509:KSA917512 LBV917509:LBW917512 LLR917509:LLS917512 LVN917509:LVO917512 MFJ917509:MFK917512 MPF917509:MPG917512 MZB917509:MZC917512 NIX917509:NIY917512 NST917509:NSU917512 OCP917509:OCQ917512 OML917509:OMM917512 OWH917509:OWI917512 PGD917509:PGE917512 PPZ917509:PQA917512 PZV917509:PZW917512 QJR917509:QJS917512 QTN917509:QTO917512 RDJ917509:RDK917512 RNF917509:RNG917512 RXB917509:RXC917512 SGX917509:SGY917512 SQT917509:SQU917512 TAP917509:TAQ917512 TKL917509:TKM917512 TUH917509:TUI917512 UED917509:UEE917512 UNZ917509:UOA917512 UXV917509:UXW917512 VHR917509:VHS917512 VRN917509:VRO917512 WBJ917509:WBK917512 WLF917509:WLG917512 WVB917509:WVC917512 IP983045:IQ983048 SL983045:SM983048 ACH983045:ACI983048 AMD983045:AME983048 AVZ983045:AWA983048 BFV983045:BFW983048 BPR983045:BPS983048 BZN983045:BZO983048 CJJ983045:CJK983048 CTF983045:CTG983048 DDB983045:DDC983048 DMX983045:DMY983048 DWT983045:DWU983048 EGP983045:EGQ983048 EQL983045:EQM983048 FAH983045:FAI983048 FKD983045:FKE983048 FTZ983045:FUA983048 GDV983045:GDW983048 GNR983045:GNS983048 GXN983045:GXO983048 HHJ983045:HHK983048 HRF983045:HRG983048 IBB983045:IBC983048 IKX983045:IKY983048 IUT983045:IUU983048 JEP983045:JEQ983048 JOL983045:JOM983048 JYH983045:JYI983048 KID983045:KIE983048 KRZ983045:KSA983048 LBV983045:LBW983048 LLR983045:LLS983048 LVN983045:LVO983048 MFJ983045:MFK983048 MPF983045:MPG983048 MZB983045:MZC983048 NIX983045:NIY983048 NST983045:NSU983048 OCP983045:OCQ983048 OML983045:OMM983048 OWH983045:OWI983048 PGD983045:PGE983048 PPZ983045:PQA983048 PZV983045:PZW983048 QJR983045:QJS983048 QTN983045:QTO983048 RDJ983045:RDK983048 RNF983045:RNG983048 RXB983045:RXC983048 SGX983045:SGY983048 SQT983045:SQU983048 TAP983045:TAQ983048 TKL983045:TKM983048 TUH983045:TUI983048 UED983045:UEE983048 UNZ983045:UOA983048 UXV983045:UXW983048 VHR983045:VHS983048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T34"/>
  <sheetViews>
    <sheetView view="pageBreakPreview" zoomScale="115" zoomScaleNormal="115" zoomScaleSheetLayoutView="115" workbookViewId="0">
      <selection activeCell="G13" sqref="G13:H13"/>
    </sheetView>
  </sheetViews>
  <sheetFormatPr defaultRowHeight="12" customHeight="1" x14ac:dyDescent="0.2"/>
  <cols>
    <col min="1" max="1" width="6.28515625" style="8" customWidth="1"/>
    <col min="2" max="2" width="40.7109375" style="8" customWidth="1"/>
    <col min="3" max="3" width="5.140625" style="8" bestFit="1" customWidth="1"/>
    <col min="4" max="4" width="5.140625" style="8" customWidth="1"/>
    <col min="5" max="5" width="14.7109375" style="8" bestFit="1" customWidth="1"/>
    <col min="6" max="6" width="15.5703125" style="8" bestFit="1" customWidth="1"/>
    <col min="7" max="7" width="6.5703125" style="8" bestFit="1" customWidth="1"/>
    <col min="8" max="8" width="13" style="8" bestFit="1" customWidth="1"/>
    <col min="9" max="42" width="9.140625" style="8"/>
    <col min="43" max="43" width="14.7109375" style="8" bestFit="1" customWidth="1"/>
    <col min="44" max="44" width="15.5703125" style="8" bestFit="1" customWidth="1"/>
    <col min="45" max="224" width="9.140625" style="8"/>
    <col min="225" max="263" width="2.42578125" style="8" customWidth="1"/>
    <col min="264" max="264" width="3.42578125" style="8" bestFit="1" customWidth="1"/>
    <col min="265" max="480" width="9.140625" style="8"/>
    <col min="481" max="519" width="2.42578125" style="8" customWidth="1"/>
    <col min="520" max="520" width="3.42578125" style="8" bestFit="1" customWidth="1"/>
    <col min="521" max="736" width="9.140625" style="8"/>
    <col min="737" max="775" width="2.42578125" style="8" customWidth="1"/>
    <col min="776" max="776" width="3.42578125" style="8" bestFit="1" customWidth="1"/>
    <col min="777" max="992" width="9.140625" style="8"/>
    <col min="993" max="1031" width="2.42578125" style="8" customWidth="1"/>
    <col min="1032" max="1032" width="3.42578125" style="8" bestFit="1" customWidth="1"/>
    <col min="1033" max="1248" width="9.140625" style="8"/>
    <col min="1249" max="1287" width="2.42578125" style="8" customWidth="1"/>
    <col min="1288" max="1288" width="3.42578125" style="8" bestFit="1" customWidth="1"/>
    <col min="1289" max="1504" width="9.140625" style="8"/>
    <col min="1505" max="1543" width="2.42578125" style="8" customWidth="1"/>
    <col min="1544" max="1544" width="3.42578125" style="8" bestFit="1" customWidth="1"/>
    <col min="1545" max="1760" width="9.140625" style="8"/>
    <col min="1761" max="1799" width="2.42578125" style="8" customWidth="1"/>
    <col min="1800" max="1800" width="3.42578125" style="8" bestFit="1" customWidth="1"/>
    <col min="1801" max="2016" width="9.140625" style="8"/>
    <col min="2017" max="2055" width="2.42578125" style="8" customWidth="1"/>
    <col min="2056" max="2056" width="3.42578125" style="8" bestFit="1" customWidth="1"/>
    <col min="2057" max="2272" width="9.140625" style="8"/>
    <col min="2273" max="2311" width="2.42578125" style="8" customWidth="1"/>
    <col min="2312" max="2312" width="3.42578125" style="8" bestFit="1" customWidth="1"/>
    <col min="2313" max="2528" width="9.140625" style="8"/>
    <col min="2529" max="2567" width="2.42578125" style="8" customWidth="1"/>
    <col min="2568" max="2568" width="3.42578125" style="8" bestFit="1" customWidth="1"/>
    <col min="2569" max="2784" width="9.140625" style="8"/>
    <col min="2785" max="2823" width="2.42578125" style="8" customWidth="1"/>
    <col min="2824" max="2824" width="3.42578125" style="8" bestFit="1" customWidth="1"/>
    <col min="2825" max="3040" width="9.140625" style="8"/>
    <col min="3041" max="3079" width="2.42578125" style="8" customWidth="1"/>
    <col min="3080" max="3080" width="3.42578125" style="8" bestFit="1" customWidth="1"/>
    <col min="3081" max="3296" width="9.140625" style="8"/>
    <col min="3297" max="3335" width="2.42578125" style="8" customWidth="1"/>
    <col min="3336" max="3336" width="3.42578125" style="8" bestFit="1" customWidth="1"/>
    <col min="3337" max="3552" width="9.140625" style="8"/>
    <col min="3553" max="3591" width="2.42578125" style="8" customWidth="1"/>
    <col min="3592" max="3592" width="3.42578125" style="8" bestFit="1" customWidth="1"/>
    <col min="3593" max="3808" width="9.140625" style="8"/>
    <col min="3809" max="3847" width="2.42578125" style="8" customWidth="1"/>
    <col min="3848" max="3848" width="3.42578125" style="8" bestFit="1" customWidth="1"/>
    <col min="3849" max="4064" width="9.140625" style="8"/>
    <col min="4065" max="4103" width="2.42578125" style="8" customWidth="1"/>
    <col min="4104" max="4104" width="3.42578125" style="8" bestFit="1" customWidth="1"/>
    <col min="4105" max="4320" width="9.140625" style="8"/>
    <col min="4321" max="4359" width="2.42578125" style="8" customWidth="1"/>
    <col min="4360" max="4360" width="3.42578125" style="8" bestFit="1" customWidth="1"/>
    <col min="4361" max="4576" width="9.140625" style="8"/>
    <col min="4577" max="4615" width="2.42578125" style="8" customWidth="1"/>
    <col min="4616" max="4616" width="3.42578125" style="8" bestFit="1" customWidth="1"/>
    <col min="4617" max="4832" width="9.140625" style="8"/>
    <col min="4833" max="4871" width="2.42578125" style="8" customWidth="1"/>
    <col min="4872" max="4872" width="3.42578125" style="8" bestFit="1" customWidth="1"/>
    <col min="4873" max="5088" width="9.140625" style="8"/>
    <col min="5089" max="5127" width="2.42578125" style="8" customWidth="1"/>
    <col min="5128" max="5128" width="3.42578125" style="8" bestFit="1" customWidth="1"/>
    <col min="5129" max="5344" width="9.140625" style="8"/>
    <col min="5345" max="5383" width="2.42578125" style="8" customWidth="1"/>
    <col min="5384" max="5384" width="3.42578125" style="8" bestFit="1" customWidth="1"/>
    <col min="5385" max="5600" width="9.140625" style="8"/>
    <col min="5601" max="5639" width="2.42578125" style="8" customWidth="1"/>
    <col min="5640" max="5640" width="3.42578125" style="8" bestFit="1" customWidth="1"/>
    <col min="5641" max="5856" width="9.140625" style="8"/>
    <col min="5857" max="5895" width="2.42578125" style="8" customWidth="1"/>
    <col min="5896" max="5896" width="3.42578125" style="8" bestFit="1" customWidth="1"/>
    <col min="5897" max="6112" width="9.140625" style="8"/>
    <col min="6113" max="6151" width="2.42578125" style="8" customWidth="1"/>
    <col min="6152" max="6152" width="3.42578125" style="8" bestFit="1" customWidth="1"/>
    <col min="6153" max="6368" width="9.140625" style="8"/>
    <col min="6369" max="6407" width="2.42578125" style="8" customWidth="1"/>
    <col min="6408" max="6408" width="3.42578125" style="8" bestFit="1" customWidth="1"/>
    <col min="6409" max="6624" width="9.140625" style="8"/>
    <col min="6625" max="6663" width="2.42578125" style="8" customWidth="1"/>
    <col min="6664" max="6664" width="3.42578125" style="8" bestFit="1" customWidth="1"/>
    <col min="6665" max="6880" width="9.140625" style="8"/>
    <col min="6881" max="6919" width="2.42578125" style="8" customWidth="1"/>
    <col min="6920" max="6920" width="3.42578125" style="8" bestFit="1" customWidth="1"/>
    <col min="6921" max="7136" width="9.140625" style="8"/>
    <col min="7137" max="7175" width="2.42578125" style="8" customWidth="1"/>
    <col min="7176" max="7176" width="3.42578125" style="8" bestFit="1" customWidth="1"/>
    <col min="7177" max="7392" width="9.140625" style="8"/>
    <col min="7393" max="7431" width="2.42578125" style="8" customWidth="1"/>
    <col min="7432" max="7432" width="3.42578125" style="8" bestFit="1" customWidth="1"/>
    <col min="7433" max="7648" width="9.140625" style="8"/>
    <col min="7649" max="7687" width="2.42578125" style="8" customWidth="1"/>
    <col min="7688" max="7688" width="3.42578125" style="8" bestFit="1" customWidth="1"/>
    <col min="7689" max="7904" width="9.140625" style="8"/>
    <col min="7905" max="7943" width="2.42578125" style="8" customWidth="1"/>
    <col min="7944" max="7944" width="3.42578125" style="8" bestFit="1" customWidth="1"/>
    <col min="7945" max="8160" width="9.140625" style="8"/>
    <col min="8161" max="8199" width="2.42578125" style="8" customWidth="1"/>
    <col min="8200" max="8200" width="3.42578125" style="8" bestFit="1" customWidth="1"/>
    <col min="8201" max="8416" width="9.140625" style="8"/>
    <col min="8417" max="8455" width="2.42578125" style="8" customWidth="1"/>
    <col min="8456" max="8456" width="3.42578125" style="8" bestFit="1" customWidth="1"/>
    <col min="8457" max="8672" width="9.140625" style="8"/>
    <col min="8673" max="8711" width="2.42578125" style="8" customWidth="1"/>
    <col min="8712" max="8712" width="3.42578125" style="8" bestFit="1" customWidth="1"/>
    <col min="8713" max="8928" width="9.140625" style="8"/>
    <col min="8929" max="8967" width="2.42578125" style="8" customWidth="1"/>
    <col min="8968" max="8968" width="3.42578125" style="8" bestFit="1" customWidth="1"/>
    <col min="8969" max="9184" width="9.140625" style="8"/>
    <col min="9185" max="9223" width="2.42578125" style="8" customWidth="1"/>
    <col min="9224" max="9224" width="3.42578125" style="8" bestFit="1" customWidth="1"/>
    <col min="9225" max="9440" width="9.140625" style="8"/>
    <col min="9441" max="9479" width="2.42578125" style="8" customWidth="1"/>
    <col min="9480" max="9480" width="3.42578125" style="8" bestFit="1" customWidth="1"/>
    <col min="9481" max="9696" width="9.140625" style="8"/>
    <col min="9697" max="9735" width="2.42578125" style="8" customWidth="1"/>
    <col min="9736" max="9736" width="3.42578125" style="8" bestFit="1" customWidth="1"/>
    <col min="9737" max="9952" width="9.140625" style="8"/>
    <col min="9953" max="9991" width="2.42578125" style="8" customWidth="1"/>
    <col min="9992" max="9992" width="3.42578125" style="8" bestFit="1" customWidth="1"/>
    <col min="9993" max="10208" width="9.140625" style="8"/>
    <col min="10209" max="10247" width="2.42578125" style="8" customWidth="1"/>
    <col min="10248" max="10248" width="3.42578125" style="8" bestFit="1" customWidth="1"/>
    <col min="10249" max="10464" width="9.140625" style="8"/>
    <col min="10465" max="10503" width="2.42578125" style="8" customWidth="1"/>
    <col min="10504" max="10504" width="3.42578125" style="8" bestFit="1" customWidth="1"/>
    <col min="10505" max="10720" width="9.140625" style="8"/>
    <col min="10721" max="10759" width="2.42578125" style="8" customWidth="1"/>
    <col min="10760" max="10760" width="3.42578125" style="8" bestFit="1" customWidth="1"/>
    <col min="10761" max="10976" width="9.140625" style="8"/>
    <col min="10977" max="11015" width="2.42578125" style="8" customWidth="1"/>
    <col min="11016" max="11016" width="3.42578125" style="8" bestFit="1" customWidth="1"/>
    <col min="11017" max="11232" width="9.140625" style="8"/>
    <col min="11233" max="11271" width="2.42578125" style="8" customWidth="1"/>
    <col min="11272" max="11272" width="3.42578125" style="8" bestFit="1" customWidth="1"/>
    <col min="11273" max="11488" width="9.140625" style="8"/>
    <col min="11489" max="11527" width="2.42578125" style="8" customWidth="1"/>
    <col min="11528" max="11528" width="3.42578125" style="8" bestFit="1" customWidth="1"/>
    <col min="11529" max="11744" width="9.140625" style="8"/>
    <col min="11745" max="11783" width="2.42578125" style="8" customWidth="1"/>
    <col min="11784" max="11784" width="3.42578125" style="8" bestFit="1" customWidth="1"/>
    <col min="11785" max="12000" width="9.140625" style="8"/>
    <col min="12001" max="12039" width="2.42578125" style="8" customWidth="1"/>
    <col min="12040" max="12040" width="3.42578125" style="8" bestFit="1" customWidth="1"/>
    <col min="12041" max="12256" width="9.140625" style="8"/>
    <col min="12257" max="12295" width="2.42578125" style="8" customWidth="1"/>
    <col min="12296" max="12296" width="3.42578125" style="8" bestFit="1" customWidth="1"/>
    <col min="12297" max="12512" width="9.140625" style="8"/>
    <col min="12513" max="12551" width="2.42578125" style="8" customWidth="1"/>
    <col min="12552" max="12552" width="3.42578125" style="8" bestFit="1" customWidth="1"/>
    <col min="12553" max="12768" width="9.140625" style="8"/>
    <col min="12769" max="12807" width="2.42578125" style="8" customWidth="1"/>
    <col min="12808" max="12808" width="3.42578125" style="8" bestFit="1" customWidth="1"/>
    <col min="12809" max="13024" width="9.140625" style="8"/>
    <col min="13025" max="13063" width="2.42578125" style="8" customWidth="1"/>
    <col min="13064" max="13064" width="3.42578125" style="8" bestFit="1" customWidth="1"/>
    <col min="13065" max="13280" width="9.140625" style="8"/>
    <col min="13281" max="13319" width="2.42578125" style="8" customWidth="1"/>
    <col min="13320" max="13320" width="3.42578125" style="8" bestFit="1" customWidth="1"/>
    <col min="13321" max="13536" width="9.140625" style="8"/>
    <col min="13537" max="13575" width="2.42578125" style="8" customWidth="1"/>
    <col min="13576" max="13576" width="3.42578125" style="8" bestFit="1" customWidth="1"/>
    <col min="13577" max="13792" width="9.140625" style="8"/>
    <col min="13793" max="13831" width="2.42578125" style="8" customWidth="1"/>
    <col min="13832" max="13832" width="3.42578125" style="8" bestFit="1" customWidth="1"/>
    <col min="13833" max="14048" width="9.140625" style="8"/>
    <col min="14049" max="14087" width="2.42578125" style="8" customWidth="1"/>
    <col min="14088" max="14088" width="3.42578125" style="8" bestFit="1" customWidth="1"/>
    <col min="14089" max="14304" width="9.140625" style="8"/>
    <col min="14305" max="14343" width="2.42578125" style="8" customWidth="1"/>
    <col min="14344" max="14344" width="3.42578125" style="8" bestFit="1" customWidth="1"/>
    <col min="14345" max="14560" width="9.140625" style="8"/>
    <col min="14561" max="14599" width="2.42578125" style="8" customWidth="1"/>
    <col min="14600" max="14600" width="3.42578125" style="8" bestFit="1" customWidth="1"/>
    <col min="14601" max="14816" width="9.140625" style="8"/>
    <col min="14817" max="14855" width="2.42578125" style="8" customWidth="1"/>
    <col min="14856" max="14856" width="3.42578125" style="8" bestFit="1" customWidth="1"/>
    <col min="14857" max="15072" width="9.140625" style="8"/>
    <col min="15073" max="15111" width="2.42578125" style="8" customWidth="1"/>
    <col min="15112" max="15112" width="3.42578125" style="8" bestFit="1" customWidth="1"/>
    <col min="15113" max="15328" width="9.140625" style="8"/>
    <col min="15329" max="15367" width="2.42578125" style="8" customWidth="1"/>
    <col min="15368" max="15368" width="3.42578125" style="8" bestFit="1" customWidth="1"/>
    <col min="15369" max="15584" width="9.140625" style="8"/>
    <col min="15585" max="15623" width="2.42578125" style="8" customWidth="1"/>
    <col min="15624" max="15624" width="3.42578125" style="8" bestFit="1" customWidth="1"/>
    <col min="15625" max="15840" width="9.140625" style="8"/>
    <col min="15841" max="15879" width="2.42578125" style="8" customWidth="1"/>
    <col min="15880" max="15880" width="3.42578125" style="8" bestFit="1" customWidth="1"/>
    <col min="15881" max="16096" width="9.140625" style="8"/>
    <col min="16097" max="16135" width="2.42578125" style="8" customWidth="1"/>
    <col min="16136" max="16136" width="3.42578125" style="8" bestFit="1" customWidth="1"/>
    <col min="16137" max="16384" width="9.140625" style="8"/>
  </cols>
  <sheetData>
    <row r="1" spans="1:4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  <c r="AQ1" s="315"/>
      <c r="AR1" s="316"/>
    </row>
    <row r="2" spans="1:4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  <c r="AQ2" s="315"/>
      <c r="AR2" s="316"/>
    </row>
    <row r="3" spans="1:4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  <c r="AQ3" s="315"/>
      <c r="AR3" s="316"/>
    </row>
    <row r="4" spans="1:4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  <c r="AQ4" s="315"/>
      <c r="AR4" s="316"/>
    </row>
    <row r="5" spans="1:4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  <c r="AQ5" s="315"/>
      <c r="AR5" s="316"/>
    </row>
    <row r="6" spans="1:46" ht="11.65" customHeight="1" thickBot="1" x14ac:dyDescent="0.25">
      <c r="A6" s="330" t="s">
        <v>306</v>
      </c>
      <c r="B6" s="33"/>
      <c r="C6" s="33"/>
      <c r="D6" s="33"/>
      <c r="E6" s="33"/>
      <c r="F6" s="33"/>
      <c r="G6" s="33"/>
      <c r="H6" s="33"/>
      <c r="I6" s="638" t="s">
        <v>405</v>
      </c>
      <c r="J6" s="638"/>
      <c r="K6" s="638"/>
      <c r="L6" s="638"/>
      <c r="M6" s="638"/>
      <c r="N6" s="638" t="s">
        <v>406</v>
      </c>
      <c r="O6" s="638"/>
      <c r="P6" s="638"/>
      <c r="Q6" s="638"/>
      <c r="R6" s="638"/>
      <c r="S6" s="638" t="s">
        <v>407</v>
      </c>
      <c r="T6" s="638"/>
      <c r="U6" s="638"/>
      <c r="V6" s="638"/>
      <c r="W6" s="638"/>
      <c r="AQ6" s="33"/>
      <c r="AR6" s="33"/>
    </row>
    <row r="7" spans="1:46" ht="120" x14ac:dyDescent="0.25">
      <c r="A7" s="354" t="s">
        <v>295</v>
      </c>
      <c r="B7" s="355" t="s">
        <v>296</v>
      </c>
      <c r="C7" s="356" t="s">
        <v>302</v>
      </c>
      <c r="D7" s="331"/>
      <c r="E7" s="449" t="s">
        <v>538</v>
      </c>
      <c r="F7" s="450" t="s">
        <v>539</v>
      </c>
      <c r="G7" s="451" t="s">
        <v>540</v>
      </c>
      <c r="H7" s="452" t="s">
        <v>541</v>
      </c>
      <c r="I7" s="333" t="s">
        <v>408</v>
      </c>
      <c r="J7" s="334" t="s">
        <v>409</v>
      </c>
      <c r="K7" s="335" t="s">
        <v>410</v>
      </c>
      <c r="L7" s="335" t="s">
        <v>418</v>
      </c>
      <c r="M7" s="333" t="s">
        <v>414</v>
      </c>
      <c r="N7" s="333" t="s">
        <v>408</v>
      </c>
      <c r="O7" s="343" t="s">
        <v>409</v>
      </c>
      <c r="P7" s="335" t="s">
        <v>410</v>
      </c>
      <c r="Q7" s="335" t="s">
        <v>418</v>
      </c>
      <c r="R7" s="333" t="s">
        <v>414</v>
      </c>
      <c r="S7" s="333" t="s">
        <v>408</v>
      </c>
      <c r="T7" s="334" t="s">
        <v>409</v>
      </c>
      <c r="U7" s="335" t="s">
        <v>410</v>
      </c>
      <c r="V7" s="335" t="s">
        <v>418</v>
      </c>
      <c r="W7" s="33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31" t="s">
        <v>299</v>
      </c>
      <c r="AR7" s="332" t="s">
        <v>386</v>
      </c>
      <c r="AS7" s="445" t="s">
        <v>536</v>
      </c>
      <c r="AT7" s="446" t="s">
        <v>537</v>
      </c>
    </row>
    <row r="8" spans="1:46" ht="105" x14ac:dyDescent="0.2">
      <c r="A8" s="362" t="s">
        <v>307</v>
      </c>
      <c r="B8" s="381" t="s">
        <v>479</v>
      </c>
      <c r="C8" s="363">
        <v>1</v>
      </c>
      <c r="D8" s="325"/>
      <c r="E8" s="453" t="str">
        <f>IF(AND(AO8="IRR",SUM(AH8:AJ8)&gt;0),AP8,IF(AND(AO8="IRR",AQ8&lt;&gt;""),AQ8*'[5]Basic INFO'!$E$127,IF(AO8="IRR",AS8,"")))</f>
        <v/>
      </c>
      <c r="F8" s="454">
        <f>IF(AND(AO8="EUR",SUM(AH8:AJ8)&gt;0),AP8,IF(AND(AO8="EUR",AR8&lt;&gt;""),AR8*'[5]Basic INFO'!$C$138,IF(AO8="EUR",AT8,"")))</f>
        <v>38801.905816859806</v>
      </c>
      <c r="G8" s="455" t="str">
        <f t="shared" ref="G8" si="0">IF(AO8="IRR",C8*E8,"")</f>
        <v/>
      </c>
      <c r="H8" s="456">
        <f t="shared" ref="H8" si="1">IF(AO8="EUR",C8*F8,"")</f>
        <v>38801.905816859806</v>
      </c>
      <c r="I8" s="327" t="s">
        <v>464</v>
      </c>
      <c r="J8" s="327"/>
      <c r="K8" s="327"/>
      <c r="L8" s="327"/>
      <c r="M8" s="327" t="s">
        <v>433</v>
      </c>
      <c r="N8" s="327" t="s">
        <v>465</v>
      </c>
      <c r="O8" s="327"/>
      <c r="P8" s="327"/>
      <c r="Q8" s="327"/>
      <c r="R8" s="327" t="s">
        <v>433</v>
      </c>
      <c r="S8" s="327" t="s">
        <v>466</v>
      </c>
      <c r="T8" s="327"/>
      <c r="U8" s="327"/>
      <c r="V8" s="327"/>
      <c r="W8" s="327" t="s">
        <v>433</v>
      </c>
      <c r="AH8" s="441">
        <f>IF(B8="","",COUNT(J8,O8,T8,Y8,AD8))</f>
        <v>0</v>
      </c>
      <c r="AI8" s="442">
        <f>IF(B8="","",COUNT(K8,P8,U8,Z8,AE8))</f>
        <v>0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 t="str">
        <f>IF(AND(AI8&lt;&gt;"",AI8&gt;0),AVERAGE(K8,P8,U8,Z8,AE8),"")</f>
        <v/>
      </c>
      <c r="AM8" s="442" t="str">
        <f>IF(AND(AJ8&lt;&gt;"",AJ8&gt;0),AVERAGE(L8,Q8,V8,AA8,AF8)/'[5]Basic INFO'!$C$103,"")</f>
        <v/>
      </c>
      <c r="AN8" s="442" t="str">
        <f>IF(SUM(AH8:AJ8)&lt;&gt;0,AVERAGE(AK8:AM8),"")</f>
        <v/>
      </c>
      <c r="AO8" s="8" t="s">
        <v>526</v>
      </c>
      <c r="AP8" s="444" t="str">
        <f>IF(B8="","",IF(SUM(AH8:AJ8)=0,"",IF(AO8="IRR",AN8*('[5]Basic INFO'!$C$101*'[5]Basic INFO'!$C$103),IF(AO8="EUR",AN8,AP8))))</f>
        <v/>
      </c>
      <c r="AQ8" s="326"/>
      <c r="AR8" s="326">
        <v>25000</v>
      </c>
      <c r="AS8" s="447"/>
      <c r="AT8" s="448"/>
    </row>
    <row r="9" spans="1:46" ht="11.65" customHeight="1" x14ac:dyDescent="0.25">
      <c r="A9" s="457"/>
      <c r="B9" s="458" t="s">
        <v>542</v>
      </c>
      <c r="C9" s="457"/>
      <c r="D9" s="457"/>
      <c r="E9" s="459"/>
      <c r="F9" s="460"/>
      <c r="G9" s="461">
        <f>SUM(G8)</f>
        <v>0</v>
      </c>
      <c r="H9" s="462">
        <f>SUM(H8)</f>
        <v>38801.905816859806</v>
      </c>
      <c r="AQ9" s="328" t="s">
        <v>297</v>
      </c>
      <c r="AR9" s="328" t="s">
        <v>298</v>
      </c>
    </row>
    <row r="10" spans="1:46" ht="11.65" customHeight="1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  <c r="AQ10" s="329"/>
      <c r="AR10" s="329"/>
    </row>
    <row r="11" spans="1:46" ht="11.65" customHeight="1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  <c r="AQ11" s="310"/>
      <c r="AR11" s="310"/>
    </row>
    <row r="12" spans="1:46" ht="15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0</v>
      </c>
      <c r="H12" s="469">
        <f>ROUND(H9*H10*(1+H11)/1000,0)*1000</f>
        <v>50000</v>
      </c>
      <c r="AQ12" s="310"/>
      <c r="AR12" s="310"/>
    </row>
    <row r="13" spans="1:46" ht="11.65" customHeight="1" x14ac:dyDescent="0.2">
      <c r="A13" s="308"/>
      <c r="B13" s="310"/>
      <c r="C13" s="310"/>
      <c r="D13" s="310"/>
      <c r="E13" s="344"/>
      <c r="F13" s="344"/>
      <c r="G13" s="461">
        <f>ROUND(SUMIF(AP:AP,"&gt;0",G:G)*G10*(1+G11)/1000000,0)*1000000</f>
        <v>0</v>
      </c>
      <c r="H13" s="462">
        <f>ROUND(SUMIF(AP:AP,"&gt;0",H:H)*H10*(1+H11)/1000,0)*1000</f>
        <v>0</v>
      </c>
      <c r="AQ13" s="310"/>
      <c r="AR13" s="310"/>
    </row>
    <row r="14" spans="1:46" ht="11.65" customHeight="1" x14ac:dyDescent="0.2">
      <c r="A14" s="308"/>
      <c r="B14" s="310"/>
      <c r="C14" s="310"/>
      <c r="D14" s="310"/>
      <c r="E14" s="344"/>
      <c r="F14" s="344"/>
      <c r="G14" s="310"/>
      <c r="H14" s="310"/>
      <c r="AQ14" s="310"/>
      <c r="AR14" s="310"/>
    </row>
    <row r="15" spans="1:46" ht="11.65" customHeight="1" x14ac:dyDescent="0.2">
      <c r="A15" s="308"/>
      <c r="B15" s="310"/>
      <c r="C15" s="310"/>
      <c r="D15" s="310"/>
      <c r="E15" s="344"/>
      <c r="F15" s="344"/>
      <c r="G15" s="310"/>
      <c r="H15" s="310"/>
      <c r="AQ15" s="310"/>
      <c r="AR15" s="310"/>
    </row>
    <row r="16" spans="1:46" ht="11.65" customHeight="1" x14ac:dyDescent="0.2">
      <c r="A16" s="308"/>
      <c r="B16" s="310"/>
      <c r="C16" s="310"/>
      <c r="D16" s="310"/>
      <c r="E16" s="344"/>
      <c r="F16" s="344"/>
      <c r="G16" s="310"/>
      <c r="H16" s="310"/>
      <c r="AQ16" s="310"/>
      <c r="AR16" s="310"/>
    </row>
    <row r="17" spans="1:44" ht="11.65" customHeight="1" x14ac:dyDescent="0.2">
      <c r="A17" s="308"/>
      <c r="B17" s="310"/>
      <c r="C17" s="310"/>
      <c r="D17" s="310"/>
      <c r="E17" s="344"/>
      <c r="F17" s="344"/>
      <c r="G17" s="310"/>
      <c r="H17" s="310"/>
      <c r="AQ17" s="310"/>
      <c r="AR17" s="310"/>
    </row>
    <row r="18" spans="1:44" ht="11.65" customHeight="1" x14ac:dyDescent="0.2">
      <c r="A18" s="308"/>
      <c r="B18" s="310"/>
      <c r="C18" s="310"/>
      <c r="D18" s="310"/>
      <c r="E18" s="344"/>
      <c r="F18" s="344"/>
      <c r="G18" s="310"/>
      <c r="H18" s="310"/>
      <c r="AQ18" s="310"/>
      <c r="AR18" s="310"/>
    </row>
    <row r="19" spans="1:44" ht="11.65" customHeight="1" x14ac:dyDescent="0.2">
      <c r="A19" s="308"/>
      <c r="B19" s="310"/>
      <c r="C19" s="310"/>
      <c r="D19" s="310"/>
      <c r="E19" s="344"/>
      <c r="F19" s="344"/>
      <c r="G19" s="310"/>
      <c r="H19" s="310"/>
      <c r="AQ19" s="310"/>
      <c r="AR19" s="310"/>
    </row>
    <row r="20" spans="1:44" ht="11.65" customHeight="1" x14ac:dyDescent="0.2">
      <c r="A20" s="308"/>
      <c r="B20" s="310"/>
      <c r="C20" s="310"/>
      <c r="D20" s="310"/>
      <c r="E20" s="344"/>
      <c r="F20" s="344"/>
      <c r="G20" s="310"/>
      <c r="H20" s="310"/>
      <c r="AQ20" s="310"/>
      <c r="AR20" s="310"/>
    </row>
    <row r="21" spans="1:44" ht="11.65" customHeight="1" x14ac:dyDescent="0.2">
      <c r="A21" s="308"/>
      <c r="B21" s="310"/>
      <c r="C21" s="310"/>
      <c r="D21" s="310"/>
      <c r="E21" s="344"/>
      <c r="F21" s="344"/>
      <c r="G21" s="310"/>
      <c r="H21" s="310"/>
      <c r="AQ21" s="310"/>
      <c r="AR21" s="310"/>
    </row>
    <row r="22" spans="1:44" ht="11.65" customHeight="1" x14ac:dyDescent="0.2">
      <c r="A22" s="308"/>
      <c r="B22" s="310"/>
      <c r="C22" s="310"/>
      <c r="D22" s="310"/>
      <c r="E22" s="344"/>
      <c r="F22" s="344"/>
      <c r="G22" s="310"/>
      <c r="H22" s="310"/>
      <c r="AQ22" s="310"/>
      <c r="AR22" s="310"/>
    </row>
    <row r="23" spans="1:44" ht="11.65" customHeight="1" x14ac:dyDescent="0.2">
      <c r="A23" s="308"/>
      <c r="B23" s="310"/>
      <c r="C23" s="310"/>
      <c r="D23" s="310"/>
      <c r="E23" s="344"/>
      <c r="F23" s="344"/>
      <c r="G23" s="310"/>
      <c r="H23" s="310"/>
      <c r="AQ23" s="310"/>
      <c r="AR23" s="310"/>
    </row>
    <row r="24" spans="1:44" ht="11.65" customHeight="1" x14ac:dyDescent="0.2">
      <c r="A24" s="308"/>
      <c r="B24" s="310"/>
      <c r="C24" s="310"/>
      <c r="D24" s="310"/>
      <c r="E24" s="344"/>
      <c r="F24" s="344"/>
      <c r="G24" s="310"/>
      <c r="H24" s="310"/>
      <c r="AQ24" s="310"/>
      <c r="AR24" s="310"/>
    </row>
    <row r="25" spans="1:44" ht="11.65" customHeight="1" x14ac:dyDescent="0.2">
      <c r="A25" s="308"/>
      <c r="B25" s="310"/>
      <c r="C25" s="310"/>
      <c r="D25" s="310"/>
      <c r="E25" s="344"/>
      <c r="F25" s="344"/>
      <c r="G25" s="310"/>
      <c r="H25" s="310"/>
      <c r="AQ25" s="310"/>
      <c r="AR25" s="310"/>
    </row>
    <row r="26" spans="1:44" ht="11.65" customHeight="1" x14ac:dyDescent="0.2">
      <c r="A26" s="308"/>
      <c r="B26" s="310"/>
      <c r="C26" s="310"/>
      <c r="D26" s="310"/>
      <c r="E26" s="344"/>
      <c r="F26" s="344"/>
      <c r="G26" s="310"/>
      <c r="H26" s="310"/>
      <c r="AQ26" s="310"/>
      <c r="AR26" s="310"/>
    </row>
    <row r="27" spans="1:44" ht="11.65" customHeight="1" x14ac:dyDescent="0.2">
      <c r="A27" s="308"/>
      <c r="B27" s="310"/>
      <c r="C27" s="310"/>
      <c r="D27" s="310"/>
      <c r="E27" s="344"/>
      <c r="F27" s="344"/>
      <c r="G27" s="310"/>
      <c r="H27" s="310"/>
      <c r="AQ27" s="310"/>
      <c r="AR27" s="310"/>
    </row>
    <row r="28" spans="1:44" ht="11.65" customHeight="1" x14ac:dyDescent="0.2">
      <c r="A28" s="308"/>
      <c r="B28" s="310"/>
      <c r="C28" s="310"/>
      <c r="D28" s="310"/>
      <c r="E28" s="344"/>
      <c r="F28" s="344"/>
      <c r="G28" s="310"/>
      <c r="H28" s="310"/>
      <c r="AQ28" s="310"/>
      <c r="AR28" s="310"/>
    </row>
    <row r="29" spans="1:44" ht="11.65" customHeight="1" x14ac:dyDescent="0.2">
      <c r="A29" s="308"/>
      <c r="B29" s="310"/>
      <c r="C29" s="310"/>
      <c r="D29" s="310"/>
      <c r="E29" s="344"/>
      <c r="F29" s="344"/>
      <c r="G29" s="310"/>
      <c r="H29" s="310"/>
      <c r="AQ29" s="310"/>
      <c r="AR29" s="310"/>
    </row>
    <row r="30" spans="1:44" ht="11.65" customHeight="1" x14ac:dyDescent="0.2">
      <c r="A30" s="308"/>
      <c r="B30" s="310"/>
      <c r="C30" s="310"/>
      <c r="D30" s="310"/>
      <c r="E30" s="344"/>
      <c r="F30" s="344"/>
      <c r="G30" s="310"/>
      <c r="H30" s="310"/>
      <c r="AQ30" s="310"/>
      <c r="AR30" s="310"/>
    </row>
    <row r="31" spans="1:44" ht="11.65" customHeight="1" x14ac:dyDescent="0.2">
      <c r="A31" s="308"/>
      <c r="B31" s="310"/>
      <c r="C31" s="310"/>
      <c r="D31" s="310"/>
      <c r="E31" s="344"/>
      <c r="F31" s="344"/>
      <c r="G31" s="310"/>
      <c r="H31" s="310"/>
      <c r="AQ31" s="310"/>
      <c r="AR31" s="310"/>
    </row>
    <row r="32" spans="1:44" ht="11.65" customHeight="1" x14ac:dyDescent="0.2">
      <c r="A32" s="308"/>
      <c r="B32" s="310"/>
      <c r="C32" s="310"/>
      <c r="D32" s="310"/>
      <c r="E32" s="344"/>
      <c r="F32" s="344"/>
      <c r="G32" s="310"/>
      <c r="H32" s="310"/>
      <c r="AQ32" s="310"/>
      <c r="AR32" s="310"/>
    </row>
    <row r="33" spans="1:44" ht="11.65" customHeight="1" x14ac:dyDescent="0.2">
      <c r="A33" s="308"/>
      <c r="B33" s="310"/>
      <c r="C33" s="310"/>
      <c r="D33" s="310"/>
      <c r="E33" s="344"/>
      <c r="F33" s="344"/>
      <c r="G33" s="310"/>
      <c r="H33" s="310"/>
      <c r="AQ33" s="310"/>
      <c r="AR33" s="310"/>
    </row>
    <row r="34" spans="1:44" ht="11.65" customHeight="1" thickBot="1" x14ac:dyDescent="0.25">
      <c r="A34" s="303"/>
      <c r="B34" s="311"/>
      <c r="C34" s="311"/>
      <c r="D34" s="311"/>
      <c r="E34" s="346"/>
      <c r="F34" s="346"/>
      <c r="G34" s="311"/>
      <c r="H34" s="311"/>
      <c r="AQ34" s="311"/>
      <c r="AR34" s="311"/>
    </row>
  </sheetData>
  <mergeCells count="3">
    <mergeCell ref="I6:M6"/>
    <mergeCell ref="N6:R6"/>
    <mergeCell ref="S6:W6"/>
  </mergeCells>
  <dataValidations disablePrompts="1" count="1">
    <dataValidation type="list" allowBlank="1" showInputMessage="1" showErrorMessage="1" sqref="WBJ983054:WBK983057 JA65550:JB65553 SW65550:SX65553 ACS65550:ACT65553 AMO65550:AMP65553 AWK65550:AWL65553 BGG65550:BGH65553 BQC65550:BQD65553 BZY65550:BZZ65553 CJU65550:CJV65553 CTQ65550:CTR65553 DDM65550:DDN65553 DNI65550:DNJ65553 DXE65550:DXF65553 EHA65550:EHB65553 EQW65550:EQX65553 FAS65550:FAT65553 FKO65550:FKP65553 FUK65550:FUL65553 GEG65550:GEH65553 GOC65550:GOD65553 GXY65550:GXZ65553 HHU65550:HHV65553 HRQ65550:HRR65553 IBM65550:IBN65553 ILI65550:ILJ65553 IVE65550:IVF65553 JFA65550:JFB65553 JOW65550:JOX65553 JYS65550:JYT65553 KIO65550:KIP65553 KSK65550:KSL65553 LCG65550:LCH65553 LMC65550:LMD65553 LVY65550:LVZ65553 MFU65550:MFV65553 MPQ65550:MPR65553 MZM65550:MZN65553 NJI65550:NJJ65553 NTE65550:NTF65553 ODA65550:ODB65553 OMW65550:OMX65553 OWS65550:OWT65553 PGO65550:PGP65553 PQK65550:PQL65553 QAG65550:QAH65553 QKC65550:QKD65553 QTY65550:QTZ65553 RDU65550:RDV65553 RNQ65550:RNR65553 RXM65550:RXN65553 SHI65550:SHJ65553 SRE65550:SRF65553 TBA65550:TBB65553 TKW65550:TKX65553 TUS65550:TUT65553 UEO65550:UEP65553 UOK65550:UOL65553 UYG65550:UYH65553 VIC65550:VID65553 VRY65550:VRZ65553 WBU65550:WBV65553 WLQ65550:WLR65553 WVM65550:WVN65553 JA131086:JB131089 SW131086:SX131089 ACS131086:ACT131089 AMO131086:AMP131089 AWK131086:AWL131089 BGG131086:BGH131089 BQC131086:BQD131089 BZY131086:BZZ131089 CJU131086:CJV131089 CTQ131086:CTR131089 DDM131086:DDN131089 DNI131086:DNJ131089 DXE131086:DXF131089 EHA131086:EHB131089 EQW131086:EQX131089 FAS131086:FAT131089 FKO131086:FKP131089 FUK131086:FUL131089 GEG131086:GEH131089 GOC131086:GOD131089 GXY131086:GXZ131089 HHU131086:HHV131089 HRQ131086:HRR131089 IBM131086:IBN131089 ILI131086:ILJ131089 IVE131086:IVF131089 JFA131086:JFB131089 JOW131086:JOX131089 JYS131086:JYT131089 KIO131086:KIP131089 KSK131086:KSL131089 LCG131086:LCH131089 LMC131086:LMD131089 LVY131086:LVZ131089 MFU131086:MFV131089 MPQ131086:MPR131089 MZM131086:MZN131089 NJI131086:NJJ131089 NTE131086:NTF131089 ODA131086:ODB131089 OMW131086:OMX131089 OWS131086:OWT131089 PGO131086:PGP131089 PQK131086:PQL131089 QAG131086:QAH131089 QKC131086:QKD131089 QTY131086:QTZ131089 RDU131086:RDV131089 RNQ131086:RNR131089 RXM131086:RXN131089 SHI131086:SHJ131089 SRE131086:SRF131089 TBA131086:TBB131089 TKW131086:TKX131089 TUS131086:TUT131089 UEO131086:UEP131089 UOK131086:UOL131089 UYG131086:UYH131089 VIC131086:VID131089 VRY131086:VRZ131089 WBU131086:WBV131089 WLQ131086:WLR131089 WVM131086:WVN131089 JA196622:JB196625 SW196622:SX196625 ACS196622:ACT196625 AMO196622:AMP196625 AWK196622:AWL196625 BGG196622:BGH196625 BQC196622:BQD196625 BZY196622:BZZ196625 CJU196622:CJV196625 CTQ196622:CTR196625 DDM196622:DDN196625 DNI196622:DNJ196625 DXE196622:DXF196625 EHA196622:EHB196625 EQW196622:EQX196625 FAS196622:FAT196625 FKO196622:FKP196625 FUK196622:FUL196625 GEG196622:GEH196625 GOC196622:GOD196625 GXY196622:GXZ196625 HHU196622:HHV196625 HRQ196622:HRR196625 IBM196622:IBN196625 ILI196622:ILJ196625 IVE196622:IVF196625 JFA196622:JFB196625 JOW196622:JOX196625 JYS196622:JYT196625 KIO196622:KIP196625 KSK196622:KSL196625 LCG196622:LCH196625 LMC196622:LMD196625 LVY196622:LVZ196625 MFU196622:MFV196625 MPQ196622:MPR196625 MZM196622:MZN196625 NJI196622:NJJ196625 NTE196622:NTF196625 ODA196622:ODB196625 OMW196622:OMX196625 OWS196622:OWT196625 PGO196622:PGP196625 PQK196622:PQL196625 QAG196622:QAH196625 QKC196622:QKD196625 QTY196622:QTZ196625 RDU196622:RDV196625 RNQ196622:RNR196625 RXM196622:RXN196625 SHI196622:SHJ196625 SRE196622:SRF196625 TBA196622:TBB196625 TKW196622:TKX196625 TUS196622:TUT196625 UEO196622:UEP196625 UOK196622:UOL196625 UYG196622:UYH196625 VIC196622:VID196625 VRY196622:VRZ196625 WBU196622:WBV196625 WLQ196622:WLR196625 WVM196622:WVN196625 JA262158:JB262161 SW262158:SX262161 ACS262158:ACT262161 AMO262158:AMP262161 AWK262158:AWL262161 BGG262158:BGH262161 BQC262158:BQD262161 BZY262158:BZZ262161 CJU262158:CJV262161 CTQ262158:CTR262161 DDM262158:DDN262161 DNI262158:DNJ262161 DXE262158:DXF262161 EHA262158:EHB262161 EQW262158:EQX262161 FAS262158:FAT262161 FKO262158:FKP262161 FUK262158:FUL262161 GEG262158:GEH262161 GOC262158:GOD262161 GXY262158:GXZ262161 HHU262158:HHV262161 HRQ262158:HRR262161 IBM262158:IBN262161 ILI262158:ILJ262161 IVE262158:IVF262161 JFA262158:JFB262161 JOW262158:JOX262161 JYS262158:JYT262161 KIO262158:KIP262161 KSK262158:KSL262161 LCG262158:LCH262161 LMC262158:LMD262161 LVY262158:LVZ262161 MFU262158:MFV262161 MPQ262158:MPR262161 MZM262158:MZN262161 NJI262158:NJJ262161 NTE262158:NTF262161 ODA262158:ODB262161 OMW262158:OMX262161 OWS262158:OWT262161 PGO262158:PGP262161 PQK262158:PQL262161 QAG262158:QAH262161 QKC262158:QKD262161 QTY262158:QTZ262161 RDU262158:RDV262161 RNQ262158:RNR262161 RXM262158:RXN262161 SHI262158:SHJ262161 SRE262158:SRF262161 TBA262158:TBB262161 TKW262158:TKX262161 TUS262158:TUT262161 UEO262158:UEP262161 UOK262158:UOL262161 UYG262158:UYH262161 VIC262158:VID262161 VRY262158:VRZ262161 WBU262158:WBV262161 WLQ262158:WLR262161 WVM262158:WVN262161 JA327694:JB327697 SW327694:SX327697 ACS327694:ACT327697 AMO327694:AMP327697 AWK327694:AWL327697 BGG327694:BGH327697 BQC327694:BQD327697 BZY327694:BZZ327697 CJU327694:CJV327697 CTQ327694:CTR327697 DDM327694:DDN327697 DNI327694:DNJ327697 DXE327694:DXF327697 EHA327694:EHB327697 EQW327694:EQX327697 FAS327694:FAT327697 FKO327694:FKP327697 FUK327694:FUL327697 GEG327694:GEH327697 GOC327694:GOD327697 GXY327694:GXZ327697 HHU327694:HHV327697 HRQ327694:HRR327697 IBM327694:IBN327697 ILI327694:ILJ327697 IVE327694:IVF327697 JFA327694:JFB327697 JOW327694:JOX327697 JYS327694:JYT327697 KIO327694:KIP327697 KSK327694:KSL327697 LCG327694:LCH327697 LMC327694:LMD327697 LVY327694:LVZ327697 MFU327694:MFV327697 MPQ327694:MPR327697 MZM327694:MZN327697 NJI327694:NJJ327697 NTE327694:NTF327697 ODA327694:ODB327697 OMW327694:OMX327697 OWS327694:OWT327697 PGO327694:PGP327697 PQK327694:PQL327697 QAG327694:QAH327697 QKC327694:QKD327697 QTY327694:QTZ327697 RDU327694:RDV327697 RNQ327694:RNR327697 RXM327694:RXN327697 SHI327694:SHJ327697 SRE327694:SRF327697 TBA327694:TBB327697 TKW327694:TKX327697 TUS327694:TUT327697 UEO327694:UEP327697 UOK327694:UOL327697 UYG327694:UYH327697 VIC327694:VID327697 VRY327694:VRZ327697 WBU327694:WBV327697 WLQ327694:WLR327697 WVM327694:WVN327697 JA393230:JB393233 SW393230:SX393233 ACS393230:ACT393233 AMO393230:AMP393233 AWK393230:AWL393233 BGG393230:BGH393233 BQC393230:BQD393233 BZY393230:BZZ393233 CJU393230:CJV393233 CTQ393230:CTR393233 DDM393230:DDN393233 DNI393230:DNJ393233 DXE393230:DXF393233 EHA393230:EHB393233 EQW393230:EQX393233 FAS393230:FAT393233 FKO393230:FKP393233 FUK393230:FUL393233 GEG393230:GEH393233 GOC393230:GOD393233 GXY393230:GXZ393233 HHU393230:HHV393233 HRQ393230:HRR393233 IBM393230:IBN393233 ILI393230:ILJ393233 IVE393230:IVF393233 JFA393230:JFB393233 JOW393230:JOX393233 JYS393230:JYT393233 KIO393230:KIP393233 KSK393230:KSL393233 LCG393230:LCH393233 LMC393230:LMD393233 LVY393230:LVZ393233 MFU393230:MFV393233 MPQ393230:MPR393233 MZM393230:MZN393233 NJI393230:NJJ393233 NTE393230:NTF393233 ODA393230:ODB393233 OMW393230:OMX393233 OWS393230:OWT393233 PGO393230:PGP393233 PQK393230:PQL393233 QAG393230:QAH393233 QKC393230:QKD393233 QTY393230:QTZ393233 RDU393230:RDV393233 RNQ393230:RNR393233 RXM393230:RXN393233 SHI393230:SHJ393233 SRE393230:SRF393233 TBA393230:TBB393233 TKW393230:TKX393233 TUS393230:TUT393233 UEO393230:UEP393233 UOK393230:UOL393233 UYG393230:UYH393233 VIC393230:VID393233 VRY393230:VRZ393233 WBU393230:WBV393233 WLQ393230:WLR393233 WVM393230:WVN393233 JA458766:JB458769 SW458766:SX458769 ACS458766:ACT458769 AMO458766:AMP458769 AWK458766:AWL458769 BGG458766:BGH458769 BQC458766:BQD458769 BZY458766:BZZ458769 CJU458766:CJV458769 CTQ458766:CTR458769 DDM458766:DDN458769 DNI458766:DNJ458769 DXE458766:DXF458769 EHA458766:EHB458769 EQW458766:EQX458769 FAS458766:FAT458769 FKO458766:FKP458769 FUK458766:FUL458769 GEG458766:GEH458769 GOC458766:GOD458769 GXY458766:GXZ458769 HHU458766:HHV458769 HRQ458766:HRR458769 IBM458766:IBN458769 ILI458766:ILJ458769 IVE458766:IVF458769 JFA458766:JFB458769 JOW458766:JOX458769 JYS458766:JYT458769 KIO458766:KIP458769 KSK458766:KSL458769 LCG458766:LCH458769 LMC458766:LMD458769 LVY458766:LVZ458769 MFU458766:MFV458769 MPQ458766:MPR458769 MZM458766:MZN458769 NJI458766:NJJ458769 NTE458766:NTF458769 ODA458766:ODB458769 OMW458766:OMX458769 OWS458766:OWT458769 PGO458766:PGP458769 PQK458766:PQL458769 QAG458766:QAH458769 QKC458766:QKD458769 QTY458766:QTZ458769 RDU458766:RDV458769 RNQ458766:RNR458769 RXM458766:RXN458769 SHI458766:SHJ458769 SRE458766:SRF458769 TBA458766:TBB458769 TKW458766:TKX458769 TUS458766:TUT458769 UEO458766:UEP458769 UOK458766:UOL458769 UYG458766:UYH458769 VIC458766:VID458769 VRY458766:VRZ458769 WBU458766:WBV458769 WLQ458766:WLR458769 WVM458766:WVN458769 JA524302:JB524305 SW524302:SX524305 ACS524302:ACT524305 AMO524302:AMP524305 AWK524302:AWL524305 BGG524302:BGH524305 BQC524302:BQD524305 BZY524302:BZZ524305 CJU524302:CJV524305 CTQ524302:CTR524305 DDM524302:DDN524305 DNI524302:DNJ524305 DXE524302:DXF524305 EHA524302:EHB524305 EQW524302:EQX524305 FAS524302:FAT524305 FKO524302:FKP524305 FUK524302:FUL524305 GEG524302:GEH524305 GOC524302:GOD524305 GXY524302:GXZ524305 HHU524302:HHV524305 HRQ524302:HRR524305 IBM524302:IBN524305 ILI524302:ILJ524305 IVE524302:IVF524305 JFA524302:JFB524305 JOW524302:JOX524305 JYS524302:JYT524305 KIO524302:KIP524305 KSK524302:KSL524305 LCG524302:LCH524305 LMC524302:LMD524305 LVY524302:LVZ524305 MFU524302:MFV524305 MPQ524302:MPR524305 MZM524302:MZN524305 NJI524302:NJJ524305 NTE524302:NTF524305 ODA524302:ODB524305 OMW524302:OMX524305 OWS524302:OWT524305 PGO524302:PGP524305 PQK524302:PQL524305 QAG524302:QAH524305 QKC524302:QKD524305 QTY524302:QTZ524305 RDU524302:RDV524305 RNQ524302:RNR524305 RXM524302:RXN524305 SHI524302:SHJ524305 SRE524302:SRF524305 TBA524302:TBB524305 TKW524302:TKX524305 TUS524302:TUT524305 UEO524302:UEP524305 UOK524302:UOL524305 UYG524302:UYH524305 VIC524302:VID524305 VRY524302:VRZ524305 WBU524302:WBV524305 WLQ524302:WLR524305 WVM524302:WVN524305 JA589838:JB589841 SW589838:SX589841 ACS589838:ACT589841 AMO589838:AMP589841 AWK589838:AWL589841 BGG589838:BGH589841 BQC589838:BQD589841 BZY589838:BZZ589841 CJU589838:CJV589841 CTQ589838:CTR589841 DDM589838:DDN589841 DNI589838:DNJ589841 DXE589838:DXF589841 EHA589838:EHB589841 EQW589838:EQX589841 FAS589838:FAT589841 FKO589838:FKP589841 FUK589838:FUL589841 GEG589838:GEH589841 GOC589838:GOD589841 GXY589838:GXZ589841 HHU589838:HHV589841 HRQ589838:HRR589841 IBM589838:IBN589841 ILI589838:ILJ589841 IVE589838:IVF589841 JFA589838:JFB589841 JOW589838:JOX589841 JYS589838:JYT589841 KIO589838:KIP589841 KSK589838:KSL589841 LCG589838:LCH589841 LMC589838:LMD589841 LVY589838:LVZ589841 MFU589838:MFV589841 MPQ589838:MPR589841 MZM589838:MZN589841 NJI589838:NJJ589841 NTE589838:NTF589841 ODA589838:ODB589841 OMW589838:OMX589841 OWS589838:OWT589841 PGO589838:PGP589841 PQK589838:PQL589841 QAG589838:QAH589841 QKC589838:QKD589841 QTY589838:QTZ589841 RDU589838:RDV589841 RNQ589838:RNR589841 RXM589838:RXN589841 SHI589838:SHJ589841 SRE589838:SRF589841 TBA589838:TBB589841 TKW589838:TKX589841 TUS589838:TUT589841 UEO589838:UEP589841 UOK589838:UOL589841 UYG589838:UYH589841 VIC589838:VID589841 VRY589838:VRZ589841 WBU589838:WBV589841 WLQ589838:WLR589841 WVM589838:WVN589841 JA655374:JB655377 SW655374:SX655377 ACS655374:ACT655377 AMO655374:AMP655377 AWK655374:AWL655377 BGG655374:BGH655377 BQC655374:BQD655377 BZY655374:BZZ655377 CJU655374:CJV655377 CTQ655374:CTR655377 DDM655374:DDN655377 DNI655374:DNJ655377 DXE655374:DXF655377 EHA655374:EHB655377 EQW655374:EQX655377 FAS655374:FAT655377 FKO655374:FKP655377 FUK655374:FUL655377 GEG655374:GEH655377 GOC655374:GOD655377 GXY655374:GXZ655377 HHU655374:HHV655377 HRQ655374:HRR655377 IBM655374:IBN655377 ILI655374:ILJ655377 IVE655374:IVF655377 JFA655374:JFB655377 JOW655374:JOX655377 JYS655374:JYT655377 KIO655374:KIP655377 KSK655374:KSL655377 LCG655374:LCH655377 LMC655374:LMD655377 LVY655374:LVZ655377 MFU655374:MFV655377 MPQ655374:MPR655377 MZM655374:MZN655377 NJI655374:NJJ655377 NTE655374:NTF655377 ODA655374:ODB655377 OMW655374:OMX655377 OWS655374:OWT655377 PGO655374:PGP655377 PQK655374:PQL655377 QAG655374:QAH655377 QKC655374:QKD655377 QTY655374:QTZ655377 RDU655374:RDV655377 RNQ655374:RNR655377 RXM655374:RXN655377 SHI655374:SHJ655377 SRE655374:SRF655377 TBA655374:TBB655377 TKW655374:TKX655377 TUS655374:TUT655377 UEO655374:UEP655377 UOK655374:UOL655377 UYG655374:UYH655377 VIC655374:VID655377 VRY655374:VRZ655377 WBU655374:WBV655377 WLQ655374:WLR655377 WVM655374:WVN655377 JA720910:JB720913 SW720910:SX720913 ACS720910:ACT720913 AMO720910:AMP720913 AWK720910:AWL720913 BGG720910:BGH720913 BQC720910:BQD720913 BZY720910:BZZ720913 CJU720910:CJV720913 CTQ720910:CTR720913 DDM720910:DDN720913 DNI720910:DNJ720913 DXE720910:DXF720913 EHA720910:EHB720913 EQW720910:EQX720913 FAS720910:FAT720913 FKO720910:FKP720913 FUK720910:FUL720913 GEG720910:GEH720913 GOC720910:GOD720913 GXY720910:GXZ720913 HHU720910:HHV720913 HRQ720910:HRR720913 IBM720910:IBN720913 ILI720910:ILJ720913 IVE720910:IVF720913 JFA720910:JFB720913 JOW720910:JOX720913 JYS720910:JYT720913 KIO720910:KIP720913 KSK720910:KSL720913 LCG720910:LCH720913 LMC720910:LMD720913 LVY720910:LVZ720913 MFU720910:MFV720913 MPQ720910:MPR720913 MZM720910:MZN720913 NJI720910:NJJ720913 NTE720910:NTF720913 ODA720910:ODB720913 OMW720910:OMX720913 OWS720910:OWT720913 PGO720910:PGP720913 PQK720910:PQL720913 QAG720910:QAH720913 QKC720910:QKD720913 QTY720910:QTZ720913 RDU720910:RDV720913 RNQ720910:RNR720913 RXM720910:RXN720913 SHI720910:SHJ720913 SRE720910:SRF720913 TBA720910:TBB720913 TKW720910:TKX720913 TUS720910:TUT720913 UEO720910:UEP720913 UOK720910:UOL720913 UYG720910:UYH720913 VIC720910:VID720913 VRY720910:VRZ720913 WBU720910:WBV720913 WLQ720910:WLR720913 WVM720910:WVN720913 JA786446:JB786449 SW786446:SX786449 ACS786446:ACT786449 AMO786446:AMP786449 AWK786446:AWL786449 BGG786446:BGH786449 BQC786446:BQD786449 BZY786446:BZZ786449 CJU786446:CJV786449 CTQ786446:CTR786449 DDM786446:DDN786449 DNI786446:DNJ786449 DXE786446:DXF786449 EHA786446:EHB786449 EQW786446:EQX786449 FAS786446:FAT786449 FKO786446:FKP786449 FUK786446:FUL786449 GEG786446:GEH786449 GOC786446:GOD786449 GXY786446:GXZ786449 HHU786446:HHV786449 HRQ786446:HRR786449 IBM786446:IBN786449 ILI786446:ILJ786449 IVE786446:IVF786449 JFA786446:JFB786449 JOW786446:JOX786449 JYS786446:JYT786449 KIO786446:KIP786449 KSK786446:KSL786449 LCG786446:LCH786449 LMC786446:LMD786449 LVY786446:LVZ786449 MFU786446:MFV786449 MPQ786446:MPR786449 MZM786446:MZN786449 NJI786446:NJJ786449 NTE786446:NTF786449 ODA786446:ODB786449 OMW786446:OMX786449 OWS786446:OWT786449 PGO786446:PGP786449 PQK786446:PQL786449 QAG786446:QAH786449 QKC786446:QKD786449 QTY786446:QTZ786449 RDU786446:RDV786449 RNQ786446:RNR786449 RXM786446:RXN786449 SHI786446:SHJ786449 SRE786446:SRF786449 TBA786446:TBB786449 TKW786446:TKX786449 TUS786446:TUT786449 UEO786446:UEP786449 UOK786446:UOL786449 UYG786446:UYH786449 VIC786446:VID786449 VRY786446:VRZ786449 WBU786446:WBV786449 WLQ786446:WLR786449 WVM786446:WVN786449 JA851982:JB851985 SW851982:SX851985 ACS851982:ACT851985 AMO851982:AMP851985 AWK851982:AWL851985 BGG851982:BGH851985 BQC851982:BQD851985 BZY851982:BZZ851985 CJU851982:CJV851985 CTQ851982:CTR851985 DDM851982:DDN851985 DNI851982:DNJ851985 DXE851982:DXF851985 EHA851982:EHB851985 EQW851982:EQX851985 FAS851982:FAT851985 FKO851982:FKP851985 FUK851982:FUL851985 GEG851982:GEH851985 GOC851982:GOD851985 GXY851982:GXZ851985 HHU851982:HHV851985 HRQ851982:HRR851985 IBM851982:IBN851985 ILI851982:ILJ851985 IVE851982:IVF851985 JFA851982:JFB851985 JOW851982:JOX851985 JYS851982:JYT851985 KIO851982:KIP851985 KSK851982:KSL851985 LCG851982:LCH851985 LMC851982:LMD851985 LVY851982:LVZ851985 MFU851982:MFV851985 MPQ851982:MPR851985 MZM851982:MZN851985 NJI851982:NJJ851985 NTE851982:NTF851985 ODA851982:ODB851985 OMW851982:OMX851985 OWS851982:OWT851985 PGO851982:PGP851985 PQK851982:PQL851985 QAG851982:QAH851985 QKC851982:QKD851985 QTY851982:QTZ851985 RDU851982:RDV851985 RNQ851982:RNR851985 RXM851982:RXN851985 SHI851982:SHJ851985 SRE851982:SRF851985 TBA851982:TBB851985 TKW851982:TKX851985 TUS851982:TUT851985 UEO851982:UEP851985 UOK851982:UOL851985 UYG851982:UYH851985 VIC851982:VID851985 VRY851982:VRZ851985 WBU851982:WBV851985 WLQ851982:WLR851985 WVM851982:WVN851985 JA917518:JB917521 SW917518:SX917521 ACS917518:ACT917521 AMO917518:AMP917521 AWK917518:AWL917521 BGG917518:BGH917521 BQC917518:BQD917521 BZY917518:BZZ917521 CJU917518:CJV917521 CTQ917518:CTR917521 DDM917518:DDN917521 DNI917518:DNJ917521 DXE917518:DXF917521 EHA917518:EHB917521 EQW917518:EQX917521 FAS917518:FAT917521 FKO917518:FKP917521 FUK917518:FUL917521 GEG917518:GEH917521 GOC917518:GOD917521 GXY917518:GXZ917521 HHU917518:HHV917521 HRQ917518:HRR917521 IBM917518:IBN917521 ILI917518:ILJ917521 IVE917518:IVF917521 JFA917518:JFB917521 JOW917518:JOX917521 JYS917518:JYT917521 KIO917518:KIP917521 KSK917518:KSL917521 LCG917518:LCH917521 LMC917518:LMD917521 LVY917518:LVZ917521 MFU917518:MFV917521 MPQ917518:MPR917521 MZM917518:MZN917521 NJI917518:NJJ917521 NTE917518:NTF917521 ODA917518:ODB917521 OMW917518:OMX917521 OWS917518:OWT917521 PGO917518:PGP917521 PQK917518:PQL917521 QAG917518:QAH917521 QKC917518:QKD917521 QTY917518:QTZ917521 RDU917518:RDV917521 RNQ917518:RNR917521 RXM917518:RXN917521 SHI917518:SHJ917521 SRE917518:SRF917521 TBA917518:TBB917521 TKW917518:TKX917521 TUS917518:TUT917521 UEO917518:UEP917521 UOK917518:UOL917521 UYG917518:UYH917521 VIC917518:VID917521 VRY917518:VRZ917521 WBU917518:WBV917521 WLQ917518:WLR917521 WVM917518:WVN917521 JA983054:JB983057 SW983054:SX983057 ACS983054:ACT983057 AMO983054:AMP983057 AWK983054:AWL983057 BGG983054:BGH983057 BQC983054:BQD983057 BZY983054:BZZ983057 CJU983054:CJV983057 CTQ983054:CTR983057 DDM983054:DDN983057 DNI983054:DNJ983057 DXE983054:DXF983057 EHA983054:EHB983057 EQW983054:EQX983057 FAS983054:FAT983057 FKO983054:FKP983057 FUK983054:FUL983057 GEG983054:GEH983057 GOC983054:GOD983057 GXY983054:GXZ983057 HHU983054:HHV983057 HRQ983054:HRR983057 IBM983054:IBN983057 ILI983054:ILJ983057 IVE983054:IVF983057 JFA983054:JFB983057 JOW983054:JOX983057 JYS983054:JYT983057 KIO983054:KIP983057 KSK983054:KSL983057 LCG983054:LCH983057 LMC983054:LMD983057 LVY983054:LVZ983057 MFU983054:MFV983057 MPQ983054:MPR983057 MZM983054:MZN983057 NJI983054:NJJ983057 NTE983054:NTF983057 ODA983054:ODB983057 OMW983054:OMX983057 OWS983054:OWT983057 PGO983054:PGP983057 PQK983054:PQL983057 QAG983054:QAH983057 QKC983054:QKD983057 QTY983054:QTZ983057 RDU983054:RDV983057 RNQ983054:RNR983057 RXM983054:RXN983057 SHI983054:SHJ983057 SRE983054:SRF983057 TBA983054:TBB983057 TKW983054:TKX983057 TUS983054:TUT983057 UEO983054:UEP983057 UOK983054:UOL983057 UYG983054:UYH983057 VIC983054:VID983057 VRY983054:VRZ983057 WBU983054:WBV983057 WLQ983054:WLR983057 WVM983054:WVN983057 WLF983054:WLG983057 IE65550:IF65553 SA65550:SB65553 ABW65550:ABX65553 ALS65550:ALT65553 AVO65550:AVP65553 BFK65550:BFL65553 BPG65550:BPH65553 BZC65550:BZD65553 CIY65550:CIZ65553 CSU65550:CSV65553 DCQ65550:DCR65553 DMM65550:DMN65553 DWI65550:DWJ65553 EGE65550:EGF65553 EQA65550:EQB65553 EZW65550:EZX65553 FJS65550:FJT65553 FTO65550:FTP65553 GDK65550:GDL65553 GNG65550:GNH65553 GXC65550:GXD65553 HGY65550:HGZ65553 HQU65550:HQV65553 IAQ65550:IAR65553 IKM65550:IKN65553 IUI65550:IUJ65553 JEE65550:JEF65553 JOA65550:JOB65553 JXW65550:JXX65553 KHS65550:KHT65553 KRO65550:KRP65553 LBK65550:LBL65553 LLG65550:LLH65553 LVC65550:LVD65553 MEY65550:MEZ65553 MOU65550:MOV65553 MYQ65550:MYR65553 NIM65550:NIN65553 NSI65550:NSJ65553 OCE65550:OCF65553 OMA65550:OMB65553 OVW65550:OVX65553 PFS65550:PFT65553 PPO65550:PPP65553 PZK65550:PZL65553 QJG65550:QJH65553 QTC65550:QTD65553 RCY65550:RCZ65553 RMU65550:RMV65553 RWQ65550:RWR65553 SGM65550:SGN65553 SQI65550:SQJ65553 TAE65550:TAF65553 TKA65550:TKB65553 TTW65550:TTX65553 UDS65550:UDT65553 UNO65550:UNP65553 UXK65550:UXL65553 VHG65550:VHH65553 VRC65550:VRD65553 WAY65550:WAZ65553 WKU65550:WKV65553 WUQ65550:WUR65553 IE131086:IF131089 SA131086:SB131089 ABW131086:ABX131089 ALS131086:ALT131089 AVO131086:AVP131089 BFK131086:BFL131089 BPG131086:BPH131089 BZC131086:BZD131089 CIY131086:CIZ131089 CSU131086:CSV131089 DCQ131086:DCR131089 DMM131086:DMN131089 DWI131086:DWJ131089 EGE131086:EGF131089 EQA131086:EQB131089 EZW131086:EZX131089 FJS131086:FJT131089 FTO131086:FTP131089 GDK131086:GDL131089 GNG131086:GNH131089 GXC131086:GXD131089 HGY131086:HGZ131089 HQU131086:HQV131089 IAQ131086:IAR131089 IKM131086:IKN131089 IUI131086:IUJ131089 JEE131086:JEF131089 JOA131086:JOB131089 JXW131086:JXX131089 KHS131086:KHT131089 KRO131086:KRP131089 LBK131086:LBL131089 LLG131086:LLH131089 LVC131086:LVD131089 MEY131086:MEZ131089 MOU131086:MOV131089 MYQ131086:MYR131089 NIM131086:NIN131089 NSI131086:NSJ131089 OCE131086:OCF131089 OMA131086:OMB131089 OVW131086:OVX131089 PFS131086:PFT131089 PPO131086:PPP131089 PZK131086:PZL131089 QJG131086:QJH131089 QTC131086:QTD131089 RCY131086:RCZ131089 RMU131086:RMV131089 RWQ131086:RWR131089 SGM131086:SGN131089 SQI131086:SQJ131089 TAE131086:TAF131089 TKA131086:TKB131089 TTW131086:TTX131089 UDS131086:UDT131089 UNO131086:UNP131089 UXK131086:UXL131089 VHG131086:VHH131089 VRC131086:VRD131089 WAY131086:WAZ131089 WKU131086:WKV131089 WUQ131086:WUR131089 IE196622:IF196625 SA196622:SB196625 ABW196622:ABX196625 ALS196622:ALT196625 AVO196622:AVP196625 BFK196622:BFL196625 BPG196622:BPH196625 BZC196622:BZD196625 CIY196622:CIZ196625 CSU196622:CSV196625 DCQ196622:DCR196625 DMM196622:DMN196625 DWI196622:DWJ196625 EGE196622:EGF196625 EQA196622:EQB196625 EZW196622:EZX196625 FJS196622:FJT196625 FTO196622:FTP196625 GDK196622:GDL196625 GNG196622:GNH196625 GXC196622:GXD196625 HGY196622:HGZ196625 HQU196622:HQV196625 IAQ196622:IAR196625 IKM196622:IKN196625 IUI196622:IUJ196625 JEE196622:JEF196625 JOA196622:JOB196625 JXW196622:JXX196625 KHS196622:KHT196625 KRO196622:KRP196625 LBK196622:LBL196625 LLG196622:LLH196625 LVC196622:LVD196625 MEY196622:MEZ196625 MOU196622:MOV196625 MYQ196622:MYR196625 NIM196622:NIN196625 NSI196622:NSJ196625 OCE196622:OCF196625 OMA196622:OMB196625 OVW196622:OVX196625 PFS196622:PFT196625 PPO196622:PPP196625 PZK196622:PZL196625 QJG196622:QJH196625 QTC196622:QTD196625 RCY196622:RCZ196625 RMU196622:RMV196625 RWQ196622:RWR196625 SGM196622:SGN196625 SQI196622:SQJ196625 TAE196622:TAF196625 TKA196622:TKB196625 TTW196622:TTX196625 UDS196622:UDT196625 UNO196622:UNP196625 UXK196622:UXL196625 VHG196622:VHH196625 VRC196622:VRD196625 WAY196622:WAZ196625 WKU196622:WKV196625 WUQ196622:WUR196625 IE262158:IF262161 SA262158:SB262161 ABW262158:ABX262161 ALS262158:ALT262161 AVO262158:AVP262161 BFK262158:BFL262161 BPG262158:BPH262161 BZC262158:BZD262161 CIY262158:CIZ262161 CSU262158:CSV262161 DCQ262158:DCR262161 DMM262158:DMN262161 DWI262158:DWJ262161 EGE262158:EGF262161 EQA262158:EQB262161 EZW262158:EZX262161 FJS262158:FJT262161 FTO262158:FTP262161 GDK262158:GDL262161 GNG262158:GNH262161 GXC262158:GXD262161 HGY262158:HGZ262161 HQU262158:HQV262161 IAQ262158:IAR262161 IKM262158:IKN262161 IUI262158:IUJ262161 JEE262158:JEF262161 JOA262158:JOB262161 JXW262158:JXX262161 KHS262158:KHT262161 KRO262158:KRP262161 LBK262158:LBL262161 LLG262158:LLH262161 LVC262158:LVD262161 MEY262158:MEZ262161 MOU262158:MOV262161 MYQ262158:MYR262161 NIM262158:NIN262161 NSI262158:NSJ262161 OCE262158:OCF262161 OMA262158:OMB262161 OVW262158:OVX262161 PFS262158:PFT262161 PPO262158:PPP262161 PZK262158:PZL262161 QJG262158:QJH262161 QTC262158:QTD262161 RCY262158:RCZ262161 RMU262158:RMV262161 RWQ262158:RWR262161 SGM262158:SGN262161 SQI262158:SQJ262161 TAE262158:TAF262161 TKA262158:TKB262161 TTW262158:TTX262161 UDS262158:UDT262161 UNO262158:UNP262161 UXK262158:UXL262161 VHG262158:VHH262161 VRC262158:VRD262161 WAY262158:WAZ262161 WKU262158:WKV262161 WUQ262158:WUR262161 IE327694:IF327697 SA327694:SB327697 ABW327694:ABX327697 ALS327694:ALT327697 AVO327694:AVP327697 BFK327694:BFL327697 BPG327694:BPH327697 BZC327694:BZD327697 CIY327694:CIZ327697 CSU327694:CSV327697 DCQ327694:DCR327697 DMM327694:DMN327697 DWI327694:DWJ327697 EGE327694:EGF327697 EQA327694:EQB327697 EZW327694:EZX327697 FJS327694:FJT327697 FTO327694:FTP327697 GDK327694:GDL327697 GNG327694:GNH327697 GXC327694:GXD327697 HGY327694:HGZ327697 HQU327694:HQV327697 IAQ327694:IAR327697 IKM327694:IKN327697 IUI327694:IUJ327697 JEE327694:JEF327697 JOA327694:JOB327697 JXW327694:JXX327697 KHS327694:KHT327697 KRO327694:KRP327697 LBK327694:LBL327697 LLG327694:LLH327697 LVC327694:LVD327697 MEY327694:MEZ327697 MOU327694:MOV327697 MYQ327694:MYR327697 NIM327694:NIN327697 NSI327694:NSJ327697 OCE327694:OCF327697 OMA327694:OMB327697 OVW327694:OVX327697 PFS327694:PFT327697 PPO327694:PPP327697 PZK327694:PZL327697 QJG327694:QJH327697 QTC327694:QTD327697 RCY327694:RCZ327697 RMU327694:RMV327697 RWQ327694:RWR327697 SGM327694:SGN327697 SQI327694:SQJ327697 TAE327694:TAF327697 TKA327694:TKB327697 TTW327694:TTX327697 UDS327694:UDT327697 UNO327694:UNP327697 UXK327694:UXL327697 VHG327694:VHH327697 VRC327694:VRD327697 WAY327694:WAZ327697 WKU327694:WKV327697 WUQ327694:WUR327697 IE393230:IF393233 SA393230:SB393233 ABW393230:ABX393233 ALS393230:ALT393233 AVO393230:AVP393233 BFK393230:BFL393233 BPG393230:BPH393233 BZC393230:BZD393233 CIY393230:CIZ393233 CSU393230:CSV393233 DCQ393230:DCR393233 DMM393230:DMN393233 DWI393230:DWJ393233 EGE393230:EGF393233 EQA393230:EQB393233 EZW393230:EZX393233 FJS393230:FJT393233 FTO393230:FTP393233 GDK393230:GDL393233 GNG393230:GNH393233 GXC393230:GXD393233 HGY393230:HGZ393233 HQU393230:HQV393233 IAQ393230:IAR393233 IKM393230:IKN393233 IUI393230:IUJ393233 JEE393230:JEF393233 JOA393230:JOB393233 JXW393230:JXX393233 KHS393230:KHT393233 KRO393230:KRP393233 LBK393230:LBL393233 LLG393230:LLH393233 LVC393230:LVD393233 MEY393230:MEZ393233 MOU393230:MOV393233 MYQ393230:MYR393233 NIM393230:NIN393233 NSI393230:NSJ393233 OCE393230:OCF393233 OMA393230:OMB393233 OVW393230:OVX393233 PFS393230:PFT393233 PPO393230:PPP393233 PZK393230:PZL393233 QJG393230:QJH393233 QTC393230:QTD393233 RCY393230:RCZ393233 RMU393230:RMV393233 RWQ393230:RWR393233 SGM393230:SGN393233 SQI393230:SQJ393233 TAE393230:TAF393233 TKA393230:TKB393233 TTW393230:TTX393233 UDS393230:UDT393233 UNO393230:UNP393233 UXK393230:UXL393233 VHG393230:VHH393233 VRC393230:VRD393233 WAY393230:WAZ393233 WKU393230:WKV393233 WUQ393230:WUR393233 IE458766:IF458769 SA458766:SB458769 ABW458766:ABX458769 ALS458766:ALT458769 AVO458766:AVP458769 BFK458766:BFL458769 BPG458766:BPH458769 BZC458766:BZD458769 CIY458766:CIZ458769 CSU458766:CSV458769 DCQ458766:DCR458769 DMM458766:DMN458769 DWI458766:DWJ458769 EGE458766:EGF458769 EQA458766:EQB458769 EZW458766:EZX458769 FJS458766:FJT458769 FTO458766:FTP458769 GDK458766:GDL458769 GNG458766:GNH458769 GXC458766:GXD458769 HGY458766:HGZ458769 HQU458766:HQV458769 IAQ458766:IAR458769 IKM458766:IKN458769 IUI458766:IUJ458769 JEE458766:JEF458769 JOA458766:JOB458769 JXW458766:JXX458769 KHS458766:KHT458769 KRO458766:KRP458769 LBK458766:LBL458769 LLG458766:LLH458769 LVC458766:LVD458769 MEY458766:MEZ458769 MOU458766:MOV458769 MYQ458766:MYR458769 NIM458766:NIN458769 NSI458766:NSJ458769 OCE458766:OCF458769 OMA458766:OMB458769 OVW458766:OVX458769 PFS458766:PFT458769 PPO458766:PPP458769 PZK458766:PZL458769 QJG458766:QJH458769 QTC458766:QTD458769 RCY458766:RCZ458769 RMU458766:RMV458769 RWQ458766:RWR458769 SGM458766:SGN458769 SQI458766:SQJ458769 TAE458766:TAF458769 TKA458766:TKB458769 TTW458766:TTX458769 UDS458766:UDT458769 UNO458766:UNP458769 UXK458766:UXL458769 VHG458766:VHH458769 VRC458766:VRD458769 WAY458766:WAZ458769 WKU458766:WKV458769 WUQ458766:WUR458769 IE524302:IF524305 SA524302:SB524305 ABW524302:ABX524305 ALS524302:ALT524305 AVO524302:AVP524305 BFK524302:BFL524305 BPG524302:BPH524305 BZC524302:BZD524305 CIY524302:CIZ524305 CSU524302:CSV524305 DCQ524302:DCR524305 DMM524302:DMN524305 DWI524302:DWJ524305 EGE524302:EGF524305 EQA524302:EQB524305 EZW524302:EZX524305 FJS524302:FJT524305 FTO524302:FTP524305 GDK524302:GDL524305 GNG524302:GNH524305 GXC524302:GXD524305 HGY524302:HGZ524305 HQU524302:HQV524305 IAQ524302:IAR524305 IKM524302:IKN524305 IUI524302:IUJ524305 JEE524302:JEF524305 JOA524302:JOB524305 JXW524302:JXX524305 KHS524302:KHT524305 KRO524302:KRP524305 LBK524302:LBL524305 LLG524302:LLH524305 LVC524302:LVD524305 MEY524302:MEZ524305 MOU524302:MOV524305 MYQ524302:MYR524305 NIM524302:NIN524305 NSI524302:NSJ524305 OCE524302:OCF524305 OMA524302:OMB524305 OVW524302:OVX524305 PFS524302:PFT524305 PPO524302:PPP524305 PZK524302:PZL524305 QJG524302:QJH524305 QTC524302:QTD524305 RCY524302:RCZ524305 RMU524302:RMV524305 RWQ524302:RWR524305 SGM524302:SGN524305 SQI524302:SQJ524305 TAE524302:TAF524305 TKA524302:TKB524305 TTW524302:TTX524305 UDS524302:UDT524305 UNO524302:UNP524305 UXK524302:UXL524305 VHG524302:VHH524305 VRC524302:VRD524305 WAY524302:WAZ524305 WKU524302:WKV524305 WUQ524302:WUR524305 IE589838:IF589841 SA589838:SB589841 ABW589838:ABX589841 ALS589838:ALT589841 AVO589838:AVP589841 BFK589838:BFL589841 BPG589838:BPH589841 BZC589838:BZD589841 CIY589838:CIZ589841 CSU589838:CSV589841 DCQ589838:DCR589841 DMM589838:DMN589841 DWI589838:DWJ589841 EGE589838:EGF589841 EQA589838:EQB589841 EZW589838:EZX589841 FJS589838:FJT589841 FTO589838:FTP589841 GDK589838:GDL589841 GNG589838:GNH589841 GXC589838:GXD589841 HGY589838:HGZ589841 HQU589838:HQV589841 IAQ589838:IAR589841 IKM589838:IKN589841 IUI589838:IUJ589841 JEE589838:JEF589841 JOA589838:JOB589841 JXW589838:JXX589841 KHS589838:KHT589841 KRO589838:KRP589841 LBK589838:LBL589841 LLG589838:LLH589841 LVC589838:LVD589841 MEY589838:MEZ589841 MOU589838:MOV589841 MYQ589838:MYR589841 NIM589838:NIN589841 NSI589838:NSJ589841 OCE589838:OCF589841 OMA589838:OMB589841 OVW589838:OVX589841 PFS589838:PFT589841 PPO589838:PPP589841 PZK589838:PZL589841 QJG589838:QJH589841 QTC589838:QTD589841 RCY589838:RCZ589841 RMU589838:RMV589841 RWQ589838:RWR589841 SGM589838:SGN589841 SQI589838:SQJ589841 TAE589838:TAF589841 TKA589838:TKB589841 TTW589838:TTX589841 UDS589838:UDT589841 UNO589838:UNP589841 UXK589838:UXL589841 VHG589838:VHH589841 VRC589838:VRD589841 WAY589838:WAZ589841 WKU589838:WKV589841 WUQ589838:WUR589841 IE655374:IF655377 SA655374:SB655377 ABW655374:ABX655377 ALS655374:ALT655377 AVO655374:AVP655377 BFK655374:BFL655377 BPG655374:BPH655377 BZC655374:BZD655377 CIY655374:CIZ655377 CSU655374:CSV655377 DCQ655374:DCR655377 DMM655374:DMN655377 DWI655374:DWJ655377 EGE655374:EGF655377 EQA655374:EQB655377 EZW655374:EZX655377 FJS655374:FJT655377 FTO655374:FTP655377 GDK655374:GDL655377 GNG655374:GNH655377 GXC655374:GXD655377 HGY655374:HGZ655377 HQU655374:HQV655377 IAQ655374:IAR655377 IKM655374:IKN655377 IUI655374:IUJ655377 JEE655374:JEF655377 JOA655374:JOB655377 JXW655374:JXX655377 KHS655374:KHT655377 KRO655374:KRP655377 LBK655374:LBL655377 LLG655374:LLH655377 LVC655374:LVD655377 MEY655374:MEZ655377 MOU655374:MOV655377 MYQ655374:MYR655377 NIM655374:NIN655377 NSI655374:NSJ655377 OCE655374:OCF655377 OMA655374:OMB655377 OVW655374:OVX655377 PFS655374:PFT655377 PPO655374:PPP655377 PZK655374:PZL655377 QJG655374:QJH655377 QTC655374:QTD655377 RCY655374:RCZ655377 RMU655374:RMV655377 RWQ655374:RWR655377 SGM655374:SGN655377 SQI655374:SQJ655377 TAE655374:TAF655377 TKA655374:TKB655377 TTW655374:TTX655377 UDS655374:UDT655377 UNO655374:UNP655377 UXK655374:UXL655377 VHG655374:VHH655377 VRC655374:VRD655377 WAY655374:WAZ655377 WKU655374:WKV655377 WUQ655374:WUR655377 IE720910:IF720913 SA720910:SB720913 ABW720910:ABX720913 ALS720910:ALT720913 AVO720910:AVP720913 BFK720910:BFL720913 BPG720910:BPH720913 BZC720910:BZD720913 CIY720910:CIZ720913 CSU720910:CSV720913 DCQ720910:DCR720913 DMM720910:DMN720913 DWI720910:DWJ720913 EGE720910:EGF720913 EQA720910:EQB720913 EZW720910:EZX720913 FJS720910:FJT720913 FTO720910:FTP720913 GDK720910:GDL720913 GNG720910:GNH720913 GXC720910:GXD720913 HGY720910:HGZ720913 HQU720910:HQV720913 IAQ720910:IAR720913 IKM720910:IKN720913 IUI720910:IUJ720913 JEE720910:JEF720913 JOA720910:JOB720913 JXW720910:JXX720913 KHS720910:KHT720913 KRO720910:KRP720913 LBK720910:LBL720913 LLG720910:LLH720913 LVC720910:LVD720913 MEY720910:MEZ720913 MOU720910:MOV720913 MYQ720910:MYR720913 NIM720910:NIN720913 NSI720910:NSJ720913 OCE720910:OCF720913 OMA720910:OMB720913 OVW720910:OVX720913 PFS720910:PFT720913 PPO720910:PPP720913 PZK720910:PZL720913 QJG720910:QJH720913 QTC720910:QTD720913 RCY720910:RCZ720913 RMU720910:RMV720913 RWQ720910:RWR720913 SGM720910:SGN720913 SQI720910:SQJ720913 TAE720910:TAF720913 TKA720910:TKB720913 TTW720910:TTX720913 UDS720910:UDT720913 UNO720910:UNP720913 UXK720910:UXL720913 VHG720910:VHH720913 VRC720910:VRD720913 WAY720910:WAZ720913 WKU720910:WKV720913 WUQ720910:WUR720913 IE786446:IF786449 SA786446:SB786449 ABW786446:ABX786449 ALS786446:ALT786449 AVO786446:AVP786449 BFK786446:BFL786449 BPG786446:BPH786449 BZC786446:BZD786449 CIY786446:CIZ786449 CSU786446:CSV786449 DCQ786446:DCR786449 DMM786446:DMN786449 DWI786446:DWJ786449 EGE786446:EGF786449 EQA786446:EQB786449 EZW786446:EZX786449 FJS786446:FJT786449 FTO786446:FTP786449 GDK786446:GDL786449 GNG786446:GNH786449 GXC786446:GXD786449 HGY786446:HGZ786449 HQU786446:HQV786449 IAQ786446:IAR786449 IKM786446:IKN786449 IUI786446:IUJ786449 JEE786446:JEF786449 JOA786446:JOB786449 JXW786446:JXX786449 KHS786446:KHT786449 KRO786446:KRP786449 LBK786446:LBL786449 LLG786446:LLH786449 LVC786446:LVD786449 MEY786446:MEZ786449 MOU786446:MOV786449 MYQ786446:MYR786449 NIM786446:NIN786449 NSI786446:NSJ786449 OCE786446:OCF786449 OMA786446:OMB786449 OVW786446:OVX786449 PFS786446:PFT786449 PPO786446:PPP786449 PZK786446:PZL786449 QJG786446:QJH786449 QTC786446:QTD786449 RCY786446:RCZ786449 RMU786446:RMV786449 RWQ786446:RWR786449 SGM786446:SGN786449 SQI786446:SQJ786449 TAE786446:TAF786449 TKA786446:TKB786449 TTW786446:TTX786449 UDS786446:UDT786449 UNO786446:UNP786449 UXK786446:UXL786449 VHG786446:VHH786449 VRC786446:VRD786449 WAY786446:WAZ786449 WKU786446:WKV786449 WUQ786446:WUR786449 IE851982:IF851985 SA851982:SB851985 ABW851982:ABX851985 ALS851982:ALT851985 AVO851982:AVP851985 BFK851982:BFL851985 BPG851982:BPH851985 BZC851982:BZD851985 CIY851982:CIZ851985 CSU851982:CSV851985 DCQ851982:DCR851985 DMM851982:DMN851985 DWI851982:DWJ851985 EGE851982:EGF851985 EQA851982:EQB851985 EZW851982:EZX851985 FJS851982:FJT851985 FTO851982:FTP851985 GDK851982:GDL851985 GNG851982:GNH851985 GXC851982:GXD851985 HGY851982:HGZ851985 HQU851982:HQV851985 IAQ851982:IAR851985 IKM851982:IKN851985 IUI851982:IUJ851985 JEE851982:JEF851985 JOA851982:JOB851985 JXW851982:JXX851985 KHS851982:KHT851985 KRO851982:KRP851985 LBK851982:LBL851985 LLG851982:LLH851985 LVC851982:LVD851985 MEY851982:MEZ851985 MOU851982:MOV851985 MYQ851982:MYR851985 NIM851982:NIN851985 NSI851982:NSJ851985 OCE851982:OCF851985 OMA851982:OMB851985 OVW851982:OVX851985 PFS851982:PFT851985 PPO851982:PPP851985 PZK851982:PZL851985 QJG851982:QJH851985 QTC851982:QTD851985 RCY851982:RCZ851985 RMU851982:RMV851985 RWQ851982:RWR851985 SGM851982:SGN851985 SQI851982:SQJ851985 TAE851982:TAF851985 TKA851982:TKB851985 TTW851982:TTX851985 UDS851982:UDT851985 UNO851982:UNP851985 UXK851982:UXL851985 VHG851982:VHH851985 VRC851982:VRD851985 WAY851982:WAZ851985 WKU851982:WKV851985 WUQ851982:WUR851985 IE917518:IF917521 SA917518:SB917521 ABW917518:ABX917521 ALS917518:ALT917521 AVO917518:AVP917521 BFK917518:BFL917521 BPG917518:BPH917521 BZC917518:BZD917521 CIY917518:CIZ917521 CSU917518:CSV917521 DCQ917518:DCR917521 DMM917518:DMN917521 DWI917518:DWJ917521 EGE917518:EGF917521 EQA917518:EQB917521 EZW917518:EZX917521 FJS917518:FJT917521 FTO917518:FTP917521 GDK917518:GDL917521 GNG917518:GNH917521 GXC917518:GXD917521 HGY917518:HGZ917521 HQU917518:HQV917521 IAQ917518:IAR917521 IKM917518:IKN917521 IUI917518:IUJ917521 JEE917518:JEF917521 JOA917518:JOB917521 JXW917518:JXX917521 KHS917518:KHT917521 KRO917518:KRP917521 LBK917518:LBL917521 LLG917518:LLH917521 LVC917518:LVD917521 MEY917518:MEZ917521 MOU917518:MOV917521 MYQ917518:MYR917521 NIM917518:NIN917521 NSI917518:NSJ917521 OCE917518:OCF917521 OMA917518:OMB917521 OVW917518:OVX917521 PFS917518:PFT917521 PPO917518:PPP917521 PZK917518:PZL917521 QJG917518:QJH917521 QTC917518:QTD917521 RCY917518:RCZ917521 RMU917518:RMV917521 RWQ917518:RWR917521 SGM917518:SGN917521 SQI917518:SQJ917521 TAE917518:TAF917521 TKA917518:TKB917521 TTW917518:TTX917521 UDS917518:UDT917521 UNO917518:UNP917521 UXK917518:UXL917521 VHG917518:VHH917521 VRC917518:VRD917521 WAY917518:WAZ917521 WKU917518:WKV917521 WUQ917518:WUR917521 IE983054:IF983057 SA983054:SB983057 ABW983054:ABX983057 ALS983054:ALT983057 AVO983054:AVP983057 BFK983054:BFL983057 BPG983054:BPH983057 BZC983054:BZD983057 CIY983054:CIZ983057 CSU983054:CSV983057 DCQ983054:DCR983057 DMM983054:DMN983057 DWI983054:DWJ983057 EGE983054:EGF983057 EQA983054:EQB983057 EZW983054:EZX983057 FJS983054:FJT983057 FTO983054:FTP983057 GDK983054:GDL983057 GNG983054:GNH983057 GXC983054:GXD983057 HGY983054:HGZ983057 HQU983054:HQV983057 IAQ983054:IAR983057 IKM983054:IKN983057 IUI983054:IUJ983057 JEE983054:JEF983057 JOA983054:JOB983057 JXW983054:JXX983057 KHS983054:KHT983057 KRO983054:KRP983057 LBK983054:LBL983057 LLG983054:LLH983057 LVC983054:LVD983057 MEY983054:MEZ983057 MOU983054:MOV983057 MYQ983054:MYR983057 NIM983054:NIN983057 NSI983054:NSJ983057 OCE983054:OCF983057 OMA983054:OMB983057 OVW983054:OVX983057 PFS983054:PFT983057 PPO983054:PPP983057 PZK983054:PZL983057 QJG983054:QJH983057 QTC983054:QTD983057 RCY983054:RCZ983057 RMU983054:RMV983057 RWQ983054:RWR983057 SGM983054:SGN983057 SQI983054:SQJ983057 TAE983054:TAF983057 TKA983054:TKB983057 TTW983054:TTX983057 UDS983054:UDT983057 UNO983054:UNP983057 UXK983054:UXL983057 VHG983054:VHH983057 VRC983054:VRD983057 WAY983054:WAZ983057 WKU983054:WKV983057 WUQ983054:WUR983057 WVB983054:WVC983057 VRN983054:VRO983057 IP65550:IQ65553 SL65550:SM65553 ACH65550:ACI65553 AMD65550:AME65553 AVZ65550:AWA65553 BFV65550:BFW65553 BPR65550:BPS65553 BZN65550:BZO65553 CJJ65550:CJK65553 CTF65550:CTG65553 DDB65550:DDC65553 DMX65550:DMY65553 DWT65550:DWU65553 EGP65550:EGQ65553 EQL65550:EQM65553 FAH65550:FAI65553 FKD65550:FKE65553 FTZ65550:FUA65553 GDV65550:GDW65553 GNR65550:GNS65553 GXN65550:GXO65553 HHJ65550:HHK65553 HRF65550:HRG65553 IBB65550:IBC65553 IKX65550:IKY65553 IUT65550:IUU65553 JEP65550:JEQ65553 JOL65550:JOM65553 JYH65550:JYI65553 KID65550:KIE65553 KRZ65550:KSA65553 LBV65550:LBW65553 LLR65550:LLS65553 LVN65550:LVO65553 MFJ65550:MFK65553 MPF65550:MPG65553 MZB65550:MZC65553 NIX65550:NIY65553 NST65550:NSU65553 OCP65550:OCQ65553 OML65550:OMM65553 OWH65550:OWI65553 PGD65550:PGE65553 PPZ65550:PQA65553 PZV65550:PZW65553 QJR65550:QJS65553 QTN65550:QTO65553 RDJ65550:RDK65553 RNF65550:RNG65553 RXB65550:RXC65553 SGX65550:SGY65553 SQT65550:SQU65553 TAP65550:TAQ65553 TKL65550:TKM65553 TUH65550:TUI65553 UED65550:UEE65553 UNZ65550:UOA65553 UXV65550:UXW65553 VHR65550:VHS65553 VRN65550:VRO65553 WBJ65550:WBK65553 WLF65550:WLG65553 WVB65550:WVC65553 IP131086:IQ131089 SL131086:SM131089 ACH131086:ACI131089 AMD131086:AME131089 AVZ131086:AWA131089 BFV131086:BFW131089 BPR131086:BPS131089 BZN131086:BZO131089 CJJ131086:CJK131089 CTF131086:CTG131089 DDB131086:DDC131089 DMX131086:DMY131089 DWT131086:DWU131089 EGP131086:EGQ131089 EQL131086:EQM131089 FAH131086:FAI131089 FKD131086:FKE131089 FTZ131086:FUA131089 GDV131086:GDW131089 GNR131086:GNS131089 GXN131086:GXO131089 HHJ131086:HHK131089 HRF131086:HRG131089 IBB131086:IBC131089 IKX131086:IKY131089 IUT131086:IUU131089 JEP131086:JEQ131089 JOL131086:JOM131089 JYH131086:JYI131089 KID131086:KIE131089 KRZ131086:KSA131089 LBV131086:LBW131089 LLR131086:LLS131089 LVN131086:LVO131089 MFJ131086:MFK131089 MPF131086:MPG131089 MZB131086:MZC131089 NIX131086:NIY131089 NST131086:NSU131089 OCP131086:OCQ131089 OML131086:OMM131089 OWH131086:OWI131089 PGD131086:PGE131089 PPZ131086:PQA131089 PZV131086:PZW131089 QJR131086:QJS131089 QTN131086:QTO131089 RDJ131086:RDK131089 RNF131086:RNG131089 RXB131086:RXC131089 SGX131086:SGY131089 SQT131086:SQU131089 TAP131086:TAQ131089 TKL131086:TKM131089 TUH131086:TUI131089 UED131086:UEE131089 UNZ131086:UOA131089 UXV131086:UXW131089 VHR131086:VHS131089 VRN131086:VRO131089 WBJ131086:WBK131089 WLF131086:WLG131089 WVB131086:WVC131089 IP196622:IQ196625 SL196622:SM196625 ACH196622:ACI196625 AMD196622:AME196625 AVZ196622:AWA196625 BFV196622:BFW196625 BPR196622:BPS196625 BZN196622:BZO196625 CJJ196622:CJK196625 CTF196622:CTG196625 DDB196622:DDC196625 DMX196622:DMY196625 DWT196622:DWU196625 EGP196622:EGQ196625 EQL196622:EQM196625 FAH196622:FAI196625 FKD196622:FKE196625 FTZ196622:FUA196625 GDV196622:GDW196625 GNR196622:GNS196625 GXN196622:GXO196625 HHJ196622:HHK196625 HRF196622:HRG196625 IBB196622:IBC196625 IKX196622:IKY196625 IUT196622:IUU196625 JEP196622:JEQ196625 JOL196622:JOM196625 JYH196622:JYI196625 KID196622:KIE196625 KRZ196622:KSA196625 LBV196622:LBW196625 LLR196622:LLS196625 LVN196622:LVO196625 MFJ196622:MFK196625 MPF196622:MPG196625 MZB196622:MZC196625 NIX196622:NIY196625 NST196622:NSU196625 OCP196622:OCQ196625 OML196622:OMM196625 OWH196622:OWI196625 PGD196622:PGE196625 PPZ196622:PQA196625 PZV196622:PZW196625 QJR196622:QJS196625 QTN196622:QTO196625 RDJ196622:RDK196625 RNF196622:RNG196625 RXB196622:RXC196625 SGX196622:SGY196625 SQT196622:SQU196625 TAP196622:TAQ196625 TKL196622:TKM196625 TUH196622:TUI196625 UED196622:UEE196625 UNZ196622:UOA196625 UXV196622:UXW196625 VHR196622:VHS196625 VRN196622:VRO196625 WBJ196622:WBK196625 WLF196622:WLG196625 WVB196622:WVC196625 IP262158:IQ262161 SL262158:SM262161 ACH262158:ACI262161 AMD262158:AME262161 AVZ262158:AWA262161 BFV262158:BFW262161 BPR262158:BPS262161 BZN262158:BZO262161 CJJ262158:CJK262161 CTF262158:CTG262161 DDB262158:DDC262161 DMX262158:DMY262161 DWT262158:DWU262161 EGP262158:EGQ262161 EQL262158:EQM262161 FAH262158:FAI262161 FKD262158:FKE262161 FTZ262158:FUA262161 GDV262158:GDW262161 GNR262158:GNS262161 GXN262158:GXO262161 HHJ262158:HHK262161 HRF262158:HRG262161 IBB262158:IBC262161 IKX262158:IKY262161 IUT262158:IUU262161 JEP262158:JEQ262161 JOL262158:JOM262161 JYH262158:JYI262161 KID262158:KIE262161 KRZ262158:KSA262161 LBV262158:LBW262161 LLR262158:LLS262161 LVN262158:LVO262161 MFJ262158:MFK262161 MPF262158:MPG262161 MZB262158:MZC262161 NIX262158:NIY262161 NST262158:NSU262161 OCP262158:OCQ262161 OML262158:OMM262161 OWH262158:OWI262161 PGD262158:PGE262161 PPZ262158:PQA262161 PZV262158:PZW262161 QJR262158:QJS262161 QTN262158:QTO262161 RDJ262158:RDK262161 RNF262158:RNG262161 RXB262158:RXC262161 SGX262158:SGY262161 SQT262158:SQU262161 TAP262158:TAQ262161 TKL262158:TKM262161 TUH262158:TUI262161 UED262158:UEE262161 UNZ262158:UOA262161 UXV262158:UXW262161 VHR262158:VHS262161 VRN262158:VRO262161 WBJ262158:WBK262161 WLF262158:WLG262161 WVB262158:WVC262161 IP327694:IQ327697 SL327694:SM327697 ACH327694:ACI327697 AMD327694:AME327697 AVZ327694:AWA327697 BFV327694:BFW327697 BPR327694:BPS327697 BZN327694:BZO327697 CJJ327694:CJK327697 CTF327694:CTG327697 DDB327694:DDC327697 DMX327694:DMY327697 DWT327694:DWU327697 EGP327694:EGQ327697 EQL327694:EQM327697 FAH327694:FAI327697 FKD327694:FKE327697 FTZ327694:FUA327697 GDV327694:GDW327697 GNR327694:GNS327697 GXN327694:GXO327697 HHJ327694:HHK327697 HRF327694:HRG327697 IBB327694:IBC327697 IKX327694:IKY327697 IUT327694:IUU327697 JEP327694:JEQ327697 JOL327694:JOM327697 JYH327694:JYI327697 KID327694:KIE327697 KRZ327694:KSA327697 LBV327694:LBW327697 LLR327694:LLS327697 LVN327694:LVO327697 MFJ327694:MFK327697 MPF327694:MPG327697 MZB327694:MZC327697 NIX327694:NIY327697 NST327694:NSU327697 OCP327694:OCQ327697 OML327694:OMM327697 OWH327694:OWI327697 PGD327694:PGE327697 PPZ327694:PQA327697 PZV327694:PZW327697 QJR327694:QJS327697 QTN327694:QTO327697 RDJ327694:RDK327697 RNF327694:RNG327697 RXB327694:RXC327697 SGX327694:SGY327697 SQT327694:SQU327697 TAP327694:TAQ327697 TKL327694:TKM327697 TUH327694:TUI327697 UED327694:UEE327697 UNZ327694:UOA327697 UXV327694:UXW327697 VHR327694:VHS327697 VRN327694:VRO327697 WBJ327694:WBK327697 WLF327694:WLG327697 WVB327694:WVC327697 IP393230:IQ393233 SL393230:SM393233 ACH393230:ACI393233 AMD393230:AME393233 AVZ393230:AWA393233 BFV393230:BFW393233 BPR393230:BPS393233 BZN393230:BZO393233 CJJ393230:CJK393233 CTF393230:CTG393233 DDB393230:DDC393233 DMX393230:DMY393233 DWT393230:DWU393233 EGP393230:EGQ393233 EQL393230:EQM393233 FAH393230:FAI393233 FKD393230:FKE393233 FTZ393230:FUA393233 GDV393230:GDW393233 GNR393230:GNS393233 GXN393230:GXO393233 HHJ393230:HHK393233 HRF393230:HRG393233 IBB393230:IBC393233 IKX393230:IKY393233 IUT393230:IUU393233 JEP393230:JEQ393233 JOL393230:JOM393233 JYH393230:JYI393233 KID393230:KIE393233 KRZ393230:KSA393233 LBV393230:LBW393233 LLR393230:LLS393233 LVN393230:LVO393233 MFJ393230:MFK393233 MPF393230:MPG393233 MZB393230:MZC393233 NIX393230:NIY393233 NST393230:NSU393233 OCP393230:OCQ393233 OML393230:OMM393233 OWH393230:OWI393233 PGD393230:PGE393233 PPZ393230:PQA393233 PZV393230:PZW393233 QJR393230:QJS393233 QTN393230:QTO393233 RDJ393230:RDK393233 RNF393230:RNG393233 RXB393230:RXC393233 SGX393230:SGY393233 SQT393230:SQU393233 TAP393230:TAQ393233 TKL393230:TKM393233 TUH393230:TUI393233 UED393230:UEE393233 UNZ393230:UOA393233 UXV393230:UXW393233 VHR393230:VHS393233 VRN393230:VRO393233 WBJ393230:WBK393233 WLF393230:WLG393233 WVB393230:WVC393233 IP458766:IQ458769 SL458766:SM458769 ACH458766:ACI458769 AMD458766:AME458769 AVZ458766:AWA458769 BFV458766:BFW458769 BPR458766:BPS458769 BZN458766:BZO458769 CJJ458766:CJK458769 CTF458766:CTG458769 DDB458766:DDC458769 DMX458766:DMY458769 DWT458766:DWU458769 EGP458766:EGQ458769 EQL458766:EQM458769 FAH458766:FAI458769 FKD458766:FKE458769 FTZ458766:FUA458769 GDV458766:GDW458769 GNR458766:GNS458769 GXN458766:GXO458769 HHJ458766:HHK458769 HRF458766:HRG458769 IBB458766:IBC458769 IKX458766:IKY458769 IUT458766:IUU458769 JEP458766:JEQ458769 JOL458766:JOM458769 JYH458766:JYI458769 KID458766:KIE458769 KRZ458766:KSA458769 LBV458766:LBW458769 LLR458766:LLS458769 LVN458766:LVO458769 MFJ458766:MFK458769 MPF458766:MPG458769 MZB458766:MZC458769 NIX458766:NIY458769 NST458766:NSU458769 OCP458766:OCQ458769 OML458766:OMM458769 OWH458766:OWI458769 PGD458766:PGE458769 PPZ458766:PQA458769 PZV458766:PZW458769 QJR458766:QJS458769 QTN458766:QTO458769 RDJ458766:RDK458769 RNF458766:RNG458769 RXB458766:RXC458769 SGX458766:SGY458769 SQT458766:SQU458769 TAP458766:TAQ458769 TKL458766:TKM458769 TUH458766:TUI458769 UED458766:UEE458769 UNZ458766:UOA458769 UXV458766:UXW458769 VHR458766:VHS458769 VRN458766:VRO458769 WBJ458766:WBK458769 WLF458766:WLG458769 WVB458766:WVC458769 IP524302:IQ524305 SL524302:SM524305 ACH524302:ACI524305 AMD524302:AME524305 AVZ524302:AWA524305 BFV524302:BFW524305 BPR524302:BPS524305 BZN524302:BZO524305 CJJ524302:CJK524305 CTF524302:CTG524305 DDB524302:DDC524305 DMX524302:DMY524305 DWT524302:DWU524305 EGP524302:EGQ524305 EQL524302:EQM524305 FAH524302:FAI524305 FKD524302:FKE524305 FTZ524302:FUA524305 GDV524302:GDW524305 GNR524302:GNS524305 GXN524302:GXO524305 HHJ524302:HHK524305 HRF524302:HRG524305 IBB524302:IBC524305 IKX524302:IKY524305 IUT524302:IUU524305 JEP524302:JEQ524305 JOL524302:JOM524305 JYH524302:JYI524305 KID524302:KIE524305 KRZ524302:KSA524305 LBV524302:LBW524305 LLR524302:LLS524305 LVN524302:LVO524305 MFJ524302:MFK524305 MPF524302:MPG524305 MZB524302:MZC524305 NIX524302:NIY524305 NST524302:NSU524305 OCP524302:OCQ524305 OML524302:OMM524305 OWH524302:OWI524305 PGD524302:PGE524305 PPZ524302:PQA524305 PZV524302:PZW524305 QJR524302:QJS524305 QTN524302:QTO524305 RDJ524302:RDK524305 RNF524302:RNG524305 RXB524302:RXC524305 SGX524302:SGY524305 SQT524302:SQU524305 TAP524302:TAQ524305 TKL524302:TKM524305 TUH524302:TUI524305 UED524302:UEE524305 UNZ524302:UOA524305 UXV524302:UXW524305 VHR524302:VHS524305 VRN524302:VRO524305 WBJ524302:WBK524305 WLF524302:WLG524305 WVB524302:WVC524305 IP589838:IQ589841 SL589838:SM589841 ACH589838:ACI589841 AMD589838:AME589841 AVZ589838:AWA589841 BFV589838:BFW589841 BPR589838:BPS589841 BZN589838:BZO589841 CJJ589838:CJK589841 CTF589838:CTG589841 DDB589838:DDC589841 DMX589838:DMY589841 DWT589838:DWU589841 EGP589838:EGQ589841 EQL589838:EQM589841 FAH589838:FAI589841 FKD589838:FKE589841 FTZ589838:FUA589841 GDV589838:GDW589841 GNR589838:GNS589841 GXN589838:GXO589841 HHJ589838:HHK589841 HRF589838:HRG589841 IBB589838:IBC589841 IKX589838:IKY589841 IUT589838:IUU589841 JEP589838:JEQ589841 JOL589838:JOM589841 JYH589838:JYI589841 KID589838:KIE589841 KRZ589838:KSA589841 LBV589838:LBW589841 LLR589838:LLS589841 LVN589838:LVO589841 MFJ589838:MFK589841 MPF589838:MPG589841 MZB589838:MZC589841 NIX589838:NIY589841 NST589838:NSU589841 OCP589838:OCQ589841 OML589838:OMM589841 OWH589838:OWI589841 PGD589838:PGE589841 PPZ589838:PQA589841 PZV589838:PZW589841 QJR589838:QJS589841 QTN589838:QTO589841 RDJ589838:RDK589841 RNF589838:RNG589841 RXB589838:RXC589841 SGX589838:SGY589841 SQT589838:SQU589841 TAP589838:TAQ589841 TKL589838:TKM589841 TUH589838:TUI589841 UED589838:UEE589841 UNZ589838:UOA589841 UXV589838:UXW589841 VHR589838:VHS589841 VRN589838:VRO589841 WBJ589838:WBK589841 WLF589838:WLG589841 WVB589838:WVC589841 IP655374:IQ655377 SL655374:SM655377 ACH655374:ACI655377 AMD655374:AME655377 AVZ655374:AWA655377 BFV655374:BFW655377 BPR655374:BPS655377 BZN655374:BZO655377 CJJ655374:CJK655377 CTF655374:CTG655377 DDB655374:DDC655377 DMX655374:DMY655377 DWT655374:DWU655377 EGP655374:EGQ655377 EQL655374:EQM655377 FAH655374:FAI655377 FKD655374:FKE655377 FTZ655374:FUA655377 GDV655374:GDW655377 GNR655374:GNS655377 GXN655374:GXO655377 HHJ655374:HHK655377 HRF655374:HRG655377 IBB655374:IBC655377 IKX655374:IKY655377 IUT655374:IUU655377 JEP655374:JEQ655377 JOL655374:JOM655377 JYH655374:JYI655377 KID655374:KIE655377 KRZ655374:KSA655377 LBV655374:LBW655377 LLR655374:LLS655377 LVN655374:LVO655377 MFJ655374:MFK655377 MPF655374:MPG655377 MZB655374:MZC655377 NIX655374:NIY655377 NST655374:NSU655377 OCP655374:OCQ655377 OML655374:OMM655377 OWH655374:OWI655377 PGD655374:PGE655377 PPZ655374:PQA655377 PZV655374:PZW655377 QJR655374:QJS655377 QTN655374:QTO655377 RDJ655374:RDK655377 RNF655374:RNG655377 RXB655374:RXC655377 SGX655374:SGY655377 SQT655374:SQU655377 TAP655374:TAQ655377 TKL655374:TKM655377 TUH655374:TUI655377 UED655374:UEE655377 UNZ655374:UOA655377 UXV655374:UXW655377 VHR655374:VHS655377 VRN655374:VRO655377 WBJ655374:WBK655377 WLF655374:WLG655377 WVB655374:WVC655377 IP720910:IQ720913 SL720910:SM720913 ACH720910:ACI720913 AMD720910:AME720913 AVZ720910:AWA720913 BFV720910:BFW720913 BPR720910:BPS720913 BZN720910:BZO720913 CJJ720910:CJK720913 CTF720910:CTG720913 DDB720910:DDC720913 DMX720910:DMY720913 DWT720910:DWU720913 EGP720910:EGQ720913 EQL720910:EQM720913 FAH720910:FAI720913 FKD720910:FKE720913 FTZ720910:FUA720913 GDV720910:GDW720913 GNR720910:GNS720913 GXN720910:GXO720913 HHJ720910:HHK720913 HRF720910:HRG720913 IBB720910:IBC720913 IKX720910:IKY720913 IUT720910:IUU720913 JEP720910:JEQ720913 JOL720910:JOM720913 JYH720910:JYI720913 KID720910:KIE720913 KRZ720910:KSA720913 LBV720910:LBW720913 LLR720910:LLS720913 LVN720910:LVO720913 MFJ720910:MFK720913 MPF720910:MPG720913 MZB720910:MZC720913 NIX720910:NIY720913 NST720910:NSU720913 OCP720910:OCQ720913 OML720910:OMM720913 OWH720910:OWI720913 PGD720910:PGE720913 PPZ720910:PQA720913 PZV720910:PZW720913 QJR720910:QJS720913 QTN720910:QTO720913 RDJ720910:RDK720913 RNF720910:RNG720913 RXB720910:RXC720913 SGX720910:SGY720913 SQT720910:SQU720913 TAP720910:TAQ720913 TKL720910:TKM720913 TUH720910:TUI720913 UED720910:UEE720913 UNZ720910:UOA720913 UXV720910:UXW720913 VHR720910:VHS720913 VRN720910:VRO720913 WBJ720910:WBK720913 WLF720910:WLG720913 WVB720910:WVC720913 IP786446:IQ786449 SL786446:SM786449 ACH786446:ACI786449 AMD786446:AME786449 AVZ786446:AWA786449 BFV786446:BFW786449 BPR786446:BPS786449 BZN786446:BZO786449 CJJ786446:CJK786449 CTF786446:CTG786449 DDB786446:DDC786449 DMX786446:DMY786449 DWT786446:DWU786449 EGP786446:EGQ786449 EQL786446:EQM786449 FAH786446:FAI786449 FKD786446:FKE786449 FTZ786446:FUA786449 GDV786446:GDW786449 GNR786446:GNS786449 GXN786446:GXO786449 HHJ786446:HHK786449 HRF786446:HRG786449 IBB786446:IBC786449 IKX786446:IKY786449 IUT786446:IUU786449 JEP786446:JEQ786449 JOL786446:JOM786449 JYH786446:JYI786449 KID786446:KIE786449 KRZ786446:KSA786449 LBV786446:LBW786449 LLR786446:LLS786449 LVN786446:LVO786449 MFJ786446:MFK786449 MPF786446:MPG786449 MZB786446:MZC786449 NIX786446:NIY786449 NST786446:NSU786449 OCP786446:OCQ786449 OML786446:OMM786449 OWH786446:OWI786449 PGD786446:PGE786449 PPZ786446:PQA786449 PZV786446:PZW786449 QJR786446:QJS786449 QTN786446:QTO786449 RDJ786446:RDK786449 RNF786446:RNG786449 RXB786446:RXC786449 SGX786446:SGY786449 SQT786446:SQU786449 TAP786446:TAQ786449 TKL786446:TKM786449 TUH786446:TUI786449 UED786446:UEE786449 UNZ786446:UOA786449 UXV786446:UXW786449 VHR786446:VHS786449 VRN786446:VRO786449 WBJ786446:WBK786449 WLF786446:WLG786449 WVB786446:WVC786449 IP851982:IQ851985 SL851982:SM851985 ACH851982:ACI851985 AMD851982:AME851985 AVZ851982:AWA851985 BFV851982:BFW851985 BPR851982:BPS851985 BZN851982:BZO851985 CJJ851982:CJK851985 CTF851982:CTG851985 DDB851982:DDC851985 DMX851982:DMY851985 DWT851982:DWU851985 EGP851982:EGQ851985 EQL851982:EQM851985 FAH851982:FAI851985 FKD851982:FKE851985 FTZ851982:FUA851985 GDV851982:GDW851985 GNR851982:GNS851985 GXN851982:GXO851985 HHJ851982:HHK851985 HRF851982:HRG851985 IBB851982:IBC851985 IKX851982:IKY851985 IUT851982:IUU851985 JEP851982:JEQ851985 JOL851982:JOM851985 JYH851982:JYI851985 KID851982:KIE851985 KRZ851982:KSA851985 LBV851982:LBW851985 LLR851982:LLS851985 LVN851982:LVO851985 MFJ851982:MFK851985 MPF851982:MPG851985 MZB851982:MZC851985 NIX851982:NIY851985 NST851982:NSU851985 OCP851982:OCQ851985 OML851982:OMM851985 OWH851982:OWI851985 PGD851982:PGE851985 PPZ851982:PQA851985 PZV851982:PZW851985 QJR851982:QJS851985 QTN851982:QTO851985 RDJ851982:RDK851985 RNF851982:RNG851985 RXB851982:RXC851985 SGX851982:SGY851985 SQT851982:SQU851985 TAP851982:TAQ851985 TKL851982:TKM851985 TUH851982:TUI851985 UED851982:UEE851985 UNZ851982:UOA851985 UXV851982:UXW851985 VHR851982:VHS851985 VRN851982:VRO851985 WBJ851982:WBK851985 WLF851982:WLG851985 WVB851982:WVC851985 IP917518:IQ917521 SL917518:SM917521 ACH917518:ACI917521 AMD917518:AME917521 AVZ917518:AWA917521 BFV917518:BFW917521 BPR917518:BPS917521 BZN917518:BZO917521 CJJ917518:CJK917521 CTF917518:CTG917521 DDB917518:DDC917521 DMX917518:DMY917521 DWT917518:DWU917521 EGP917518:EGQ917521 EQL917518:EQM917521 FAH917518:FAI917521 FKD917518:FKE917521 FTZ917518:FUA917521 GDV917518:GDW917521 GNR917518:GNS917521 GXN917518:GXO917521 HHJ917518:HHK917521 HRF917518:HRG917521 IBB917518:IBC917521 IKX917518:IKY917521 IUT917518:IUU917521 JEP917518:JEQ917521 JOL917518:JOM917521 JYH917518:JYI917521 KID917518:KIE917521 KRZ917518:KSA917521 LBV917518:LBW917521 LLR917518:LLS917521 LVN917518:LVO917521 MFJ917518:MFK917521 MPF917518:MPG917521 MZB917518:MZC917521 NIX917518:NIY917521 NST917518:NSU917521 OCP917518:OCQ917521 OML917518:OMM917521 OWH917518:OWI917521 PGD917518:PGE917521 PPZ917518:PQA917521 PZV917518:PZW917521 QJR917518:QJS917521 QTN917518:QTO917521 RDJ917518:RDK917521 RNF917518:RNG917521 RXB917518:RXC917521 SGX917518:SGY917521 SQT917518:SQU917521 TAP917518:TAQ917521 TKL917518:TKM917521 TUH917518:TUI917521 UED917518:UEE917521 UNZ917518:UOA917521 UXV917518:UXW917521 VHR917518:VHS917521 VRN917518:VRO917521 WBJ917518:WBK917521 WLF917518:WLG917521 WVB917518:WVC917521 IP983054:IQ983057 SL983054:SM983057 ACH983054:ACI983057 AMD983054:AME983057 AVZ983054:AWA983057 BFV983054:BFW983057 BPR983054:BPS983057 BZN983054:BZO983057 CJJ983054:CJK983057 CTF983054:CTG983057 DDB983054:DDC983057 DMX983054:DMY983057 DWT983054:DWU983057 EGP983054:EGQ983057 EQL983054:EQM983057 FAH983054:FAI983057 FKD983054:FKE983057 FTZ983054:FUA983057 GDV983054:GDW983057 GNR983054:GNS983057 GXN983054:GXO983057 HHJ983054:HHK983057 HRF983054:HRG983057 IBB983054:IBC983057 IKX983054:IKY983057 IUT983054:IUU983057 JEP983054:JEQ983057 JOL983054:JOM983057 JYH983054:JYI983057 KID983054:KIE983057 KRZ983054:KSA983057 LBV983054:LBW983057 LLR983054:LLS983057 LVN983054:LVO983057 MFJ983054:MFK983057 MPF983054:MPG983057 MZB983054:MZC983057 NIX983054:NIY983057 NST983054:NSU983057 OCP983054:OCQ983057 OML983054:OMM983057 OWH983054:OWI983057 PGD983054:PGE983057 PPZ983054:PQA983057 PZV983054:PZW983057 QJR983054:QJS983057 QTN983054:QTO983057 RDJ983054:RDK983057 RNF983054:RNG983057 RXB983054:RXC983057 SGX983054:SGY983057 SQT983054:SQU983057 TAP983054:TAQ983057 TKL983054:TKM983057 TUH983054:TUI983057 UED983054:UEE983057 UNZ983054:UOA983057 UXV983054:UXW983057 VHR983054:VHS983057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T33"/>
  <sheetViews>
    <sheetView view="pageBreakPreview" zoomScaleNormal="115" zoomScaleSheetLayoutView="100" workbookViewId="0">
      <pane xSplit="3" ySplit="7" topLeftCell="D27" activePane="bottomRight" state="frozen"/>
      <selection activeCell="AC19" sqref="AC19:AJ39"/>
      <selection pane="topRight" activeCell="AC19" sqref="AC19:AJ39"/>
      <selection pane="bottomLeft" activeCell="AC19" sqref="AC19:AJ39"/>
      <selection pane="bottomRight" activeCell="B28" sqref="B28"/>
    </sheetView>
  </sheetViews>
  <sheetFormatPr defaultRowHeight="15" x14ac:dyDescent="0.25"/>
  <cols>
    <col min="1" max="1" width="11.42578125" style="361" customWidth="1"/>
    <col min="2" max="2" width="40.7109375" style="349" customWidth="1"/>
    <col min="3" max="3" width="5.28515625" style="349" bestFit="1" customWidth="1"/>
    <col min="4" max="4" width="11.7109375" style="349" customWidth="1"/>
    <col min="5" max="5" width="14.85546875" style="349" bestFit="1" customWidth="1"/>
    <col min="6" max="6" width="15.7109375" style="349" bestFit="1" customWidth="1"/>
    <col min="7" max="7" width="15.140625" style="349" bestFit="1" customWidth="1"/>
    <col min="8" max="8" width="14.7109375" style="349" bestFit="1" customWidth="1"/>
    <col min="9" max="10" width="9.140625" style="349"/>
    <col min="11" max="11" width="10.140625" style="409" bestFit="1" customWidth="1"/>
    <col min="12" max="12" width="9.140625" style="409"/>
    <col min="13" max="13" width="9.7109375" style="349" bestFit="1" customWidth="1"/>
    <col min="14" max="15" width="9.140625" style="349"/>
    <col min="16" max="16" width="10.140625" style="409" bestFit="1" customWidth="1"/>
    <col min="17" max="17" width="9.140625" style="409"/>
    <col min="18" max="18" width="9.28515625" style="349" bestFit="1" customWidth="1"/>
    <col min="19" max="20" width="9.140625" style="349"/>
    <col min="21" max="21" width="10.140625" style="409" bestFit="1" customWidth="1"/>
    <col min="22" max="22" width="9.140625" style="409"/>
    <col min="23" max="23" width="9.7109375" style="349" bestFit="1" customWidth="1"/>
    <col min="24" max="25" width="9.140625" style="349"/>
    <col min="26" max="27" width="9.140625" style="409"/>
    <col min="28" max="30" width="9.140625" style="349"/>
    <col min="31" max="32" width="9.140625" style="409"/>
    <col min="33" max="42" width="9.140625" style="349"/>
    <col min="43" max="43" width="14.85546875" style="349" bestFit="1" customWidth="1"/>
    <col min="44" max="44" width="15.7109375" style="349" bestFit="1" customWidth="1"/>
    <col min="45" max="16384" width="9.140625" style="349"/>
  </cols>
  <sheetData>
    <row r="1" spans="1:4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  <c r="AQ1" s="315"/>
      <c r="AR1" s="316"/>
    </row>
    <row r="2" spans="1:4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  <c r="AQ2" s="315"/>
      <c r="AR2" s="316"/>
    </row>
    <row r="3" spans="1:4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  <c r="AQ3" s="315"/>
      <c r="AR3" s="316"/>
    </row>
    <row r="4" spans="1:4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  <c r="AQ4" s="315"/>
      <c r="AR4" s="316"/>
    </row>
    <row r="5" spans="1:4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  <c r="AQ5" s="315"/>
      <c r="AR5" s="316"/>
    </row>
    <row r="6" spans="1:46" ht="15.75" thickBot="1" x14ac:dyDescent="0.3">
      <c r="A6" s="426" t="s">
        <v>308</v>
      </c>
      <c r="B6" s="413"/>
      <c r="C6" s="352"/>
      <c r="D6" s="352"/>
      <c r="E6" s="352"/>
      <c r="F6" s="352"/>
      <c r="G6" s="352"/>
      <c r="H6" s="352"/>
      <c r="I6" s="634" t="s">
        <v>405</v>
      </c>
      <c r="J6" s="634"/>
      <c r="K6" s="634"/>
      <c r="L6" s="634"/>
      <c r="M6" s="634"/>
      <c r="N6" s="634" t="s">
        <v>406</v>
      </c>
      <c r="O6" s="634"/>
      <c r="P6" s="634"/>
      <c r="Q6" s="634"/>
      <c r="R6" s="634"/>
      <c r="S6" s="634" t="s">
        <v>407</v>
      </c>
      <c r="T6" s="634"/>
      <c r="U6" s="634"/>
      <c r="V6" s="634"/>
      <c r="W6" s="634"/>
      <c r="X6" s="634" t="s">
        <v>419</v>
      </c>
      <c r="Y6" s="634"/>
      <c r="Z6" s="634"/>
      <c r="AA6" s="634"/>
      <c r="AB6" s="634"/>
      <c r="AC6" s="634" t="s">
        <v>420</v>
      </c>
      <c r="AD6" s="634"/>
      <c r="AE6" s="634"/>
      <c r="AF6" s="634"/>
      <c r="AG6" s="634"/>
      <c r="AQ6" s="352"/>
      <c r="AR6" s="352"/>
    </row>
    <row r="7" spans="1:46" ht="77.25" x14ac:dyDescent="0.25">
      <c r="A7" s="491" t="s">
        <v>295</v>
      </c>
      <c r="B7" s="492" t="s">
        <v>296</v>
      </c>
      <c r="C7" s="478" t="s">
        <v>302</v>
      </c>
      <c r="D7" s="478"/>
      <c r="E7" s="493" t="s">
        <v>538</v>
      </c>
      <c r="F7" s="494" t="s">
        <v>539</v>
      </c>
      <c r="G7" s="493" t="s">
        <v>540</v>
      </c>
      <c r="H7" s="493" t="s">
        <v>541</v>
      </c>
      <c r="I7" s="488" t="s">
        <v>408</v>
      </c>
      <c r="J7" s="358" t="s">
        <v>409</v>
      </c>
      <c r="K7" s="359" t="s">
        <v>410</v>
      </c>
      <c r="L7" s="359" t="s">
        <v>418</v>
      </c>
      <c r="M7" s="353" t="s">
        <v>414</v>
      </c>
      <c r="N7" s="353" t="s">
        <v>408</v>
      </c>
      <c r="O7" s="358" t="s">
        <v>409</v>
      </c>
      <c r="P7" s="359" t="s">
        <v>410</v>
      </c>
      <c r="Q7" s="359" t="s">
        <v>418</v>
      </c>
      <c r="R7" s="353" t="s">
        <v>414</v>
      </c>
      <c r="S7" s="353" t="s">
        <v>408</v>
      </c>
      <c r="T7" s="358" t="s">
        <v>409</v>
      </c>
      <c r="U7" s="359" t="s">
        <v>410</v>
      </c>
      <c r="V7" s="359" t="s">
        <v>418</v>
      </c>
      <c r="W7" s="353" t="s">
        <v>414</v>
      </c>
      <c r="X7" s="353" t="s">
        <v>408</v>
      </c>
      <c r="Y7" s="358" t="s">
        <v>409</v>
      </c>
      <c r="Z7" s="359" t="s">
        <v>410</v>
      </c>
      <c r="AA7" s="359" t="s">
        <v>418</v>
      </c>
      <c r="AB7" s="353" t="s">
        <v>414</v>
      </c>
      <c r="AC7" s="353" t="s">
        <v>408</v>
      </c>
      <c r="AD7" s="358" t="s">
        <v>409</v>
      </c>
      <c r="AE7" s="359" t="s">
        <v>410</v>
      </c>
      <c r="AF7" s="359" t="s">
        <v>418</v>
      </c>
      <c r="AG7" s="353" t="s">
        <v>414</v>
      </c>
      <c r="AH7" s="482" t="s">
        <v>527</v>
      </c>
      <c r="AI7" s="482" t="s">
        <v>528</v>
      </c>
      <c r="AJ7" s="482" t="s">
        <v>529</v>
      </c>
      <c r="AK7" s="483" t="s">
        <v>530</v>
      </c>
      <c r="AL7" s="483" t="s">
        <v>531</v>
      </c>
      <c r="AM7" s="483" t="s">
        <v>532</v>
      </c>
      <c r="AN7" s="483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s="418" customFormat="1" ht="150" x14ac:dyDescent="0.25">
      <c r="A8" s="495" t="s">
        <v>350</v>
      </c>
      <c r="B8" s="496" t="s">
        <v>480</v>
      </c>
      <c r="C8" s="497">
        <v>2</v>
      </c>
      <c r="D8" s="497"/>
      <c r="E8" s="453" t="str">
        <f>IF(AND(AO8="IRR",SUM(AH8:AJ8)&gt;0),AP8,IF(AND(AO8="IRR",AQ8&lt;&gt;""),AQ8*'[5]Basic INFO'!$E$127,IF(AO8="IRR",AS8,"")))</f>
        <v/>
      </c>
      <c r="F8" s="454">
        <f>IF(AND(AO8="EUR",SUM(AH8:AJ8)&gt;0),AP8,IF(AND(AO8="EUR",AR8&lt;&gt;""),AR8*'[5]Basic INFO'!$C$138,IF(AO8="EUR",AT8,"")))</f>
        <v>111500</v>
      </c>
      <c r="G8" s="455" t="str">
        <f t="shared" ref="G8" si="0">IF(AO8="IRR",C8*E8,"")</f>
        <v/>
      </c>
      <c r="H8" s="498">
        <f t="shared" ref="H8" si="1">IF(AO8="EUR",C8*F8,"")</f>
        <v>223000</v>
      </c>
      <c r="I8" s="489" t="s">
        <v>434</v>
      </c>
      <c r="J8" s="399"/>
      <c r="K8" s="415">
        <v>43000</v>
      </c>
      <c r="L8" s="415"/>
      <c r="M8" s="416">
        <v>45703</v>
      </c>
      <c r="N8" s="399" t="s">
        <v>435</v>
      </c>
      <c r="O8" s="399"/>
      <c r="P8" s="417">
        <v>180000</v>
      </c>
      <c r="Q8" s="415"/>
      <c r="R8" s="416">
        <v>45781</v>
      </c>
      <c r="S8" s="399" t="s">
        <v>436</v>
      </c>
      <c r="T8" s="399"/>
      <c r="U8" s="415"/>
      <c r="V8" s="415"/>
      <c r="W8" s="399" t="s">
        <v>438</v>
      </c>
      <c r="X8" s="399" t="s">
        <v>437</v>
      </c>
      <c r="Y8" s="399"/>
      <c r="Z8" s="415"/>
      <c r="AA8" s="415"/>
      <c r="AB8" s="399" t="s">
        <v>433</v>
      </c>
      <c r="AC8" s="399"/>
      <c r="AD8" s="399"/>
      <c r="AE8" s="415"/>
      <c r="AF8" s="415"/>
      <c r="AG8" s="399"/>
      <c r="AH8" s="441">
        <f>IF(B8="","",COUNT(J8,O8,T8,Y8,AD8))</f>
        <v>0</v>
      </c>
      <c r="AI8" s="442">
        <f>IF(B8="","",COUNT(K8,P8,U8,Z8,AE8))</f>
        <v>2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111500</v>
      </c>
      <c r="AM8" s="442" t="str">
        <f>IF(AND(AJ8&lt;&gt;"",AJ8&gt;0),AVERAGE(L8,Q8,V8,AA8,AF8)/'[5]Basic INFO'!$C$103,"")</f>
        <v/>
      </c>
      <c r="AN8" s="442">
        <f>IF(SUM(AH8:AJ8)&lt;&gt;0,AVERAGE(AK8:AM8),"")</f>
        <v>111500</v>
      </c>
      <c r="AO8" s="418" t="s">
        <v>526</v>
      </c>
      <c r="AP8" s="444">
        <f>IF(B8="","",IF(SUM(AH8:AJ8)=0,"",IF(AO8="IRR",AN8*('[5]Basic INFO'!$C$101*'[5]Basic INFO'!$C$103),IF(AO8="EUR",AN8,AP8))))</f>
        <v>111500</v>
      </c>
      <c r="AQ8" s="414"/>
      <c r="AR8" s="414">
        <v>75000</v>
      </c>
      <c r="AS8" s="447"/>
      <c r="AT8" s="448"/>
    </row>
    <row r="9" spans="1:46" s="418" customFormat="1" ht="135" x14ac:dyDescent="0.25">
      <c r="A9" s="495" t="s">
        <v>314</v>
      </c>
      <c r="B9" s="496" t="s">
        <v>481</v>
      </c>
      <c r="C9" s="497">
        <v>2</v>
      </c>
      <c r="D9" s="497"/>
      <c r="E9" s="453" t="str">
        <f>IF(AND(AO9="IRR",SUM(AH9:AJ9)&gt;0),AP9,IF(AND(AO9="IRR",AQ9&lt;&gt;""),AQ9*'[5]Basic INFO'!$E$127,IF(AO9="IRR",AS9,"")))</f>
        <v/>
      </c>
      <c r="F9" s="454">
        <f>IF(AND(AO9="EUR",SUM(AH9:AJ9)&gt;0),AP9,IF(AND(AO9="EUR",AR9&lt;&gt;""),AR9*'[5]Basic INFO'!$C$138,IF(AO9="EUR",AT9,"")))</f>
        <v>15050</v>
      </c>
      <c r="G9" s="455" t="str">
        <f t="shared" ref="G9:G28" si="2">IF(AO9="IRR",C9*E9,"")</f>
        <v/>
      </c>
      <c r="H9" s="498">
        <f t="shared" ref="H9:H28" si="3">IF(AO9="EUR",C9*F9,"")</f>
        <v>30100</v>
      </c>
      <c r="I9" s="489" t="s">
        <v>434</v>
      </c>
      <c r="J9" s="399"/>
      <c r="K9" s="415">
        <v>14100</v>
      </c>
      <c r="L9" s="415"/>
      <c r="M9" s="416">
        <v>45703</v>
      </c>
      <c r="N9" s="399" t="s">
        <v>435</v>
      </c>
      <c r="O9" s="399"/>
      <c r="P9" s="415">
        <v>16000</v>
      </c>
      <c r="Q9" s="415"/>
      <c r="R9" s="419">
        <v>45781</v>
      </c>
      <c r="S9" s="399" t="s">
        <v>436</v>
      </c>
      <c r="T9" s="399"/>
      <c r="U9" s="415"/>
      <c r="V9" s="415"/>
      <c r="W9" s="399" t="s">
        <v>438</v>
      </c>
      <c r="X9" s="399" t="s">
        <v>437</v>
      </c>
      <c r="Y9" s="399"/>
      <c r="Z9" s="415"/>
      <c r="AA9" s="415"/>
      <c r="AB9" s="399" t="s">
        <v>433</v>
      </c>
      <c r="AC9" s="399"/>
      <c r="AD9" s="399"/>
      <c r="AE9" s="415"/>
      <c r="AF9" s="415"/>
      <c r="AG9" s="399"/>
      <c r="AH9" s="441">
        <f t="shared" ref="AH9:AH28" si="4">IF(B9="","",COUNT(J9,O9,T9,Y9,AD9))</f>
        <v>0</v>
      </c>
      <c r="AI9" s="442">
        <f t="shared" ref="AI9:AI28" si="5">IF(B9="","",COUNT(K9,P9,U9,Z9,AE9))</f>
        <v>2</v>
      </c>
      <c r="AJ9" s="442">
        <f t="shared" ref="AJ9:AJ28" si="6">IF(B9="","",COUNT(L9,Q9,V9,AA9,AF9))</f>
        <v>0</v>
      </c>
      <c r="AK9" s="442" t="str">
        <f>IF(AND(AH9&lt;&gt;"",AH9&gt;0),AVERAGE(J9,O9,T9,Y9,AD9)/('[5]Basic INFO'!$C$101*'[5]Basic INFO'!$C$103),"")</f>
        <v/>
      </c>
      <c r="AL9" s="442">
        <f t="shared" ref="AL9:AL28" si="7">IF(AND(AI9&lt;&gt;"",AI9&gt;0),AVERAGE(K9,P9,U9,Z9,AE9),"")</f>
        <v>15050</v>
      </c>
      <c r="AM9" s="442" t="str">
        <f>IF(AND(AJ9&lt;&gt;"",AJ9&gt;0),AVERAGE(L9,Q9,V9,AA9,AF9)/'[5]Basic INFO'!$C$103,"")</f>
        <v/>
      </c>
      <c r="AN9" s="442">
        <f t="shared" ref="AN9:AN28" si="8">IF(SUM(AH9:AJ9)&lt;&gt;0,AVERAGE(AK9:AM9),"")</f>
        <v>15050</v>
      </c>
      <c r="AO9" s="418" t="s">
        <v>526</v>
      </c>
      <c r="AP9" s="444">
        <f>IF(B9="","",IF(SUM(AH9:AJ9)=0,"",IF(AO9="IRR",AN9*('[5]Basic INFO'!$C$101*'[5]Basic INFO'!$C$103),IF(AO9="EUR",AN9,AP9))))</f>
        <v>15050</v>
      </c>
      <c r="AQ9" s="414"/>
      <c r="AR9" s="414">
        <v>10000</v>
      </c>
      <c r="AS9" s="447"/>
      <c r="AT9" s="448"/>
    </row>
    <row r="10" spans="1:46" s="418" customFormat="1" ht="135" x14ac:dyDescent="0.25">
      <c r="A10" s="495" t="s">
        <v>352</v>
      </c>
      <c r="B10" s="496" t="s">
        <v>482</v>
      </c>
      <c r="C10" s="497">
        <v>1</v>
      </c>
      <c r="D10" s="497"/>
      <c r="E10" s="453" t="str">
        <f>IF(AND(AO10="IRR",SUM(AH10:AJ10)&gt;0),AP10,IF(AND(AO10="IRR",AQ10&lt;&gt;""),AQ10*'[5]Basic INFO'!$E$127,IF(AO10="IRR",AS10,"")))</f>
        <v/>
      </c>
      <c r="F10" s="454">
        <f>IF(AND(AO10="EUR",SUM(AH10:AJ10)&gt;0),AP10,IF(AND(AO10="EUR",AR10&lt;&gt;""),AR10*'[5]Basic INFO'!$C$138,IF(AO10="EUR",AT10,"")))</f>
        <v>22250</v>
      </c>
      <c r="G10" s="455" t="str">
        <f t="shared" si="2"/>
        <v/>
      </c>
      <c r="H10" s="498">
        <f t="shared" si="3"/>
        <v>22250</v>
      </c>
      <c r="I10" s="489" t="s">
        <v>434</v>
      </c>
      <c r="J10" s="399"/>
      <c r="K10" s="415">
        <v>28500</v>
      </c>
      <c r="L10" s="415"/>
      <c r="M10" s="416">
        <v>45703</v>
      </c>
      <c r="N10" s="399" t="s">
        <v>435</v>
      </c>
      <c r="O10" s="399"/>
      <c r="P10" s="415">
        <v>16000</v>
      </c>
      <c r="Q10" s="415"/>
      <c r="R10" s="416">
        <v>45781</v>
      </c>
      <c r="S10" s="399" t="s">
        <v>436</v>
      </c>
      <c r="T10" s="399"/>
      <c r="U10" s="415"/>
      <c r="V10" s="415"/>
      <c r="W10" s="399" t="s">
        <v>438</v>
      </c>
      <c r="X10" s="399" t="s">
        <v>437</v>
      </c>
      <c r="Y10" s="399"/>
      <c r="Z10" s="415"/>
      <c r="AA10" s="415"/>
      <c r="AB10" s="399" t="s">
        <v>433</v>
      </c>
      <c r="AC10" s="399"/>
      <c r="AD10" s="399"/>
      <c r="AE10" s="415"/>
      <c r="AF10" s="415"/>
      <c r="AG10" s="399"/>
      <c r="AH10" s="441">
        <f t="shared" si="4"/>
        <v>0</v>
      </c>
      <c r="AI10" s="442">
        <f t="shared" si="5"/>
        <v>2</v>
      </c>
      <c r="AJ10" s="442">
        <f t="shared" si="6"/>
        <v>0</v>
      </c>
      <c r="AK10" s="442" t="str">
        <f>IF(AND(AH10&lt;&gt;"",AH10&gt;0),AVERAGE(J10,O10,T10,Y10,AD10)/('[5]Basic INFO'!$C$101*'[5]Basic INFO'!$C$103),"")</f>
        <v/>
      </c>
      <c r="AL10" s="442">
        <f t="shared" si="7"/>
        <v>22250</v>
      </c>
      <c r="AM10" s="442" t="str">
        <f>IF(AND(AJ10&lt;&gt;"",AJ10&gt;0),AVERAGE(L10,Q10,V10,AA10,AF10)/'[5]Basic INFO'!$C$103,"")</f>
        <v/>
      </c>
      <c r="AN10" s="442">
        <f t="shared" si="8"/>
        <v>22250</v>
      </c>
      <c r="AO10" s="418" t="s">
        <v>526</v>
      </c>
      <c r="AP10" s="444">
        <f>IF(B10="","",IF(SUM(AH10:AJ10)=0,"",IF(AO10="IRR",AN10*('[5]Basic INFO'!$C$101*'[5]Basic INFO'!$C$103),IF(AO10="EUR",AN10,AP10))))</f>
        <v>22250</v>
      </c>
      <c r="AQ10" s="414"/>
      <c r="AR10" s="414">
        <v>15000</v>
      </c>
      <c r="AS10" s="447"/>
      <c r="AT10" s="448"/>
    </row>
    <row r="11" spans="1:46" s="418" customFormat="1" ht="135" x14ac:dyDescent="0.25">
      <c r="A11" s="495" t="s">
        <v>353</v>
      </c>
      <c r="B11" s="496" t="s">
        <v>483</v>
      </c>
      <c r="C11" s="497">
        <v>2</v>
      </c>
      <c r="D11" s="497"/>
      <c r="E11" s="453" t="str">
        <f>IF(AND(AO11="IRR",SUM(AH11:AJ11)&gt;0),AP11,IF(AND(AO11="IRR",AQ11&lt;&gt;""),AQ11*'[5]Basic INFO'!$E$127,IF(AO11="IRR",AS11,"")))</f>
        <v/>
      </c>
      <c r="F11" s="454">
        <f>IF(AND(AO11="EUR",SUM(AH11:AJ11)&gt;0),AP11,IF(AND(AO11="EUR",AR11&lt;&gt;""),AR11*'[5]Basic INFO'!$C$138,IF(AO11="EUR",AT11,"")))</f>
        <v>21500</v>
      </c>
      <c r="G11" s="455" t="str">
        <f t="shared" si="2"/>
        <v/>
      </c>
      <c r="H11" s="498">
        <f t="shared" si="3"/>
        <v>43000</v>
      </c>
      <c r="I11" s="490" t="s">
        <v>434</v>
      </c>
      <c r="J11" s="420"/>
      <c r="K11" s="421">
        <v>27000</v>
      </c>
      <c r="L11" s="421"/>
      <c r="M11" s="422">
        <v>45703</v>
      </c>
      <c r="N11" s="420" t="s">
        <v>435</v>
      </c>
      <c r="O11" s="420"/>
      <c r="P11" s="421">
        <v>16000</v>
      </c>
      <c r="Q11" s="421"/>
      <c r="R11" s="422">
        <v>45781</v>
      </c>
      <c r="S11" s="420" t="s">
        <v>436</v>
      </c>
      <c r="T11" s="420"/>
      <c r="U11" s="421"/>
      <c r="V11" s="421"/>
      <c r="W11" s="420" t="s">
        <v>438</v>
      </c>
      <c r="X11" s="423" t="s">
        <v>437</v>
      </c>
      <c r="Y11" s="420"/>
      <c r="Z11" s="421"/>
      <c r="AA11" s="421"/>
      <c r="AB11" s="420" t="s">
        <v>433</v>
      </c>
      <c r="AC11" s="420"/>
      <c r="AD11" s="420"/>
      <c r="AE11" s="421"/>
      <c r="AF11" s="421"/>
      <c r="AG11" s="420"/>
      <c r="AH11" s="441">
        <f t="shared" si="4"/>
        <v>0</v>
      </c>
      <c r="AI11" s="442">
        <f t="shared" si="5"/>
        <v>2</v>
      </c>
      <c r="AJ11" s="442">
        <f t="shared" si="6"/>
        <v>0</v>
      </c>
      <c r="AK11" s="442" t="str">
        <f>IF(AND(AH11&lt;&gt;"",AH11&gt;0),AVERAGE(J11,O11,T11,Y11,AD11)/('[5]Basic INFO'!$C$101*'[5]Basic INFO'!$C$103),"")</f>
        <v/>
      </c>
      <c r="AL11" s="442">
        <f t="shared" si="7"/>
        <v>21500</v>
      </c>
      <c r="AM11" s="442" t="str">
        <f>IF(AND(AJ11&lt;&gt;"",AJ11&gt;0),AVERAGE(L11,Q11,V11,AA11,AF11)/'[5]Basic INFO'!$C$103,"")</f>
        <v/>
      </c>
      <c r="AN11" s="442">
        <f t="shared" si="8"/>
        <v>21500</v>
      </c>
      <c r="AO11" s="418" t="s">
        <v>526</v>
      </c>
      <c r="AP11" s="444">
        <f>IF(B11="","",IF(SUM(AH11:AJ11)=0,"",IF(AO11="IRR",AN11*('[5]Basic INFO'!$C$101*'[5]Basic INFO'!$C$103),IF(AO11="EUR",AN11,AP11))))</f>
        <v>21500</v>
      </c>
      <c r="AQ11" s="414"/>
      <c r="AR11" s="414">
        <v>12000</v>
      </c>
      <c r="AS11" s="447"/>
      <c r="AT11" s="448"/>
    </row>
    <row r="12" spans="1:46" s="418" customFormat="1" ht="150" x14ac:dyDescent="0.25">
      <c r="A12" s="495" t="s">
        <v>309</v>
      </c>
      <c r="B12" s="496" t="s">
        <v>484</v>
      </c>
      <c r="C12" s="497">
        <v>2</v>
      </c>
      <c r="D12" s="497"/>
      <c r="E12" s="453" t="str">
        <f>IF(AND(AO12="IRR",SUM(AH12:AJ12)&gt;0),AP12,IF(AND(AO12="IRR",AQ12&lt;&gt;""),AQ12*'[5]Basic INFO'!$E$127,IF(AO12="IRR",AS12,"")))</f>
        <v/>
      </c>
      <c r="F12" s="454">
        <f>IF(AND(AO12="EUR",SUM(AH12:AJ12)&gt;0),AP12,IF(AND(AO12="EUR",AR12&lt;&gt;""),AR12*'[5]Basic INFO'!$C$138,IF(AO12="EUR",AT12,"")))</f>
        <v>317500</v>
      </c>
      <c r="G12" s="455" t="str">
        <f t="shared" si="2"/>
        <v/>
      </c>
      <c r="H12" s="498">
        <f t="shared" si="3"/>
        <v>635000</v>
      </c>
      <c r="I12" s="490" t="s">
        <v>434</v>
      </c>
      <c r="J12" s="420"/>
      <c r="K12" s="421">
        <v>335000</v>
      </c>
      <c r="L12" s="421"/>
      <c r="M12" s="422">
        <v>45703</v>
      </c>
      <c r="N12" s="420" t="s">
        <v>435</v>
      </c>
      <c r="O12" s="420"/>
      <c r="P12" s="421">
        <v>300000</v>
      </c>
      <c r="Q12" s="421"/>
      <c r="R12" s="422">
        <v>45781</v>
      </c>
      <c r="S12" s="420" t="s">
        <v>436</v>
      </c>
      <c r="T12" s="420"/>
      <c r="U12" s="421"/>
      <c r="V12" s="421"/>
      <c r="W12" s="420" t="s">
        <v>438</v>
      </c>
      <c r="X12" s="423" t="s">
        <v>437</v>
      </c>
      <c r="Y12" s="420"/>
      <c r="Z12" s="421"/>
      <c r="AA12" s="421"/>
      <c r="AB12" s="420" t="s">
        <v>433</v>
      </c>
      <c r="AC12" s="420"/>
      <c r="AD12" s="420"/>
      <c r="AE12" s="421"/>
      <c r="AF12" s="421"/>
      <c r="AG12" s="420"/>
      <c r="AH12" s="441">
        <f t="shared" si="4"/>
        <v>0</v>
      </c>
      <c r="AI12" s="442">
        <f t="shared" si="5"/>
        <v>2</v>
      </c>
      <c r="AJ12" s="442">
        <f t="shared" si="6"/>
        <v>0</v>
      </c>
      <c r="AK12" s="442" t="str">
        <f>IF(AND(AH12&lt;&gt;"",AH12&gt;0),AVERAGE(J12,O12,T12,Y12,AD12)/('[5]Basic INFO'!$C$101*'[5]Basic INFO'!$C$103),"")</f>
        <v/>
      </c>
      <c r="AL12" s="442">
        <f t="shared" si="7"/>
        <v>317500</v>
      </c>
      <c r="AM12" s="442" t="str">
        <f>IF(AND(AJ12&lt;&gt;"",AJ12&gt;0),AVERAGE(L12,Q12,V12,AA12,AF12)/'[5]Basic INFO'!$C$103,"")</f>
        <v/>
      </c>
      <c r="AN12" s="442">
        <f t="shared" si="8"/>
        <v>317500</v>
      </c>
      <c r="AO12" s="418" t="s">
        <v>526</v>
      </c>
      <c r="AP12" s="444">
        <f>IF(B12="","",IF(SUM(AH12:AJ12)=0,"",IF(AO12="IRR",AN12*('[5]Basic INFO'!$C$101*'[5]Basic INFO'!$C$103),IF(AO12="EUR",AN12,AP12))))</f>
        <v>317500</v>
      </c>
      <c r="AQ12" s="414"/>
      <c r="AR12" s="414">
        <v>260000</v>
      </c>
      <c r="AS12" s="447"/>
      <c r="AT12" s="448"/>
    </row>
    <row r="13" spans="1:46" s="418" customFormat="1" ht="135" x14ac:dyDescent="0.25">
      <c r="A13" s="495" t="s">
        <v>310</v>
      </c>
      <c r="B13" s="496" t="s">
        <v>485</v>
      </c>
      <c r="C13" s="497">
        <v>2</v>
      </c>
      <c r="D13" s="497"/>
      <c r="E13" s="453" t="str">
        <f>IF(AND(AO13="IRR",SUM(AH13:AJ13)&gt;0),AP13,IF(AND(AO13="IRR",AQ13&lt;&gt;""),AQ13*'[5]Basic INFO'!$E$127,IF(AO13="IRR",AS13,"")))</f>
        <v/>
      </c>
      <c r="F13" s="454">
        <f>IF(AND(AO13="EUR",SUM(AH13:AJ13)&gt;0),AP13,IF(AND(AO13="EUR",AR13&lt;&gt;""),AR13*'[5]Basic INFO'!$C$138,IF(AO13="EUR",AT13,"")))</f>
        <v>30000</v>
      </c>
      <c r="G13" s="455" t="str">
        <f t="shared" si="2"/>
        <v/>
      </c>
      <c r="H13" s="498">
        <f t="shared" si="3"/>
        <v>60000</v>
      </c>
      <c r="I13" s="490" t="s">
        <v>434</v>
      </c>
      <c r="J13" s="420"/>
      <c r="K13" s="421">
        <v>30000</v>
      </c>
      <c r="L13" s="421"/>
      <c r="M13" s="422">
        <v>45703</v>
      </c>
      <c r="N13" s="420" t="s">
        <v>435</v>
      </c>
      <c r="O13" s="420"/>
      <c r="P13" s="421" t="s">
        <v>550</v>
      </c>
      <c r="Q13" s="421"/>
      <c r="R13" s="422" t="s">
        <v>438</v>
      </c>
      <c r="S13" s="420" t="s">
        <v>436</v>
      </c>
      <c r="T13" s="420"/>
      <c r="U13" s="421"/>
      <c r="V13" s="421"/>
      <c r="W13" s="420" t="s">
        <v>438</v>
      </c>
      <c r="X13" s="423" t="s">
        <v>437</v>
      </c>
      <c r="Y13" s="420"/>
      <c r="Z13" s="421"/>
      <c r="AA13" s="421"/>
      <c r="AB13" s="420" t="s">
        <v>433</v>
      </c>
      <c r="AC13" s="420"/>
      <c r="AD13" s="420"/>
      <c r="AE13" s="421"/>
      <c r="AF13" s="421"/>
      <c r="AG13" s="420"/>
      <c r="AH13" s="441">
        <f t="shared" si="4"/>
        <v>0</v>
      </c>
      <c r="AI13" s="442">
        <f t="shared" si="5"/>
        <v>1</v>
      </c>
      <c r="AJ13" s="442">
        <f t="shared" si="6"/>
        <v>0</v>
      </c>
      <c r="AK13" s="442" t="str">
        <f>IF(AND(AH13&lt;&gt;"",AH13&gt;0),AVERAGE(J13,O13,T13,Y13,AD13)/('[5]Basic INFO'!$C$101*'[5]Basic INFO'!$C$103),"")</f>
        <v/>
      </c>
      <c r="AL13" s="442">
        <f t="shared" si="7"/>
        <v>30000</v>
      </c>
      <c r="AM13" s="442" t="str">
        <f>IF(AND(AJ13&lt;&gt;"",AJ13&gt;0),AVERAGE(L13,Q13,V13,AA13,AF13)/'[5]Basic INFO'!$C$103,"")</f>
        <v/>
      </c>
      <c r="AN13" s="442">
        <f t="shared" si="8"/>
        <v>30000</v>
      </c>
      <c r="AO13" s="418" t="s">
        <v>526</v>
      </c>
      <c r="AP13" s="444">
        <f>IF(B13="","",IF(SUM(AH13:AJ13)=0,"",IF(AO13="IRR",AN13*('[5]Basic INFO'!$C$101*'[5]Basic INFO'!$C$103),IF(AO13="EUR",AN13,AP13))))</f>
        <v>30000</v>
      </c>
      <c r="AQ13" s="414"/>
      <c r="AR13" s="414">
        <v>10000</v>
      </c>
      <c r="AS13" s="447"/>
      <c r="AT13" s="448"/>
    </row>
    <row r="14" spans="1:46" s="418" customFormat="1" ht="135" x14ac:dyDescent="0.25">
      <c r="A14" s="495" t="s">
        <v>354</v>
      </c>
      <c r="B14" s="496" t="s">
        <v>486</v>
      </c>
      <c r="C14" s="497">
        <v>2</v>
      </c>
      <c r="D14" s="497"/>
      <c r="E14" s="453" t="str">
        <f>IF(AND(AO14="IRR",SUM(AH14:AJ14)&gt;0),AP14,IF(AND(AO14="IRR",AQ14&lt;&gt;""),AQ14*'[5]Basic INFO'!$E$127,IF(AO14="IRR",AS14,"")))</f>
        <v/>
      </c>
      <c r="F14" s="454">
        <f>IF(AND(AO14="EUR",SUM(AH14:AJ14)&gt;0),AP14,IF(AND(AO14="EUR",AR14&lt;&gt;""),AR14*'[5]Basic INFO'!$C$138,IF(AO14="EUR",AT14,"")))</f>
        <v>29000</v>
      </c>
      <c r="G14" s="455" t="str">
        <f t="shared" si="2"/>
        <v/>
      </c>
      <c r="H14" s="498">
        <f t="shared" si="3"/>
        <v>58000</v>
      </c>
      <c r="I14" s="490" t="s">
        <v>434</v>
      </c>
      <c r="J14" s="420"/>
      <c r="K14" s="421">
        <v>28000</v>
      </c>
      <c r="L14" s="421"/>
      <c r="M14" s="422">
        <v>45703</v>
      </c>
      <c r="N14" s="420" t="s">
        <v>435</v>
      </c>
      <c r="O14" s="420"/>
      <c r="P14" s="421">
        <v>30000</v>
      </c>
      <c r="Q14" s="421"/>
      <c r="R14" s="422">
        <v>45781</v>
      </c>
      <c r="S14" s="420" t="s">
        <v>436</v>
      </c>
      <c r="T14" s="420"/>
      <c r="U14" s="421"/>
      <c r="V14" s="421"/>
      <c r="W14" s="420" t="s">
        <v>438</v>
      </c>
      <c r="X14" s="423" t="s">
        <v>437</v>
      </c>
      <c r="Y14" s="420"/>
      <c r="Z14" s="421"/>
      <c r="AA14" s="421"/>
      <c r="AB14" s="420" t="s">
        <v>433</v>
      </c>
      <c r="AC14" s="420"/>
      <c r="AD14" s="420"/>
      <c r="AE14" s="421"/>
      <c r="AF14" s="421"/>
      <c r="AG14" s="420"/>
      <c r="AH14" s="441">
        <f t="shared" si="4"/>
        <v>0</v>
      </c>
      <c r="AI14" s="442">
        <f t="shared" si="5"/>
        <v>2</v>
      </c>
      <c r="AJ14" s="442">
        <f t="shared" si="6"/>
        <v>0</v>
      </c>
      <c r="AK14" s="442" t="str">
        <f>IF(AND(AH14&lt;&gt;"",AH14&gt;0),AVERAGE(J14,O14,T14,Y14,AD14)/('[5]Basic INFO'!$C$101*'[5]Basic INFO'!$C$103),"")</f>
        <v/>
      </c>
      <c r="AL14" s="442">
        <f t="shared" si="7"/>
        <v>29000</v>
      </c>
      <c r="AM14" s="442" t="str">
        <f>IF(AND(AJ14&lt;&gt;"",AJ14&gt;0),AVERAGE(L14,Q14,V14,AA14,AF14)/'[5]Basic INFO'!$C$103,"")</f>
        <v/>
      </c>
      <c r="AN14" s="442">
        <f t="shared" si="8"/>
        <v>29000</v>
      </c>
      <c r="AO14" s="418" t="s">
        <v>526</v>
      </c>
      <c r="AP14" s="444">
        <f>IF(B14="","",IF(SUM(AH14:AJ14)=0,"",IF(AO14="IRR",AN14*('[5]Basic INFO'!$C$101*'[5]Basic INFO'!$C$103),IF(AO14="EUR",AN14,AP14))))</f>
        <v>29000</v>
      </c>
      <c r="AQ14" s="414"/>
      <c r="AR14" s="414">
        <v>35000</v>
      </c>
      <c r="AS14" s="447"/>
      <c r="AT14" s="448"/>
    </row>
    <row r="15" spans="1:46" s="418" customFormat="1" ht="150" x14ac:dyDescent="0.25">
      <c r="A15" s="495" t="s">
        <v>351</v>
      </c>
      <c r="B15" s="496" t="s">
        <v>487</v>
      </c>
      <c r="C15" s="497">
        <v>3</v>
      </c>
      <c r="D15" s="497"/>
      <c r="E15" s="453" t="str">
        <f>IF(AND(AO15="IRR",SUM(AH15:AJ15)&gt;0),AP15,IF(AND(AO15="IRR",AQ15&lt;&gt;""),AQ15*'[5]Basic INFO'!$E$127,IF(AO15="IRR",AS15,"")))</f>
        <v/>
      </c>
      <c r="F15" s="454">
        <f>IF(AND(AO15="EUR",SUM(AH15:AJ15)&gt;0),AP15,IF(AND(AO15="EUR",AR15&lt;&gt;""),AR15*'[5]Basic INFO'!$C$138,IF(AO15="EUR",AT15,"")))</f>
        <v>247500</v>
      </c>
      <c r="G15" s="455" t="str">
        <f t="shared" si="2"/>
        <v/>
      </c>
      <c r="H15" s="498">
        <f t="shared" si="3"/>
        <v>742500</v>
      </c>
      <c r="I15" s="490" t="s">
        <v>434</v>
      </c>
      <c r="J15" s="420"/>
      <c r="K15" s="421">
        <v>225000</v>
      </c>
      <c r="L15" s="421"/>
      <c r="M15" s="422">
        <v>45703</v>
      </c>
      <c r="N15" s="420" t="s">
        <v>435</v>
      </c>
      <c r="O15" s="420"/>
      <c r="P15" s="421">
        <v>270000</v>
      </c>
      <c r="Q15" s="421"/>
      <c r="R15" s="422">
        <v>45781</v>
      </c>
      <c r="S15" s="420" t="s">
        <v>436</v>
      </c>
      <c r="T15" s="420"/>
      <c r="U15" s="421"/>
      <c r="V15" s="421"/>
      <c r="W15" s="420" t="s">
        <v>438</v>
      </c>
      <c r="X15" s="423" t="s">
        <v>437</v>
      </c>
      <c r="Y15" s="420"/>
      <c r="Z15" s="421"/>
      <c r="AA15" s="421"/>
      <c r="AB15" s="420" t="s">
        <v>433</v>
      </c>
      <c r="AC15" s="420"/>
      <c r="AD15" s="420"/>
      <c r="AE15" s="421"/>
      <c r="AF15" s="421"/>
      <c r="AG15" s="420"/>
      <c r="AH15" s="441">
        <f t="shared" si="4"/>
        <v>0</v>
      </c>
      <c r="AI15" s="442">
        <f t="shared" si="5"/>
        <v>2</v>
      </c>
      <c r="AJ15" s="442">
        <f t="shared" si="6"/>
        <v>0</v>
      </c>
      <c r="AK15" s="442" t="str">
        <f>IF(AND(AH15&lt;&gt;"",AH15&gt;0),AVERAGE(J15,O15,T15,Y15,AD15)/('[5]Basic INFO'!$C$101*'[5]Basic INFO'!$C$103),"")</f>
        <v/>
      </c>
      <c r="AL15" s="442">
        <f t="shared" si="7"/>
        <v>247500</v>
      </c>
      <c r="AM15" s="442" t="str">
        <f>IF(AND(AJ15&lt;&gt;"",AJ15&gt;0),AVERAGE(L15,Q15,V15,AA15,AF15)/'[5]Basic INFO'!$C$103,"")</f>
        <v/>
      </c>
      <c r="AN15" s="442">
        <f t="shared" si="8"/>
        <v>247500</v>
      </c>
      <c r="AO15" s="418" t="s">
        <v>526</v>
      </c>
      <c r="AP15" s="444">
        <f>IF(B15="","",IF(SUM(AH15:AJ15)=0,"",IF(AO15="IRR",AN15*('[5]Basic INFO'!$C$101*'[5]Basic INFO'!$C$103),IF(AO15="EUR",AN15,AP15))))</f>
        <v>247500</v>
      </c>
      <c r="AQ15" s="414"/>
      <c r="AR15" s="414">
        <v>180000</v>
      </c>
      <c r="AS15" s="447"/>
      <c r="AT15" s="448"/>
    </row>
    <row r="16" spans="1:46" s="418" customFormat="1" ht="135" x14ac:dyDescent="0.25">
      <c r="A16" s="495" t="s">
        <v>311</v>
      </c>
      <c r="B16" s="496" t="s">
        <v>488</v>
      </c>
      <c r="C16" s="497">
        <v>2</v>
      </c>
      <c r="D16" s="497"/>
      <c r="E16" s="453" t="str">
        <f>IF(AND(AO16="IRR",SUM(AH16:AJ16)&gt;0),AP16,IF(AND(AO16="IRR",AQ16&lt;&gt;""),AQ16*'[5]Basic INFO'!$E$127,IF(AO16="IRR",AS16,"")))</f>
        <v/>
      </c>
      <c r="F16" s="454">
        <f>IF(AND(AO16="EUR",SUM(AH16:AJ16)&gt;0),AP16,IF(AND(AO16="EUR",AR16&lt;&gt;""),AR16*'[5]Basic INFO'!$C$138,IF(AO16="EUR",AT16,"")))</f>
        <v>25500</v>
      </c>
      <c r="G16" s="455" t="str">
        <f t="shared" si="2"/>
        <v/>
      </c>
      <c r="H16" s="498">
        <f t="shared" si="3"/>
        <v>51000</v>
      </c>
      <c r="I16" s="490" t="s">
        <v>434</v>
      </c>
      <c r="J16" s="420"/>
      <c r="K16" s="421">
        <v>21000</v>
      </c>
      <c r="L16" s="421"/>
      <c r="M16" s="422">
        <v>45703</v>
      </c>
      <c r="N16" s="420" t="s">
        <v>435</v>
      </c>
      <c r="O16" s="420"/>
      <c r="P16" s="421">
        <v>30000</v>
      </c>
      <c r="Q16" s="421"/>
      <c r="R16" s="422">
        <v>45781</v>
      </c>
      <c r="S16" s="420" t="s">
        <v>436</v>
      </c>
      <c r="T16" s="420"/>
      <c r="U16" s="421"/>
      <c r="V16" s="421"/>
      <c r="W16" s="420" t="s">
        <v>438</v>
      </c>
      <c r="X16" s="423" t="s">
        <v>437</v>
      </c>
      <c r="Y16" s="420"/>
      <c r="Z16" s="421"/>
      <c r="AA16" s="421"/>
      <c r="AB16" s="420" t="s">
        <v>433</v>
      </c>
      <c r="AC16" s="420"/>
      <c r="AD16" s="420"/>
      <c r="AE16" s="421"/>
      <c r="AF16" s="421"/>
      <c r="AG16" s="420"/>
      <c r="AH16" s="441">
        <f t="shared" si="4"/>
        <v>0</v>
      </c>
      <c r="AI16" s="442">
        <f t="shared" si="5"/>
        <v>2</v>
      </c>
      <c r="AJ16" s="442">
        <f t="shared" si="6"/>
        <v>0</v>
      </c>
      <c r="AK16" s="442" t="str">
        <f>IF(AND(AH16&lt;&gt;"",AH16&gt;0),AVERAGE(J16,O16,T16,Y16,AD16)/('[5]Basic INFO'!$C$101*'[5]Basic INFO'!$C$103),"")</f>
        <v/>
      </c>
      <c r="AL16" s="442">
        <f t="shared" si="7"/>
        <v>25500</v>
      </c>
      <c r="AM16" s="442" t="str">
        <f>IF(AND(AJ16&lt;&gt;"",AJ16&gt;0),AVERAGE(L16,Q16,V16,AA16,AF16)/'[5]Basic INFO'!$C$103,"")</f>
        <v/>
      </c>
      <c r="AN16" s="442">
        <f t="shared" si="8"/>
        <v>25500</v>
      </c>
      <c r="AO16" s="418" t="s">
        <v>526</v>
      </c>
      <c r="AP16" s="444">
        <f>IF(B16="","",IF(SUM(AH16:AJ16)=0,"",IF(AO16="IRR",AN16*('[5]Basic INFO'!$C$101*'[5]Basic INFO'!$C$103),IF(AO16="EUR",AN16,AP16))))</f>
        <v>25500</v>
      </c>
      <c r="AQ16" s="414"/>
      <c r="AR16" s="414">
        <v>15000</v>
      </c>
      <c r="AS16" s="447"/>
      <c r="AT16" s="448"/>
    </row>
    <row r="17" spans="1:46" s="418" customFormat="1" ht="150" x14ac:dyDescent="0.25">
      <c r="A17" s="495" t="s">
        <v>312</v>
      </c>
      <c r="B17" s="496" t="s">
        <v>489</v>
      </c>
      <c r="C17" s="497">
        <v>2</v>
      </c>
      <c r="D17" s="497"/>
      <c r="E17" s="453" t="str">
        <f>IF(AND(AO17="IRR",SUM(AH17:AJ17)&gt;0),AP17,IF(AND(AO17="IRR",AQ17&lt;&gt;""),AQ17*'[5]Basic INFO'!$E$127,IF(AO17="IRR",AS17,"")))</f>
        <v/>
      </c>
      <c r="F17" s="454">
        <f>IF(AND(AO17="EUR",SUM(AH17:AJ17)&gt;0),AP17,IF(AND(AO17="EUR",AR17&lt;&gt;""),AR17*'[5]Basic INFO'!$C$138,IF(AO17="EUR",AT17,"")))</f>
        <v>31000</v>
      </c>
      <c r="G17" s="455" t="str">
        <f t="shared" si="2"/>
        <v/>
      </c>
      <c r="H17" s="498">
        <f t="shared" si="3"/>
        <v>62000</v>
      </c>
      <c r="I17" s="490" t="s">
        <v>434</v>
      </c>
      <c r="J17" s="420"/>
      <c r="K17" s="421">
        <v>32000</v>
      </c>
      <c r="L17" s="421"/>
      <c r="M17" s="422">
        <v>45703</v>
      </c>
      <c r="N17" s="420" t="s">
        <v>435</v>
      </c>
      <c r="O17" s="420"/>
      <c r="P17" s="421">
        <v>30000</v>
      </c>
      <c r="Q17" s="421"/>
      <c r="R17" s="422">
        <v>45781</v>
      </c>
      <c r="S17" s="420" t="s">
        <v>436</v>
      </c>
      <c r="T17" s="420"/>
      <c r="U17" s="421"/>
      <c r="V17" s="421"/>
      <c r="W17" s="420" t="s">
        <v>438</v>
      </c>
      <c r="X17" s="423" t="s">
        <v>437</v>
      </c>
      <c r="Y17" s="420"/>
      <c r="Z17" s="421"/>
      <c r="AA17" s="421"/>
      <c r="AB17" s="420" t="s">
        <v>433</v>
      </c>
      <c r="AC17" s="420"/>
      <c r="AD17" s="420"/>
      <c r="AE17" s="421"/>
      <c r="AF17" s="421"/>
      <c r="AG17" s="420"/>
      <c r="AH17" s="441">
        <f t="shared" si="4"/>
        <v>0</v>
      </c>
      <c r="AI17" s="442">
        <f t="shared" si="5"/>
        <v>2</v>
      </c>
      <c r="AJ17" s="442">
        <f t="shared" si="6"/>
        <v>0</v>
      </c>
      <c r="AK17" s="442" t="str">
        <f>IF(AND(AH17&lt;&gt;"",AH17&gt;0),AVERAGE(J17,O17,T17,Y17,AD17)/('[5]Basic INFO'!$C$101*'[5]Basic INFO'!$C$103),"")</f>
        <v/>
      </c>
      <c r="AL17" s="442">
        <f t="shared" si="7"/>
        <v>31000</v>
      </c>
      <c r="AM17" s="442" t="str">
        <f>IF(AND(AJ17&lt;&gt;"",AJ17&gt;0),AVERAGE(L17,Q17,V17,AA17,AF17)/'[5]Basic INFO'!$C$103,"")</f>
        <v/>
      </c>
      <c r="AN17" s="442">
        <f t="shared" si="8"/>
        <v>31000</v>
      </c>
      <c r="AO17" s="418" t="s">
        <v>526</v>
      </c>
      <c r="AP17" s="444">
        <f>IF(B17="","",IF(SUM(AH17:AJ17)=0,"",IF(AO17="IRR",AN17*('[5]Basic INFO'!$C$101*'[5]Basic INFO'!$C$103),IF(AO17="EUR",AN17,AP17))))</f>
        <v>31000</v>
      </c>
      <c r="AQ17" s="414"/>
      <c r="AR17" s="414">
        <v>32000</v>
      </c>
      <c r="AS17" s="447"/>
      <c r="AT17" s="448"/>
    </row>
    <row r="18" spans="1:46" s="418" customFormat="1" ht="135" x14ac:dyDescent="0.25">
      <c r="A18" s="495" t="s">
        <v>313</v>
      </c>
      <c r="B18" s="496" t="s">
        <v>490</v>
      </c>
      <c r="C18" s="497">
        <v>1</v>
      </c>
      <c r="D18" s="497"/>
      <c r="E18" s="453" t="str">
        <f>IF(AND(AO18="IRR",SUM(AH18:AJ18)&gt;0),AP18,IF(AND(AO18="IRR",AQ18&lt;&gt;""),AQ18*'[5]Basic INFO'!$E$127,IF(AO18="IRR",AS18,"")))</f>
        <v/>
      </c>
      <c r="F18" s="454">
        <f>IF(AND(AO18="EUR",SUM(AH18:AJ18)&gt;0),AP18,IF(AND(AO18="EUR",AR18&lt;&gt;""),AR18*'[5]Basic INFO'!$C$138,IF(AO18="EUR",AT18,"")))</f>
        <v>34500</v>
      </c>
      <c r="G18" s="455" t="str">
        <f t="shared" si="2"/>
        <v/>
      </c>
      <c r="H18" s="498">
        <f t="shared" si="3"/>
        <v>34500</v>
      </c>
      <c r="I18" s="490" t="s">
        <v>434</v>
      </c>
      <c r="J18" s="420"/>
      <c r="K18" s="421">
        <v>24000</v>
      </c>
      <c r="L18" s="421"/>
      <c r="M18" s="422">
        <v>45703</v>
      </c>
      <c r="N18" s="420" t="s">
        <v>435</v>
      </c>
      <c r="O18" s="420"/>
      <c r="P18" s="421">
        <v>45000</v>
      </c>
      <c r="Q18" s="421"/>
      <c r="R18" s="422">
        <v>45781</v>
      </c>
      <c r="S18" s="420" t="s">
        <v>436</v>
      </c>
      <c r="T18" s="420"/>
      <c r="U18" s="421"/>
      <c r="V18" s="421"/>
      <c r="W18" s="420" t="s">
        <v>438</v>
      </c>
      <c r="X18" s="423" t="s">
        <v>437</v>
      </c>
      <c r="Y18" s="420"/>
      <c r="Z18" s="421"/>
      <c r="AA18" s="421"/>
      <c r="AB18" s="420" t="s">
        <v>433</v>
      </c>
      <c r="AC18" s="420"/>
      <c r="AD18" s="420"/>
      <c r="AE18" s="421"/>
      <c r="AF18" s="421"/>
      <c r="AG18" s="420"/>
      <c r="AH18" s="441">
        <f t="shared" si="4"/>
        <v>0</v>
      </c>
      <c r="AI18" s="442">
        <f t="shared" si="5"/>
        <v>2</v>
      </c>
      <c r="AJ18" s="442">
        <f t="shared" si="6"/>
        <v>0</v>
      </c>
      <c r="AK18" s="442" t="str">
        <f>IF(AND(AH18&lt;&gt;"",AH18&gt;0),AVERAGE(J18,O18,T18,Y18,AD18)/('[5]Basic INFO'!$C$101*'[5]Basic INFO'!$C$103),"")</f>
        <v/>
      </c>
      <c r="AL18" s="442">
        <f t="shared" si="7"/>
        <v>34500</v>
      </c>
      <c r="AM18" s="442" t="str">
        <f>IF(AND(AJ18&lt;&gt;"",AJ18&gt;0),AVERAGE(L18,Q18,V18,AA18,AF18)/'[5]Basic INFO'!$C$103,"")</f>
        <v/>
      </c>
      <c r="AN18" s="442">
        <f t="shared" si="8"/>
        <v>34500</v>
      </c>
      <c r="AO18" s="418" t="s">
        <v>526</v>
      </c>
      <c r="AP18" s="444">
        <f>IF(B18="","",IF(SUM(AH18:AJ18)=0,"",IF(AO18="IRR",AN18*('[5]Basic INFO'!$C$101*'[5]Basic INFO'!$C$103),IF(AO18="EUR",AN18,AP18))))</f>
        <v>34500</v>
      </c>
      <c r="AQ18" s="414"/>
      <c r="AR18" s="414">
        <v>15000</v>
      </c>
      <c r="AS18" s="447"/>
      <c r="AT18" s="448"/>
    </row>
    <row r="19" spans="1:46" s="418" customFormat="1" ht="135" x14ac:dyDescent="0.25">
      <c r="A19" s="495" t="s">
        <v>361</v>
      </c>
      <c r="B19" s="496" t="s">
        <v>491</v>
      </c>
      <c r="C19" s="497">
        <v>2</v>
      </c>
      <c r="D19" s="497"/>
      <c r="E19" s="453" t="str">
        <f>IF(AND(AO19="IRR",SUM(AH19:AJ19)&gt;0),AP19,IF(AND(AO19="IRR",AQ19&lt;&gt;""),AQ19*'[5]Basic INFO'!$E$127,IF(AO19="IRR",AS19,"")))</f>
        <v/>
      </c>
      <c r="F19" s="454">
        <f>IF(AND(AO19="EUR",SUM(AH19:AJ19)&gt;0),AP19,IF(AND(AO19="EUR",AR19&lt;&gt;""),AR19*'[5]Basic INFO'!$C$138,IF(AO19="EUR",AT19,"")))</f>
        <v>38801.905816859806</v>
      </c>
      <c r="G19" s="455" t="str">
        <f t="shared" si="2"/>
        <v/>
      </c>
      <c r="H19" s="498">
        <f t="shared" si="3"/>
        <v>77603.811633719612</v>
      </c>
      <c r="I19" s="490" t="s">
        <v>434</v>
      </c>
      <c r="J19" s="420"/>
      <c r="K19" s="421"/>
      <c r="L19" s="421"/>
      <c r="M19" s="422" t="s">
        <v>438</v>
      </c>
      <c r="N19" s="420" t="s">
        <v>435</v>
      </c>
      <c r="O19" s="420"/>
      <c r="P19" s="421" t="s">
        <v>550</v>
      </c>
      <c r="Q19" s="421"/>
      <c r="R19" s="422" t="s">
        <v>438</v>
      </c>
      <c r="S19" s="420" t="s">
        <v>436</v>
      </c>
      <c r="T19" s="420"/>
      <c r="U19" s="421"/>
      <c r="V19" s="421"/>
      <c r="W19" s="420" t="s">
        <v>438</v>
      </c>
      <c r="X19" s="423" t="s">
        <v>437</v>
      </c>
      <c r="Y19" s="420"/>
      <c r="Z19" s="421"/>
      <c r="AA19" s="421"/>
      <c r="AB19" s="420" t="s">
        <v>433</v>
      </c>
      <c r="AC19" s="420"/>
      <c r="AD19" s="420"/>
      <c r="AE19" s="421"/>
      <c r="AF19" s="421"/>
      <c r="AG19" s="420"/>
      <c r="AH19" s="441">
        <f t="shared" si="4"/>
        <v>0</v>
      </c>
      <c r="AI19" s="442">
        <f t="shared" si="5"/>
        <v>0</v>
      </c>
      <c r="AJ19" s="442">
        <f t="shared" si="6"/>
        <v>0</v>
      </c>
      <c r="AK19" s="442" t="str">
        <f>IF(AND(AH19&lt;&gt;"",AH19&gt;0),AVERAGE(J19,O19,T19,Y19,AD19)/('[5]Basic INFO'!$C$101*'[5]Basic INFO'!$C$103),"")</f>
        <v/>
      </c>
      <c r="AL19" s="442" t="str">
        <f t="shared" si="7"/>
        <v/>
      </c>
      <c r="AM19" s="442" t="str">
        <f>IF(AND(AJ19&lt;&gt;"",AJ19&gt;0),AVERAGE(L19,Q19,V19,AA19,AF19)/'[5]Basic INFO'!$C$103,"")</f>
        <v/>
      </c>
      <c r="AN19" s="442" t="str">
        <f t="shared" si="8"/>
        <v/>
      </c>
      <c r="AO19" s="418" t="s">
        <v>526</v>
      </c>
      <c r="AP19" s="444" t="str">
        <f>IF(B19="","",IF(SUM(AH19:AJ19)=0,"",IF(AO19="IRR",AN19*('[5]Basic INFO'!$C$101*'[5]Basic INFO'!$C$103),IF(AO19="EUR",AN19,AP19))))</f>
        <v/>
      </c>
      <c r="AQ19" s="414"/>
      <c r="AR19" s="414">
        <v>25000</v>
      </c>
      <c r="AS19" s="447"/>
      <c r="AT19" s="448"/>
    </row>
    <row r="20" spans="1:46" s="418" customFormat="1" ht="150" x14ac:dyDescent="0.25">
      <c r="A20" s="495" t="s">
        <v>355</v>
      </c>
      <c r="B20" s="496" t="s">
        <v>492</v>
      </c>
      <c r="C20" s="497">
        <v>2</v>
      </c>
      <c r="D20" s="497"/>
      <c r="E20" s="453" t="str">
        <f>IF(AND(AO20="IRR",SUM(AH20:AJ20)&gt;0),AP20,IF(AND(AO20="IRR",AQ20&lt;&gt;""),AQ20*'[5]Basic INFO'!$E$127,IF(AO20="IRR",AS20,"")))</f>
        <v/>
      </c>
      <c r="F20" s="454">
        <f>IF(AND(AO20="EUR",SUM(AH20:AJ20)&gt;0),AP20,IF(AND(AO20="EUR",AR20&lt;&gt;""),AR20*'[5]Basic INFO'!$C$138,IF(AO20="EUR",AT20,"")))</f>
        <v>29600</v>
      </c>
      <c r="G20" s="455" t="str">
        <f t="shared" si="2"/>
        <v/>
      </c>
      <c r="H20" s="498">
        <f t="shared" si="3"/>
        <v>59200</v>
      </c>
      <c r="I20" s="490" t="s">
        <v>434</v>
      </c>
      <c r="J20" s="420"/>
      <c r="K20" s="421">
        <v>29200</v>
      </c>
      <c r="L20" s="421"/>
      <c r="M20" s="422">
        <v>45703</v>
      </c>
      <c r="N20" s="420" t="s">
        <v>435</v>
      </c>
      <c r="O20" s="420"/>
      <c r="P20" s="421">
        <v>30000</v>
      </c>
      <c r="Q20" s="421"/>
      <c r="R20" s="422">
        <v>45781</v>
      </c>
      <c r="S20" s="420" t="s">
        <v>436</v>
      </c>
      <c r="T20" s="420"/>
      <c r="U20" s="421"/>
      <c r="V20" s="421"/>
      <c r="W20" s="420" t="s">
        <v>438</v>
      </c>
      <c r="X20" s="423" t="s">
        <v>437</v>
      </c>
      <c r="Y20" s="420"/>
      <c r="Z20" s="421"/>
      <c r="AA20" s="421"/>
      <c r="AB20" s="420" t="s">
        <v>433</v>
      </c>
      <c r="AC20" s="420"/>
      <c r="AD20" s="420"/>
      <c r="AE20" s="421"/>
      <c r="AF20" s="421"/>
      <c r="AG20" s="420"/>
      <c r="AH20" s="441">
        <f t="shared" si="4"/>
        <v>0</v>
      </c>
      <c r="AI20" s="442">
        <f t="shared" si="5"/>
        <v>2</v>
      </c>
      <c r="AJ20" s="442">
        <f t="shared" si="6"/>
        <v>0</v>
      </c>
      <c r="AK20" s="442" t="str">
        <f>IF(AND(AH20&lt;&gt;"",AH20&gt;0),AVERAGE(J20,O20,T20,Y20,AD20)/('[5]Basic INFO'!$C$101*'[5]Basic INFO'!$C$103),"")</f>
        <v/>
      </c>
      <c r="AL20" s="442">
        <f t="shared" si="7"/>
        <v>29600</v>
      </c>
      <c r="AM20" s="442" t="str">
        <f>IF(AND(AJ20&lt;&gt;"",AJ20&gt;0),AVERAGE(L20,Q20,V20,AA20,AF20)/'[5]Basic INFO'!$C$103,"")</f>
        <v/>
      </c>
      <c r="AN20" s="442">
        <f t="shared" si="8"/>
        <v>29600</v>
      </c>
      <c r="AO20" s="418" t="s">
        <v>526</v>
      </c>
      <c r="AP20" s="444">
        <f>IF(B20="","",IF(SUM(AH20:AJ20)=0,"",IF(AO20="IRR",AN20*('[5]Basic INFO'!$C$101*'[5]Basic INFO'!$C$103),IF(AO20="EUR",AN20,AP20))))</f>
        <v>29600</v>
      </c>
      <c r="AQ20" s="424"/>
      <c r="AR20" s="424">
        <v>15000</v>
      </c>
      <c r="AS20" s="447"/>
      <c r="AT20" s="448"/>
    </row>
    <row r="21" spans="1:46" s="418" customFormat="1" ht="135" x14ac:dyDescent="0.25">
      <c r="A21" s="495" t="s">
        <v>364</v>
      </c>
      <c r="B21" s="496" t="s">
        <v>493</v>
      </c>
      <c r="C21" s="497">
        <v>2</v>
      </c>
      <c r="D21" s="497"/>
      <c r="E21" s="453" t="str">
        <f>IF(AND(AO21="IRR",SUM(AH21:AJ21)&gt;0),AP21,IF(AND(AO21="IRR",AQ21&lt;&gt;""),AQ21*'[5]Basic INFO'!$E$127,IF(AO21="IRR",AS21,"")))</f>
        <v/>
      </c>
      <c r="F21" s="454">
        <f>IF(AND(AO21="EUR",SUM(AH21:AJ21)&gt;0),AP21,IF(AND(AO21="EUR",AR21&lt;&gt;""),AR21*'[5]Basic INFO'!$C$138,IF(AO21="EUR",AT21,"")))</f>
        <v>26250</v>
      </c>
      <c r="G21" s="455" t="str">
        <f t="shared" si="2"/>
        <v/>
      </c>
      <c r="H21" s="498">
        <f t="shared" si="3"/>
        <v>52500</v>
      </c>
      <c r="I21" s="490" t="s">
        <v>434</v>
      </c>
      <c r="J21" s="420"/>
      <c r="K21" s="421">
        <v>22500</v>
      </c>
      <c r="L21" s="421"/>
      <c r="M21" s="422">
        <v>45703</v>
      </c>
      <c r="N21" s="420" t="s">
        <v>435</v>
      </c>
      <c r="O21" s="420"/>
      <c r="P21" s="421">
        <v>30000</v>
      </c>
      <c r="Q21" s="421"/>
      <c r="R21" s="422">
        <v>45781</v>
      </c>
      <c r="S21" s="420" t="s">
        <v>436</v>
      </c>
      <c r="T21" s="420"/>
      <c r="U21" s="421"/>
      <c r="V21" s="421"/>
      <c r="W21" s="420" t="s">
        <v>438</v>
      </c>
      <c r="X21" s="423" t="s">
        <v>437</v>
      </c>
      <c r="Y21" s="420"/>
      <c r="Z21" s="421"/>
      <c r="AA21" s="421"/>
      <c r="AB21" s="420" t="s">
        <v>433</v>
      </c>
      <c r="AC21" s="420"/>
      <c r="AD21" s="420"/>
      <c r="AE21" s="421"/>
      <c r="AF21" s="421"/>
      <c r="AG21" s="420"/>
      <c r="AH21" s="441">
        <f t="shared" si="4"/>
        <v>0</v>
      </c>
      <c r="AI21" s="442">
        <f t="shared" si="5"/>
        <v>2</v>
      </c>
      <c r="AJ21" s="442">
        <f t="shared" si="6"/>
        <v>0</v>
      </c>
      <c r="AK21" s="442" t="str">
        <f>IF(AND(AH21&lt;&gt;"",AH21&gt;0),AVERAGE(J21,O21,T21,Y21,AD21)/('[5]Basic INFO'!$C$101*'[5]Basic INFO'!$C$103),"")</f>
        <v/>
      </c>
      <c r="AL21" s="442">
        <f t="shared" si="7"/>
        <v>26250</v>
      </c>
      <c r="AM21" s="442" t="str">
        <f>IF(AND(AJ21&lt;&gt;"",AJ21&gt;0),AVERAGE(L21,Q21,V21,AA21,AF21)/'[5]Basic INFO'!$C$103,"")</f>
        <v/>
      </c>
      <c r="AN21" s="442">
        <f t="shared" si="8"/>
        <v>26250</v>
      </c>
      <c r="AO21" s="418" t="s">
        <v>526</v>
      </c>
      <c r="AP21" s="444">
        <f>IF(B21="","",IF(SUM(AH21:AJ21)=0,"",IF(AO21="IRR",AN21*('[5]Basic INFO'!$C$101*'[5]Basic INFO'!$C$103),IF(AO21="EUR",AN21,AP21))))</f>
        <v>26250</v>
      </c>
      <c r="AQ21" s="414"/>
      <c r="AR21" s="414">
        <v>15000</v>
      </c>
      <c r="AS21" s="447"/>
      <c r="AT21" s="448"/>
    </row>
    <row r="22" spans="1:46" s="418" customFormat="1" ht="135" x14ac:dyDescent="0.25">
      <c r="A22" s="495" t="s">
        <v>356</v>
      </c>
      <c r="B22" s="496" t="s">
        <v>494</v>
      </c>
      <c r="C22" s="497">
        <v>1</v>
      </c>
      <c r="D22" s="497"/>
      <c r="E22" s="453" t="str">
        <f>IF(AND(AO22="IRR",SUM(AH22:AJ22)&gt;0),AP22,IF(AND(AO22="IRR",AQ22&lt;&gt;""),AQ22*'[5]Basic INFO'!$E$127,IF(AO22="IRR",AS22,"")))</f>
        <v/>
      </c>
      <c r="F22" s="454">
        <f>IF(AND(AO22="EUR",SUM(AH22:AJ22)&gt;0),AP22,IF(AND(AO22="EUR",AR22&lt;&gt;""),AR22*'[5]Basic INFO'!$C$138,IF(AO22="EUR",AT22,"")))</f>
        <v>21000</v>
      </c>
      <c r="G22" s="455" t="str">
        <f t="shared" si="2"/>
        <v/>
      </c>
      <c r="H22" s="498">
        <f t="shared" si="3"/>
        <v>21000</v>
      </c>
      <c r="I22" s="490" t="s">
        <v>434</v>
      </c>
      <c r="J22" s="420"/>
      <c r="K22" s="421">
        <v>12000</v>
      </c>
      <c r="L22" s="421"/>
      <c r="M22" s="422">
        <v>45703</v>
      </c>
      <c r="N22" s="420" t="s">
        <v>435</v>
      </c>
      <c r="O22" s="420"/>
      <c r="P22" s="421">
        <v>30000</v>
      </c>
      <c r="Q22" s="421"/>
      <c r="R22" s="422">
        <v>45781</v>
      </c>
      <c r="S22" s="420" t="s">
        <v>436</v>
      </c>
      <c r="T22" s="420"/>
      <c r="U22" s="421"/>
      <c r="V22" s="421"/>
      <c r="W22" s="420" t="s">
        <v>438</v>
      </c>
      <c r="X22" s="423" t="s">
        <v>437</v>
      </c>
      <c r="Y22" s="420"/>
      <c r="Z22" s="421"/>
      <c r="AA22" s="421"/>
      <c r="AB22" s="420" t="s">
        <v>433</v>
      </c>
      <c r="AC22" s="420"/>
      <c r="AD22" s="420"/>
      <c r="AE22" s="421"/>
      <c r="AF22" s="421"/>
      <c r="AG22" s="420"/>
      <c r="AH22" s="441">
        <f t="shared" si="4"/>
        <v>0</v>
      </c>
      <c r="AI22" s="442">
        <f t="shared" si="5"/>
        <v>2</v>
      </c>
      <c r="AJ22" s="442">
        <f t="shared" si="6"/>
        <v>0</v>
      </c>
      <c r="AK22" s="442" t="str">
        <f>IF(AND(AH22&lt;&gt;"",AH22&gt;0),AVERAGE(J22,O22,T22,Y22,AD22)/('[5]Basic INFO'!$C$101*'[5]Basic INFO'!$C$103),"")</f>
        <v/>
      </c>
      <c r="AL22" s="442">
        <f t="shared" si="7"/>
        <v>21000</v>
      </c>
      <c r="AM22" s="442" t="str">
        <f>IF(AND(AJ22&lt;&gt;"",AJ22&gt;0),AVERAGE(L22,Q22,V22,AA22,AF22)/'[5]Basic INFO'!$C$103,"")</f>
        <v/>
      </c>
      <c r="AN22" s="442">
        <f t="shared" si="8"/>
        <v>21000</v>
      </c>
      <c r="AO22" s="418" t="s">
        <v>526</v>
      </c>
      <c r="AP22" s="444">
        <f>IF(B22="","",IF(SUM(AH22:AJ22)=0,"",IF(AO22="IRR",AN22*('[5]Basic INFO'!$C$101*'[5]Basic INFO'!$C$103),IF(AO22="EUR",AN22,AP22))))</f>
        <v>21000</v>
      </c>
      <c r="AQ22" s="414"/>
      <c r="AR22" s="414">
        <v>10000</v>
      </c>
      <c r="AS22" s="447"/>
      <c r="AT22" s="448"/>
    </row>
    <row r="23" spans="1:46" s="418" customFormat="1" ht="135" x14ac:dyDescent="0.25">
      <c r="A23" s="495" t="s">
        <v>360</v>
      </c>
      <c r="B23" s="496" t="s">
        <v>495</v>
      </c>
      <c r="C23" s="497">
        <v>1</v>
      </c>
      <c r="D23" s="497"/>
      <c r="E23" s="453" t="str">
        <f>IF(AND(AO23="IRR",SUM(AH23:AJ23)&gt;0),AP23,IF(AND(AO23="IRR",AQ23&lt;&gt;""),AQ23*'[5]Basic INFO'!$E$127,IF(AO23="IRR",AS23,"")))</f>
        <v/>
      </c>
      <c r="F23" s="454">
        <f>IF(AND(AO23="EUR",SUM(AH23:AJ23)&gt;0),AP23,IF(AND(AO23="EUR",AR23&lt;&gt;""),AR23*'[5]Basic INFO'!$C$138,IF(AO23="EUR",AT23,"")))</f>
        <v>16000</v>
      </c>
      <c r="G23" s="455" t="str">
        <f t="shared" si="2"/>
        <v/>
      </c>
      <c r="H23" s="498">
        <f t="shared" si="3"/>
        <v>16000</v>
      </c>
      <c r="I23" s="490" t="s">
        <v>434</v>
      </c>
      <c r="J23" s="420"/>
      <c r="K23" s="421">
        <v>19000</v>
      </c>
      <c r="L23" s="421"/>
      <c r="M23" s="422">
        <v>45703</v>
      </c>
      <c r="N23" s="420" t="s">
        <v>435</v>
      </c>
      <c r="O23" s="420"/>
      <c r="P23" s="421">
        <v>13000</v>
      </c>
      <c r="Q23" s="421"/>
      <c r="R23" s="422">
        <v>45781</v>
      </c>
      <c r="S23" s="420" t="s">
        <v>436</v>
      </c>
      <c r="T23" s="420"/>
      <c r="U23" s="421"/>
      <c r="V23" s="421"/>
      <c r="W23" s="420" t="s">
        <v>438</v>
      </c>
      <c r="X23" s="423" t="s">
        <v>437</v>
      </c>
      <c r="Y23" s="420"/>
      <c r="Z23" s="421"/>
      <c r="AA23" s="421"/>
      <c r="AB23" s="420" t="s">
        <v>433</v>
      </c>
      <c r="AC23" s="420"/>
      <c r="AD23" s="420"/>
      <c r="AE23" s="421"/>
      <c r="AF23" s="421"/>
      <c r="AG23" s="420"/>
      <c r="AH23" s="441">
        <f t="shared" si="4"/>
        <v>0</v>
      </c>
      <c r="AI23" s="442">
        <f t="shared" si="5"/>
        <v>2</v>
      </c>
      <c r="AJ23" s="442">
        <f t="shared" si="6"/>
        <v>0</v>
      </c>
      <c r="AK23" s="442" t="str">
        <f>IF(AND(AH23&lt;&gt;"",AH23&gt;0),AVERAGE(J23,O23,T23,Y23,AD23)/('[5]Basic INFO'!$C$101*'[5]Basic INFO'!$C$103),"")</f>
        <v/>
      </c>
      <c r="AL23" s="442">
        <f t="shared" si="7"/>
        <v>16000</v>
      </c>
      <c r="AM23" s="442" t="str">
        <f>IF(AND(AJ23&lt;&gt;"",AJ23&gt;0),AVERAGE(L23,Q23,V23,AA23,AF23)/'[5]Basic INFO'!$C$103,"")</f>
        <v/>
      </c>
      <c r="AN23" s="442">
        <f t="shared" si="8"/>
        <v>16000</v>
      </c>
      <c r="AO23" s="418" t="s">
        <v>526</v>
      </c>
      <c r="AP23" s="444">
        <f>IF(B23="","",IF(SUM(AH23:AJ23)=0,"",IF(AO23="IRR",AN23*('[5]Basic INFO'!$C$101*'[5]Basic INFO'!$C$103),IF(AO23="EUR",AN23,AP23))))</f>
        <v>16000</v>
      </c>
      <c r="AQ23" s="414"/>
      <c r="AR23" s="414">
        <v>6500</v>
      </c>
      <c r="AS23" s="447"/>
      <c r="AT23" s="448"/>
    </row>
    <row r="24" spans="1:46" s="418" customFormat="1" ht="150" x14ac:dyDescent="0.25">
      <c r="A24" s="495" t="s">
        <v>358</v>
      </c>
      <c r="B24" s="496" t="s">
        <v>496</v>
      </c>
      <c r="C24" s="497">
        <v>1</v>
      </c>
      <c r="D24" s="497"/>
      <c r="E24" s="453" t="str">
        <f>IF(AND(AO24="IRR",SUM(AH24:AJ24)&gt;0),AP24,IF(AND(AO24="IRR",AQ24&lt;&gt;""),AQ24*'[5]Basic INFO'!$E$127,IF(AO24="IRR",AS24,"")))</f>
        <v/>
      </c>
      <c r="F24" s="454">
        <f>IF(AND(AO24="EUR",SUM(AH24:AJ24)&gt;0),AP24,IF(AND(AO24="EUR",AR24&lt;&gt;""),AR24*'[5]Basic INFO'!$C$138,IF(AO24="EUR",AT24,"")))</f>
        <v>309660.11</v>
      </c>
      <c r="G24" s="455" t="str">
        <f t="shared" si="2"/>
        <v/>
      </c>
      <c r="H24" s="498">
        <f t="shared" si="3"/>
        <v>309660.11</v>
      </c>
      <c r="I24" s="490" t="s">
        <v>434</v>
      </c>
      <c r="J24" s="420"/>
      <c r="K24" s="421">
        <v>200000</v>
      </c>
      <c r="L24" s="421"/>
      <c r="M24" s="422">
        <v>45703</v>
      </c>
      <c r="N24" s="420" t="s">
        <v>435</v>
      </c>
      <c r="O24" s="420"/>
      <c r="P24" s="421">
        <v>30000</v>
      </c>
      <c r="Q24" s="421"/>
      <c r="R24" s="422">
        <v>45781</v>
      </c>
      <c r="S24" s="420" t="s">
        <v>436</v>
      </c>
      <c r="T24" s="420"/>
      <c r="U24" s="421">
        <v>698980.33</v>
      </c>
      <c r="V24" s="421"/>
      <c r="W24" s="422">
        <v>45709</v>
      </c>
      <c r="X24" s="423" t="s">
        <v>437</v>
      </c>
      <c r="Y24" s="420"/>
      <c r="Z24" s="421"/>
      <c r="AA24" s="421"/>
      <c r="AB24" s="420" t="s">
        <v>433</v>
      </c>
      <c r="AC24" s="420"/>
      <c r="AD24" s="420"/>
      <c r="AE24" s="421"/>
      <c r="AF24" s="421"/>
      <c r="AG24" s="420"/>
      <c r="AH24" s="441">
        <f t="shared" si="4"/>
        <v>0</v>
      </c>
      <c r="AI24" s="442">
        <f t="shared" si="5"/>
        <v>3</v>
      </c>
      <c r="AJ24" s="442">
        <f t="shared" si="6"/>
        <v>0</v>
      </c>
      <c r="AK24" s="442" t="str">
        <f>IF(AND(AH24&lt;&gt;"",AH24&gt;0),AVERAGE(J24,O24,T24,Y24,AD24)/('[5]Basic INFO'!$C$101*'[5]Basic INFO'!$C$103),"")</f>
        <v/>
      </c>
      <c r="AL24" s="442">
        <f t="shared" si="7"/>
        <v>309660.11</v>
      </c>
      <c r="AM24" s="442" t="str">
        <f>IF(AND(AJ24&lt;&gt;"",AJ24&gt;0),AVERAGE(L24,Q24,V24,AA24,AF24)/'[5]Basic INFO'!$C$103,"")</f>
        <v/>
      </c>
      <c r="AN24" s="442">
        <f t="shared" si="8"/>
        <v>309660.11</v>
      </c>
      <c r="AO24" s="418" t="s">
        <v>526</v>
      </c>
      <c r="AP24" s="444">
        <f>IF(B24="","",IF(SUM(AH24:AJ24)=0,"",IF(AO24="IRR",AN24*('[5]Basic INFO'!$C$101*'[5]Basic INFO'!$C$103),IF(AO24="EUR",AN24,AP24))))</f>
        <v>309660.11</v>
      </c>
      <c r="AQ24" s="414"/>
      <c r="AR24" s="414">
        <v>80000</v>
      </c>
      <c r="AS24" s="447"/>
      <c r="AT24" s="448"/>
    </row>
    <row r="25" spans="1:46" s="418" customFormat="1" ht="150" x14ac:dyDescent="0.25">
      <c r="A25" s="495" t="s">
        <v>359</v>
      </c>
      <c r="B25" s="496" t="s">
        <v>497</v>
      </c>
      <c r="C25" s="497">
        <v>1</v>
      </c>
      <c r="D25" s="497"/>
      <c r="E25" s="453" t="str">
        <f>IF(AND(AO25="IRR",SUM(AH25:AJ25)&gt;0),AP25,IF(AND(AO25="IRR",AQ25&lt;&gt;""),AQ25*'[5]Basic INFO'!$E$127,IF(AO25="IRR",AS25,"")))</f>
        <v/>
      </c>
      <c r="F25" s="454">
        <f>IF(AND(AO25="EUR",SUM(AH25:AJ25)&gt;0),AP25,IF(AND(AO25="EUR",AR25&lt;&gt;""),AR25*'[5]Basic INFO'!$C$138,IF(AO25="EUR",AT25,"")))</f>
        <v>202973.75666666668</v>
      </c>
      <c r="G25" s="455" t="str">
        <f t="shared" si="2"/>
        <v/>
      </c>
      <c r="H25" s="498">
        <f t="shared" si="3"/>
        <v>202973.75666666668</v>
      </c>
      <c r="I25" s="490" t="s">
        <v>434</v>
      </c>
      <c r="J25" s="420"/>
      <c r="K25" s="421">
        <v>225000</v>
      </c>
      <c r="L25" s="421"/>
      <c r="M25" s="422">
        <v>45703</v>
      </c>
      <c r="N25" s="420" t="s">
        <v>435</v>
      </c>
      <c r="O25" s="420"/>
      <c r="P25" s="421">
        <v>120000</v>
      </c>
      <c r="Q25" s="421"/>
      <c r="R25" s="422">
        <v>45781</v>
      </c>
      <c r="S25" s="420" t="s">
        <v>436</v>
      </c>
      <c r="T25" s="420"/>
      <c r="U25" s="421">
        <v>263921.27</v>
      </c>
      <c r="V25" s="421"/>
      <c r="W25" s="422">
        <v>45709</v>
      </c>
      <c r="X25" s="423" t="s">
        <v>437</v>
      </c>
      <c r="Y25" s="420"/>
      <c r="Z25" s="421"/>
      <c r="AA25" s="421"/>
      <c r="AB25" s="420" t="s">
        <v>433</v>
      </c>
      <c r="AC25" s="420"/>
      <c r="AD25" s="420"/>
      <c r="AE25" s="421"/>
      <c r="AF25" s="421"/>
      <c r="AG25" s="420"/>
      <c r="AH25" s="441">
        <f t="shared" si="4"/>
        <v>0</v>
      </c>
      <c r="AI25" s="442">
        <f t="shared" si="5"/>
        <v>3</v>
      </c>
      <c r="AJ25" s="442">
        <f t="shared" si="6"/>
        <v>0</v>
      </c>
      <c r="AK25" s="442" t="str">
        <f>IF(AND(AH25&lt;&gt;"",AH25&gt;0),AVERAGE(J25,O25,T25,Y25,AD25)/('[5]Basic INFO'!$C$101*'[5]Basic INFO'!$C$103),"")</f>
        <v/>
      </c>
      <c r="AL25" s="442">
        <f t="shared" si="7"/>
        <v>202973.75666666668</v>
      </c>
      <c r="AM25" s="442" t="str">
        <f>IF(AND(AJ25&lt;&gt;"",AJ25&gt;0),AVERAGE(L25,Q25,V25,AA25,AF25)/'[5]Basic INFO'!$C$103,"")</f>
        <v/>
      </c>
      <c r="AN25" s="442">
        <f t="shared" si="8"/>
        <v>202973.75666666668</v>
      </c>
      <c r="AO25" s="418" t="s">
        <v>526</v>
      </c>
      <c r="AP25" s="444">
        <f>IF(B25="","",IF(SUM(AH25:AJ25)=0,"",IF(AO25="IRR",AN25*('[5]Basic INFO'!$C$101*'[5]Basic INFO'!$C$103),IF(AO25="EUR",AN25,AP25))))</f>
        <v>202973.75666666668</v>
      </c>
      <c r="AQ25" s="414"/>
      <c r="AR25" s="414">
        <v>100000</v>
      </c>
      <c r="AS25" s="447"/>
      <c r="AT25" s="448"/>
    </row>
    <row r="26" spans="1:46" s="418" customFormat="1" ht="150" x14ac:dyDescent="0.25">
      <c r="A26" s="495" t="s">
        <v>357</v>
      </c>
      <c r="B26" s="499" t="s">
        <v>498</v>
      </c>
      <c r="C26" s="497">
        <v>2</v>
      </c>
      <c r="D26" s="497"/>
      <c r="E26" s="453" t="str">
        <f>IF(AND(AO26="IRR",SUM(AH26:AJ26)&gt;0),AP26,IF(AND(AO26="IRR",AQ26&lt;&gt;""),AQ26*'[5]Basic INFO'!$E$127,IF(AO26="IRR",AS26,"")))</f>
        <v/>
      </c>
      <c r="F26" s="454">
        <f>IF(AND(AO26="EUR",SUM(AH26:AJ26)&gt;0),AP26,IF(AND(AO26="EUR",AR26&lt;&gt;""),AR26*'[5]Basic INFO'!$C$138,IF(AO26="EUR",AT26,"")))</f>
        <v>26808.066666666666</v>
      </c>
      <c r="G26" s="455" t="str">
        <f t="shared" si="2"/>
        <v/>
      </c>
      <c r="H26" s="498">
        <f t="shared" si="3"/>
        <v>53616.133333333331</v>
      </c>
      <c r="I26" s="490" t="s">
        <v>434</v>
      </c>
      <c r="J26" s="420"/>
      <c r="K26" s="421">
        <v>19000</v>
      </c>
      <c r="L26" s="421"/>
      <c r="M26" s="422">
        <v>45703</v>
      </c>
      <c r="N26" s="420" t="s">
        <v>435</v>
      </c>
      <c r="O26" s="420"/>
      <c r="P26" s="421">
        <v>21000</v>
      </c>
      <c r="Q26" s="421"/>
      <c r="R26" s="422">
        <v>45781</v>
      </c>
      <c r="S26" s="420" t="s">
        <v>436</v>
      </c>
      <c r="T26" s="420"/>
      <c r="U26" s="421">
        <v>40424.199999999997</v>
      </c>
      <c r="V26" s="421"/>
      <c r="W26" s="422">
        <v>45709</v>
      </c>
      <c r="X26" s="423" t="s">
        <v>437</v>
      </c>
      <c r="Y26" s="420"/>
      <c r="Z26" s="421"/>
      <c r="AA26" s="421"/>
      <c r="AB26" s="420" t="s">
        <v>433</v>
      </c>
      <c r="AC26" s="420"/>
      <c r="AD26" s="420"/>
      <c r="AE26" s="421"/>
      <c r="AF26" s="421"/>
      <c r="AG26" s="420"/>
      <c r="AH26" s="441">
        <f t="shared" si="4"/>
        <v>0</v>
      </c>
      <c r="AI26" s="442">
        <f t="shared" si="5"/>
        <v>3</v>
      </c>
      <c r="AJ26" s="442">
        <f t="shared" si="6"/>
        <v>0</v>
      </c>
      <c r="AK26" s="442" t="str">
        <f>IF(AND(AH26&lt;&gt;"",AH26&gt;0),AVERAGE(J26,O26,T26,Y26,AD26)/('[5]Basic INFO'!$C$101*'[5]Basic INFO'!$C$103),"")</f>
        <v/>
      </c>
      <c r="AL26" s="442">
        <f t="shared" si="7"/>
        <v>26808.066666666666</v>
      </c>
      <c r="AM26" s="442" t="str">
        <f>IF(AND(AJ26&lt;&gt;"",AJ26&gt;0),AVERAGE(L26,Q26,V26,AA26,AF26)/'[5]Basic INFO'!$C$103,"")</f>
        <v/>
      </c>
      <c r="AN26" s="442">
        <f t="shared" si="8"/>
        <v>26808.066666666666</v>
      </c>
      <c r="AO26" s="418" t="s">
        <v>526</v>
      </c>
      <c r="AP26" s="444">
        <f>IF(B26="","",IF(SUM(AH26:AJ26)=0,"",IF(AO26="IRR",AN26*('[5]Basic INFO'!$C$101*'[5]Basic INFO'!$C$103),IF(AO26="EUR",AN26,AP26))))</f>
        <v>26808.066666666666</v>
      </c>
      <c r="AQ26" s="414"/>
      <c r="AR26" s="414">
        <v>15000</v>
      </c>
      <c r="AS26" s="447"/>
      <c r="AT26" s="448"/>
    </row>
    <row r="27" spans="1:46" s="418" customFormat="1" ht="90" x14ac:dyDescent="0.25">
      <c r="A27" s="495" t="s">
        <v>362</v>
      </c>
      <c r="B27" s="499" t="s">
        <v>499</v>
      </c>
      <c r="C27" s="497">
        <v>2</v>
      </c>
      <c r="D27" s="497"/>
      <c r="E27" s="453">
        <f>IF(AND(AO27="IRR",SUM(AH27:AJ27)&gt;0),AP27,IF(AND(AO27="IRR",AQ27&lt;&gt;""),AQ27*'[5]Basic INFO'!$E$127,IF(AO27="IRR",AS27,"")))</f>
        <v>1625961538.4615383</v>
      </c>
      <c r="F27" s="454" t="str">
        <f>IF(AND(AO27="EUR",SUM(AH27:AJ27)&gt;0),AP27,IF(AND(AO27="EUR",AR27&lt;&gt;""),AR27*'[5]Basic INFO'!$C$138,IF(AO27="EUR",AT27,"")))</f>
        <v/>
      </c>
      <c r="G27" s="455">
        <f t="shared" si="2"/>
        <v>3251923076.9230766</v>
      </c>
      <c r="H27" s="498" t="str">
        <f t="shared" si="3"/>
        <v/>
      </c>
      <c r="I27" s="490" t="s">
        <v>434</v>
      </c>
      <c r="J27" s="420"/>
      <c r="K27" s="421"/>
      <c r="L27" s="421"/>
      <c r="M27" s="420" t="s">
        <v>438</v>
      </c>
      <c r="N27" s="420" t="s">
        <v>435</v>
      </c>
      <c r="O27" s="420"/>
      <c r="P27" s="421" t="s">
        <v>550</v>
      </c>
      <c r="Q27" s="421"/>
      <c r="R27" s="422" t="s">
        <v>438</v>
      </c>
      <c r="S27" s="420" t="s">
        <v>436</v>
      </c>
      <c r="T27" s="420"/>
      <c r="U27" s="421"/>
      <c r="V27" s="421"/>
      <c r="W27" s="420" t="s">
        <v>438</v>
      </c>
      <c r="X27" s="423" t="s">
        <v>437</v>
      </c>
      <c r="Y27" s="420"/>
      <c r="Z27" s="421"/>
      <c r="AA27" s="421"/>
      <c r="AB27" s="420" t="s">
        <v>433</v>
      </c>
      <c r="AC27" s="420"/>
      <c r="AD27" s="420"/>
      <c r="AE27" s="421"/>
      <c r="AF27" s="421"/>
      <c r="AG27" s="420"/>
      <c r="AH27" s="441">
        <f t="shared" si="4"/>
        <v>0</v>
      </c>
      <c r="AI27" s="442">
        <f t="shared" si="5"/>
        <v>0</v>
      </c>
      <c r="AJ27" s="442">
        <f t="shared" si="6"/>
        <v>0</v>
      </c>
      <c r="AK27" s="442" t="str">
        <f>IF(AND(AH27&lt;&gt;"",AH27&gt;0),AVERAGE(J27,O27,T27,Y27,AD27)/('[5]Basic INFO'!$C$101*'[5]Basic INFO'!$C$103),"")</f>
        <v/>
      </c>
      <c r="AL27" s="442" t="str">
        <f t="shared" si="7"/>
        <v/>
      </c>
      <c r="AM27" s="442" t="str">
        <f>IF(AND(AJ27&lt;&gt;"",AJ27&gt;0),AVERAGE(L27,Q27,V27,AA27,AF27)/'[5]Basic INFO'!$C$103,"")</f>
        <v/>
      </c>
      <c r="AN27" s="442" t="str">
        <f t="shared" si="8"/>
        <v/>
      </c>
      <c r="AO27" s="418" t="s">
        <v>525</v>
      </c>
      <c r="AP27" s="444" t="str">
        <f>IF(B27="","",IF(SUM(AH27:AJ27)=0,"",IF(AO27="IRR",AN27*('[5]Basic INFO'!$C$101*'[5]Basic INFO'!$C$103),IF(AO27="EUR",AN27,AP27))))</f>
        <v/>
      </c>
      <c r="AQ27" s="414">
        <v>100000000</v>
      </c>
      <c r="AR27" s="414"/>
      <c r="AS27" s="447"/>
      <c r="AT27" s="448"/>
    </row>
    <row r="28" spans="1:46" s="418" customFormat="1" ht="90" x14ac:dyDescent="0.25">
      <c r="A28" s="495" t="s">
        <v>363</v>
      </c>
      <c r="B28" s="499" t="s">
        <v>499</v>
      </c>
      <c r="C28" s="497">
        <v>1</v>
      </c>
      <c r="D28" s="497"/>
      <c r="E28" s="453">
        <f>IF(AND(AO28="IRR",SUM(AH28:AJ28)&gt;0),AP28,IF(AND(AO28="IRR",AQ28&lt;&gt;""),AQ28*'[5]Basic INFO'!$E$127,IF(AO28="IRR",AS28,"")))</f>
        <v>1625961538.4615383</v>
      </c>
      <c r="F28" s="454" t="str">
        <f>IF(AND(AO28="EUR",SUM(AH28:AJ28)&gt;0),AP28,IF(AND(AO28="EUR",AR28&lt;&gt;""),AR28*'[5]Basic INFO'!$C$138,IF(AO28="EUR",AT28,"")))</f>
        <v/>
      </c>
      <c r="G28" s="455">
        <f t="shared" si="2"/>
        <v>1625961538.4615383</v>
      </c>
      <c r="H28" s="498" t="str">
        <f t="shared" si="3"/>
        <v/>
      </c>
      <c r="I28" s="490" t="s">
        <v>434</v>
      </c>
      <c r="J28" s="420"/>
      <c r="K28" s="421"/>
      <c r="L28" s="421"/>
      <c r="M28" s="420" t="s">
        <v>438</v>
      </c>
      <c r="N28" s="420" t="s">
        <v>435</v>
      </c>
      <c r="O28" s="420"/>
      <c r="P28" s="421" t="s">
        <v>550</v>
      </c>
      <c r="Q28" s="421"/>
      <c r="R28" s="422" t="s">
        <v>438</v>
      </c>
      <c r="S28" s="420" t="s">
        <v>436</v>
      </c>
      <c r="T28" s="420"/>
      <c r="U28" s="421"/>
      <c r="V28" s="421"/>
      <c r="W28" s="420" t="s">
        <v>438</v>
      </c>
      <c r="X28" s="423" t="s">
        <v>437</v>
      </c>
      <c r="Y28" s="420"/>
      <c r="Z28" s="421"/>
      <c r="AA28" s="421"/>
      <c r="AB28" s="420" t="s">
        <v>433</v>
      </c>
      <c r="AC28" s="420"/>
      <c r="AD28" s="420"/>
      <c r="AE28" s="421"/>
      <c r="AF28" s="421"/>
      <c r="AG28" s="420"/>
      <c r="AH28" s="441">
        <f t="shared" si="4"/>
        <v>0</v>
      </c>
      <c r="AI28" s="442">
        <f t="shared" si="5"/>
        <v>0</v>
      </c>
      <c r="AJ28" s="442">
        <f t="shared" si="6"/>
        <v>0</v>
      </c>
      <c r="AK28" s="442" t="str">
        <f>IF(AND(AH28&lt;&gt;"",AH28&gt;0),AVERAGE(J28,O28,T28,Y28,AD28)/('[5]Basic INFO'!$C$101*'[5]Basic INFO'!$C$103),"")</f>
        <v/>
      </c>
      <c r="AL28" s="442" t="str">
        <f t="shared" si="7"/>
        <v/>
      </c>
      <c r="AM28" s="442" t="str">
        <f>IF(AND(AJ28&lt;&gt;"",AJ28&gt;0),AVERAGE(L28,Q28,V28,AA28,AF28)/'[5]Basic INFO'!$C$103,"")</f>
        <v/>
      </c>
      <c r="AN28" s="442" t="str">
        <f t="shared" si="8"/>
        <v/>
      </c>
      <c r="AO28" s="418" t="s">
        <v>525</v>
      </c>
      <c r="AP28" s="444" t="str">
        <f>IF(B28="","",IF(SUM(AH28:AJ28)=0,"",IF(AO28="IRR",AN28*('[5]Basic INFO'!$C$101*'[5]Basic INFO'!$C$103),IF(AO28="EUR",AN28,AP28))))</f>
        <v/>
      </c>
      <c r="AQ28" s="414">
        <v>100000000</v>
      </c>
      <c r="AR28" s="414"/>
      <c r="AS28" s="447"/>
      <c r="AT28" s="448"/>
    </row>
    <row r="29" spans="1:46" ht="15" customHeight="1" x14ac:dyDescent="0.25">
      <c r="A29" s="457"/>
      <c r="B29" s="458" t="s">
        <v>542</v>
      </c>
      <c r="C29" s="457"/>
      <c r="D29" s="457"/>
      <c r="E29" s="459"/>
      <c r="F29" s="460"/>
      <c r="G29" s="461">
        <f>SUM(G8:G28)</f>
        <v>4877884615.3846149</v>
      </c>
      <c r="H29" s="462">
        <f>SUM(H8:H28)</f>
        <v>2753903.8116337196</v>
      </c>
      <c r="R29" s="425"/>
      <c r="AQ29" s="639" t="s">
        <v>297</v>
      </c>
      <c r="AR29" s="639" t="s">
        <v>298</v>
      </c>
    </row>
    <row r="30" spans="1:46" x14ac:dyDescent="0.25">
      <c r="A30" s="463"/>
      <c r="B30" s="464" t="s">
        <v>543</v>
      </c>
      <c r="C30" s="463"/>
      <c r="D30" s="463"/>
      <c r="E30"/>
      <c r="F30"/>
      <c r="G30" s="465">
        <v>1.18</v>
      </c>
      <c r="H30" s="465">
        <v>1.18</v>
      </c>
      <c r="R30" s="425"/>
      <c r="AQ30" s="640"/>
      <c r="AR30" s="640"/>
    </row>
    <row r="31" spans="1:46" x14ac:dyDescent="0.25">
      <c r="A31" s="463"/>
      <c r="B31" s="464" t="s">
        <v>544</v>
      </c>
      <c r="C31" s="463"/>
      <c r="D31" s="463"/>
      <c r="E31"/>
      <c r="F31"/>
      <c r="G31" s="466">
        <v>0.1</v>
      </c>
      <c r="H31" s="466">
        <v>0.1</v>
      </c>
      <c r="R31" s="425"/>
    </row>
    <row r="32" spans="1:46" x14ac:dyDescent="0.25">
      <c r="A32" s="463"/>
      <c r="B32" s="467" t="s">
        <v>545</v>
      </c>
      <c r="C32" s="463"/>
      <c r="D32" s="463"/>
      <c r="E32"/>
      <c r="F32"/>
      <c r="G32" s="468">
        <f>ROUND((G29*G30*(1+G31))/1000000,0)*1000000</f>
        <v>6331000000</v>
      </c>
      <c r="H32" s="469">
        <f>ROUND(H29*H30*(1+H31)/1000,0)*1000</f>
        <v>3575000</v>
      </c>
      <c r="R32" s="425"/>
    </row>
    <row r="33" spans="7:8" x14ac:dyDescent="0.25">
      <c r="G33" s="461">
        <f>ROUND(SUMIF(AP:AP,"&gt;0",G:G)*G30*(1+G31)/1000000,0)*1000000</f>
        <v>0</v>
      </c>
      <c r="H33" s="462">
        <f>ROUND(SUMIF(AP:AP,"&gt;0",H:H)*H30*(1+H31)/1000,0)*1000</f>
        <v>3474000</v>
      </c>
    </row>
  </sheetData>
  <mergeCells count="7">
    <mergeCell ref="AQ29:AQ30"/>
    <mergeCell ref="AR29:AR30"/>
    <mergeCell ref="I6:M6"/>
    <mergeCell ref="N6:R6"/>
    <mergeCell ref="S6:W6"/>
    <mergeCell ref="X6:AB6"/>
    <mergeCell ref="AC6:AG6"/>
  </mergeCells>
  <printOptions horizontalCentered="1"/>
  <pageMargins left="0" right="0" top="0" bottom="0" header="0" footer="0"/>
  <pageSetup paperSize="9" scale="90" orientation="landscape" blackAndWhite="1" verticalDpi="300" r:id="rId1"/>
  <headerFoot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T23"/>
  <sheetViews>
    <sheetView view="pageBreakPreview" topLeftCell="A16" zoomScaleNormal="115" zoomScaleSheetLayoutView="100" workbookViewId="0">
      <selection activeCell="B18" sqref="B18"/>
    </sheetView>
  </sheetViews>
  <sheetFormatPr defaultRowHeight="15" x14ac:dyDescent="0.25"/>
  <cols>
    <col min="1" max="1" width="7.140625" style="349" customWidth="1"/>
    <col min="2" max="2" width="40.7109375" style="361" customWidth="1"/>
    <col min="3" max="3" width="5.28515625" style="349" bestFit="1" customWidth="1"/>
    <col min="4" max="4" width="14" style="349" customWidth="1"/>
    <col min="5" max="5" width="16.42578125" style="349" bestFit="1" customWidth="1"/>
    <col min="6" max="6" width="17.28515625" style="349" bestFit="1" customWidth="1"/>
    <col min="7" max="7" width="19.7109375" style="349" bestFit="1" customWidth="1"/>
    <col min="8" max="8" width="10.7109375" style="349" bestFit="1" customWidth="1"/>
    <col min="9" max="11" width="9.140625" style="349"/>
    <col min="12" max="12" width="11" style="349" bestFit="1" customWidth="1"/>
    <col min="13" max="13" width="10.7109375" style="349" bestFit="1" customWidth="1"/>
    <col min="14" max="14" width="9.140625" style="349"/>
    <col min="15" max="15" width="18.7109375" style="350" bestFit="1" customWidth="1"/>
    <col min="16" max="20" width="9.140625" style="349"/>
    <col min="21" max="21" width="12" style="349" bestFit="1" customWidth="1"/>
    <col min="22" max="22" width="9.140625" style="349"/>
    <col min="23" max="23" width="10.7109375" style="349" bestFit="1" customWidth="1"/>
    <col min="24" max="42" width="9.140625" style="349"/>
    <col min="43" max="43" width="16.42578125" style="349" bestFit="1" customWidth="1"/>
    <col min="44" max="44" width="17.28515625" style="349" bestFit="1" customWidth="1"/>
    <col min="45" max="224" width="9.140625" style="349"/>
    <col min="225" max="263" width="2.42578125" style="349" customWidth="1"/>
    <col min="264" max="264" width="3.42578125" style="349" bestFit="1" customWidth="1"/>
    <col min="265" max="480" width="9.140625" style="349"/>
    <col min="481" max="519" width="2.42578125" style="349" customWidth="1"/>
    <col min="520" max="520" width="3.42578125" style="349" bestFit="1" customWidth="1"/>
    <col min="521" max="736" width="9.140625" style="349"/>
    <col min="737" max="775" width="2.42578125" style="349" customWidth="1"/>
    <col min="776" max="776" width="3.42578125" style="349" bestFit="1" customWidth="1"/>
    <col min="777" max="992" width="9.140625" style="349"/>
    <col min="993" max="1031" width="2.42578125" style="349" customWidth="1"/>
    <col min="1032" max="1032" width="3.42578125" style="349" bestFit="1" customWidth="1"/>
    <col min="1033" max="1248" width="9.140625" style="349"/>
    <col min="1249" max="1287" width="2.42578125" style="349" customWidth="1"/>
    <col min="1288" max="1288" width="3.42578125" style="349" bestFit="1" customWidth="1"/>
    <col min="1289" max="1504" width="9.140625" style="349"/>
    <col min="1505" max="1543" width="2.42578125" style="349" customWidth="1"/>
    <col min="1544" max="1544" width="3.42578125" style="349" bestFit="1" customWidth="1"/>
    <col min="1545" max="1760" width="9.140625" style="349"/>
    <col min="1761" max="1799" width="2.42578125" style="349" customWidth="1"/>
    <col min="1800" max="1800" width="3.42578125" style="349" bestFit="1" customWidth="1"/>
    <col min="1801" max="2016" width="9.140625" style="349"/>
    <col min="2017" max="2055" width="2.42578125" style="349" customWidth="1"/>
    <col min="2056" max="2056" width="3.42578125" style="349" bestFit="1" customWidth="1"/>
    <col min="2057" max="2272" width="9.140625" style="349"/>
    <col min="2273" max="2311" width="2.42578125" style="349" customWidth="1"/>
    <col min="2312" max="2312" width="3.42578125" style="349" bestFit="1" customWidth="1"/>
    <col min="2313" max="2528" width="9.140625" style="349"/>
    <col min="2529" max="2567" width="2.42578125" style="349" customWidth="1"/>
    <col min="2568" max="2568" width="3.42578125" style="349" bestFit="1" customWidth="1"/>
    <col min="2569" max="2784" width="9.140625" style="349"/>
    <col min="2785" max="2823" width="2.42578125" style="349" customWidth="1"/>
    <col min="2824" max="2824" width="3.42578125" style="349" bestFit="1" customWidth="1"/>
    <col min="2825" max="3040" width="9.140625" style="349"/>
    <col min="3041" max="3079" width="2.42578125" style="349" customWidth="1"/>
    <col min="3080" max="3080" width="3.42578125" style="349" bestFit="1" customWidth="1"/>
    <col min="3081" max="3296" width="9.140625" style="349"/>
    <col min="3297" max="3335" width="2.42578125" style="349" customWidth="1"/>
    <col min="3336" max="3336" width="3.42578125" style="349" bestFit="1" customWidth="1"/>
    <col min="3337" max="3552" width="9.140625" style="349"/>
    <col min="3553" max="3591" width="2.42578125" style="349" customWidth="1"/>
    <col min="3592" max="3592" width="3.42578125" style="349" bestFit="1" customWidth="1"/>
    <col min="3593" max="3808" width="9.140625" style="349"/>
    <col min="3809" max="3847" width="2.42578125" style="349" customWidth="1"/>
    <col min="3848" max="3848" width="3.42578125" style="349" bestFit="1" customWidth="1"/>
    <col min="3849" max="4064" width="9.140625" style="349"/>
    <col min="4065" max="4103" width="2.42578125" style="349" customWidth="1"/>
    <col min="4104" max="4104" width="3.42578125" style="349" bestFit="1" customWidth="1"/>
    <col min="4105" max="4320" width="9.140625" style="349"/>
    <col min="4321" max="4359" width="2.42578125" style="349" customWidth="1"/>
    <col min="4360" max="4360" width="3.42578125" style="349" bestFit="1" customWidth="1"/>
    <col min="4361" max="4576" width="9.140625" style="349"/>
    <col min="4577" max="4615" width="2.42578125" style="349" customWidth="1"/>
    <col min="4616" max="4616" width="3.42578125" style="349" bestFit="1" customWidth="1"/>
    <col min="4617" max="4832" width="9.140625" style="349"/>
    <col min="4833" max="4871" width="2.42578125" style="349" customWidth="1"/>
    <col min="4872" max="4872" width="3.42578125" style="349" bestFit="1" customWidth="1"/>
    <col min="4873" max="5088" width="9.140625" style="349"/>
    <col min="5089" max="5127" width="2.42578125" style="349" customWidth="1"/>
    <col min="5128" max="5128" width="3.42578125" style="349" bestFit="1" customWidth="1"/>
    <col min="5129" max="5344" width="9.140625" style="349"/>
    <col min="5345" max="5383" width="2.42578125" style="349" customWidth="1"/>
    <col min="5384" max="5384" width="3.42578125" style="349" bestFit="1" customWidth="1"/>
    <col min="5385" max="5600" width="9.140625" style="349"/>
    <col min="5601" max="5639" width="2.42578125" style="349" customWidth="1"/>
    <col min="5640" max="5640" width="3.42578125" style="349" bestFit="1" customWidth="1"/>
    <col min="5641" max="5856" width="9.140625" style="349"/>
    <col min="5857" max="5895" width="2.42578125" style="349" customWidth="1"/>
    <col min="5896" max="5896" width="3.42578125" style="349" bestFit="1" customWidth="1"/>
    <col min="5897" max="6112" width="9.140625" style="349"/>
    <col min="6113" max="6151" width="2.42578125" style="349" customWidth="1"/>
    <col min="6152" max="6152" width="3.42578125" style="349" bestFit="1" customWidth="1"/>
    <col min="6153" max="6368" width="9.140625" style="349"/>
    <col min="6369" max="6407" width="2.42578125" style="349" customWidth="1"/>
    <col min="6408" max="6408" width="3.42578125" style="349" bestFit="1" customWidth="1"/>
    <col min="6409" max="6624" width="9.140625" style="349"/>
    <col min="6625" max="6663" width="2.42578125" style="349" customWidth="1"/>
    <col min="6664" max="6664" width="3.42578125" style="349" bestFit="1" customWidth="1"/>
    <col min="6665" max="6880" width="9.140625" style="349"/>
    <col min="6881" max="6919" width="2.42578125" style="349" customWidth="1"/>
    <col min="6920" max="6920" width="3.42578125" style="349" bestFit="1" customWidth="1"/>
    <col min="6921" max="7136" width="9.140625" style="349"/>
    <col min="7137" max="7175" width="2.42578125" style="349" customWidth="1"/>
    <col min="7176" max="7176" width="3.42578125" style="349" bestFit="1" customWidth="1"/>
    <col min="7177" max="7392" width="9.140625" style="349"/>
    <col min="7393" max="7431" width="2.42578125" style="349" customWidth="1"/>
    <col min="7432" max="7432" width="3.42578125" style="349" bestFit="1" customWidth="1"/>
    <col min="7433" max="7648" width="9.140625" style="349"/>
    <col min="7649" max="7687" width="2.42578125" style="349" customWidth="1"/>
    <col min="7688" max="7688" width="3.42578125" style="349" bestFit="1" customWidth="1"/>
    <col min="7689" max="7904" width="9.140625" style="349"/>
    <col min="7905" max="7943" width="2.42578125" style="349" customWidth="1"/>
    <col min="7944" max="7944" width="3.42578125" style="349" bestFit="1" customWidth="1"/>
    <col min="7945" max="8160" width="9.140625" style="349"/>
    <col min="8161" max="8199" width="2.42578125" style="349" customWidth="1"/>
    <col min="8200" max="8200" width="3.42578125" style="349" bestFit="1" customWidth="1"/>
    <col min="8201" max="8416" width="9.140625" style="349"/>
    <col min="8417" max="8455" width="2.42578125" style="349" customWidth="1"/>
    <col min="8456" max="8456" width="3.42578125" style="349" bestFit="1" customWidth="1"/>
    <col min="8457" max="8672" width="9.140625" style="349"/>
    <col min="8673" max="8711" width="2.42578125" style="349" customWidth="1"/>
    <col min="8712" max="8712" width="3.42578125" style="349" bestFit="1" customWidth="1"/>
    <col min="8713" max="8928" width="9.140625" style="349"/>
    <col min="8929" max="8967" width="2.42578125" style="349" customWidth="1"/>
    <col min="8968" max="8968" width="3.42578125" style="349" bestFit="1" customWidth="1"/>
    <col min="8969" max="9184" width="9.140625" style="349"/>
    <col min="9185" max="9223" width="2.42578125" style="349" customWidth="1"/>
    <col min="9224" max="9224" width="3.42578125" style="349" bestFit="1" customWidth="1"/>
    <col min="9225" max="9440" width="9.140625" style="349"/>
    <col min="9441" max="9479" width="2.42578125" style="349" customWidth="1"/>
    <col min="9480" max="9480" width="3.42578125" style="349" bestFit="1" customWidth="1"/>
    <col min="9481" max="9696" width="9.140625" style="349"/>
    <col min="9697" max="9735" width="2.42578125" style="349" customWidth="1"/>
    <col min="9736" max="9736" width="3.42578125" style="349" bestFit="1" customWidth="1"/>
    <col min="9737" max="9952" width="9.140625" style="349"/>
    <col min="9953" max="9991" width="2.42578125" style="349" customWidth="1"/>
    <col min="9992" max="9992" width="3.42578125" style="349" bestFit="1" customWidth="1"/>
    <col min="9993" max="10208" width="9.140625" style="349"/>
    <col min="10209" max="10247" width="2.42578125" style="349" customWidth="1"/>
    <col min="10248" max="10248" width="3.42578125" style="349" bestFit="1" customWidth="1"/>
    <col min="10249" max="10464" width="9.140625" style="349"/>
    <col min="10465" max="10503" width="2.42578125" style="349" customWidth="1"/>
    <col min="10504" max="10504" width="3.42578125" style="349" bestFit="1" customWidth="1"/>
    <col min="10505" max="10720" width="9.140625" style="349"/>
    <col min="10721" max="10759" width="2.42578125" style="349" customWidth="1"/>
    <col min="10760" max="10760" width="3.42578125" style="349" bestFit="1" customWidth="1"/>
    <col min="10761" max="10976" width="9.140625" style="349"/>
    <col min="10977" max="11015" width="2.42578125" style="349" customWidth="1"/>
    <col min="11016" max="11016" width="3.42578125" style="349" bestFit="1" customWidth="1"/>
    <col min="11017" max="11232" width="9.140625" style="349"/>
    <col min="11233" max="11271" width="2.42578125" style="349" customWidth="1"/>
    <col min="11272" max="11272" width="3.42578125" style="349" bestFit="1" customWidth="1"/>
    <col min="11273" max="11488" width="9.140625" style="349"/>
    <col min="11489" max="11527" width="2.42578125" style="349" customWidth="1"/>
    <col min="11528" max="11528" width="3.42578125" style="349" bestFit="1" customWidth="1"/>
    <col min="11529" max="11744" width="9.140625" style="349"/>
    <col min="11745" max="11783" width="2.42578125" style="349" customWidth="1"/>
    <col min="11784" max="11784" width="3.42578125" style="349" bestFit="1" customWidth="1"/>
    <col min="11785" max="12000" width="9.140625" style="349"/>
    <col min="12001" max="12039" width="2.42578125" style="349" customWidth="1"/>
    <col min="12040" max="12040" width="3.42578125" style="349" bestFit="1" customWidth="1"/>
    <col min="12041" max="12256" width="9.140625" style="349"/>
    <col min="12257" max="12295" width="2.42578125" style="349" customWidth="1"/>
    <col min="12296" max="12296" width="3.42578125" style="349" bestFit="1" customWidth="1"/>
    <col min="12297" max="12512" width="9.140625" style="349"/>
    <col min="12513" max="12551" width="2.42578125" style="349" customWidth="1"/>
    <col min="12552" max="12552" width="3.42578125" style="349" bestFit="1" customWidth="1"/>
    <col min="12553" max="12768" width="9.140625" style="349"/>
    <col min="12769" max="12807" width="2.42578125" style="349" customWidth="1"/>
    <col min="12808" max="12808" width="3.42578125" style="349" bestFit="1" customWidth="1"/>
    <col min="12809" max="13024" width="9.140625" style="349"/>
    <col min="13025" max="13063" width="2.42578125" style="349" customWidth="1"/>
    <col min="13064" max="13064" width="3.42578125" style="349" bestFit="1" customWidth="1"/>
    <col min="13065" max="13280" width="9.140625" style="349"/>
    <col min="13281" max="13319" width="2.42578125" style="349" customWidth="1"/>
    <col min="13320" max="13320" width="3.42578125" style="349" bestFit="1" customWidth="1"/>
    <col min="13321" max="13536" width="9.140625" style="349"/>
    <col min="13537" max="13575" width="2.42578125" style="349" customWidth="1"/>
    <col min="13576" max="13576" width="3.42578125" style="349" bestFit="1" customWidth="1"/>
    <col min="13577" max="13792" width="9.140625" style="349"/>
    <col min="13793" max="13831" width="2.42578125" style="349" customWidth="1"/>
    <col min="13832" max="13832" width="3.42578125" style="349" bestFit="1" customWidth="1"/>
    <col min="13833" max="14048" width="9.140625" style="349"/>
    <col min="14049" max="14087" width="2.42578125" style="349" customWidth="1"/>
    <col min="14088" max="14088" width="3.42578125" style="349" bestFit="1" customWidth="1"/>
    <col min="14089" max="14304" width="9.140625" style="349"/>
    <col min="14305" max="14343" width="2.42578125" style="349" customWidth="1"/>
    <col min="14344" max="14344" width="3.42578125" style="349" bestFit="1" customWidth="1"/>
    <col min="14345" max="14560" width="9.140625" style="349"/>
    <col min="14561" max="14599" width="2.42578125" style="349" customWidth="1"/>
    <col min="14600" max="14600" width="3.42578125" style="349" bestFit="1" customWidth="1"/>
    <col min="14601" max="14816" width="9.140625" style="349"/>
    <col min="14817" max="14855" width="2.42578125" style="349" customWidth="1"/>
    <col min="14856" max="14856" width="3.42578125" style="349" bestFit="1" customWidth="1"/>
    <col min="14857" max="15072" width="9.140625" style="349"/>
    <col min="15073" max="15111" width="2.42578125" style="349" customWidth="1"/>
    <col min="15112" max="15112" width="3.42578125" style="349" bestFit="1" customWidth="1"/>
    <col min="15113" max="15328" width="9.140625" style="349"/>
    <col min="15329" max="15367" width="2.42578125" style="349" customWidth="1"/>
    <col min="15368" max="15368" width="3.42578125" style="349" bestFit="1" customWidth="1"/>
    <col min="15369" max="15584" width="9.140625" style="349"/>
    <col min="15585" max="15623" width="2.42578125" style="349" customWidth="1"/>
    <col min="15624" max="15624" width="3.42578125" style="349" bestFit="1" customWidth="1"/>
    <col min="15625" max="15840" width="9.140625" style="349"/>
    <col min="15841" max="15879" width="2.42578125" style="349" customWidth="1"/>
    <col min="15880" max="15880" width="3.42578125" style="349" bestFit="1" customWidth="1"/>
    <col min="15881" max="16096" width="9.140625" style="349"/>
    <col min="16097" max="16135" width="2.42578125" style="349" customWidth="1"/>
    <col min="16136" max="16136" width="3.42578125" style="349" bestFit="1" customWidth="1"/>
    <col min="16137" max="16384" width="9.140625" style="349"/>
  </cols>
  <sheetData>
    <row r="1" spans="1:4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  <c r="AQ1" s="315"/>
      <c r="AR1" s="316"/>
    </row>
    <row r="2" spans="1:4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  <c r="AQ2" s="315"/>
      <c r="AR2" s="316"/>
    </row>
    <row r="3" spans="1:4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  <c r="AQ3" s="315"/>
      <c r="AR3" s="316"/>
    </row>
    <row r="4" spans="1:4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  <c r="AQ4" s="315"/>
      <c r="AR4" s="316"/>
    </row>
    <row r="5" spans="1:4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  <c r="AQ5" s="315"/>
      <c r="AR5" s="316"/>
    </row>
    <row r="6" spans="1:46" ht="15.75" thickBot="1" x14ac:dyDescent="0.3">
      <c r="A6" s="347" t="s">
        <v>321</v>
      </c>
      <c r="B6" s="373"/>
      <c r="C6" s="352"/>
      <c r="D6" s="352"/>
      <c r="E6" s="352"/>
      <c r="F6" s="352"/>
      <c r="G6" s="352"/>
      <c r="H6" s="352"/>
      <c r="I6" s="353" t="s">
        <v>405</v>
      </c>
      <c r="J6" s="353"/>
      <c r="K6" s="353"/>
      <c r="L6" s="353"/>
      <c r="M6" s="353"/>
      <c r="N6" s="353" t="s">
        <v>406</v>
      </c>
      <c r="O6" s="353"/>
      <c r="P6" s="353"/>
      <c r="Q6" s="353"/>
      <c r="R6" s="353"/>
      <c r="S6" s="353" t="s">
        <v>407</v>
      </c>
      <c r="T6" s="353"/>
      <c r="U6" s="353"/>
      <c r="V6" s="353"/>
      <c r="W6" s="353"/>
      <c r="X6" s="353" t="s">
        <v>419</v>
      </c>
      <c r="Y6" s="353"/>
      <c r="Z6" s="353"/>
      <c r="AA6" s="353"/>
      <c r="AB6" s="353"/>
      <c r="AC6" s="353" t="s">
        <v>420</v>
      </c>
      <c r="AD6" s="353"/>
      <c r="AE6" s="353"/>
      <c r="AF6" s="353"/>
      <c r="AG6" s="353"/>
      <c r="AQ6" s="352"/>
      <c r="AR6" s="352"/>
    </row>
    <row r="7" spans="1:46" s="361" customFormat="1" ht="120" x14ac:dyDescent="0.25">
      <c r="A7" s="491" t="s">
        <v>295</v>
      </c>
      <c r="B7" s="478" t="s">
        <v>296</v>
      </c>
      <c r="C7" s="478" t="s">
        <v>302</v>
      </c>
      <c r="D7" s="478"/>
      <c r="E7" s="493" t="s">
        <v>538</v>
      </c>
      <c r="F7" s="494" t="s">
        <v>539</v>
      </c>
      <c r="G7" s="493" t="s">
        <v>540</v>
      </c>
      <c r="H7" s="493" t="s">
        <v>541</v>
      </c>
      <c r="I7" s="488" t="s">
        <v>408</v>
      </c>
      <c r="J7" s="358" t="s">
        <v>409</v>
      </c>
      <c r="K7" s="359" t="s">
        <v>410</v>
      </c>
      <c r="L7" s="359" t="s">
        <v>418</v>
      </c>
      <c r="M7" s="353" t="s">
        <v>414</v>
      </c>
      <c r="N7" s="353" t="s">
        <v>408</v>
      </c>
      <c r="O7" s="360" t="s">
        <v>409</v>
      </c>
      <c r="P7" s="359" t="s">
        <v>410</v>
      </c>
      <c r="Q7" s="359" t="s">
        <v>418</v>
      </c>
      <c r="R7" s="353" t="s">
        <v>414</v>
      </c>
      <c r="S7" s="353" t="s">
        <v>408</v>
      </c>
      <c r="T7" s="358" t="s">
        <v>409</v>
      </c>
      <c r="U7" s="359" t="s">
        <v>410</v>
      </c>
      <c r="V7" s="359" t="s">
        <v>418</v>
      </c>
      <c r="W7" s="353" t="s">
        <v>414</v>
      </c>
      <c r="X7" s="353" t="s">
        <v>408</v>
      </c>
      <c r="Y7" s="358" t="s">
        <v>409</v>
      </c>
      <c r="Z7" s="359" t="s">
        <v>410</v>
      </c>
      <c r="AA7" s="359" t="s">
        <v>418</v>
      </c>
      <c r="AB7" s="353" t="s">
        <v>414</v>
      </c>
      <c r="AC7" s="353" t="s">
        <v>408</v>
      </c>
      <c r="AD7" s="358" t="s">
        <v>409</v>
      </c>
      <c r="AE7" s="359" t="s">
        <v>410</v>
      </c>
      <c r="AF7" s="359" t="s">
        <v>418</v>
      </c>
      <c r="AG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210" x14ac:dyDescent="0.25">
      <c r="A8" s="480" t="s">
        <v>365</v>
      </c>
      <c r="B8" s="501" t="s">
        <v>500</v>
      </c>
      <c r="C8" s="502">
        <v>1</v>
      </c>
      <c r="D8" s="502"/>
      <c r="E8" s="453">
        <f>IF(AND(AO8="IRR",SUM(AH8:AJ8)&gt;0),AP8,IF(AND(AO8="IRR",AQ8&lt;&gt;""),AQ8*'[5]Basic INFO'!$E$127,IF(AO8="IRR",AS8,"")))</f>
        <v>49878867366.666664</v>
      </c>
      <c r="F8" s="454" t="str">
        <f>IF(AND(AO8="EUR",SUM(AH8:AJ8)&gt;0),AP8,IF(AND(AO8="EUR",AR8&lt;&gt;""),AR8*'[5]Basic INFO'!$C$138,IF(AO8="EUR",AT8,"")))</f>
        <v/>
      </c>
      <c r="G8" s="455">
        <f t="shared" ref="G8" si="0">IF(AO8="IRR",C8*E8,"")</f>
        <v>49878867366.666664</v>
      </c>
      <c r="H8" s="498" t="str">
        <f t="shared" ref="H8" si="1">IF(AO8="EUR",C8*F8,"")</f>
        <v/>
      </c>
      <c r="I8" s="500" t="s">
        <v>441</v>
      </c>
      <c r="J8" s="360"/>
      <c r="K8" s="360"/>
      <c r="L8" s="360">
        <v>55000</v>
      </c>
      <c r="M8" s="365">
        <v>45727</v>
      </c>
      <c r="N8" s="360" t="s">
        <v>442</v>
      </c>
      <c r="O8" s="360">
        <v>62000000000</v>
      </c>
      <c r="P8" s="360"/>
      <c r="Q8" s="360"/>
      <c r="R8" s="360" t="s">
        <v>426</v>
      </c>
      <c r="S8" s="360" t="s">
        <v>443</v>
      </c>
      <c r="T8" s="360"/>
      <c r="U8" s="360">
        <v>73950</v>
      </c>
      <c r="V8" s="360"/>
      <c r="W8" s="365">
        <v>45802</v>
      </c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441">
        <f>IF(B8="","",COUNT(J8,O8,T8,Y8,AD8))</f>
        <v>1</v>
      </c>
      <c r="AI8" s="442">
        <f>IF(B8="","",COUNT(K8,P8,U8,Z8,AE8))</f>
        <v>1</v>
      </c>
      <c r="AJ8" s="442">
        <f>IF(B8="","",COUNT(L8,Q8,V8,AA8,AF8))</f>
        <v>1</v>
      </c>
      <c r="AK8" s="442">
        <f>IF(AND(AH8&lt;&gt;"",AH8&gt;0),AVERAGE(J8,O8,T8,Y8,AD8)/('[5]Basic INFO'!$C$101*'[5]Basic INFO'!$C$103),"")</f>
        <v>89170.398879329456</v>
      </c>
      <c r="AL8" s="442">
        <f>IF(AND(AI8&lt;&gt;"",AI8&gt;0),AVERAGE(K8,P8,U8,Z8,AE8),"")</f>
        <v>73950</v>
      </c>
      <c r="AM8" s="442">
        <f>IF(AND(AJ8&lt;&gt;"",AJ8&gt;0),AVERAGE(L8,Q8,V8,AA8,AF8)/'[5]Basic INFO'!$C$103,"")</f>
        <v>52091.786543323877</v>
      </c>
      <c r="AN8" s="442">
        <f>IF(SUM(AH8:AJ8)&lt;&gt;0,AVERAGE(AK8:AM8),"")</f>
        <v>71737.395140884444</v>
      </c>
      <c r="AO8" s="349" t="s">
        <v>525</v>
      </c>
      <c r="AP8" s="444">
        <f>IF(B8="","",IF(SUM(AH8:AJ8)=0,"",IF(AO8="IRR",AN8*('[5]Basic INFO'!$C$101*'[5]Basic INFO'!$C$103),IF(AO8="EUR",AN8,AP8))))</f>
        <v>49878867366.666664</v>
      </c>
      <c r="AQ8" s="364">
        <v>1750000000</v>
      </c>
      <c r="AR8" s="364"/>
      <c r="AS8" s="447"/>
      <c r="AT8" s="448"/>
    </row>
    <row r="9" spans="1:46" ht="225" x14ac:dyDescent="0.25">
      <c r="A9" s="480" t="s">
        <v>325</v>
      </c>
      <c r="B9" s="501" t="s">
        <v>501</v>
      </c>
      <c r="C9" s="502">
        <v>1</v>
      </c>
      <c r="D9" s="502"/>
      <c r="E9" s="453">
        <f>IF(AND(AO9="IRR",SUM(AH9:AJ9)&gt;0),AP9,IF(AND(AO9="IRR",AQ9&lt;&gt;""),AQ9*'[5]Basic INFO'!$E$127,IF(AO9="IRR",AS9,"")))</f>
        <v>73692914633.333328</v>
      </c>
      <c r="F9" s="454" t="str">
        <f>IF(AND(AO9="EUR",SUM(AH9:AJ9)&gt;0),AP9,IF(AND(AO9="EUR",AR9&lt;&gt;""),AR9*'[5]Basic INFO'!$C$138,IF(AO9="EUR",AT9,"")))</f>
        <v/>
      </c>
      <c r="G9" s="455">
        <f t="shared" ref="G9:G18" si="2">IF(AO9="IRR",C9*E9,"")</f>
        <v>73692914633.333328</v>
      </c>
      <c r="H9" s="498" t="str">
        <f t="shared" ref="H9:H18" si="3">IF(AO9="EUR",C9*F9,"")</f>
        <v/>
      </c>
      <c r="I9" s="500" t="s">
        <v>441</v>
      </c>
      <c r="J9" s="360"/>
      <c r="K9" s="360"/>
      <c r="L9" s="360">
        <v>85000</v>
      </c>
      <c r="M9" s="360"/>
      <c r="N9" s="360" t="s">
        <v>442</v>
      </c>
      <c r="O9" s="360">
        <v>86500000000</v>
      </c>
      <c r="P9" s="360"/>
      <c r="Q9" s="360"/>
      <c r="R9" s="360" t="s">
        <v>426</v>
      </c>
      <c r="S9" s="360" t="s">
        <v>443</v>
      </c>
      <c r="T9" s="360"/>
      <c r="U9" s="360">
        <v>113050</v>
      </c>
      <c r="V9" s="360"/>
      <c r="W9" s="365">
        <v>45802</v>
      </c>
      <c r="X9" s="360"/>
      <c r="Y9" s="360"/>
      <c r="Z9" s="360"/>
      <c r="AA9" s="360"/>
      <c r="AB9" s="360"/>
      <c r="AC9" s="360"/>
      <c r="AD9" s="360"/>
      <c r="AE9" s="360"/>
      <c r="AF9" s="360"/>
      <c r="AG9" s="360"/>
      <c r="AH9" s="441">
        <f t="shared" ref="AH9:AH18" si="4">IF(B9="","",COUNT(J9,O9,T9,Y9,AD9))</f>
        <v>1</v>
      </c>
      <c r="AI9" s="442">
        <f t="shared" ref="AI9:AI18" si="5">IF(B9="","",COUNT(K9,P9,U9,Z9,AE9))</f>
        <v>1</v>
      </c>
      <c r="AJ9" s="442">
        <f t="shared" ref="AJ9:AJ18" si="6">IF(B9="","",COUNT(L9,Q9,V9,AA9,AF9))</f>
        <v>1</v>
      </c>
      <c r="AK9" s="442">
        <f>IF(AND(AH9&lt;&gt;"",AH9&gt;0),AVERAGE(J9,O9,T9,Y9,AD9)/('[5]Basic INFO'!$C$101*'[5]Basic INFO'!$C$103),"")</f>
        <v>124407.08875906449</v>
      </c>
      <c r="AL9" s="442">
        <f t="shared" ref="AL9:AL18" si="7">IF(AND(AI9&lt;&gt;"",AI9&gt;0),AVERAGE(K9,P9,U9,Z9,AE9),"")</f>
        <v>113050</v>
      </c>
      <c r="AM9" s="442">
        <f>IF(AND(AJ9&lt;&gt;"",AJ9&gt;0),AVERAGE(L9,Q9,V9,AA9,AF9)/'[5]Basic INFO'!$C$103,"")</f>
        <v>80505.488294227805</v>
      </c>
      <c r="AN9" s="442">
        <f t="shared" ref="AN9:AN18" si="8">IF(SUM(AH9:AJ9)&lt;&gt;0,AVERAGE(AK9:AM9),"")</f>
        <v>105987.52568443077</v>
      </c>
      <c r="AO9" s="349" t="s">
        <v>525</v>
      </c>
      <c r="AP9" s="444">
        <f>IF(B9="","",IF(SUM(AH9:AJ9)=0,"",IF(AO9="IRR",AN9*('[5]Basic INFO'!$C$101*'[5]Basic INFO'!$C$103),IF(AO9="EUR",AN9,AP9))))</f>
        <v>73692914633.333328</v>
      </c>
      <c r="AQ9" s="364">
        <v>3000000000</v>
      </c>
      <c r="AR9" s="364"/>
      <c r="AS9" s="447"/>
      <c r="AT9" s="448"/>
    </row>
    <row r="10" spans="1:46" ht="210" x14ac:dyDescent="0.25">
      <c r="A10" s="480" t="s">
        <v>366</v>
      </c>
      <c r="B10" s="501" t="s">
        <v>502</v>
      </c>
      <c r="C10" s="502">
        <v>1</v>
      </c>
      <c r="D10" s="502"/>
      <c r="E10" s="453">
        <f>IF(AND(AO10="IRR",SUM(AH10:AJ10)&gt;0),AP10,IF(AND(AO10="IRR",AQ10&lt;&gt;""),AQ10*'[5]Basic INFO'!$E$127,IF(AO10="IRR",AS10,"")))</f>
        <v>50976422366.666656</v>
      </c>
      <c r="F10" s="454" t="str">
        <f>IF(AND(AO10="EUR",SUM(AH10:AJ10)&gt;0),AP10,IF(AND(AO10="EUR",AR10&lt;&gt;""),AR10*'[5]Basic INFO'!$C$138,IF(AO10="EUR",AT10,"")))</f>
        <v/>
      </c>
      <c r="G10" s="455">
        <f t="shared" si="2"/>
        <v>50976422366.666656</v>
      </c>
      <c r="H10" s="498" t="str">
        <f t="shared" si="3"/>
        <v/>
      </c>
      <c r="I10" s="500" t="s">
        <v>441</v>
      </c>
      <c r="J10" s="360"/>
      <c r="K10" s="360"/>
      <c r="L10" s="360">
        <v>60000</v>
      </c>
      <c r="M10" s="360"/>
      <c r="N10" s="360" t="s">
        <v>442</v>
      </c>
      <c r="O10" s="360">
        <v>62000000000</v>
      </c>
      <c r="P10" s="360"/>
      <c r="Q10" s="360"/>
      <c r="R10" s="360" t="s">
        <v>426</v>
      </c>
      <c r="S10" s="360" t="s">
        <v>443</v>
      </c>
      <c r="T10" s="360"/>
      <c r="U10" s="360">
        <v>73950</v>
      </c>
      <c r="V10" s="360"/>
      <c r="W10" s="365">
        <v>45802</v>
      </c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441">
        <f t="shared" si="4"/>
        <v>1</v>
      </c>
      <c r="AI10" s="442">
        <f t="shared" si="5"/>
        <v>1</v>
      </c>
      <c r="AJ10" s="442">
        <f t="shared" si="6"/>
        <v>1</v>
      </c>
      <c r="AK10" s="442">
        <f>IF(AND(AH10&lt;&gt;"",AH10&gt;0),AVERAGE(J10,O10,T10,Y10,AD10)/('[5]Basic INFO'!$C$101*'[5]Basic INFO'!$C$103),"")</f>
        <v>89170.398879329456</v>
      </c>
      <c r="AL10" s="442">
        <f t="shared" si="7"/>
        <v>73950</v>
      </c>
      <c r="AM10" s="442">
        <f>IF(AND(AJ10&lt;&gt;"",AJ10&gt;0),AVERAGE(L10,Q10,V10,AA10,AF10)/'[5]Basic INFO'!$C$103,"")</f>
        <v>56827.403501807865</v>
      </c>
      <c r="AN10" s="442">
        <f t="shared" si="8"/>
        <v>73315.934127045766</v>
      </c>
      <c r="AO10" s="349" t="s">
        <v>525</v>
      </c>
      <c r="AP10" s="444">
        <f>IF(B10="","",IF(SUM(AH10:AJ10)=0,"",IF(AO10="IRR",AN10*('[5]Basic INFO'!$C$101*'[5]Basic INFO'!$C$103),IF(AO10="EUR",AN10,AP10))))</f>
        <v>50976422366.666656</v>
      </c>
      <c r="AQ10" s="364">
        <v>1750000000</v>
      </c>
      <c r="AR10" s="364"/>
      <c r="AS10" s="447"/>
      <c r="AT10" s="448"/>
    </row>
    <row r="11" spans="1:46" ht="210" x14ac:dyDescent="0.25">
      <c r="A11" s="480" t="s">
        <v>367</v>
      </c>
      <c r="B11" s="501" t="s">
        <v>503</v>
      </c>
      <c r="C11" s="502">
        <v>1</v>
      </c>
      <c r="D11" s="502"/>
      <c r="E11" s="453">
        <f>IF(AND(AO11="IRR",SUM(AH11:AJ11)&gt;0),AP11,IF(AND(AO11="IRR",AQ11&lt;&gt;""),AQ11*'[5]Basic INFO'!$E$127,IF(AO11="IRR",AS11,"")))</f>
        <v>52073977366.666664</v>
      </c>
      <c r="F11" s="454" t="str">
        <f>IF(AND(AO11="EUR",SUM(AH11:AJ11)&gt;0),AP11,IF(AND(AO11="EUR",AR11&lt;&gt;""),AR11*'[5]Basic INFO'!$C$138,IF(AO11="EUR",AT11,"")))</f>
        <v/>
      </c>
      <c r="G11" s="455">
        <f t="shared" si="2"/>
        <v>52073977366.666664</v>
      </c>
      <c r="H11" s="498" t="str">
        <f t="shared" si="3"/>
        <v/>
      </c>
      <c r="I11" s="500" t="s">
        <v>441</v>
      </c>
      <c r="J11" s="360"/>
      <c r="K11" s="360"/>
      <c r="L11" s="360">
        <v>65000</v>
      </c>
      <c r="M11" s="360"/>
      <c r="N11" s="360" t="s">
        <v>442</v>
      </c>
      <c r="O11" s="360">
        <v>62000000000</v>
      </c>
      <c r="P11" s="360"/>
      <c r="Q11" s="360"/>
      <c r="R11" s="360" t="s">
        <v>426</v>
      </c>
      <c r="S11" s="360" t="s">
        <v>443</v>
      </c>
      <c r="T11" s="360"/>
      <c r="U11" s="360">
        <v>73950</v>
      </c>
      <c r="V11" s="360"/>
      <c r="W11" s="365">
        <v>45802</v>
      </c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441">
        <f t="shared" si="4"/>
        <v>1</v>
      </c>
      <c r="AI11" s="442">
        <f t="shared" si="5"/>
        <v>1</v>
      </c>
      <c r="AJ11" s="442">
        <f t="shared" si="6"/>
        <v>1</v>
      </c>
      <c r="AK11" s="442">
        <f>IF(AND(AH11&lt;&gt;"",AH11&gt;0),AVERAGE(J11,O11,T11,Y11,AD11)/('[5]Basic INFO'!$C$101*'[5]Basic INFO'!$C$103),"")</f>
        <v>89170.398879329456</v>
      </c>
      <c r="AL11" s="442">
        <f t="shared" si="7"/>
        <v>73950</v>
      </c>
      <c r="AM11" s="442">
        <f>IF(AND(AJ11&lt;&gt;"",AJ11&gt;0),AVERAGE(L11,Q11,V11,AA11,AF11)/'[5]Basic INFO'!$C$103,"")</f>
        <v>61563.020460291853</v>
      </c>
      <c r="AN11" s="442">
        <f t="shared" si="8"/>
        <v>74894.473113207103</v>
      </c>
      <c r="AO11" s="349" t="s">
        <v>525</v>
      </c>
      <c r="AP11" s="444">
        <f>IF(B11="","",IF(SUM(AH11:AJ11)=0,"",IF(AO11="IRR",AN11*('[5]Basic INFO'!$C$101*'[5]Basic INFO'!$C$103),IF(AO11="EUR",AN11,AP11))))</f>
        <v>52073977366.666664</v>
      </c>
      <c r="AQ11" s="364">
        <v>1900000000</v>
      </c>
      <c r="AR11" s="364"/>
      <c r="AS11" s="447"/>
      <c r="AT11" s="448"/>
    </row>
    <row r="12" spans="1:46" ht="135" x14ac:dyDescent="0.25">
      <c r="A12" s="480" t="s">
        <v>368</v>
      </c>
      <c r="B12" s="501" t="s">
        <v>504</v>
      </c>
      <c r="C12" s="502">
        <v>1</v>
      </c>
      <c r="D12" s="502"/>
      <c r="E12" s="453">
        <f>IF(AND(AO12="IRR",SUM(AH12:AJ12)&gt;0),AP12,IF(AND(AO12="IRR",AQ12&lt;&gt;""),AQ12*'[5]Basic INFO'!$E$127,IF(AO12="IRR",AS12,"")))</f>
        <v>40488071333.333328</v>
      </c>
      <c r="F12" s="454" t="str">
        <f>IF(AND(AO12="EUR",SUM(AH12:AJ12)&gt;0),AP12,IF(AND(AO12="EUR",AR12&lt;&gt;""),AR12*'[5]Basic INFO'!$C$138,IF(AO12="EUR",AT12,"")))</f>
        <v/>
      </c>
      <c r="G12" s="455">
        <f t="shared" si="2"/>
        <v>40488071333.333328</v>
      </c>
      <c r="H12" s="498" t="str">
        <f t="shared" si="3"/>
        <v/>
      </c>
      <c r="I12" s="500" t="s">
        <v>441</v>
      </c>
      <c r="J12" s="360"/>
      <c r="K12" s="360"/>
      <c r="L12" s="360">
        <v>65000</v>
      </c>
      <c r="M12" s="360"/>
      <c r="N12" s="360" t="s">
        <v>442</v>
      </c>
      <c r="O12" s="360">
        <v>50500000000</v>
      </c>
      <c r="P12" s="360"/>
      <c r="Q12" s="360"/>
      <c r="R12" s="360" t="s">
        <v>426</v>
      </c>
      <c r="S12" s="360" t="s">
        <v>443</v>
      </c>
      <c r="T12" s="360"/>
      <c r="U12" s="360">
        <v>40500</v>
      </c>
      <c r="V12" s="360"/>
      <c r="W12" s="365">
        <v>45802</v>
      </c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441">
        <f t="shared" si="4"/>
        <v>1</v>
      </c>
      <c r="AI12" s="442">
        <f t="shared" si="5"/>
        <v>1</v>
      </c>
      <c r="AJ12" s="442">
        <f t="shared" si="6"/>
        <v>1</v>
      </c>
      <c r="AK12" s="442">
        <f>IF(AND(AH12&lt;&gt;"",AH12&gt;0),AVERAGE(J12,O12,T12,Y12,AD12)/('[5]Basic INFO'!$C$101*'[5]Basic INFO'!$C$103),"")</f>
        <v>72630.728119453823</v>
      </c>
      <c r="AL12" s="442">
        <f t="shared" si="7"/>
        <v>40500</v>
      </c>
      <c r="AM12" s="442">
        <f>IF(AND(AJ12&lt;&gt;"",AJ12&gt;0),AVERAGE(L12,Q12,V12,AA12,AF12)/'[5]Basic INFO'!$C$103,"")</f>
        <v>61563.020460291853</v>
      </c>
      <c r="AN12" s="442">
        <f t="shared" si="8"/>
        <v>58231.249526581894</v>
      </c>
      <c r="AO12" s="349" t="s">
        <v>525</v>
      </c>
      <c r="AP12" s="444">
        <f>IF(B12="","",IF(SUM(AH12:AJ12)=0,"",IF(AO12="IRR",AN12*('[5]Basic INFO'!$C$101*'[5]Basic INFO'!$C$103),IF(AO12="EUR",AN12,AP12))))</f>
        <v>40488071333.333328</v>
      </c>
      <c r="AQ12" s="364">
        <v>1350000000</v>
      </c>
      <c r="AR12" s="364"/>
      <c r="AS12" s="447"/>
      <c r="AT12" s="448"/>
    </row>
    <row r="13" spans="1:46" ht="210" x14ac:dyDescent="0.25">
      <c r="A13" s="480" t="s">
        <v>369</v>
      </c>
      <c r="B13" s="501" t="s">
        <v>505</v>
      </c>
      <c r="C13" s="502">
        <v>1</v>
      </c>
      <c r="D13" s="502"/>
      <c r="E13" s="453">
        <f>IF(AND(AO13="IRR",SUM(AH13:AJ13)&gt;0),AP13,IF(AND(AO13="IRR",AQ13&lt;&gt;""),AQ13*'[5]Basic INFO'!$E$127,IF(AO13="IRR",AS13,"")))</f>
        <v>52073977366.666664</v>
      </c>
      <c r="F13" s="454" t="str">
        <f>IF(AND(AO13="EUR",SUM(AH13:AJ13)&gt;0),AP13,IF(AND(AO13="EUR",AR13&lt;&gt;""),AR13*'[5]Basic INFO'!$C$138,IF(AO13="EUR",AT13,"")))</f>
        <v/>
      </c>
      <c r="G13" s="455">
        <f t="shared" si="2"/>
        <v>52073977366.666664</v>
      </c>
      <c r="H13" s="498" t="str">
        <f t="shared" si="3"/>
        <v/>
      </c>
      <c r="I13" s="500" t="s">
        <v>441</v>
      </c>
      <c r="J13" s="360"/>
      <c r="K13" s="360"/>
      <c r="L13" s="360">
        <v>65000</v>
      </c>
      <c r="M13" s="360"/>
      <c r="N13" s="360" t="s">
        <v>442</v>
      </c>
      <c r="O13" s="360">
        <v>62000000000</v>
      </c>
      <c r="P13" s="360"/>
      <c r="Q13" s="360"/>
      <c r="R13" s="360" t="s">
        <v>426</v>
      </c>
      <c r="S13" s="360" t="s">
        <v>443</v>
      </c>
      <c r="T13" s="360"/>
      <c r="U13" s="360">
        <v>73950</v>
      </c>
      <c r="V13" s="360"/>
      <c r="W13" s="365">
        <v>45802</v>
      </c>
      <c r="X13" s="360"/>
      <c r="Y13" s="360"/>
      <c r="Z13" s="360"/>
      <c r="AA13" s="360"/>
      <c r="AB13" s="360"/>
      <c r="AC13" s="360"/>
      <c r="AD13" s="360"/>
      <c r="AE13" s="360"/>
      <c r="AF13" s="360"/>
      <c r="AG13" s="360"/>
      <c r="AH13" s="441">
        <f t="shared" si="4"/>
        <v>1</v>
      </c>
      <c r="AI13" s="442">
        <f t="shared" si="5"/>
        <v>1</v>
      </c>
      <c r="AJ13" s="442">
        <f t="shared" si="6"/>
        <v>1</v>
      </c>
      <c r="AK13" s="442">
        <f>IF(AND(AH13&lt;&gt;"",AH13&gt;0),AVERAGE(J13,O13,T13,Y13,AD13)/('[5]Basic INFO'!$C$101*'[5]Basic INFO'!$C$103),"")</f>
        <v>89170.398879329456</v>
      </c>
      <c r="AL13" s="442">
        <f t="shared" si="7"/>
        <v>73950</v>
      </c>
      <c r="AM13" s="442">
        <f>IF(AND(AJ13&lt;&gt;"",AJ13&gt;0),AVERAGE(L13,Q13,V13,AA13,AF13)/'[5]Basic INFO'!$C$103,"")</f>
        <v>61563.020460291853</v>
      </c>
      <c r="AN13" s="442">
        <f t="shared" si="8"/>
        <v>74894.473113207103</v>
      </c>
      <c r="AO13" s="349" t="s">
        <v>525</v>
      </c>
      <c r="AP13" s="444">
        <f>IF(B13="","",IF(SUM(AH13:AJ13)=0,"",IF(AO13="IRR",AN13*('[5]Basic INFO'!$C$101*'[5]Basic INFO'!$C$103),IF(AO13="EUR",AN13,AP13))))</f>
        <v>52073977366.666664</v>
      </c>
      <c r="AQ13" s="364">
        <v>1750000000</v>
      </c>
      <c r="AR13" s="364"/>
      <c r="AS13" s="447"/>
      <c r="AT13" s="448"/>
    </row>
    <row r="14" spans="1:46" ht="210" x14ac:dyDescent="0.25">
      <c r="A14" s="480" t="s">
        <v>370</v>
      </c>
      <c r="B14" s="501" t="s">
        <v>506</v>
      </c>
      <c r="C14" s="502">
        <v>1</v>
      </c>
      <c r="D14" s="502"/>
      <c r="E14" s="453">
        <f>IF(AND(AO14="IRR",SUM(AH14:AJ14)&gt;0),AP14,IF(AND(AO14="IRR",AQ14&lt;&gt;""),AQ14*'[5]Basic INFO'!$E$127,IF(AO14="IRR",AS14,"")))</f>
        <v>52073977366.666664</v>
      </c>
      <c r="F14" s="454" t="str">
        <f>IF(AND(AO14="EUR",SUM(AH14:AJ14)&gt;0),AP14,IF(AND(AO14="EUR",AR14&lt;&gt;""),AR14*'[5]Basic INFO'!$C$138,IF(AO14="EUR",AT14,"")))</f>
        <v/>
      </c>
      <c r="G14" s="455">
        <f t="shared" si="2"/>
        <v>52073977366.666664</v>
      </c>
      <c r="H14" s="498" t="str">
        <f t="shared" si="3"/>
        <v/>
      </c>
      <c r="I14" s="500" t="s">
        <v>441</v>
      </c>
      <c r="J14" s="360"/>
      <c r="K14" s="360"/>
      <c r="L14" s="360">
        <v>65000</v>
      </c>
      <c r="M14" s="360"/>
      <c r="N14" s="360" t="s">
        <v>442</v>
      </c>
      <c r="O14" s="360">
        <v>62000000000</v>
      </c>
      <c r="P14" s="360"/>
      <c r="Q14" s="360"/>
      <c r="R14" s="360" t="s">
        <v>426</v>
      </c>
      <c r="S14" s="360" t="s">
        <v>443</v>
      </c>
      <c r="T14" s="360"/>
      <c r="U14" s="360">
        <v>73950</v>
      </c>
      <c r="V14" s="360"/>
      <c r="W14" s="365">
        <v>45802</v>
      </c>
      <c r="X14" s="360"/>
      <c r="Y14" s="360"/>
      <c r="Z14" s="360"/>
      <c r="AA14" s="360"/>
      <c r="AB14" s="360"/>
      <c r="AC14" s="360"/>
      <c r="AD14" s="360"/>
      <c r="AE14" s="360"/>
      <c r="AF14" s="360"/>
      <c r="AG14" s="360"/>
      <c r="AH14" s="441">
        <f t="shared" si="4"/>
        <v>1</v>
      </c>
      <c r="AI14" s="442">
        <f t="shared" si="5"/>
        <v>1</v>
      </c>
      <c r="AJ14" s="442">
        <f t="shared" si="6"/>
        <v>1</v>
      </c>
      <c r="AK14" s="442">
        <f>IF(AND(AH14&lt;&gt;"",AH14&gt;0),AVERAGE(J14,O14,T14,Y14,AD14)/('[5]Basic INFO'!$C$101*'[5]Basic INFO'!$C$103),"")</f>
        <v>89170.398879329456</v>
      </c>
      <c r="AL14" s="442">
        <f t="shared" si="7"/>
        <v>73950</v>
      </c>
      <c r="AM14" s="442">
        <f>IF(AND(AJ14&lt;&gt;"",AJ14&gt;0),AVERAGE(L14,Q14,V14,AA14,AF14)/'[5]Basic INFO'!$C$103,"")</f>
        <v>61563.020460291853</v>
      </c>
      <c r="AN14" s="442">
        <f t="shared" si="8"/>
        <v>74894.473113207103</v>
      </c>
      <c r="AO14" s="349" t="s">
        <v>525</v>
      </c>
      <c r="AP14" s="444">
        <f>IF(B14="","",IF(SUM(AH14:AJ14)=0,"",IF(AO14="IRR",AN14*('[5]Basic INFO'!$C$101*'[5]Basic INFO'!$C$103),IF(AO14="EUR",AN14,AP14))))</f>
        <v>52073977366.666664</v>
      </c>
      <c r="AQ14" s="364">
        <v>1750000000</v>
      </c>
      <c r="AR14" s="364"/>
      <c r="AS14" s="447"/>
      <c r="AT14" s="448"/>
    </row>
    <row r="15" spans="1:46" ht="210" x14ac:dyDescent="0.25">
      <c r="A15" s="480" t="s">
        <v>371</v>
      </c>
      <c r="B15" s="501" t="s">
        <v>507</v>
      </c>
      <c r="C15" s="502">
        <v>1</v>
      </c>
      <c r="D15" s="502"/>
      <c r="E15" s="453">
        <f>IF(AND(AO15="IRR",SUM(AH15:AJ15)&gt;0),AP15,IF(AND(AO15="IRR",AQ15&lt;&gt;""),AQ15*'[5]Basic INFO'!$E$127,IF(AO15="IRR",AS15,"")))</f>
        <v>52073977366.666664</v>
      </c>
      <c r="F15" s="454" t="str">
        <f>IF(AND(AO15="EUR",SUM(AH15:AJ15)&gt;0),AP15,IF(AND(AO15="EUR",AR15&lt;&gt;""),AR15*'[5]Basic INFO'!$C$138,IF(AO15="EUR",AT15,"")))</f>
        <v/>
      </c>
      <c r="G15" s="455">
        <f t="shared" si="2"/>
        <v>52073977366.666664</v>
      </c>
      <c r="H15" s="498" t="str">
        <f t="shared" si="3"/>
        <v/>
      </c>
      <c r="I15" s="500" t="s">
        <v>441</v>
      </c>
      <c r="J15" s="360"/>
      <c r="K15" s="360"/>
      <c r="L15" s="360">
        <v>65000</v>
      </c>
      <c r="M15" s="360"/>
      <c r="N15" s="360" t="s">
        <v>442</v>
      </c>
      <c r="O15" s="360">
        <v>62000000000</v>
      </c>
      <c r="P15" s="360"/>
      <c r="Q15" s="360"/>
      <c r="R15" s="360" t="s">
        <v>426</v>
      </c>
      <c r="S15" s="360" t="s">
        <v>443</v>
      </c>
      <c r="T15" s="360"/>
      <c r="U15" s="360">
        <v>73950</v>
      </c>
      <c r="V15" s="360"/>
      <c r="W15" s="365">
        <v>45802</v>
      </c>
      <c r="X15" s="360"/>
      <c r="Y15" s="360"/>
      <c r="Z15" s="360"/>
      <c r="AA15" s="360"/>
      <c r="AB15" s="360"/>
      <c r="AC15" s="360"/>
      <c r="AD15" s="360"/>
      <c r="AE15" s="360"/>
      <c r="AF15" s="360"/>
      <c r="AG15" s="360"/>
      <c r="AH15" s="441">
        <f t="shared" si="4"/>
        <v>1</v>
      </c>
      <c r="AI15" s="442">
        <f t="shared" si="5"/>
        <v>1</v>
      </c>
      <c r="AJ15" s="442">
        <f t="shared" si="6"/>
        <v>1</v>
      </c>
      <c r="AK15" s="442">
        <f>IF(AND(AH15&lt;&gt;"",AH15&gt;0),AVERAGE(J15,O15,T15,Y15,AD15)/('[5]Basic INFO'!$C$101*'[5]Basic INFO'!$C$103),"")</f>
        <v>89170.398879329456</v>
      </c>
      <c r="AL15" s="442">
        <f t="shared" si="7"/>
        <v>73950</v>
      </c>
      <c r="AM15" s="442">
        <f>IF(AND(AJ15&lt;&gt;"",AJ15&gt;0),AVERAGE(L15,Q15,V15,AA15,AF15)/'[5]Basic INFO'!$C$103,"")</f>
        <v>61563.020460291853</v>
      </c>
      <c r="AN15" s="442">
        <f t="shared" si="8"/>
        <v>74894.473113207103</v>
      </c>
      <c r="AO15" s="349" t="s">
        <v>525</v>
      </c>
      <c r="AP15" s="444">
        <f>IF(B15="","",IF(SUM(AH15:AJ15)=0,"",IF(AO15="IRR",AN15*('[5]Basic INFO'!$C$101*'[5]Basic INFO'!$C$103),IF(AO15="EUR",AN15,AP15))))</f>
        <v>52073977366.666664</v>
      </c>
      <c r="AQ15" s="364">
        <v>1750000000</v>
      </c>
      <c r="AR15" s="364"/>
      <c r="AS15" s="447"/>
      <c r="AT15" s="448"/>
    </row>
    <row r="16" spans="1:46" ht="135" x14ac:dyDescent="0.25">
      <c r="A16" s="480" t="s">
        <v>372</v>
      </c>
      <c r="B16" s="501" t="s">
        <v>508</v>
      </c>
      <c r="C16" s="502">
        <v>1</v>
      </c>
      <c r="D16" s="502"/>
      <c r="E16" s="453">
        <f>IF(AND(AO16="IRR",SUM(AH16:AJ16)&gt;0),AP16,IF(AND(AO16="IRR",AQ16&lt;&gt;""),AQ16*'[5]Basic INFO'!$E$127,IF(AO16="IRR",AS16,"")))</f>
        <v>43780736333.333328</v>
      </c>
      <c r="F16" s="454" t="str">
        <f>IF(AND(AO16="EUR",SUM(AH16:AJ16)&gt;0),AP16,IF(AND(AO16="EUR",AR16&lt;&gt;""),AR16*'[5]Basic INFO'!$C$138,IF(AO16="EUR",AT16,"")))</f>
        <v/>
      </c>
      <c r="G16" s="455">
        <f t="shared" si="2"/>
        <v>43780736333.333328</v>
      </c>
      <c r="H16" s="498" t="str">
        <f t="shared" si="3"/>
        <v/>
      </c>
      <c r="I16" s="500" t="s">
        <v>441</v>
      </c>
      <c r="J16" s="360"/>
      <c r="K16" s="360"/>
      <c r="L16" s="360">
        <v>80000</v>
      </c>
      <c r="M16" s="360"/>
      <c r="N16" s="360" t="s">
        <v>442</v>
      </c>
      <c r="O16" s="360">
        <v>50500000000</v>
      </c>
      <c r="P16" s="360"/>
      <c r="Q16" s="360"/>
      <c r="R16" s="360" t="s">
        <v>426</v>
      </c>
      <c r="S16" s="360" t="s">
        <v>443</v>
      </c>
      <c r="T16" s="360"/>
      <c r="U16" s="360">
        <v>40500</v>
      </c>
      <c r="V16" s="360"/>
      <c r="W16" s="365">
        <v>45802</v>
      </c>
      <c r="X16" s="360"/>
      <c r="Y16" s="360"/>
      <c r="Z16" s="360"/>
      <c r="AA16" s="360"/>
      <c r="AB16" s="360"/>
      <c r="AC16" s="360"/>
      <c r="AD16" s="360"/>
      <c r="AE16" s="360"/>
      <c r="AF16" s="360"/>
      <c r="AG16" s="360"/>
      <c r="AH16" s="441">
        <f t="shared" si="4"/>
        <v>1</v>
      </c>
      <c r="AI16" s="442">
        <f t="shared" si="5"/>
        <v>1</v>
      </c>
      <c r="AJ16" s="442">
        <f t="shared" si="6"/>
        <v>1</v>
      </c>
      <c r="AK16" s="442">
        <f>IF(AND(AH16&lt;&gt;"",AH16&gt;0),AVERAGE(J16,O16,T16,Y16,AD16)/('[5]Basic INFO'!$C$101*'[5]Basic INFO'!$C$103),"")</f>
        <v>72630.728119453823</v>
      </c>
      <c r="AL16" s="442">
        <f t="shared" si="7"/>
        <v>40500</v>
      </c>
      <c r="AM16" s="442">
        <f>IF(AND(AJ16&lt;&gt;"",AJ16&gt;0),AVERAGE(L16,Q16,V16,AA16,AF16)/'[5]Basic INFO'!$C$103,"")</f>
        <v>75769.871335743825</v>
      </c>
      <c r="AN16" s="442">
        <f t="shared" si="8"/>
        <v>62966.866485065875</v>
      </c>
      <c r="AO16" s="349" t="s">
        <v>525</v>
      </c>
      <c r="AP16" s="444">
        <f>IF(B16="","",IF(SUM(AH16:AJ16)=0,"",IF(AO16="IRR",AN16*('[5]Basic INFO'!$C$101*'[5]Basic INFO'!$C$103),IF(AO16="EUR",AN16,AP16))))</f>
        <v>43780736333.333328</v>
      </c>
      <c r="AQ16" s="364">
        <v>1400000000</v>
      </c>
      <c r="AR16" s="364"/>
      <c r="AS16" s="447"/>
      <c r="AT16" s="448"/>
    </row>
    <row r="17" spans="1:46" ht="135" x14ac:dyDescent="0.25">
      <c r="A17" s="480" t="s">
        <v>373</v>
      </c>
      <c r="B17" s="501" t="s">
        <v>509</v>
      </c>
      <c r="C17" s="502">
        <v>1</v>
      </c>
      <c r="D17" s="502"/>
      <c r="E17" s="453">
        <f>IF(AND(AO17="IRR",SUM(AH17:AJ17)&gt;0),AP17,IF(AND(AO17="IRR",AQ17&lt;&gt;""),AQ17*'[5]Basic INFO'!$E$127,IF(AO17="IRR",AS17,"")))</f>
        <v>40488071333.333328</v>
      </c>
      <c r="F17" s="454" t="str">
        <f>IF(AND(AO17="EUR",SUM(AH17:AJ17)&gt;0),AP17,IF(AND(AO17="EUR",AR17&lt;&gt;""),AR17*'[5]Basic INFO'!$C$138,IF(AO17="EUR",AT17,"")))</f>
        <v/>
      </c>
      <c r="G17" s="455">
        <f t="shared" si="2"/>
        <v>40488071333.333328</v>
      </c>
      <c r="H17" s="498" t="str">
        <f t="shared" si="3"/>
        <v/>
      </c>
      <c r="I17" s="500" t="s">
        <v>441</v>
      </c>
      <c r="J17" s="360"/>
      <c r="K17" s="360"/>
      <c r="L17" s="360">
        <v>65000</v>
      </c>
      <c r="M17" s="360"/>
      <c r="N17" s="360" t="s">
        <v>442</v>
      </c>
      <c r="O17" s="360">
        <v>50500000000</v>
      </c>
      <c r="P17" s="360"/>
      <c r="Q17" s="360"/>
      <c r="R17" s="360" t="s">
        <v>426</v>
      </c>
      <c r="S17" s="360" t="s">
        <v>443</v>
      </c>
      <c r="T17" s="360"/>
      <c r="U17" s="360">
        <v>40500</v>
      </c>
      <c r="V17" s="360"/>
      <c r="W17" s="365">
        <v>45802</v>
      </c>
      <c r="X17" s="360"/>
      <c r="Y17" s="360"/>
      <c r="Z17" s="360"/>
      <c r="AA17" s="360"/>
      <c r="AB17" s="360"/>
      <c r="AC17" s="360"/>
      <c r="AD17" s="360"/>
      <c r="AE17" s="360"/>
      <c r="AF17" s="360"/>
      <c r="AG17" s="360"/>
      <c r="AH17" s="441">
        <f t="shared" si="4"/>
        <v>1</v>
      </c>
      <c r="AI17" s="442">
        <f t="shared" si="5"/>
        <v>1</v>
      </c>
      <c r="AJ17" s="442">
        <f t="shared" si="6"/>
        <v>1</v>
      </c>
      <c r="AK17" s="442">
        <f>IF(AND(AH17&lt;&gt;"",AH17&gt;0),AVERAGE(J17,O17,T17,Y17,AD17)/('[5]Basic INFO'!$C$101*'[5]Basic INFO'!$C$103),"")</f>
        <v>72630.728119453823</v>
      </c>
      <c r="AL17" s="442">
        <f t="shared" si="7"/>
        <v>40500</v>
      </c>
      <c r="AM17" s="442">
        <f>IF(AND(AJ17&lt;&gt;"",AJ17&gt;0),AVERAGE(L17,Q17,V17,AA17,AF17)/'[5]Basic INFO'!$C$103,"")</f>
        <v>61563.020460291853</v>
      </c>
      <c r="AN17" s="442">
        <f t="shared" si="8"/>
        <v>58231.249526581894</v>
      </c>
      <c r="AO17" s="349" t="s">
        <v>525</v>
      </c>
      <c r="AP17" s="444">
        <f>IF(B17="","",IF(SUM(AH17:AJ17)=0,"",IF(AO17="IRR",AN17*('[5]Basic INFO'!$C$101*'[5]Basic INFO'!$C$103),IF(AO17="EUR",AN17,AP17))))</f>
        <v>40488071333.333328</v>
      </c>
      <c r="AQ17" s="364">
        <v>1350000000</v>
      </c>
      <c r="AR17" s="364"/>
      <c r="AS17" s="447"/>
      <c r="AT17" s="448"/>
    </row>
    <row r="18" spans="1:46" ht="225" x14ac:dyDescent="0.25">
      <c r="A18" s="480" t="s">
        <v>331</v>
      </c>
      <c r="B18" s="501" t="s">
        <v>510</v>
      </c>
      <c r="C18" s="502">
        <v>1</v>
      </c>
      <c r="D18" s="502"/>
      <c r="E18" s="453">
        <f>IF(AND(AO18="IRR",SUM(AH18:AJ18)&gt;0),AP18,IF(AND(AO18="IRR",AQ18&lt;&gt;""),AQ18*'[5]Basic INFO'!$E$127,IF(AO18="IRR",AS18,"")))</f>
        <v>55035754033.333328</v>
      </c>
      <c r="F18" s="454" t="str">
        <f>IF(AND(AO18="EUR",SUM(AH18:AJ18)&gt;0),AP18,IF(AND(AO18="EUR",AR18&lt;&gt;""),AR18*'[5]Basic INFO'!$C$138,IF(AO18="EUR",AT18,"")))</f>
        <v/>
      </c>
      <c r="G18" s="455">
        <f t="shared" si="2"/>
        <v>55035754033.333328</v>
      </c>
      <c r="H18" s="498" t="str">
        <f t="shared" si="3"/>
        <v/>
      </c>
      <c r="I18" s="500" t="s">
        <v>441</v>
      </c>
      <c r="J18" s="360"/>
      <c r="K18" s="360"/>
      <c r="L18" s="360">
        <v>75000</v>
      </c>
      <c r="M18" s="360"/>
      <c r="N18" s="360" t="s">
        <v>442</v>
      </c>
      <c r="O18" s="360">
        <v>64300000000</v>
      </c>
      <c r="P18" s="360"/>
      <c r="Q18" s="360"/>
      <c r="R18" s="360" t="s">
        <v>426</v>
      </c>
      <c r="S18" s="360" t="s">
        <v>443</v>
      </c>
      <c r="T18" s="360"/>
      <c r="U18" s="360">
        <v>73950</v>
      </c>
      <c r="V18" s="360"/>
      <c r="W18" s="365">
        <v>45802</v>
      </c>
      <c r="X18" s="360"/>
      <c r="Y18" s="360"/>
      <c r="Z18" s="360"/>
      <c r="AA18" s="360"/>
      <c r="AB18" s="360"/>
      <c r="AC18" s="360"/>
      <c r="AD18" s="360"/>
      <c r="AE18" s="360"/>
      <c r="AF18" s="360"/>
      <c r="AG18" s="360"/>
      <c r="AH18" s="441">
        <f t="shared" si="4"/>
        <v>1</v>
      </c>
      <c r="AI18" s="442">
        <f t="shared" si="5"/>
        <v>1</v>
      </c>
      <c r="AJ18" s="442">
        <f t="shared" si="6"/>
        <v>1</v>
      </c>
      <c r="AK18" s="442">
        <f>IF(AND(AH18&lt;&gt;"",AH18&gt;0),AVERAGE(J18,O18,T18,Y18,AD18)/('[5]Basic INFO'!$C$101*'[5]Basic INFO'!$C$103),"")</f>
        <v>92478.333031304574</v>
      </c>
      <c r="AL18" s="442">
        <f t="shared" si="7"/>
        <v>73950</v>
      </c>
      <c r="AM18" s="442">
        <f>IF(AND(AJ18&lt;&gt;"",AJ18&gt;0),AVERAGE(L18,Q18,V18,AA18,AF18)/'[5]Basic INFO'!$C$103,"")</f>
        <v>71034.254377259829</v>
      </c>
      <c r="AN18" s="442">
        <f t="shared" si="8"/>
        <v>79154.195802854796</v>
      </c>
      <c r="AO18" s="349" t="s">
        <v>525</v>
      </c>
      <c r="AP18" s="444">
        <f>IF(B18="","",IF(SUM(AH18:AJ18)=0,"",IF(AO18="IRR",AN18*('[5]Basic INFO'!$C$101*'[5]Basic INFO'!$C$103),IF(AO18="EUR",AN18,AP18))))</f>
        <v>55035754033.333328</v>
      </c>
      <c r="AQ18" s="364">
        <v>1900000000</v>
      </c>
      <c r="AR18" s="364"/>
      <c r="AS18" s="447"/>
      <c r="AT18" s="448"/>
    </row>
    <row r="19" spans="1:46" x14ac:dyDescent="0.25">
      <c r="A19" s="457"/>
      <c r="B19" s="458" t="s">
        <v>542</v>
      </c>
      <c r="C19" s="457"/>
      <c r="D19" s="457"/>
      <c r="E19" s="459"/>
      <c r="F19" s="460"/>
      <c r="G19" s="461">
        <f>SUM(G8:G18)</f>
        <v>562636746866.66663</v>
      </c>
      <c r="H19" s="462">
        <f>SUM(H8:H18)</f>
        <v>0</v>
      </c>
      <c r="AQ19" s="639" t="s">
        <v>297</v>
      </c>
      <c r="AR19" s="639" t="s">
        <v>298</v>
      </c>
    </row>
    <row r="20" spans="1:46" x14ac:dyDescent="0.25">
      <c r="A20" s="463"/>
      <c r="B20" s="464" t="s">
        <v>543</v>
      </c>
      <c r="C20" s="463"/>
      <c r="D20" s="463"/>
      <c r="E20"/>
      <c r="F20"/>
      <c r="G20" s="465">
        <v>1.18</v>
      </c>
      <c r="H20" s="465">
        <v>1.18</v>
      </c>
      <c r="AQ20" s="640"/>
      <c r="AR20" s="640"/>
    </row>
    <row r="21" spans="1:46" x14ac:dyDescent="0.25">
      <c r="A21" s="463"/>
      <c r="B21" s="464" t="s">
        <v>544</v>
      </c>
      <c r="C21" s="463"/>
      <c r="D21" s="463"/>
      <c r="E21"/>
      <c r="F21"/>
      <c r="G21" s="466">
        <v>0.1</v>
      </c>
      <c r="H21" s="466">
        <v>0.1</v>
      </c>
      <c r="AQ21" s="370"/>
      <c r="AR21" s="370"/>
    </row>
    <row r="22" spans="1:46" x14ac:dyDescent="0.25">
      <c r="A22" s="463"/>
      <c r="B22" s="467" t="s">
        <v>545</v>
      </c>
      <c r="C22" s="463"/>
      <c r="D22" s="463"/>
      <c r="E22"/>
      <c r="F22"/>
      <c r="G22" s="468">
        <f>ROUND((G19*G20*(1+G21))/1000000,0)*1000000</f>
        <v>730302000000</v>
      </c>
      <c r="H22" s="469">
        <f>ROUND(H19*H20*(1+H21)/1000,0)*1000</f>
        <v>0</v>
      </c>
      <c r="AQ22" s="370"/>
      <c r="AR22" s="370"/>
    </row>
    <row r="23" spans="1:46" x14ac:dyDescent="0.25">
      <c r="A23" s="368"/>
      <c r="B23" s="374"/>
      <c r="C23" s="369"/>
      <c r="D23" s="369"/>
      <c r="E23" s="370"/>
      <c r="F23" s="370"/>
      <c r="G23" s="461">
        <f>ROUND(SUMIF(AP:AP,"&gt;0",G:G)*G20*(1+G21)/1000000,0)*1000000</f>
        <v>730302000000</v>
      </c>
      <c r="H23" s="462">
        <f>ROUND(SUMIF(AP:AP,"&gt;0",H:H)*H20*(1+H21)/1000,0)*1000</f>
        <v>0</v>
      </c>
      <c r="AQ23" s="370"/>
      <c r="AR23" s="370"/>
    </row>
  </sheetData>
  <mergeCells count="2">
    <mergeCell ref="AQ19:AQ20"/>
    <mergeCell ref="AR19:AR20"/>
  </mergeCells>
  <dataValidations disablePrompts="1" count="1">
    <dataValidation type="list" allowBlank="1" showInputMessage="1" showErrorMessage="1" sqref="WBJ983043:WBK983046 JA65539:JB65542 SW65539:SX65542 ACS65539:ACT65542 AMO65539:AMP65542 AWK65539:AWL65542 BGG65539:BGH65542 BQC65539:BQD65542 BZY65539:BZZ65542 CJU65539:CJV65542 CTQ65539:CTR65542 DDM65539:DDN65542 DNI65539:DNJ65542 DXE65539:DXF65542 EHA65539:EHB65542 EQW65539:EQX65542 FAS65539:FAT65542 FKO65539:FKP65542 FUK65539:FUL65542 GEG65539:GEH65542 GOC65539:GOD65542 GXY65539:GXZ65542 HHU65539:HHV65542 HRQ65539:HRR65542 IBM65539:IBN65542 ILI65539:ILJ65542 IVE65539:IVF65542 JFA65539:JFB65542 JOW65539:JOX65542 JYS65539:JYT65542 KIO65539:KIP65542 KSK65539:KSL65542 LCG65539:LCH65542 LMC65539:LMD65542 LVY65539:LVZ65542 MFU65539:MFV65542 MPQ65539:MPR65542 MZM65539:MZN65542 NJI65539:NJJ65542 NTE65539:NTF65542 ODA65539:ODB65542 OMW65539:OMX65542 OWS65539:OWT65542 PGO65539:PGP65542 PQK65539:PQL65542 QAG65539:QAH65542 QKC65539:QKD65542 QTY65539:QTZ65542 RDU65539:RDV65542 RNQ65539:RNR65542 RXM65539:RXN65542 SHI65539:SHJ65542 SRE65539:SRF65542 TBA65539:TBB65542 TKW65539:TKX65542 TUS65539:TUT65542 UEO65539:UEP65542 UOK65539:UOL65542 UYG65539:UYH65542 VIC65539:VID65542 VRY65539:VRZ65542 WBU65539:WBV65542 WLQ65539:WLR65542 WVM65539:WVN65542 JA131075:JB131078 SW131075:SX131078 ACS131075:ACT131078 AMO131075:AMP131078 AWK131075:AWL131078 BGG131075:BGH131078 BQC131075:BQD131078 BZY131075:BZZ131078 CJU131075:CJV131078 CTQ131075:CTR131078 DDM131075:DDN131078 DNI131075:DNJ131078 DXE131075:DXF131078 EHA131075:EHB131078 EQW131075:EQX131078 FAS131075:FAT131078 FKO131075:FKP131078 FUK131075:FUL131078 GEG131075:GEH131078 GOC131075:GOD131078 GXY131075:GXZ131078 HHU131075:HHV131078 HRQ131075:HRR131078 IBM131075:IBN131078 ILI131075:ILJ131078 IVE131075:IVF131078 JFA131075:JFB131078 JOW131075:JOX131078 JYS131075:JYT131078 KIO131075:KIP131078 KSK131075:KSL131078 LCG131075:LCH131078 LMC131075:LMD131078 LVY131075:LVZ131078 MFU131075:MFV131078 MPQ131075:MPR131078 MZM131075:MZN131078 NJI131075:NJJ131078 NTE131075:NTF131078 ODA131075:ODB131078 OMW131075:OMX131078 OWS131075:OWT131078 PGO131075:PGP131078 PQK131075:PQL131078 QAG131075:QAH131078 QKC131075:QKD131078 QTY131075:QTZ131078 RDU131075:RDV131078 RNQ131075:RNR131078 RXM131075:RXN131078 SHI131075:SHJ131078 SRE131075:SRF131078 TBA131075:TBB131078 TKW131075:TKX131078 TUS131075:TUT131078 UEO131075:UEP131078 UOK131075:UOL131078 UYG131075:UYH131078 VIC131075:VID131078 VRY131075:VRZ131078 WBU131075:WBV131078 WLQ131075:WLR131078 WVM131075:WVN131078 JA196611:JB196614 SW196611:SX196614 ACS196611:ACT196614 AMO196611:AMP196614 AWK196611:AWL196614 BGG196611:BGH196614 BQC196611:BQD196614 BZY196611:BZZ196614 CJU196611:CJV196614 CTQ196611:CTR196614 DDM196611:DDN196614 DNI196611:DNJ196614 DXE196611:DXF196614 EHA196611:EHB196614 EQW196611:EQX196614 FAS196611:FAT196614 FKO196611:FKP196614 FUK196611:FUL196614 GEG196611:GEH196614 GOC196611:GOD196614 GXY196611:GXZ196614 HHU196611:HHV196614 HRQ196611:HRR196614 IBM196611:IBN196614 ILI196611:ILJ196614 IVE196611:IVF196614 JFA196611:JFB196614 JOW196611:JOX196614 JYS196611:JYT196614 KIO196611:KIP196614 KSK196611:KSL196614 LCG196611:LCH196614 LMC196611:LMD196614 LVY196611:LVZ196614 MFU196611:MFV196614 MPQ196611:MPR196614 MZM196611:MZN196614 NJI196611:NJJ196614 NTE196611:NTF196614 ODA196611:ODB196614 OMW196611:OMX196614 OWS196611:OWT196614 PGO196611:PGP196614 PQK196611:PQL196614 QAG196611:QAH196614 QKC196611:QKD196614 QTY196611:QTZ196614 RDU196611:RDV196614 RNQ196611:RNR196614 RXM196611:RXN196614 SHI196611:SHJ196614 SRE196611:SRF196614 TBA196611:TBB196614 TKW196611:TKX196614 TUS196611:TUT196614 UEO196611:UEP196614 UOK196611:UOL196614 UYG196611:UYH196614 VIC196611:VID196614 VRY196611:VRZ196614 WBU196611:WBV196614 WLQ196611:WLR196614 WVM196611:WVN196614 JA262147:JB262150 SW262147:SX262150 ACS262147:ACT262150 AMO262147:AMP262150 AWK262147:AWL262150 BGG262147:BGH262150 BQC262147:BQD262150 BZY262147:BZZ262150 CJU262147:CJV262150 CTQ262147:CTR262150 DDM262147:DDN262150 DNI262147:DNJ262150 DXE262147:DXF262150 EHA262147:EHB262150 EQW262147:EQX262150 FAS262147:FAT262150 FKO262147:FKP262150 FUK262147:FUL262150 GEG262147:GEH262150 GOC262147:GOD262150 GXY262147:GXZ262150 HHU262147:HHV262150 HRQ262147:HRR262150 IBM262147:IBN262150 ILI262147:ILJ262150 IVE262147:IVF262150 JFA262147:JFB262150 JOW262147:JOX262150 JYS262147:JYT262150 KIO262147:KIP262150 KSK262147:KSL262150 LCG262147:LCH262150 LMC262147:LMD262150 LVY262147:LVZ262150 MFU262147:MFV262150 MPQ262147:MPR262150 MZM262147:MZN262150 NJI262147:NJJ262150 NTE262147:NTF262150 ODA262147:ODB262150 OMW262147:OMX262150 OWS262147:OWT262150 PGO262147:PGP262150 PQK262147:PQL262150 QAG262147:QAH262150 QKC262147:QKD262150 QTY262147:QTZ262150 RDU262147:RDV262150 RNQ262147:RNR262150 RXM262147:RXN262150 SHI262147:SHJ262150 SRE262147:SRF262150 TBA262147:TBB262150 TKW262147:TKX262150 TUS262147:TUT262150 UEO262147:UEP262150 UOK262147:UOL262150 UYG262147:UYH262150 VIC262147:VID262150 VRY262147:VRZ262150 WBU262147:WBV262150 WLQ262147:WLR262150 WVM262147:WVN262150 JA327683:JB327686 SW327683:SX327686 ACS327683:ACT327686 AMO327683:AMP327686 AWK327683:AWL327686 BGG327683:BGH327686 BQC327683:BQD327686 BZY327683:BZZ327686 CJU327683:CJV327686 CTQ327683:CTR327686 DDM327683:DDN327686 DNI327683:DNJ327686 DXE327683:DXF327686 EHA327683:EHB327686 EQW327683:EQX327686 FAS327683:FAT327686 FKO327683:FKP327686 FUK327683:FUL327686 GEG327683:GEH327686 GOC327683:GOD327686 GXY327683:GXZ327686 HHU327683:HHV327686 HRQ327683:HRR327686 IBM327683:IBN327686 ILI327683:ILJ327686 IVE327683:IVF327686 JFA327683:JFB327686 JOW327683:JOX327686 JYS327683:JYT327686 KIO327683:KIP327686 KSK327683:KSL327686 LCG327683:LCH327686 LMC327683:LMD327686 LVY327683:LVZ327686 MFU327683:MFV327686 MPQ327683:MPR327686 MZM327683:MZN327686 NJI327683:NJJ327686 NTE327683:NTF327686 ODA327683:ODB327686 OMW327683:OMX327686 OWS327683:OWT327686 PGO327683:PGP327686 PQK327683:PQL327686 QAG327683:QAH327686 QKC327683:QKD327686 QTY327683:QTZ327686 RDU327683:RDV327686 RNQ327683:RNR327686 RXM327683:RXN327686 SHI327683:SHJ327686 SRE327683:SRF327686 TBA327683:TBB327686 TKW327683:TKX327686 TUS327683:TUT327686 UEO327683:UEP327686 UOK327683:UOL327686 UYG327683:UYH327686 VIC327683:VID327686 VRY327683:VRZ327686 WBU327683:WBV327686 WLQ327683:WLR327686 WVM327683:WVN327686 JA393219:JB393222 SW393219:SX393222 ACS393219:ACT393222 AMO393219:AMP393222 AWK393219:AWL393222 BGG393219:BGH393222 BQC393219:BQD393222 BZY393219:BZZ393222 CJU393219:CJV393222 CTQ393219:CTR393222 DDM393219:DDN393222 DNI393219:DNJ393222 DXE393219:DXF393222 EHA393219:EHB393222 EQW393219:EQX393222 FAS393219:FAT393222 FKO393219:FKP393222 FUK393219:FUL393222 GEG393219:GEH393222 GOC393219:GOD393222 GXY393219:GXZ393222 HHU393219:HHV393222 HRQ393219:HRR393222 IBM393219:IBN393222 ILI393219:ILJ393222 IVE393219:IVF393222 JFA393219:JFB393222 JOW393219:JOX393222 JYS393219:JYT393222 KIO393219:KIP393222 KSK393219:KSL393222 LCG393219:LCH393222 LMC393219:LMD393222 LVY393219:LVZ393222 MFU393219:MFV393222 MPQ393219:MPR393222 MZM393219:MZN393222 NJI393219:NJJ393222 NTE393219:NTF393222 ODA393219:ODB393222 OMW393219:OMX393222 OWS393219:OWT393222 PGO393219:PGP393222 PQK393219:PQL393222 QAG393219:QAH393222 QKC393219:QKD393222 QTY393219:QTZ393222 RDU393219:RDV393222 RNQ393219:RNR393222 RXM393219:RXN393222 SHI393219:SHJ393222 SRE393219:SRF393222 TBA393219:TBB393222 TKW393219:TKX393222 TUS393219:TUT393222 UEO393219:UEP393222 UOK393219:UOL393222 UYG393219:UYH393222 VIC393219:VID393222 VRY393219:VRZ393222 WBU393219:WBV393222 WLQ393219:WLR393222 WVM393219:WVN393222 JA458755:JB458758 SW458755:SX458758 ACS458755:ACT458758 AMO458755:AMP458758 AWK458755:AWL458758 BGG458755:BGH458758 BQC458755:BQD458758 BZY458755:BZZ458758 CJU458755:CJV458758 CTQ458755:CTR458758 DDM458755:DDN458758 DNI458755:DNJ458758 DXE458755:DXF458758 EHA458755:EHB458758 EQW458755:EQX458758 FAS458755:FAT458758 FKO458755:FKP458758 FUK458755:FUL458758 GEG458755:GEH458758 GOC458755:GOD458758 GXY458755:GXZ458758 HHU458755:HHV458758 HRQ458755:HRR458758 IBM458755:IBN458758 ILI458755:ILJ458758 IVE458755:IVF458758 JFA458755:JFB458758 JOW458755:JOX458758 JYS458755:JYT458758 KIO458755:KIP458758 KSK458755:KSL458758 LCG458755:LCH458758 LMC458755:LMD458758 LVY458755:LVZ458758 MFU458755:MFV458758 MPQ458755:MPR458758 MZM458755:MZN458758 NJI458755:NJJ458758 NTE458755:NTF458758 ODA458755:ODB458758 OMW458755:OMX458758 OWS458755:OWT458758 PGO458755:PGP458758 PQK458755:PQL458758 QAG458755:QAH458758 QKC458755:QKD458758 QTY458755:QTZ458758 RDU458755:RDV458758 RNQ458755:RNR458758 RXM458755:RXN458758 SHI458755:SHJ458758 SRE458755:SRF458758 TBA458755:TBB458758 TKW458755:TKX458758 TUS458755:TUT458758 UEO458755:UEP458758 UOK458755:UOL458758 UYG458755:UYH458758 VIC458755:VID458758 VRY458755:VRZ458758 WBU458755:WBV458758 WLQ458755:WLR458758 WVM458755:WVN458758 JA524291:JB524294 SW524291:SX524294 ACS524291:ACT524294 AMO524291:AMP524294 AWK524291:AWL524294 BGG524291:BGH524294 BQC524291:BQD524294 BZY524291:BZZ524294 CJU524291:CJV524294 CTQ524291:CTR524294 DDM524291:DDN524294 DNI524291:DNJ524294 DXE524291:DXF524294 EHA524291:EHB524294 EQW524291:EQX524294 FAS524291:FAT524294 FKO524291:FKP524294 FUK524291:FUL524294 GEG524291:GEH524294 GOC524291:GOD524294 GXY524291:GXZ524294 HHU524291:HHV524294 HRQ524291:HRR524294 IBM524291:IBN524294 ILI524291:ILJ524294 IVE524291:IVF524294 JFA524291:JFB524294 JOW524291:JOX524294 JYS524291:JYT524294 KIO524291:KIP524294 KSK524291:KSL524294 LCG524291:LCH524294 LMC524291:LMD524294 LVY524291:LVZ524294 MFU524291:MFV524294 MPQ524291:MPR524294 MZM524291:MZN524294 NJI524291:NJJ524294 NTE524291:NTF524294 ODA524291:ODB524294 OMW524291:OMX524294 OWS524291:OWT524294 PGO524291:PGP524294 PQK524291:PQL524294 QAG524291:QAH524294 QKC524291:QKD524294 QTY524291:QTZ524294 RDU524291:RDV524294 RNQ524291:RNR524294 RXM524291:RXN524294 SHI524291:SHJ524294 SRE524291:SRF524294 TBA524291:TBB524294 TKW524291:TKX524294 TUS524291:TUT524294 UEO524291:UEP524294 UOK524291:UOL524294 UYG524291:UYH524294 VIC524291:VID524294 VRY524291:VRZ524294 WBU524291:WBV524294 WLQ524291:WLR524294 WVM524291:WVN524294 JA589827:JB589830 SW589827:SX589830 ACS589827:ACT589830 AMO589827:AMP589830 AWK589827:AWL589830 BGG589827:BGH589830 BQC589827:BQD589830 BZY589827:BZZ589830 CJU589827:CJV589830 CTQ589827:CTR589830 DDM589827:DDN589830 DNI589827:DNJ589830 DXE589827:DXF589830 EHA589827:EHB589830 EQW589827:EQX589830 FAS589827:FAT589830 FKO589827:FKP589830 FUK589827:FUL589830 GEG589827:GEH589830 GOC589827:GOD589830 GXY589827:GXZ589830 HHU589827:HHV589830 HRQ589827:HRR589830 IBM589827:IBN589830 ILI589827:ILJ589830 IVE589827:IVF589830 JFA589827:JFB589830 JOW589827:JOX589830 JYS589827:JYT589830 KIO589827:KIP589830 KSK589827:KSL589830 LCG589827:LCH589830 LMC589827:LMD589830 LVY589827:LVZ589830 MFU589827:MFV589830 MPQ589827:MPR589830 MZM589827:MZN589830 NJI589827:NJJ589830 NTE589827:NTF589830 ODA589827:ODB589830 OMW589827:OMX589830 OWS589827:OWT589830 PGO589827:PGP589830 PQK589827:PQL589830 QAG589827:QAH589830 QKC589827:QKD589830 QTY589827:QTZ589830 RDU589827:RDV589830 RNQ589827:RNR589830 RXM589827:RXN589830 SHI589827:SHJ589830 SRE589827:SRF589830 TBA589827:TBB589830 TKW589827:TKX589830 TUS589827:TUT589830 UEO589827:UEP589830 UOK589827:UOL589830 UYG589827:UYH589830 VIC589827:VID589830 VRY589827:VRZ589830 WBU589827:WBV589830 WLQ589827:WLR589830 WVM589827:WVN589830 JA655363:JB655366 SW655363:SX655366 ACS655363:ACT655366 AMO655363:AMP655366 AWK655363:AWL655366 BGG655363:BGH655366 BQC655363:BQD655366 BZY655363:BZZ655366 CJU655363:CJV655366 CTQ655363:CTR655366 DDM655363:DDN655366 DNI655363:DNJ655366 DXE655363:DXF655366 EHA655363:EHB655366 EQW655363:EQX655366 FAS655363:FAT655366 FKO655363:FKP655366 FUK655363:FUL655366 GEG655363:GEH655366 GOC655363:GOD655366 GXY655363:GXZ655366 HHU655363:HHV655366 HRQ655363:HRR655366 IBM655363:IBN655366 ILI655363:ILJ655366 IVE655363:IVF655366 JFA655363:JFB655366 JOW655363:JOX655366 JYS655363:JYT655366 KIO655363:KIP655366 KSK655363:KSL655366 LCG655363:LCH655366 LMC655363:LMD655366 LVY655363:LVZ655366 MFU655363:MFV655366 MPQ655363:MPR655366 MZM655363:MZN655366 NJI655363:NJJ655366 NTE655363:NTF655366 ODA655363:ODB655366 OMW655363:OMX655366 OWS655363:OWT655366 PGO655363:PGP655366 PQK655363:PQL655366 QAG655363:QAH655366 QKC655363:QKD655366 QTY655363:QTZ655366 RDU655363:RDV655366 RNQ655363:RNR655366 RXM655363:RXN655366 SHI655363:SHJ655366 SRE655363:SRF655366 TBA655363:TBB655366 TKW655363:TKX655366 TUS655363:TUT655366 UEO655363:UEP655366 UOK655363:UOL655366 UYG655363:UYH655366 VIC655363:VID655366 VRY655363:VRZ655366 WBU655363:WBV655366 WLQ655363:WLR655366 WVM655363:WVN655366 JA720899:JB720902 SW720899:SX720902 ACS720899:ACT720902 AMO720899:AMP720902 AWK720899:AWL720902 BGG720899:BGH720902 BQC720899:BQD720902 BZY720899:BZZ720902 CJU720899:CJV720902 CTQ720899:CTR720902 DDM720899:DDN720902 DNI720899:DNJ720902 DXE720899:DXF720902 EHA720899:EHB720902 EQW720899:EQX720902 FAS720899:FAT720902 FKO720899:FKP720902 FUK720899:FUL720902 GEG720899:GEH720902 GOC720899:GOD720902 GXY720899:GXZ720902 HHU720899:HHV720902 HRQ720899:HRR720902 IBM720899:IBN720902 ILI720899:ILJ720902 IVE720899:IVF720902 JFA720899:JFB720902 JOW720899:JOX720902 JYS720899:JYT720902 KIO720899:KIP720902 KSK720899:KSL720902 LCG720899:LCH720902 LMC720899:LMD720902 LVY720899:LVZ720902 MFU720899:MFV720902 MPQ720899:MPR720902 MZM720899:MZN720902 NJI720899:NJJ720902 NTE720899:NTF720902 ODA720899:ODB720902 OMW720899:OMX720902 OWS720899:OWT720902 PGO720899:PGP720902 PQK720899:PQL720902 QAG720899:QAH720902 QKC720899:QKD720902 QTY720899:QTZ720902 RDU720899:RDV720902 RNQ720899:RNR720902 RXM720899:RXN720902 SHI720899:SHJ720902 SRE720899:SRF720902 TBA720899:TBB720902 TKW720899:TKX720902 TUS720899:TUT720902 UEO720899:UEP720902 UOK720899:UOL720902 UYG720899:UYH720902 VIC720899:VID720902 VRY720899:VRZ720902 WBU720899:WBV720902 WLQ720899:WLR720902 WVM720899:WVN720902 JA786435:JB786438 SW786435:SX786438 ACS786435:ACT786438 AMO786435:AMP786438 AWK786435:AWL786438 BGG786435:BGH786438 BQC786435:BQD786438 BZY786435:BZZ786438 CJU786435:CJV786438 CTQ786435:CTR786438 DDM786435:DDN786438 DNI786435:DNJ786438 DXE786435:DXF786438 EHA786435:EHB786438 EQW786435:EQX786438 FAS786435:FAT786438 FKO786435:FKP786438 FUK786435:FUL786438 GEG786435:GEH786438 GOC786435:GOD786438 GXY786435:GXZ786438 HHU786435:HHV786438 HRQ786435:HRR786438 IBM786435:IBN786438 ILI786435:ILJ786438 IVE786435:IVF786438 JFA786435:JFB786438 JOW786435:JOX786438 JYS786435:JYT786438 KIO786435:KIP786438 KSK786435:KSL786438 LCG786435:LCH786438 LMC786435:LMD786438 LVY786435:LVZ786438 MFU786435:MFV786438 MPQ786435:MPR786438 MZM786435:MZN786438 NJI786435:NJJ786438 NTE786435:NTF786438 ODA786435:ODB786438 OMW786435:OMX786438 OWS786435:OWT786438 PGO786435:PGP786438 PQK786435:PQL786438 QAG786435:QAH786438 QKC786435:QKD786438 QTY786435:QTZ786438 RDU786435:RDV786438 RNQ786435:RNR786438 RXM786435:RXN786438 SHI786435:SHJ786438 SRE786435:SRF786438 TBA786435:TBB786438 TKW786435:TKX786438 TUS786435:TUT786438 UEO786435:UEP786438 UOK786435:UOL786438 UYG786435:UYH786438 VIC786435:VID786438 VRY786435:VRZ786438 WBU786435:WBV786438 WLQ786435:WLR786438 WVM786435:WVN786438 JA851971:JB851974 SW851971:SX851974 ACS851971:ACT851974 AMO851971:AMP851974 AWK851971:AWL851974 BGG851971:BGH851974 BQC851971:BQD851974 BZY851971:BZZ851974 CJU851971:CJV851974 CTQ851971:CTR851974 DDM851971:DDN851974 DNI851971:DNJ851974 DXE851971:DXF851974 EHA851971:EHB851974 EQW851971:EQX851974 FAS851971:FAT851974 FKO851971:FKP851974 FUK851971:FUL851974 GEG851971:GEH851974 GOC851971:GOD851974 GXY851971:GXZ851974 HHU851971:HHV851974 HRQ851971:HRR851974 IBM851971:IBN851974 ILI851971:ILJ851974 IVE851971:IVF851974 JFA851971:JFB851974 JOW851971:JOX851974 JYS851971:JYT851974 KIO851971:KIP851974 KSK851971:KSL851974 LCG851971:LCH851974 LMC851971:LMD851974 LVY851971:LVZ851974 MFU851971:MFV851974 MPQ851971:MPR851974 MZM851971:MZN851974 NJI851971:NJJ851974 NTE851971:NTF851974 ODA851971:ODB851974 OMW851971:OMX851974 OWS851971:OWT851974 PGO851971:PGP851974 PQK851971:PQL851974 QAG851971:QAH851974 QKC851971:QKD851974 QTY851971:QTZ851974 RDU851971:RDV851974 RNQ851971:RNR851974 RXM851971:RXN851974 SHI851971:SHJ851974 SRE851971:SRF851974 TBA851971:TBB851974 TKW851971:TKX851974 TUS851971:TUT851974 UEO851971:UEP851974 UOK851971:UOL851974 UYG851971:UYH851974 VIC851971:VID851974 VRY851971:VRZ851974 WBU851971:WBV851974 WLQ851971:WLR851974 WVM851971:WVN851974 JA917507:JB917510 SW917507:SX917510 ACS917507:ACT917510 AMO917507:AMP917510 AWK917507:AWL917510 BGG917507:BGH917510 BQC917507:BQD917510 BZY917507:BZZ917510 CJU917507:CJV917510 CTQ917507:CTR917510 DDM917507:DDN917510 DNI917507:DNJ917510 DXE917507:DXF917510 EHA917507:EHB917510 EQW917507:EQX917510 FAS917507:FAT917510 FKO917507:FKP917510 FUK917507:FUL917510 GEG917507:GEH917510 GOC917507:GOD917510 GXY917507:GXZ917510 HHU917507:HHV917510 HRQ917507:HRR917510 IBM917507:IBN917510 ILI917507:ILJ917510 IVE917507:IVF917510 JFA917507:JFB917510 JOW917507:JOX917510 JYS917507:JYT917510 KIO917507:KIP917510 KSK917507:KSL917510 LCG917507:LCH917510 LMC917507:LMD917510 LVY917507:LVZ917510 MFU917507:MFV917510 MPQ917507:MPR917510 MZM917507:MZN917510 NJI917507:NJJ917510 NTE917507:NTF917510 ODA917507:ODB917510 OMW917507:OMX917510 OWS917507:OWT917510 PGO917507:PGP917510 PQK917507:PQL917510 QAG917507:QAH917510 QKC917507:QKD917510 QTY917507:QTZ917510 RDU917507:RDV917510 RNQ917507:RNR917510 RXM917507:RXN917510 SHI917507:SHJ917510 SRE917507:SRF917510 TBA917507:TBB917510 TKW917507:TKX917510 TUS917507:TUT917510 UEO917507:UEP917510 UOK917507:UOL917510 UYG917507:UYH917510 VIC917507:VID917510 VRY917507:VRZ917510 WBU917507:WBV917510 WLQ917507:WLR917510 WVM917507:WVN917510 JA983043:JB983046 SW983043:SX983046 ACS983043:ACT983046 AMO983043:AMP983046 AWK983043:AWL983046 BGG983043:BGH983046 BQC983043:BQD983046 BZY983043:BZZ983046 CJU983043:CJV983046 CTQ983043:CTR983046 DDM983043:DDN983046 DNI983043:DNJ983046 DXE983043:DXF983046 EHA983043:EHB983046 EQW983043:EQX983046 FAS983043:FAT983046 FKO983043:FKP983046 FUK983043:FUL983046 GEG983043:GEH983046 GOC983043:GOD983046 GXY983043:GXZ983046 HHU983043:HHV983046 HRQ983043:HRR983046 IBM983043:IBN983046 ILI983043:ILJ983046 IVE983043:IVF983046 JFA983043:JFB983046 JOW983043:JOX983046 JYS983043:JYT983046 KIO983043:KIP983046 KSK983043:KSL983046 LCG983043:LCH983046 LMC983043:LMD983046 LVY983043:LVZ983046 MFU983043:MFV983046 MPQ983043:MPR983046 MZM983043:MZN983046 NJI983043:NJJ983046 NTE983043:NTF983046 ODA983043:ODB983046 OMW983043:OMX983046 OWS983043:OWT983046 PGO983043:PGP983046 PQK983043:PQL983046 QAG983043:QAH983046 QKC983043:QKD983046 QTY983043:QTZ983046 RDU983043:RDV983046 RNQ983043:RNR983046 RXM983043:RXN983046 SHI983043:SHJ983046 SRE983043:SRF983046 TBA983043:TBB983046 TKW983043:TKX983046 TUS983043:TUT983046 UEO983043:UEP983046 UOK983043:UOL983046 UYG983043:UYH983046 VIC983043:VID983046 VRY983043:VRZ983046 WBU983043:WBV983046 WLQ983043:WLR983046 WVM983043:WVN983046 WLF983043:WLG983046 IE65539:IF65542 SA65539:SB65542 ABW65539:ABX65542 ALS65539:ALT65542 AVO65539:AVP65542 BFK65539:BFL65542 BPG65539:BPH65542 BZC65539:BZD65542 CIY65539:CIZ65542 CSU65539:CSV65542 DCQ65539:DCR65542 DMM65539:DMN65542 DWI65539:DWJ65542 EGE65539:EGF65542 EQA65539:EQB65542 EZW65539:EZX65542 FJS65539:FJT65542 FTO65539:FTP65542 GDK65539:GDL65542 GNG65539:GNH65542 GXC65539:GXD65542 HGY65539:HGZ65542 HQU65539:HQV65542 IAQ65539:IAR65542 IKM65539:IKN65542 IUI65539:IUJ65542 JEE65539:JEF65542 JOA65539:JOB65542 JXW65539:JXX65542 KHS65539:KHT65542 KRO65539:KRP65542 LBK65539:LBL65542 LLG65539:LLH65542 LVC65539:LVD65542 MEY65539:MEZ65542 MOU65539:MOV65542 MYQ65539:MYR65542 NIM65539:NIN65542 NSI65539:NSJ65542 OCE65539:OCF65542 OMA65539:OMB65542 OVW65539:OVX65542 PFS65539:PFT65542 PPO65539:PPP65542 PZK65539:PZL65542 QJG65539:QJH65542 QTC65539:QTD65542 RCY65539:RCZ65542 RMU65539:RMV65542 RWQ65539:RWR65542 SGM65539:SGN65542 SQI65539:SQJ65542 TAE65539:TAF65542 TKA65539:TKB65542 TTW65539:TTX65542 UDS65539:UDT65542 UNO65539:UNP65542 UXK65539:UXL65542 VHG65539:VHH65542 VRC65539:VRD65542 WAY65539:WAZ65542 WKU65539:WKV65542 WUQ65539:WUR65542 IE131075:IF131078 SA131075:SB131078 ABW131075:ABX131078 ALS131075:ALT131078 AVO131075:AVP131078 BFK131075:BFL131078 BPG131075:BPH131078 BZC131075:BZD131078 CIY131075:CIZ131078 CSU131075:CSV131078 DCQ131075:DCR131078 DMM131075:DMN131078 DWI131075:DWJ131078 EGE131075:EGF131078 EQA131075:EQB131078 EZW131075:EZX131078 FJS131075:FJT131078 FTO131075:FTP131078 GDK131075:GDL131078 GNG131075:GNH131078 GXC131075:GXD131078 HGY131075:HGZ131078 HQU131075:HQV131078 IAQ131075:IAR131078 IKM131075:IKN131078 IUI131075:IUJ131078 JEE131075:JEF131078 JOA131075:JOB131078 JXW131075:JXX131078 KHS131075:KHT131078 KRO131075:KRP131078 LBK131075:LBL131078 LLG131075:LLH131078 LVC131075:LVD131078 MEY131075:MEZ131078 MOU131075:MOV131078 MYQ131075:MYR131078 NIM131075:NIN131078 NSI131075:NSJ131078 OCE131075:OCF131078 OMA131075:OMB131078 OVW131075:OVX131078 PFS131075:PFT131078 PPO131075:PPP131078 PZK131075:PZL131078 QJG131075:QJH131078 QTC131075:QTD131078 RCY131075:RCZ131078 RMU131075:RMV131078 RWQ131075:RWR131078 SGM131075:SGN131078 SQI131075:SQJ131078 TAE131075:TAF131078 TKA131075:TKB131078 TTW131075:TTX131078 UDS131075:UDT131078 UNO131075:UNP131078 UXK131075:UXL131078 VHG131075:VHH131078 VRC131075:VRD131078 WAY131075:WAZ131078 WKU131075:WKV131078 WUQ131075:WUR131078 IE196611:IF196614 SA196611:SB196614 ABW196611:ABX196614 ALS196611:ALT196614 AVO196611:AVP196614 BFK196611:BFL196614 BPG196611:BPH196614 BZC196611:BZD196614 CIY196611:CIZ196614 CSU196611:CSV196614 DCQ196611:DCR196614 DMM196611:DMN196614 DWI196611:DWJ196614 EGE196611:EGF196614 EQA196611:EQB196614 EZW196611:EZX196614 FJS196611:FJT196614 FTO196611:FTP196614 GDK196611:GDL196614 GNG196611:GNH196614 GXC196611:GXD196614 HGY196611:HGZ196614 HQU196611:HQV196614 IAQ196611:IAR196614 IKM196611:IKN196614 IUI196611:IUJ196614 JEE196611:JEF196614 JOA196611:JOB196614 JXW196611:JXX196614 KHS196611:KHT196614 KRO196611:KRP196614 LBK196611:LBL196614 LLG196611:LLH196614 LVC196611:LVD196614 MEY196611:MEZ196614 MOU196611:MOV196614 MYQ196611:MYR196614 NIM196611:NIN196614 NSI196611:NSJ196614 OCE196611:OCF196614 OMA196611:OMB196614 OVW196611:OVX196614 PFS196611:PFT196614 PPO196611:PPP196614 PZK196611:PZL196614 QJG196611:QJH196614 QTC196611:QTD196614 RCY196611:RCZ196614 RMU196611:RMV196614 RWQ196611:RWR196614 SGM196611:SGN196614 SQI196611:SQJ196614 TAE196611:TAF196614 TKA196611:TKB196614 TTW196611:TTX196614 UDS196611:UDT196614 UNO196611:UNP196614 UXK196611:UXL196614 VHG196611:VHH196614 VRC196611:VRD196614 WAY196611:WAZ196614 WKU196611:WKV196614 WUQ196611:WUR196614 IE262147:IF262150 SA262147:SB262150 ABW262147:ABX262150 ALS262147:ALT262150 AVO262147:AVP262150 BFK262147:BFL262150 BPG262147:BPH262150 BZC262147:BZD262150 CIY262147:CIZ262150 CSU262147:CSV262150 DCQ262147:DCR262150 DMM262147:DMN262150 DWI262147:DWJ262150 EGE262147:EGF262150 EQA262147:EQB262150 EZW262147:EZX262150 FJS262147:FJT262150 FTO262147:FTP262150 GDK262147:GDL262150 GNG262147:GNH262150 GXC262147:GXD262150 HGY262147:HGZ262150 HQU262147:HQV262150 IAQ262147:IAR262150 IKM262147:IKN262150 IUI262147:IUJ262150 JEE262147:JEF262150 JOA262147:JOB262150 JXW262147:JXX262150 KHS262147:KHT262150 KRO262147:KRP262150 LBK262147:LBL262150 LLG262147:LLH262150 LVC262147:LVD262150 MEY262147:MEZ262150 MOU262147:MOV262150 MYQ262147:MYR262150 NIM262147:NIN262150 NSI262147:NSJ262150 OCE262147:OCF262150 OMA262147:OMB262150 OVW262147:OVX262150 PFS262147:PFT262150 PPO262147:PPP262150 PZK262147:PZL262150 QJG262147:QJH262150 QTC262147:QTD262150 RCY262147:RCZ262150 RMU262147:RMV262150 RWQ262147:RWR262150 SGM262147:SGN262150 SQI262147:SQJ262150 TAE262147:TAF262150 TKA262147:TKB262150 TTW262147:TTX262150 UDS262147:UDT262150 UNO262147:UNP262150 UXK262147:UXL262150 VHG262147:VHH262150 VRC262147:VRD262150 WAY262147:WAZ262150 WKU262147:WKV262150 WUQ262147:WUR262150 IE327683:IF327686 SA327683:SB327686 ABW327683:ABX327686 ALS327683:ALT327686 AVO327683:AVP327686 BFK327683:BFL327686 BPG327683:BPH327686 BZC327683:BZD327686 CIY327683:CIZ327686 CSU327683:CSV327686 DCQ327683:DCR327686 DMM327683:DMN327686 DWI327683:DWJ327686 EGE327683:EGF327686 EQA327683:EQB327686 EZW327683:EZX327686 FJS327683:FJT327686 FTO327683:FTP327686 GDK327683:GDL327686 GNG327683:GNH327686 GXC327683:GXD327686 HGY327683:HGZ327686 HQU327683:HQV327686 IAQ327683:IAR327686 IKM327683:IKN327686 IUI327683:IUJ327686 JEE327683:JEF327686 JOA327683:JOB327686 JXW327683:JXX327686 KHS327683:KHT327686 KRO327683:KRP327686 LBK327683:LBL327686 LLG327683:LLH327686 LVC327683:LVD327686 MEY327683:MEZ327686 MOU327683:MOV327686 MYQ327683:MYR327686 NIM327683:NIN327686 NSI327683:NSJ327686 OCE327683:OCF327686 OMA327683:OMB327686 OVW327683:OVX327686 PFS327683:PFT327686 PPO327683:PPP327686 PZK327683:PZL327686 QJG327683:QJH327686 QTC327683:QTD327686 RCY327683:RCZ327686 RMU327683:RMV327686 RWQ327683:RWR327686 SGM327683:SGN327686 SQI327683:SQJ327686 TAE327683:TAF327686 TKA327683:TKB327686 TTW327683:TTX327686 UDS327683:UDT327686 UNO327683:UNP327686 UXK327683:UXL327686 VHG327683:VHH327686 VRC327683:VRD327686 WAY327683:WAZ327686 WKU327683:WKV327686 WUQ327683:WUR327686 IE393219:IF393222 SA393219:SB393222 ABW393219:ABX393222 ALS393219:ALT393222 AVO393219:AVP393222 BFK393219:BFL393222 BPG393219:BPH393222 BZC393219:BZD393222 CIY393219:CIZ393222 CSU393219:CSV393222 DCQ393219:DCR393222 DMM393219:DMN393222 DWI393219:DWJ393222 EGE393219:EGF393222 EQA393219:EQB393222 EZW393219:EZX393222 FJS393219:FJT393222 FTO393219:FTP393222 GDK393219:GDL393222 GNG393219:GNH393222 GXC393219:GXD393222 HGY393219:HGZ393222 HQU393219:HQV393222 IAQ393219:IAR393222 IKM393219:IKN393222 IUI393219:IUJ393222 JEE393219:JEF393222 JOA393219:JOB393222 JXW393219:JXX393222 KHS393219:KHT393222 KRO393219:KRP393222 LBK393219:LBL393222 LLG393219:LLH393222 LVC393219:LVD393222 MEY393219:MEZ393222 MOU393219:MOV393222 MYQ393219:MYR393222 NIM393219:NIN393222 NSI393219:NSJ393222 OCE393219:OCF393222 OMA393219:OMB393222 OVW393219:OVX393222 PFS393219:PFT393222 PPO393219:PPP393222 PZK393219:PZL393222 QJG393219:QJH393222 QTC393219:QTD393222 RCY393219:RCZ393222 RMU393219:RMV393222 RWQ393219:RWR393222 SGM393219:SGN393222 SQI393219:SQJ393222 TAE393219:TAF393222 TKA393219:TKB393222 TTW393219:TTX393222 UDS393219:UDT393222 UNO393219:UNP393222 UXK393219:UXL393222 VHG393219:VHH393222 VRC393219:VRD393222 WAY393219:WAZ393222 WKU393219:WKV393222 WUQ393219:WUR393222 IE458755:IF458758 SA458755:SB458758 ABW458755:ABX458758 ALS458755:ALT458758 AVO458755:AVP458758 BFK458755:BFL458758 BPG458755:BPH458758 BZC458755:BZD458758 CIY458755:CIZ458758 CSU458755:CSV458758 DCQ458755:DCR458758 DMM458755:DMN458758 DWI458755:DWJ458758 EGE458755:EGF458758 EQA458755:EQB458758 EZW458755:EZX458758 FJS458755:FJT458758 FTO458755:FTP458758 GDK458755:GDL458758 GNG458755:GNH458758 GXC458755:GXD458758 HGY458755:HGZ458758 HQU458755:HQV458758 IAQ458755:IAR458758 IKM458755:IKN458758 IUI458755:IUJ458758 JEE458755:JEF458758 JOA458755:JOB458758 JXW458755:JXX458758 KHS458755:KHT458758 KRO458755:KRP458758 LBK458755:LBL458758 LLG458755:LLH458758 LVC458755:LVD458758 MEY458755:MEZ458758 MOU458755:MOV458758 MYQ458755:MYR458758 NIM458755:NIN458758 NSI458755:NSJ458758 OCE458755:OCF458758 OMA458755:OMB458758 OVW458755:OVX458758 PFS458755:PFT458758 PPO458755:PPP458758 PZK458755:PZL458758 QJG458755:QJH458758 QTC458755:QTD458758 RCY458755:RCZ458758 RMU458755:RMV458758 RWQ458755:RWR458758 SGM458755:SGN458758 SQI458755:SQJ458758 TAE458755:TAF458758 TKA458755:TKB458758 TTW458755:TTX458758 UDS458755:UDT458758 UNO458755:UNP458758 UXK458755:UXL458758 VHG458755:VHH458758 VRC458755:VRD458758 WAY458755:WAZ458758 WKU458755:WKV458758 WUQ458755:WUR458758 IE524291:IF524294 SA524291:SB524294 ABW524291:ABX524294 ALS524291:ALT524294 AVO524291:AVP524294 BFK524291:BFL524294 BPG524291:BPH524294 BZC524291:BZD524294 CIY524291:CIZ524294 CSU524291:CSV524294 DCQ524291:DCR524294 DMM524291:DMN524294 DWI524291:DWJ524294 EGE524291:EGF524294 EQA524291:EQB524294 EZW524291:EZX524294 FJS524291:FJT524294 FTO524291:FTP524294 GDK524291:GDL524294 GNG524291:GNH524294 GXC524291:GXD524294 HGY524291:HGZ524294 HQU524291:HQV524294 IAQ524291:IAR524294 IKM524291:IKN524294 IUI524291:IUJ524294 JEE524291:JEF524294 JOA524291:JOB524294 JXW524291:JXX524294 KHS524291:KHT524294 KRO524291:KRP524294 LBK524291:LBL524294 LLG524291:LLH524294 LVC524291:LVD524294 MEY524291:MEZ524294 MOU524291:MOV524294 MYQ524291:MYR524294 NIM524291:NIN524294 NSI524291:NSJ524294 OCE524291:OCF524294 OMA524291:OMB524294 OVW524291:OVX524294 PFS524291:PFT524294 PPO524291:PPP524294 PZK524291:PZL524294 QJG524291:QJH524294 QTC524291:QTD524294 RCY524291:RCZ524294 RMU524291:RMV524294 RWQ524291:RWR524294 SGM524291:SGN524294 SQI524291:SQJ524294 TAE524291:TAF524294 TKA524291:TKB524294 TTW524291:TTX524294 UDS524291:UDT524294 UNO524291:UNP524294 UXK524291:UXL524294 VHG524291:VHH524294 VRC524291:VRD524294 WAY524291:WAZ524294 WKU524291:WKV524294 WUQ524291:WUR524294 IE589827:IF589830 SA589827:SB589830 ABW589827:ABX589830 ALS589827:ALT589830 AVO589827:AVP589830 BFK589827:BFL589830 BPG589827:BPH589830 BZC589827:BZD589830 CIY589827:CIZ589830 CSU589827:CSV589830 DCQ589827:DCR589830 DMM589827:DMN589830 DWI589827:DWJ589830 EGE589827:EGF589830 EQA589827:EQB589830 EZW589827:EZX589830 FJS589827:FJT589830 FTO589827:FTP589830 GDK589827:GDL589830 GNG589827:GNH589830 GXC589827:GXD589830 HGY589827:HGZ589830 HQU589827:HQV589830 IAQ589827:IAR589830 IKM589827:IKN589830 IUI589827:IUJ589830 JEE589827:JEF589830 JOA589827:JOB589830 JXW589827:JXX589830 KHS589827:KHT589830 KRO589827:KRP589830 LBK589827:LBL589830 LLG589827:LLH589830 LVC589827:LVD589830 MEY589827:MEZ589830 MOU589827:MOV589830 MYQ589827:MYR589830 NIM589827:NIN589830 NSI589827:NSJ589830 OCE589827:OCF589830 OMA589827:OMB589830 OVW589827:OVX589830 PFS589827:PFT589830 PPO589827:PPP589830 PZK589827:PZL589830 QJG589827:QJH589830 QTC589827:QTD589830 RCY589827:RCZ589830 RMU589827:RMV589830 RWQ589827:RWR589830 SGM589827:SGN589830 SQI589827:SQJ589830 TAE589827:TAF589830 TKA589827:TKB589830 TTW589827:TTX589830 UDS589827:UDT589830 UNO589827:UNP589830 UXK589827:UXL589830 VHG589827:VHH589830 VRC589827:VRD589830 WAY589827:WAZ589830 WKU589827:WKV589830 WUQ589827:WUR589830 IE655363:IF655366 SA655363:SB655366 ABW655363:ABX655366 ALS655363:ALT655366 AVO655363:AVP655366 BFK655363:BFL655366 BPG655363:BPH655366 BZC655363:BZD655366 CIY655363:CIZ655366 CSU655363:CSV655366 DCQ655363:DCR655366 DMM655363:DMN655366 DWI655363:DWJ655366 EGE655363:EGF655366 EQA655363:EQB655366 EZW655363:EZX655366 FJS655363:FJT655366 FTO655363:FTP655366 GDK655363:GDL655366 GNG655363:GNH655366 GXC655363:GXD655366 HGY655363:HGZ655366 HQU655363:HQV655366 IAQ655363:IAR655366 IKM655363:IKN655366 IUI655363:IUJ655366 JEE655363:JEF655366 JOA655363:JOB655366 JXW655363:JXX655366 KHS655363:KHT655366 KRO655363:KRP655366 LBK655363:LBL655366 LLG655363:LLH655366 LVC655363:LVD655366 MEY655363:MEZ655366 MOU655363:MOV655366 MYQ655363:MYR655366 NIM655363:NIN655366 NSI655363:NSJ655366 OCE655363:OCF655366 OMA655363:OMB655366 OVW655363:OVX655366 PFS655363:PFT655366 PPO655363:PPP655366 PZK655363:PZL655366 QJG655363:QJH655366 QTC655363:QTD655366 RCY655363:RCZ655366 RMU655363:RMV655366 RWQ655363:RWR655366 SGM655363:SGN655366 SQI655363:SQJ655366 TAE655363:TAF655366 TKA655363:TKB655366 TTW655363:TTX655366 UDS655363:UDT655366 UNO655363:UNP655366 UXK655363:UXL655366 VHG655363:VHH655366 VRC655363:VRD655366 WAY655363:WAZ655366 WKU655363:WKV655366 WUQ655363:WUR655366 IE720899:IF720902 SA720899:SB720902 ABW720899:ABX720902 ALS720899:ALT720902 AVO720899:AVP720902 BFK720899:BFL720902 BPG720899:BPH720902 BZC720899:BZD720902 CIY720899:CIZ720902 CSU720899:CSV720902 DCQ720899:DCR720902 DMM720899:DMN720902 DWI720899:DWJ720902 EGE720899:EGF720902 EQA720899:EQB720902 EZW720899:EZX720902 FJS720899:FJT720902 FTO720899:FTP720902 GDK720899:GDL720902 GNG720899:GNH720902 GXC720899:GXD720902 HGY720899:HGZ720902 HQU720899:HQV720902 IAQ720899:IAR720902 IKM720899:IKN720902 IUI720899:IUJ720902 JEE720899:JEF720902 JOA720899:JOB720902 JXW720899:JXX720902 KHS720899:KHT720902 KRO720899:KRP720902 LBK720899:LBL720902 LLG720899:LLH720902 LVC720899:LVD720902 MEY720899:MEZ720902 MOU720899:MOV720902 MYQ720899:MYR720902 NIM720899:NIN720902 NSI720899:NSJ720902 OCE720899:OCF720902 OMA720899:OMB720902 OVW720899:OVX720902 PFS720899:PFT720902 PPO720899:PPP720902 PZK720899:PZL720902 QJG720899:QJH720902 QTC720899:QTD720902 RCY720899:RCZ720902 RMU720899:RMV720902 RWQ720899:RWR720902 SGM720899:SGN720902 SQI720899:SQJ720902 TAE720899:TAF720902 TKA720899:TKB720902 TTW720899:TTX720902 UDS720899:UDT720902 UNO720899:UNP720902 UXK720899:UXL720902 VHG720899:VHH720902 VRC720899:VRD720902 WAY720899:WAZ720902 WKU720899:WKV720902 WUQ720899:WUR720902 IE786435:IF786438 SA786435:SB786438 ABW786435:ABX786438 ALS786435:ALT786438 AVO786435:AVP786438 BFK786435:BFL786438 BPG786435:BPH786438 BZC786435:BZD786438 CIY786435:CIZ786438 CSU786435:CSV786438 DCQ786435:DCR786438 DMM786435:DMN786438 DWI786435:DWJ786438 EGE786435:EGF786438 EQA786435:EQB786438 EZW786435:EZX786438 FJS786435:FJT786438 FTO786435:FTP786438 GDK786435:GDL786438 GNG786435:GNH786438 GXC786435:GXD786438 HGY786435:HGZ786438 HQU786435:HQV786438 IAQ786435:IAR786438 IKM786435:IKN786438 IUI786435:IUJ786438 JEE786435:JEF786438 JOA786435:JOB786438 JXW786435:JXX786438 KHS786435:KHT786438 KRO786435:KRP786438 LBK786435:LBL786438 LLG786435:LLH786438 LVC786435:LVD786438 MEY786435:MEZ786438 MOU786435:MOV786438 MYQ786435:MYR786438 NIM786435:NIN786438 NSI786435:NSJ786438 OCE786435:OCF786438 OMA786435:OMB786438 OVW786435:OVX786438 PFS786435:PFT786438 PPO786435:PPP786438 PZK786435:PZL786438 QJG786435:QJH786438 QTC786435:QTD786438 RCY786435:RCZ786438 RMU786435:RMV786438 RWQ786435:RWR786438 SGM786435:SGN786438 SQI786435:SQJ786438 TAE786435:TAF786438 TKA786435:TKB786438 TTW786435:TTX786438 UDS786435:UDT786438 UNO786435:UNP786438 UXK786435:UXL786438 VHG786435:VHH786438 VRC786435:VRD786438 WAY786435:WAZ786438 WKU786435:WKV786438 WUQ786435:WUR786438 IE851971:IF851974 SA851971:SB851974 ABW851971:ABX851974 ALS851971:ALT851974 AVO851971:AVP851974 BFK851971:BFL851974 BPG851971:BPH851974 BZC851971:BZD851974 CIY851971:CIZ851974 CSU851971:CSV851974 DCQ851971:DCR851974 DMM851971:DMN851974 DWI851971:DWJ851974 EGE851971:EGF851974 EQA851971:EQB851974 EZW851971:EZX851974 FJS851971:FJT851974 FTO851971:FTP851974 GDK851971:GDL851974 GNG851971:GNH851974 GXC851971:GXD851974 HGY851971:HGZ851974 HQU851971:HQV851974 IAQ851971:IAR851974 IKM851971:IKN851974 IUI851971:IUJ851974 JEE851971:JEF851974 JOA851971:JOB851974 JXW851971:JXX851974 KHS851971:KHT851974 KRO851971:KRP851974 LBK851971:LBL851974 LLG851971:LLH851974 LVC851971:LVD851974 MEY851971:MEZ851974 MOU851971:MOV851974 MYQ851971:MYR851974 NIM851971:NIN851974 NSI851971:NSJ851974 OCE851971:OCF851974 OMA851971:OMB851974 OVW851971:OVX851974 PFS851971:PFT851974 PPO851971:PPP851974 PZK851971:PZL851974 QJG851971:QJH851974 QTC851971:QTD851974 RCY851971:RCZ851974 RMU851971:RMV851974 RWQ851971:RWR851974 SGM851971:SGN851974 SQI851971:SQJ851974 TAE851971:TAF851974 TKA851971:TKB851974 TTW851971:TTX851974 UDS851971:UDT851974 UNO851971:UNP851974 UXK851971:UXL851974 VHG851971:VHH851974 VRC851971:VRD851974 WAY851971:WAZ851974 WKU851971:WKV851974 WUQ851971:WUR851974 IE917507:IF917510 SA917507:SB917510 ABW917507:ABX917510 ALS917507:ALT917510 AVO917507:AVP917510 BFK917507:BFL917510 BPG917507:BPH917510 BZC917507:BZD917510 CIY917507:CIZ917510 CSU917507:CSV917510 DCQ917507:DCR917510 DMM917507:DMN917510 DWI917507:DWJ917510 EGE917507:EGF917510 EQA917507:EQB917510 EZW917507:EZX917510 FJS917507:FJT917510 FTO917507:FTP917510 GDK917507:GDL917510 GNG917507:GNH917510 GXC917507:GXD917510 HGY917507:HGZ917510 HQU917507:HQV917510 IAQ917507:IAR917510 IKM917507:IKN917510 IUI917507:IUJ917510 JEE917507:JEF917510 JOA917507:JOB917510 JXW917507:JXX917510 KHS917507:KHT917510 KRO917507:KRP917510 LBK917507:LBL917510 LLG917507:LLH917510 LVC917507:LVD917510 MEY917507:MEZ917510 MOU917507:MOV917510 MYQ917507:MYR917510 NIM917507:NIN917510 NSI917507:NSJ917510 OCE917507:OCF917510 OMA917507:OMB917510 OVW917507:OVX917510 PFS917507:PFT917510 PPO917507:PPP917510 PZK917507:PZL917510 QJG917507:QJH917510 QTC917507:QTD917510 RCY917507:RCZ917510 RMU917507:RMV917510 RWQ917507:RWR917510 SGM917507:SGN917510 SQI917507:SQJ917510 TAE917507:TAF917510 TKA917507:TKB917510 TTW917507:TTX917510 UDS917507:UDT917510 UNO917507:UNP917510 UXK917507:UXL917510 VHG917507:VHH917510 VRC917507:VRD917510 WAY917507:WAZ917510 WKU917507:WKV917510 WUQ917507:WUR917510 IE983043:IF983046 SA983043:SB983046 ABW983043:ABX983046 ALS983043:ALT983046 AVO983043:AVP983046 BFK983043:BFL983046 BPG983043:BPH983046 BZC983043:BZD983046 CIY983043:CIZ983046 CSU983043:CSV983046 DCQ983043:DCR983046 DMM983043:DMN983046 DWI983043:DWJ983046 EGE983043:EGF983046 EQA983043:EQB983046 EZW983043:EZX983046 FJS983043:FJT983046 FTO983043:FTP983046 GDK983043:GDL983046 GNG983043:GNH983046 GXC983043:GXD983046 HGY983043:HGZ983046 HQU983043:HQV983046 IAQ983043:IAR983046 IKM983043:IKN983046 IUI983043:IUJ983046 JEE983043:JEF983046 JOA983043:JOB983046 JXW983043:JXX983046 KHS983043:KHT983046 KRO983043:KRP983046 LBK983043:LBL983046 LLG983043:LLH983046 LVC983043:LVD983046 MEY983043:MEZ983046 MOU983043:MOV983046 MYQ983043:MYR983046 NIM983043:NIN983046 NSI983043:NSJ983046 OCE983043:OCF983046 OMA983043:OMB983046 OVW983043:OVX983046 PFS983043:PFT983046 PPO983043:PPP983046 PZK983043:PZL983046 QJG983043:QJH983046 QTC983043:QTD983046 RCY983043:RCZ983046 RMU983043:RMV983046 RWQ983043:RWR983046 SGM983043:SGN983046 SQI983043:SQJ983046 TAE983043:TAF983046 TKA983043:TKB983046 TTW983043:TTX983046 UDS983043:UDT983046 UNO983043:UNP983046 UXK983043:UXL983046 VHG983043:VHH983046 VRC983043:VRD983046 WAY983043:WAZ983046 WKU983043:WKV983046 WUQ983043:WUR983046 WVB983043:WVC983046 VRN983043:VRO983046 IP65539:IQ65542 SL65539:SM65542 ACH65539:ACI65542 AMD65539:AME65542 AVZ65539:AWA65542 BFV65539:BFW65542 BPR65539:BPS65542 BZN65539:BZO65542 CJJ65539:CJK65542 CTF65539:CTG65542 DDB65539:DDC65542 DMX65539:DMY65542 DWT65539:DWU65542 EGP65539:EGQ65542 EQL65539:EQM65542 FAH65539:FAI65542 FKD65539:FKE65542 FTZ65539:FUA65542 GDV65539:GDW65542 GNR65539:GNS65542 GXN65539:GXO65542 HHJ65539:HHK65542 HRF65539:HRG65542 IBB65539:IBC65542 IKX65539:IKY65542 IUT65539:IUU65542 JEP65539:JEQ65542 JOL65539:JOM65542 JYH65539:JYI65542 KID65539:KIE65542 KRZ65539:KSA65542 LBV65539:LBW65542 LLR65539:LLS65542 LVN65539:LVO65542 MFJ65539:MFK65542 MPF65539:MPG65542 MZB65539:MZC65542 NIX65539:NIY65542 NST65539:NSU65542 OCP65539:OCQ65542 OML65539:OMM65542 OWH65539:OWI65542 PGD65539:PGE65542 PPZ65539:PQA65542 PZV65539:PZW65542 QJR65539:QJS65542 QTN65539:QTO65542 RDJ65539:RDK65542 RNF65539:RNG65542 RXB65539:RXC65542 SGX65539:SGY65542 SQT65539:SQU65542 TAP65539:TAQ65542 TKL65539:TKM65542 TUH65539:TUI65542 UED65539:UEE65542 UNZ65539:UOA65542 UXV65539:UXW65542 VHR65539:VHS65542 VRN65539:VRO65542 WBJ65539:WBK65542 WLF65539:WLG65542 WVB65539:WVC65542 IP131075:IQ131078 SL131075:SM131078 ACH131075:ACI131078 AMD131075:AME131078 AVZ131075:AWA131078 BFV131075:BFW131078 BPR131075:BPS131078 BZN131075:BZO131078 CJJ131075:CJK131078 CTF131075:CTG131078 DDB131075:DDC131078 DMX131075:DMY131078 DWT131075:DWU131078 EGP131075:EGQ131078 EQL131075:EQM131078 FAH131075:FAI131078 FKD131075:FKE131078 FTZ131075:FUA131078 GDV131075:GDW131078 GNR131075:GNS131078 GXN131075:GXO131078 HHJ131075:HHK131078 HRF131075:HRG131078 IBB131075:IBC131078 IKX131075:IKY131078 IUT131075:IUU131078 JEP131075:JEQ131078 JOL131075:JOM131078 JYH131075:JYI131078 KID131075:KIE131078 KRZ131075:KSA131078 LBV131075:LBW131078 LLR131075:LLS131078 LVN131075:LVO131078 MFJ131075:MFK131078 MPF131075:MPG131078 MZB131075:MZC131078 NIX131075:NIY131078 NST131075:NSU131078 OCP131075:OCQ131078 OML131075:OMM131078 OWH131075:OWI131078 PGD131075:PGE131078 PPZ131075:PQA131078 PZV131075:PZW131078 QJR131075:QJS131078 QTN131075:QTO131078 RDJ131075:RDK131078 RNF131075:RNG131078 RXB131075:RXC131078 SGX131075:SGY131078 SQT131075:SQU131078 TAP131075:TAQ131078 TKL131075:TKM131078 TUH131075:TUI131078 UED131075:UEE131078 UNZ131075:UOA131078 UXV131075:UXW131078 VHR131075:VHS131078 VRN131075:VRO131078 WBJ131075:WBK131078 WLF131075:WLG131078 WVB131075:WVC131078 IP196611:IQ196614 SL196611:SM196614 ACH196611:ACI196614 AMD196611:AME196614 AVZ196611:AWA196614 BFV196611:BFW196614 BPR196611:BPS196614 BZN196611:BZO196614 CJJ196611:CJK196614 CTF196611:CTG196614 DDB196611:DDC196614 DMX196611:DMY196614 DWT196611:DWU196614 EGP196611:EGQ196614 EQL196611:EQM196614 FAH196611:FAI196614 FKD196611:FKE196614 FTZ196611:FUA196614 GDV196611:GDW196614 GNR196611:GNS196614 GXN196611:GXO196614 HHJ196611:HHK196614 HRF196611:HRG196614 IBB196611:IBC196614 IKX196611:IKY196614 IUT196611:IUU196614 JEP196611:JEQ196614 JOL196611:JOM196614 JYH196611:JYI196614 KID196611:KIE196614 KRZ196611:KSA196614 LBV196611:LBW196614 LLR196611:LLS196614 LVN196611:LVO196614 MFJ196611:MFK196614 MPF196611:MPG196614 MZB196611:MZC196614 NIX196611:NIY196614 NST196611:NSU196614 OCP196611:OCQ196614 OML196611:OMM196614 OWH196611:OWI196614 PGD196611:PGE196614 PPZ196611:PQA196614 PZV196611:PZW196614 QJR196611:QJS196614 QTN196611:QTO196614 RDJ196611:RDK196614 RNF196611:RNG196614 RXB196611:RXC196614 SGX196611:SGY196614 SQT196611:SQU196614 TAP196611:TAQ196614 TKL196611:TKM196614 TUH196611:TUI196614 UED196611:UEE196614 UNZ196611:UOA196614 UXV196611:UXW196614 VHR196611:VHS196614 VRN196611:VRO196614 WBJ196611:WBK196614 WLF196611:WLG196614 WVB196611:WVC196614 IP262147:IQ262150 SL262147:SM262150 ACH262147:ACI262150 AMD262147:AME262150 AVZ262147:AWA262150 BFV262147:BFW262150 BPR262147:BPS262150 BZN262147:BZO262150 CJJ262147:CJK262150 CTF262147:CTG262150 DDB262147:DDC262150 DMX262147:DMY262150 DWT262147:DWU262150 EGP262147:EGQ262150 EQL262147:EQM262150 FAH262147:FAI262150 FKD262147:FKE262150 FTZ262147:FUA262150 GDV262147:GDW262150 GNR262147:GNS262150 GXN262147:GXO262150 HHJ262147:HHK262150 HRF262147:HRG262150 IBB262147:IBC262150 IKX262147:IKY262150 IUT262147:IUU262150 JEP262147:JEQ262150 JOL262147:JOM262150 JYH262147:JYI262150 KID262147:KIE262150 KRZ262147:KSA262150 LBV262147:LBW262150 LLR262147:LLS262150 LVN262147:LVO262150 MFJ262147:MFK262150 MPF262147:MPG262150 MZB262147:MZC262150 NIX262147:NIY262150 NST262147:NSU262150 OCP262147:OCQ262150 OML262147:OMM262150 OWH262147:OWI262150 PGD262147:PGE262150 PPZ262147:PQA262150 PZV262147:PZW262150 QJR262147:QJS262150 QTN262147:QTO262150 RDJ262147:RDK262150 RNF262147:RNG262150 RXB262147:RXC262150 SGX262147:SGY262150 SQT262147:SQU262150 TAP262147:TAQ262150 TKL262147:TKM262150 TUH262147:TUI262150 UED262147:UEE262150 UNZ262147:UOA262150 UXV262147:UXW262150 VHR262147:VHS262150 VRN262147:VRO262150 WBJ262147:WBK262150 WLF262147:WLG262150 WVB262147:WVC262150 IP327683:IQ327686 SL327683:SM327686 ACH327683:ACI327686 AMD327683:AME327686 AVZ327683:AWA327686 BFV327683:BFW327686 BPR327683:BPS327686 BZN327683:BZO327686 CJJ327683:CJK327686 CTF327683:CTG327686 DDB327683:DDC327686 DMX327683:DMY327686 DWT327683:DWU327686 EGP327683:EGQ327686 EQL327683:EQM327686 FAH327683:FAI327686 FKD327683:FKE327686 FTZ327683:FUA327686 GDV327683:GDW327686 GNR327683:GNS327686 GXN327683:GXO327686 HHJ327683:HHK327686 HRF327683:HRG327686 IBB327683:IBC327686 IKX327683:IKY327686 IUT327683:IUU327686 JEP327683:JEQ327686 JOL327683:JOM327686 JYH327683:JYI327686 KID327683:KIE327686 KRZ327683:KSA327686 LBV327683:LBW327686 LLR327683:LLS327686 LVN327683:LVO327686 MFJ327683:MFK327686 MPF327683:MPG327686 MZB327683:MZC327686 NIX327683:NIY327686 NST327683:NSU327686 OCP327683:OCQ327686 OML327683:OMM327686 OWH327683:OWI327686 PGD327683:PGE327686 PPZ327683:PQA327686 PZV327683:PZW327686 QJR327683:QJS327686 QTN327683:QTO327686 RDJ327683:RDK327686 RNF327683:RNG327686 RXB327683:RXC327686 SGX327683:SGY327686 SQT327683:SQU327686 TAP327683:TAQ327686 TKL327683:TKM327686 TUH327683:TUI327686 UED327683:UEE327686 UNZ327683:UOA327686 UXV327683:UXW327686 VHR327683:VHS327686 VRN327683:VRO327686 WBJ327683:WBK327686 WLF327683:WLG327686 WVB327683:WVC327686 IP393219:IQ393222 SL393219:SM393222 ACH393219:ACI393222 AMD393219:AME393222 AVZ393219:AWA393222 BFV393219:BFW393222 BPR393219:BPS393222 BZN393219:BZO393222 CJJ393219:CJK393222 CTF393219:CTG393222 DDB393219:DDC393222 DMX393219:DMY393222 DWT393219:DWU393222 EGP393219:EGQ393222 EQL393219:EQM393222 FAH393219:FAI393222 FKD393219:FKE393222 FTZ393219:FUA393222 GDV393219:GDW393222 GNR393219:GNS393222 GXN393219:GXO393222 HHJ393219:HHK393222 HRF393219:HRG393222 IBB393219:IBC393222 IKX393219:IKY393222 IUT393219:IUU393222 JEP393219:JEQ393222 JOL393219:JOM393222 JYH393219:JYI393222 KID393219:KIE393222 KRZ393219:KSA393222 LBV393219:LBW393222 LLR393219:LLS393222 LVN393219:LVO393222 MFJ393219:MFK393222 MPF393219:MPG393222 MZB393219:MZC393222 NIX393219:NIY393222 NST393219:NSU393222 OCP393219:OCQ393222 OML393219:OMM393222 OWH393219:OWI393222 PGD393219:PGE393222 PPZ393219:PQA393222 PZV393219:PZW393222 QJR393219:QJS393222 QTN393219:QTO393222 RDJ393219:RDK393222 RNF393219:RNG393222 RXB393219:RXC393222 SGX393219:SGY393222 SQT393219:SQU393222 TAP393219:TAQ393222 TKL393219:TKM393222 TUH393219:TUI393222 UED393219:UEE393222 UNZ393219:UOA393222 UXV393219:UXW393222 VHR393219:VHS393222 VRN393219:VRO393222 WBJ393219:WBK393222 WLF393219:WLG393222 WVB393219:WVC393222 IP458755:IQ458758 SL458755:SM458758 ACH458755:ACI458758 AMD458755:AME458758 AVZ458755:AWA458758 BFV458755:BFW458758 BPR458755:BPS458758 BZN458755:BZO458758 CJJ458755:CJK458758 CTF458755:CTG458758 DDB458755:DDC458758 DMX458755:DMY458758 DWT458755:DWU458758 EGP458755:EGQ458758 EQL458755:EQM458758 FAH458755:FAI458758 FKD458755:FKE458758 FTZ458755:FUA458758 GDV458755:GDW458758 GNR458755:GNS458758 GXN458755:GXO458758 HHJ458755:HHK458758 HRF458755:HRG458758 IBB458755:IBC458758 IKX458755:IKY458758 IUT458755:IUU458758 JEP458755:JEQ458758 JOL458755:JOM458758 JYH458755:JYI458758 KID458755:KIE458758 KRZ458755:KSA458758 LBV458755:LBW458758 LLR458755:LLS458758 LVN458755:LVO458758 MFJ458755:MFK458758 MPF458755:MPG458758 MZB458755:MZC458758 NIX458755:NIY458758 NST458755:NSU458758 OCP458755:OCQ458758 OML458755:OMM458758 OWH458755:OWI458758 PGD458755:PGE458758 PPZ458755:PQA458758 PZV458755:PZW458758 QJR458755:QJS458758 QTN458755:QTO458758 RDJ458755:RDK458758 RNF458755:RNG458758 RXB458755:RXC458758 SGX458755:SGY458758 SQT458755:SQU458758 TAP458755:TAQ458758 TKL458755:TKM458758 TUH458755:TUI458758 UED458755:UEE458758 UNZ458755:UOA458758 UXV458755:UXW458758 VHR458755:VHS458758 VRN458755:VRO458758 WBJ458755:WBK458758 WLF458755:WLG458758 WVB458755:WVC458758 IP524291:IQ524294 SL524291:SM524294 ACH524291:ACI524294 AMD524291:AME524294 AVZ524291:AWA524294 BFV524291:BFW524294 BPR524291:BPS524294 BZN524291:BZO524294 CJJ524291:CJK524294 CTF524291:CTG524294 DDB524291:DDC524294 DMX524291:DMY524294 DWT524291:DWU524294 EGP524291:EGQ524294 EQL524291:EQM524294 FAH524291:FAI524294 FKD524291:FKE524294 FTZ524291:FUA524294 GDV524291:GDW524294 GNR524291:GNS524294 GXN524291:GXO524294 HHJ524291:HHK524294 HRF524291:HRG524294 IBB524291:IBC524294 IKX524291:IKY524294 IUT524291:IUU524294 JEP524291:JEQ524294 JOL524291:JOM524294 JYH524291:JYI524294 KID524291:KIE524294 KRZ524291:KSA524294 LBV524291:LBW524294 LLR524291:LLS524294 LVN524291:LVO524294 MFJ524291:MFK524294 MPF524291:MPG524294 MZB524291:MZC524294 NIX524291:NIY524294 NST524291:NSU524294 OCP524291:OCQ524294 OML524291:OMM524294 OWH524291:OWI524294 PGD524291:PGE524294 PPZ524291:PQA524294 PZV524291:PZW524294 QJR524291:QJS524294 QTN524291:QTO524294 RDJ524291:RDK524294 RNF524291:RNG524294 RXB524291:RXC524294 SGX524291:SGY524294 SQT524291:SQU524294 TAP524291:TAQ524294 TKL524291:TKM524294 TUH524291:TUI524294 UED524291:UEE524294 UNZ524291:UOA524294 UXV524291:UXW524294 VHR524291:VHS524294 VRN524291:VRO524294 WBJ524291:WBK524294 WLF524291:WLG524294 WVB524291:WVC524294 IP589827:IQ589830 SL589827:SM589830 ACH589827:ACI589830 AMD589827:AME589830 AVZ589827:AWA589830 BFV589827:BFW589830 BPR589827:BPS589830 BZN589827:BZO589830 CJJ589827:CJK589830 CTF589827:CTG589830 DDB589827:DDC589830 DMX589827:DMY589830 DWT589827:DWU589830 EGP589827:EGQ589830 EQL589827:EQM589830 FAH589827:FAI589830 FKD589827:FKE589830 FTZ589827:FUA589830 GDV589827:GDW589830 GNR589827:GNS589830 GXN589827:GXO589830 HHJ589827:HHK589830 HRF589827:HRG589830 IBB589827:IBC589830 IKX589827:IKY589830 IUT589827:IUU589830 JEP589827:JEQ589830 JOL589827:JOM589830 JYH589827:JYI589830 KID589827:KIE589830 KRZ589827:KSA589830 LBV589827:LBW589830 LLR589827:LLS589830 LVN589827:LVO589830 MFJ589827:MFK589830 MPF589827:MPG589830 MZB589827:MZC589830 NIX589827:NIY589830 NST589827:NSU589830 OCP589827:OCQ589830 OML589827:OMM589830 OWH589827:OWI589830 PGD589827:PGE589830 PPZ589827:PQA589830 PZV589827:PZW589830 QJR589827:QJS589830 QTN589827:QTO589830 RDJ589827:RDK589830 RNF589827:RNG589830 RXB589827:RXC589830 SGX589827:SGY589830 SQT589827:SQU589830 TAP589827:TAQ589830 TKL589827:TKM589830 TUH589827:TUI589830 UED589827:UEE589830 UNZ589827:UOA589830 UXV589827:UXW589830 VHR589827:VHS589830 VRN589827:VRO589830 WBJ589827:WBK589830 WLF589827:WLG589830 WVB589827:WVC589830 IP655363:IQ655366 SL655363:SM655366 ACH655363:ACI655366 AMD655363:AME655366 AVZ655363:AWA655366 BFV655363:BFW655366 BPR655363:BPS655366 BZN655363:BZO655366 CJJ655363:CJK655366 CTF655363:CTG655366 DDB655363:DDC655366 DMX655363:DMY655366 DWT655363:DWU655366 EGP655363:EGQ655366 EQL655363:EQM655366 FAH655363:FAI655366 FKD655363:FKE655366 FTZ655363:FUA655366 GDV655363:GDW655366 GNR655363:GNS655366 GXN655363:GXO655366 HHJ655363:HHK655366 HRF655363:HRG655366 IBB655363:IBC655366 IKX655363:IKY655366 IUT655363:IUU655366 JEP655363:JEQ655366 JOL655363:JOM655366 JYH655363:JYI655366 KID655363:KIE655366 KRZ655363:KSA655366 LBV655363:LBW655366 LLR655363:LLS655366 LVN655363:LVO655366 MFJ655363:MFK655366 MPF655363:MPG655366 MZB655363:MZC655366 NIX655363:NIY655366 NST655363:NSU655366 OCP655363:OCQ655366 OML655363:OMM655366 OWH655363:OWI655366 PGD655363:PGE655366 PPZ655363:PQA655366 PZV655363:PZW655366 QJR655363:QJS655366 QTN655363:QTO655366 RDJ655363:RDK655366 RNF655363:RNG655366 RXB655363:RXC655366 SGX655363:SGY655366 SQT655363:SQU655366 TAP655363:TAQ655366 TKL655363:TKM655366 TUH655363:TUI655366 UED655363:UEE655366 UNZ655363:UOA655366 UXV655363:UXW655366 VHR655363:VHS655366 VRN655363:VRO655366 WBJ655363:WBK655366 WLF655363:WLG655366 WVB655363:WVC655366 IP720899:IQ720902 SL720899:SM720902 ACH720899:ACI720902 AMD720899:AME720902 AVZ720899:AWA720902 BFV720899:BFW720902 BPR720899:BPS720902 BZN720899:BZO720902 CJJ720899:CJK720902 CTF720899:CTG720902 DDB720899:DDC720902 DMX720899:DMY720902 DWT720899:DWU720902 EGP720899:EGQ720902 EQL720899:EQM720902 FAH720899:FAI720902 FKD720899:FKE720902 FTZ720899:FUA720902 GDV720899:GDW720902 GNR720899:GNS720902 GXN720899:GXO720902 HHJ720899:HHK720902 HRF720899:HRG720902 IBB720899:IBC720902 IKX720899:IKY720902 IUT720899:IUU720902 JEP720899:JEQ720902 JOL720899:JOM720902 JYH720899:JYI720902 KID720899:KIE720902 KRZ720899:KSA720902 LBV720899:LBW720902 LLR720899:LLS720902 LVN720899:LVO720902 MFJ720899:MFK720902 MPF720899:MPG720902 MZB720899:MZC720902 NIX720899:NIY720902 NST720899:NSU720902 OCP720899:OCQ720902 OML720899:OMM720902 OWH720899:OWI720902 PGD720899:PGE720902 PPZ720899:PQA720902 PZV720899:PZW720902 QJR720899:QJS720902 QTN720899:QTO720902 RDJ720899:RDK720902 RNF720899:RNG720902 RXB720899:RXC720902 SGX720899:SGY720902 SQT720899:SQU720902 TAP720899:TAQ720902 TKL720899:TKM720902 TUH720899:TUI720902 UED720899:UEE720902 UNZ720899:UOA720902 UXV720899:UXW720902 VHR720899:VHS720902 VRN720899:VRO720902 WBJ720899:WBK720902 WLF720899:WLG720902 WVB720899:WVC720902 IP786435:IQ786438 SL786435:SM786438 ACH786435:ACI786438 AMD786435:AME786438 AVZ786435:AWA786438 BFV786435:BFW786438 BPR786435:BPS786438 BZN786435:BZO786438 CJJ786435:CJK786438 CTF786435:CTG786438 DDB786435:DDC786438 DMX786435:DMY786438 DWT786435:DWU786438 EGP786435:EGQ786438 EQL786435:EQM786438 FAH786435:FAI786438 FKD786435:FKE786438 FTZ786435:FUA786438 GDV786435:GDW786438 GNR786435:GNS786438 GXN786435:GXO786438 HHJ786435:HHK786438 HRF786435:HRG786438 IBB786435:IBC786438 IKX786435:IKY786438 IUT786435:IUU786438 JEP786435:JEQ786438 JOL786435:JOM786438 JYH786435:JYI786438 KID786435:KIE786438 KRZ786435:KSA786438 LBV786435:LBW786438 LLR786435:LLS786438 LVN786435:LVO786438 MFJ786435:MFK786438 MPF786435:MPG786438 MZB786435:MZC786438 NIX786435:NIY786438 NST786435:NSU786438 OCP786435:OCQ786438 OML786435:OMM786438 OWH786435:OWI786438 PGD786435:PGE786438 PPZ786435:PQA786438 PZV786435:PZW786438 QJR786435:QJS786438 QTN786435:QTO786438 RDJ786435:RDK786438 RNF786435:RNG786438 RXB786435:RXC786438 SGX786435:SGY786438 SQT786435:SQU786438 TAP786435:TAQ786438 TKL786435:TKM786438 TUH786435:TUI786438 UED786435:UEE786438 UNZ786435:UOA786438 UXV786435:UXW786438 VHR786435:VHS786438 VRN786435:VRO786438 WBJ786435:WBK786438 WLF786435:WLG786438 WVB786435:WVC786438 IP851971:IQ851974 SL851971:SM851974 ACH851971:ACI851974 AMD851971:AME851974 AVZ851971:AWA851974 BFV851971:BFW851974 BPR851971:BPS851974 BZN851971:BZO851974 CJJ851971:CJK851974 CTF851971:CTG851974 DDB851971:DDC851974 DMX851971:DMY851974 DWT851971:DWU851974 EGP851971:EGQ851974 EQL851971:EQM851974 FAH851971:FAI851974 FKD851971:FKE851974 FTZ851971:FUA851974 GDV851971:GDW851974 GNR851971:GNS851974 GXN851971:GXO851974 HHJ851971:HHK851974 HRF851971:HRG851974 IBB851971:IBC851974 IKX851971:IKY851974 IUT851971:IUU851974 JEP851971:JEQ851974 JOL851971:JOM851974 JYH851971:JYI851974 KID851971:KIE851974 KRZ851971:KSA851974 LBV851971:LBW851974 LLR851971:LLS851974 LVN851971:LVO851974 MFJ851971:MFK851974 MPF851971:MPG851974 MZB851971:MZC851974 NIX851971:NIY851974 NST851971:NSU851974 OCP851971:OCQ851974 OML851971:OMM851974 OWH851971:OWI851974 PGD851971:PGE851974 PPZ851971:PQA851974 PZV851971:PZW851974 QJR851971:QJS851974 QTN851971:QTO851974 RDJ851971:RDK851974 RNF851971:RNG851974 RXB851971:RXC851974 SGX851971:SGY851974 SQT851971:SQU851974 TAP851971:TAQ851974 TKL851971:TKM851974 TUH851971:TUI851974 UED851971:UEE851974 UNZ851971:UOA851974 UXV851971:UXW851974 VHR851971:VHS851974 VRN851971:VRO851974 WBJ851971:WBK851974 WLF851971:WLG851974 WVB851971:WVC851974 IP917507:IQ917510 SL917507:SM917510 ACH917507:ACI917510 AMD917507:AME917510 AVZ917507:AWA917510 BFV917507:BFW917510 BPR917507:BPS917510 BZN917507:BZO917510 CJJ917507:CJK917510 CTF917507:CTG917510 DDB917507:DDC917510 DMX917507:DMY917510 DWT917507:DWU917510 EGP917507:EGQ917510 EQL917507:EQM917510 FAH917507:FAI917510 FKD917507:FKE917510 FTZ917507:FUA917510 GDV917507:GDW917510 GNR917507:GNS917510 GXN917507:GXO917510 HHJ917507:HHK917510 HRF917507:HRG917510 IBB917507:IBC917510 IKX917507:IKY917510 IUT917507:IUU917510 JEP917507:JEQ917510 JOL917507:JOM917510 JYH917507:JYI917510 KID917507:KIE917510 KRZ917507:KSA917510 LBV917507:LBW917510 LLR917507:LLS917510 LVN917507:LVO917510 MFJ917507:MFK917510 MPF917507:MPG917510 MZB917507:MZC917510 NIX917507:NIY917510 NST917507:NSU917510 OCP917507:OCQ917510 OML917507:OMM917510 OWH917507:OWI917510 PGD917507:PGE917510 PPZ917507:PQA917510 PZV917507:PZW917510 QJR917507:QJS917510 QTN917507:QTO917510 RDJ917507:RDK917510 RNF917507:RNG917510 RXB917507:RXC917510 SGX917507:SGY917510 SQT917507:SQU917510 TAP917507:TAQ917510 TKL917507:TKM917510 TUH917507:TUI917510 UED917507:UEE917510 UNZ917507:UOA917510 UXV917507:UXW917510 VHR917507:VHS917510 VRN917507:VRO917510 WBJ917507:WBK917510 WLF917507:WLG917510 WVB917507:WVC917510 IP983043:IQ983046 SL983043:SM983046 ACH983043:ACI983046 AMD983043:AME983046 AVZ983043:AWA983046 BFV983043:BFW983046 BPR983043:BPS983046 BZN983043:BZO983046 CJJ983043:CJK983046 CTF983043:CTG983046 DDB983043:DDC983046 DMX983043:DMY983046 DWT983043:DWU983046 EGP983043:EGQ983046 EQL983043:EQM983046 FAH983043:FAI983046 FKD983043:FKE983046 FTZ983043:FUA983046 GDV983043:GDW983046 GNR983043:GNS983046 GXN983043:GXO983046 HHJ983043:HHK983046 HRF983043:HRG983046 IBB983043:IBC983046 IKX983043:IKY983046 IUT983043:IUU983046 JEP983043:JEQ983046 JOL983043:JOM983046 JYH983043:JYI983046 KID983043:KIE983046 KRZ983043:KSA983046 LBV983043:LBW983046 LLR983043:LLS983046 LVN983043:LVO983046 MFJ983043:MFK983046 MPF983043:MPG983046 MZB983043:MZC983046 NIX983043:NIY983046 NST983043:NSU983046 OCP983043:OCQ983046 OML983043:OMM983046 OWH983043:OWI983046 PGD983043:PGE983046 PPZ983043:PQA983046 PZV983043:PZW983046 QJR983043:QJS983046 QTN983043:QTO983046 RDJ983043:RDK983046 RNF983043:RNG983046 RXB983043:RXC983046 SGX983043:SGY983046 SQT983043:SQU983046 TAP983043:TAQ983046 TKL983043:TKM983046 TUH983043:TUI983046 UED983043:UEE983046 UNZ983043:UOA983046 UXV983043:UXW983046 VHR983043:VHS983046">
      <formula1>"YES,NO"</formula1>
    </dataValidation>
  </dataValidations>
  <printOptions horizontalCentered="1"/>
  <pageMargins left="0" right="0" top="0" bottom="0" header="0" footer="0"/>
  <pageSetup paperSize="9" scale="90" orientation="landscape" blackAndWhite="1" verticalDpi="300" r:id="rId1"/>
  <headerFoot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T13"/>
  <sheetViews>
    <sheetView view="pageBreakPreview" zoomScale="115" zoomScaleNormal="115" zoomScaleSheetLayoutView="115" workbookViewId="0">
      <selection activeCell="H8" sqref="A7:H8"/>
    </sheetView>
  </sheetViews>
  <sheetFormatPr defaultRowHeight="15" x14ac:dyDescent="0.25"/>
  <cols>
    <col min="1" max="1" width="7.42578125" style="349" customWidth="1"/>
    <col min="2" max="2" width="40.7109375" style="349" customWidth="1"/>
    <col min="3" max="3" width="5.28515625" style="349" bestFit="1" customWidth="1"/>
    <col min="4" max="4" width="5.140625" style="349" customWidth="1"/>
    <col min="5" max="5" width="9.85546875" style="349" bestFit="1" customWidth="1"/>
    <col min="6" max="6" width="10" style="349" bestFit="1" customWidth="1"/>
    <col min="7" max="7" width="11" style="349" bestFit="1" customWidth="1"/>
    <col min="8" max="8" width="18.85546875" style="349" bestFit="1" customWidth="1"/>
    <col min="9" max="9" width="7.140625" style="349" bestFit="1" customWidth="1"/>
    <col min="10" max="10" width="10.140625" style="349" bestFit="1" customWidth="1"/>
    <col min="11" max="11" width="10.85546875" style="349" bestFit="1" customWidth="1"/>
    <col min="12" max="12" width="10.140625" style="349" bestFit="1" customWidth="1"/>
    <col min="13" max="13" width="8.5703125" style="349" bestFit="1" customWidth="1"/>
    <col min="14" max="14" width="8.85546875" style="349" bestFit="1" customWidth="1"/>
    <col min="15" max="15" width="10.140625" style="349" bestFit="1" customWidth="1"/>
    <col min="16" max="16" width="10.85546875" style="349" bestFit="1" customWidth="1"/>
    <col min="17" max="17" width="10.140625" style="349" bestFit="1" customWidth="1"/>
    <col min="18" max="18" width="8.5703125" style="349" bestFit="1" customWidth="1"/>
    <col min="19" max="19" width="8" style="349" bestFit="1" customWidth="1"/>
    <col min="20" max="20" width="10.140625" style="349" bestFit="1" customWidth="1"/>
    <col min="21" max="21" width="13.7109375" style="349" bestFit="1" customWidth="1"/>
    <col min="22" max="22" width="10.140625" style="349" bestFit="1" customWidth="1"/>
    <col min="23" max="23" width="10.7109375" style="349" bestFit="1" customWidth="1"/>
    <col min="24" max="24" width="7.140625" style="349" bestFit="1" customWidth="1"/>
    <col min="25" max="25" width="10.140625" style="349" bestFit="1" customWidth="1"/>
    <col min="26" max="26" width="10.85546875" style="349" bestFit="1" customWidth="1"/>
    <col min="27" max="27" width="10.140625" style="349" bestFit="1" customWidth="1"/>
    <col min="28" max="28" width="8.5703125" style="349" bestFit="1" customWidth="1"/>
    <col min="29" max="29" width="7.140625" style="349" bestFit="1" customWidth="1"/>
    <col min="30" max="30" width="10.140625" style="349" bestFit="1" customWidth="1"/>
    <col min="31" max="31" width="10.85546875" style="349" bestFit="1" customWidth="1"/>
    <col min="32" max="32" width="10.140625" style="349" bestFit="1" customWidth="1"/>
    <col min="33" max="33" width="8.5703125" style="349" bestFit="1" customWidth="1"/>
    <col min="34" max="42" width="9.140625" style="349"/>
    <col min="43" max="43" width="9.85546875" style="349" bestFit="1" customWidth="1"/>
    <col min="44" max="44" width="10" style="349" bestFit="1" customWidth="1"/>
    <col min="45" max="224" width="9.140625" style="349"/>
    <col min="225" max="263" width="2.42578125" style="349" customWidth="1"/>
    <col min="264" max="264" width="3.42578125" style="349" bestFit="1" customWidth="1"/>
    <col min="265" max="480" width="9.140625" style="349"/>
    <col min="481" max="519" width="2.42578125" style="349" customWidth="1"/>
    <col min="520" max="520" width="3.42578125" style="349" bestFit="1" customWidth="1"/>
    <col min="521" max="736" width="9.140625" style="349"/>
    <col min="737" max="775" width="2.42578125" style="349" customWidth="1"/>
    <col min="776" max="776" width="3.42578125" style="349" bestFit="1" customWidth="1"/>
    <col min="777" max="992" width="9.140625" style="349"/>
    <col min="993" max="1031" width="2.42578125" style="349" customWidth="1"/>
    <col min="1032" max="1032" width="3.42578125" style="349" bestFit="1" customWidth="1"/>
    <col min="1033" max="1248" width="9.140625" style="349"/>
    <col min="1249" max="1287" width="2.42578125" style="349" customWidth="1"/>
    <col min="1288" max="1288" width="3.42578125" style="349" bestFit="1" customWidth="1"/>
    <col min="1289" max="1504" width="9.140625" style="349"/>
    <col min="1505" max="1543" width="2.42578125" style="349" customWidth="1"/>
    <col min="1544" max="1544" width="3.42578125" style="349" bestFit="1" customWidth="1"/>
    <col min="1545" max="1760" width="9.140625" style="349"/>
    <col min="1761" max="1799" width="2.42578125" style="349" customWidth="1"/>
    <col min="1800" max="1800" width="3.42578125" style="349" bestFit="1" customWidth="1"/>
    <col min="1801" max="2016" width="9.140625" style="349"/>
    <col min="2017" max="2055" width="2.42578125" style="349" customWidth="1"/>
    <col min="2056" max="2056" width="3.42578125" style="349" bestFit="1" customWidth="1"/>
    <col min="2057" max="2272" width="9.140625" style="349"/>
    <col min="2273" max="2311" width="2.42578125" style="349" customWidth="1"/>
    <col min="2312" max="2312" width="3.42578125" style="349" bestFit="1" customWidth="1"/>
    <col min="2313" max="2528" width="9.140625" style="349"/>
    <col min="2529" max="2567" width="2.42578125" style="349" customWidth="1"/>
    <col min="2568" max="2568" width="3.42578125" style="349" bestFit="1" customWidth="1"/>
    <col min="2569" max="2784" width="9.140625" style="349"/>
    <col min="2785" max="2823" width="2.42578125" style="349" customWidth="1"/>
    <col min="2824" max="2824" width="3.42578125" style="349" bestFit="1" customWidth="1"/>
    <col min="2825" max="3040" width="9.140625" style="349"/>
    <col min="3041" max="3079" width="2.42578125" style="349" customWidth="1"/>
    <col min="3080" max="3080" width="3.42578125" style="349" bestFit="1" customWidth="1"/>
    <col min="3081" max="3296" width="9.140625" style="349"/>
    <col min="3297" max="3335" width="2.42578125" style="349" customWidth="1"/>
    <col min="3336" max="3336" width="3.42578125" style="349" bestFit="1" customWidth="1"/>
    <col min="3337" max="3552" width="9.140625" style="349"/>
    <col min="3553" max="3591" width="2.42578125" style="349" customWidth="1"/>
    <col min="3592" max="3592" width="3.42578125" style="349" bestFit="1" customWidth="1"/>
    <col min="3593" max="3808" width="9.140625" style="349"/>
    <col min="3809" max="3847" width="2.42578125" style="349" customWidth="1"/>
    <col min="3848" max="3848" width="3.42578125" style="349" bestFit="1" customWidth="1"/>
    <col min="3849" max="4064" width="9.140625" style="349"/>
    <col min="4065" max="4103" width="2.42578125" style="349" customWidth="1"/>
    <col min="4104" max="4104" width="3.42578125" style="349" bestFit="1" customWidth="1"/>
    <col min="4105" max="4320" width="9.140625" style="349"/>
    <col min="4321" max="4359" width="2.42578125" style="349" customWidth="1"/>
    <col min="4360" max="4360" width="3.42578125" style="349" bestFit="1" customWidth="1"/>
    <col min="4361" max="4576" width="9.140625" style="349"/>
    <col min="4577" max="4615" width="2.42578125" style="349" customWidth="1"/>
    <col min="4616" max="4616" width="3.42578125" style="349" bestFit="1" customWidth="1"/>
    <col min="4617" max="4832" width="9.140625" style="349"/>
    <col min="4833" max="4871" width="2.42578125" style="349" customWidth="1"/>
    <col min="4872" max="4872" width="3.42578125" style="349" bestFit="1" customWidth="1"/>
    <col min="4873" max="5088" width="9.140625" style="349"/>
    <col min="5089" max="5127" width="2.42578125" style="349" customWidth="1"/>
    <col min="5128" max="5128" width="3.42578125" style="349" bestFit="1" customWidth="1"/>
    <col min="5129" max="5344" width="9.140625" style="349"/>
    <col min="5345" max="5383" width="2.42578125" style="349" customWidth="1"/>
    <col min="5384" max="5384" width="3.42578125" style="349" bestFit="1" customWidth="1"/>
    <col min="5385" max="5600" width="9.140625" style="349"/>
    <col min="5601" max="5639" width="2.42578125" style="349" customWidth="1"/>
    <col min="5640" max="5640" width="3.42578125" style="349" bestFit="1" customWidth="1"/>
    <col min="5641" max="5856" width="9.140625" style="349"/>
    <col min="5857" max="5895" width="2.42578125" style="349" customWidth="1"/>
    <col min="5896" max="5896" width="3.42578125" style="349" bestFit="1" customWidth="1"/>
    <col min="5897" max="6112" width="9.140625" style="349"/>
    <col min="6113" max="6151" width="2.42578125" style="349" customWidth="1"/>
    <col min="6152" max="6152" width="3.42578125" style="349" bestFit="1" customWidth="1"/>
    <col min="6153" max="6368" width="9.140625" style="349"/>
    <col min="6369" max="6407" width="2.42578125" style="349" customWidth="1"/>
    <col min="6408" max="6408" width="3.42578125" style="349" bestFit="1" customWidth="1"/>
    <col min="6409" max="6624" width="9.140625" style="349"/>
    <col min="6625" max="6663" width="2.42578125" style="349" customWidth="1"/>
    <col min="6664" max="6664" width="3.42578125" style="349" bestFit="1" customWidth="1"/>
    <col min="6665" max="6880" width="9.140625" style="349"/>
    <col min="6881" max="6919" width="2.42578125" style="349" customWidth="1"/>
    <col min="6920" max="6920" width="3.42578125" style="349" bestFit="1" customWidth="1"/>
    <col min="6921" max="7136" width="9.140625" style="349"/>
    <col min="7137" max="7175" width="2.42578125" style="349" customWidth="1"/>
    <col min="7176" max="7176" width="3.42578125" style="349" bestFit="1" customWidth="1"/>
    <col min="7177" max="7392" width="9.140625" style="349"/>
    <col min="7393" max="7431" width="2.42578125" style="349" customWidth="1"/>
    <col min="7432" max="7432" width="3.42578125" style="349" bestFit="1" customWidth="1"/>
    <col min="7433" max="7648" width="9.140625" style="349"/>
    <col min="7649" max="7687" width="2.42578125" style="349" customWidth="1"/>
    <col min="7688" max="7688" width="3.42578125" style="349" bestFit="1" customWidth="1"/>
    <col min="7689" max="7904" width="9.140625" style="349"/>
    <col min="7905" max="7943" width="2.42578125" style="349" customWidth="1"/>
    <col min="7944" max="7944" width="3.42578125" style="349" bestFit="1" customWidth="1"/>
    <col min="7945" max="8160" width="9.140625" style="349"/>
    <col min="8161" max="8199" width="2.42578125" style="349" customWidth="1"/>
    <col min="8200" max="8200" width="3.42578125" style="349" bestFit="1" customWidth="1"/>
    <col min="8201" max="8416" width="9.140625" style="349"/>
    <col min="8417" max="8455" width="2.42578125" style="349" customWidth="1"/>
    <col min="8456" max="8456" width="3.42578125" style="349" bestFit="1" customWidth="1"/>
    <col min="8457" max="8672" width="9.140625" style="349"/>
    <col min="8673" max="8711" width="2.42578125" style="349" customWidth="1"/>
    <col min="8712" max="8712" width="3.42578125" style="349" bestFit="1" customWidth="1"/>
    <col min="8713" max="8928" width="9.140625" style="349"/>
    <col min="8929" max="8967" width="2.42578125" style="349" customWidth="1"/>
    <col min="8968" max="8968" width="3.42578125" style="349" bestFit="1" customWidth="1"/>
    <col min="8969" max="9184" width="9.140625" style="349"/>
    <col min="9185" max="9223" width="2.42578125" style="349" customWidth="1"/>
    <col min="9224" max="9224" width="3.42578125" style="349" bestFit="1" customWidth="1"/>
    <col min="9225" max="9440" width="9.140625" style="349"/>
    <col min="9441" max="9479" width="2.42578125" style="349" customWidth="1"/>
    <col min="9480" max="9480" width="3.42578125" style="349" bestFit="1" customWidth="1"/>
    <col min="9481" max="9696" width="9.140625" style="349"/>
    <col min="9697" max="9735" width="2.42578125" style="349" customWidth="1"/>
    <col min="9736" max="9736" width="3.42578125" style="349" bestFit="1" customWidth="1"/>
    <col min="9737" max="9952" width="9.140625" style="349"/>
    <col min="9953" max="9991" width="2.42578125" style="349" customWidth="1"/>
    <col min="9992" max="9992" width="3.42578125" style="349" bestFit="1" customWidth="1"/>
    <col min="9993" max="10208" width="9.140625" style="349"/>
    <col min="10209" max="10247" width="2.42578125" style="349" customWidth="1"/>
    <col min="10248" max="10248" width="3.42578125" style="349" bestFit="1" customWidth="1"/>
    <col min="10249" max="10464" width="9.140625" style="349"/>
    <col min="10465" max="10503" width="2.42578125" style="349" customWidth="1"/>
    <col min="10504" max="10504" width="3.42578125" style="349" bestFit="1" customWidth="1"/>
    <col min="10505" max="10720" width="9.140625" style="349"/>
    <col min="10721" max="10759" width="2.42578125" style="349" customWidth="1"/>
    <col min="10760" max="10760" width="3.42578125" style="349" bestFit="1" customWidth="1"/>
    <col min="10761" max="10976" width="9.140625" style="349"/>
    <col min="10977" max="11015" width="2.42578125" style="349" customWidth="1"/>
    <col min="11016" max="11016" width="3.42578125" style="349" bestFit="1" customWidth="1"/>
    <col min="11017" max="11232" width="9.140625" style="349"/>
    <col min="11233" max="11271" width="2.42578125" style="349" customWidth="1"/>
    <col min="11272" max="11272" width="3.42578125" style="349" bestFit="1" customWidth="1"/>
    <col min="11273" max="11488" width="9.140625" style="349"/>
    <col min="11489" max="11527" width="2.42578125" style="349" customWidth="1"/>
    <col min="11528" max="11528" width="3.42578125" style="349" bestFit="1" customWidth="1"/>
    <col min="11529" max="11744" width="9.140625" style="349"/>
    <col min="11745" max="11783" width="2.42578125" style="349" customWidth="1"/>
    <col min="11784" max="11784" width="3.42578125" style="349" bestFit="1" customWidth="1"/>
    <col min="11785" max="12000" width="9.140625" style="349"/>
    <col min="12001" max="12039" width="2.42578125" style="349" customWidth="1"/>
    <col min="12040" max="12040" width="3.42578125" style="349" bestFit="1" customWidth="1"/>
    <col min="12041" max="12256" width="9.140625" style="349"/>
    <col min="12257" max="12295" width="2.42578125" style="349" customWidth="1"/>
    <col min="12296" max="12296" width="3.42578125" style="349" bestFit="1" customWidth="1"/>
    <col min="12297" max="12512" width="9.140625" style="349"/>
    <col min="12513" max="12551" width="2.42578125" style="349" customWidth="1"/>
    <col min="12552" max="12552" width="3.42578125" style="349" bestFit="1" customWidth="1"/>
    <col min="12553" max="12768" width="9.140625" style="349"/>
    <col min="12769" max="12807" width="2.42578125" style="349" customWidth="1"/>
    <col min="12808" max="12808" width="3.42578125" style="349" bestFit="1" customWidth="1"/>
    <col min="12809" max="13024" width="9.140625" style="349"/>
    <col min="13025" max="13063" width="2.42578125" style="349" customWidth="1"/>
    <col min="13064" max="13064" width="3.42578125" style="349" bestFit="1" customWidth="1"/>
    <col min="13065" max="13280" width="9.140625" style="349"/>
    <col min="13281" max="13319" width="2.42578125" style="349" customWidth="1"/>
    <col min="13320" max="13320" width="3.42578125" style="349" bestFit="1" customWidth="1"/>
    <col min="13321" max="13536" width="9.140625" style="349"/>
    <col min="13537" max="13575" width="2.42578125" style="349" customWidth="1"/>
    <col min="13576" max="13576" width="3.42578125" style="349" bestFit="1" customWidth="1"/>
    <col min="13577" max="13792" width="9.140625" style="349"/>
    <col min="13793" max="13831" width="2.42578125" style="349" customWidth="1"/>
    <col min="13832" max="13832" width="3.42578125" style="349" bestFit="1" customWidth="1"/>
    <col min="13833" max="14048" width="9.140625" style="349"/>
    <col min="14049" max="14087" width="2.42578125" style="349" customWidth="1"/>
    <col min="14088" max="14088" width="3.42578125" style="349" bestFit="1" customWidth="1"/>
    <col min="14089" max="14304" width="9.140625" style="349"/>
    <col min="14305" max="14343" width="2.42578125" style="349" customWidth="1"/>
    <col min="14344" max="14344" width="3.42578125" style="349" bestFit="1" customWidth="1"/>
    <col min="14345" max="14560" width="9.140625" style="349"/>
    <col min="14561" max="14599" width="2.42578125" style="349" customWidth="1"/>
    <col min="14600" max="14600" width="3.42578125" style="349" bestFit="1" customWidth="1"/>
    <col min="14601" max="14816" width="9.140625" style="349"/>
    <col min="14817" max="14855" width="2.42578125" style="349" customWidth="1"/>
    <col min="14856" max="14856" width="3.42578125" style="349" bestFit="1" customWidth="1"/>
    <col min="14857" max="15072" width="9.140625" style="349"/>
    <col min="15073" max="15111" width="2.42578125" style="349" customWidth="1"/>
    <col min="15112" max="15112" width="3.42578125" style="349" bestFit="1" customWidth="1"/>
    <col min="15113" max="15328" width="9.140625" style="349"/>
    <col min="15329" max="15367" width="2.42578125" style="349" customWidth="1"/>
    <col min="15368" max="15368" width="3.42578125" style="349" bestFit="1" customWidth="1"/>
    <col min="15369" max="15584" width="9.140625" style="349"/>
    <col min="15585" max="15623" width="2.42578125" style="349" customWidth="1"/>
    <col min="15624" max="15624" width="3.42578125" style="349" bestFit="1" customWidth="1"/>
    <col min="15625" max="15840" width="9.140625" style="349"/>
    <col min="15841" max="15879" width="2.42578125" style="349" customWidth="1"/>
    <col min="15880" max="15880" width="3.42578125" style="349" bestFit="1" customWidth="1"/>
    <col min="15881" max="16096" width="9.140625" style="349"/>
    <col min="16097" max="16135" width="2.42578125" style="349" customWidth="1"/>
    <col min="16136" max="16136" width="3.42578125" style="349" bestFit="1" customWidth="1"/>
    <col min="16137" max="16384" width="9.140625" style="349"/>
  </cols>
  <sheetData>
    <row r="1" spans="1:4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  <c r="AQ1" s="315"/>
      <c r="AR1" s="316"/>
    </row>
    <row r="2" spans="1:4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  <c r="AQ2" s="315"/>
      <c r="AR2" s="316"/>
    </row>
    <row r="3" spans="1:4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  <c r="AQ3" s="315"/>
      <c r="AR3" s="316"/>
    </row>
    <row r="4" spans="1:4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  <c r="AQ4" s="315"/>
      <c r="AR4" s="316"/>
    </row>
    <row r="5" spans="1:4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  <c r="AQ5" s="315"/>
      <c r="AR5" s="316"/>
    </row>
    <row r="6" spans="1:46" s="361" customFormat="1" ht="30.75" thickBot="1" x14ac:dyDescent="0.3">
      <c r="A6" s="347" t="s">
        <v>374</v>
      </c>
      <c r="B6" s="373"/>
      <c r="C6" s="373"/>
      <c r="D6" s="373"/>
      <c r="E6" s="373"/>
      <c r="F6" s="373"/>
      <c r="G6" s="373"/>
      <c r="H6" s="373"/>
      <c r="I6" s="353" t="s">
        <v>405</v>
      </c>
      <c r="J6" s="353"/>
      <c r="K6" s="353"/>
      <c r="L6" s="353"/>
      <c r="M6" s="353"/>
      <c r="N6" s="353" t="s">
        <v>406</v>
      </c>
      <c r="O6" s="353"/>
      <c r="P6" s="353"/>
      <c r="Q6" s="353"/>
      <c r="R6" s="353"/>
      <c r="S6" s="353" t="s">
        <v>407</v>
      </c>
      <c r="T6" s="353"/>
      <c r="U6" s="353"/>
      <c r="V6" s="353"/>
      <c r="W6" s="353"/>
      <c r="X6" s="353" t="s">
        <v>419</v>
      </c>
      <c r="Y6" s="353"/>
      <c r="Z6" s="353"/>
      <c r="AA6" s="353"/>
      <c r="AB6" s="353"/>
      <c r="AC6" s="353" t="s">
        <v>420</v>
      </c>
      <c r="AD6" s="353"/>
      <c r="AE6" s="353"/>
      <c r="AF6" s="353"/>
      <c r="AG6" s="353"/>
      <c r="AQ6" s="373"/>
      <c r="AR6" s="373"/>
    </row>
    <row r="7" spans="1:46" ht="120" x14ac:dyDescent="0.25">
      <c r="A7" s="491" t="s">
        <v>295</v>
      </c>
      <c r="B7" s="503" t="s">
        <v>296</v>
      </c>
      <c r="C7" s="478" t="s">
        <v>302</v>
      </c>
      <c r="D7" s="478"/>
      <c r="E7" s="493" t="s">
        <v>538</v>
      </c>
      <c r="F7" s="494" t="s">
        <v>539</v>
      </c>
      <c r="G7" s="493" t="s">
        <v>540</v>
      </c>
      <c r="H7" s="493" t="s">
        <v>541</v>
      </c>
      <c r="I7" s="488" t="s">
        <v>408</v>
      </c>
      <c r="J7" s="358" t="s">
        <v>409</v>
      </c>
      <c r="K7" s="359" t="s">
        <v>410</v>
      </c>
      <c r="L7" s="359" t="s">
        <v>418</v>
      </c>
      <c r="M7" s="353" t="s">
        <v>414</v>
      </c>
      <c r="N7" s="353" t="s">
        <v>408</v>
      </c>
      <c r="O7" s="358" t="s">
        <v>409</v>
      </c>
      <c r="P7" s="359" t="s">
        <v>410</v>
      </c>
      <c r="Q7" s="359" t="s">
        <v>418</v>
      </c>
      <c r="R7" s="353" t="s">
        <v>414</v>
      </c>
      <c r="S7" s="353" t="s">
        <v>408</v>
      </c>
      <c r="T7" s="358" t="s">
        <v>409</v>
      </c>
      <c r="U7" s="359" t="s">
        <v>410</v>
      </c>
      <c r="V7" s="359" t="s">
        <v>418</v>
      </c>
      <c r="W7" s="353" t="s">
        <v>414</v>
      </c>
      <c r="X7" s="353" t="s">
        <v>408</v>
      </c>
      <c r="Y7" s="358" t="s">
        <v>409</v>
      </c>
      <c r="Z7" s="359" t="s">
        <v>410</v>
      </c>
      <c r="AA7" s="359" t="s">
        <v>418</v>
      </c>
      <c r="AB7" s="353" t="s">
        <v>414</v>
      </c>
      <c r="AC7" s="353" t="s">
        <v>408</v>
      </c>
      <c r="AD7" s="358" t="s">
        <v>409</v>
      </c>
      <c r="AE7" s="359" t="s">
        <v>410</v>
      </c>
      <c r="AF7" s="359" t="s">
        <v>418</v>
      </c>
      <c r="AG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240" x14ac:dyDescent="0.25">
      <c r="A8" s="480" t="s">
        <v>375</v>
      </c>
      <c r="B8" s="501" t="s">
        <v>511</v>
      </c>
      <c r="C8" s="502">
        <v>1</v>
      </c>
      <c r="D8" s="502"/>
      <c r="E8" s="453" t="str">
        <f>IF(AND(AO8="IRR",SUM(AH8:AJ8)&gt;0),AP8,IF(AND(AO8="IRR",AQ8&lt;&gt;""),AQ8*'[5]Basic INFO'!$E$127,IF(AO8="IRR",AS8,"")))</f>
        <v/>
      </c>
      <c r="F8" s="454">
        <f>IF(AND(AO8="EUR",SUM(AH8:AJ8)&gt;0),AP8,IF(AND(AO8="EUR",AR8&lt;&gt;""),AR8*'[5]Basic INFO'!$C$138,IF(AO8="EUR",AT8,"")))</f>
        <v>1850000</v>
      </c>
      <c r="G8" s="455" t="str">
        <f t="shared" ref="G8" si="0">IF(AO8="IRR",C8*E8,"")</f>
        <v/>
      </c>
      <c r="H8" s="498">
        <f t="shared" ref="H8" si="1">IF(AO8="EUR",C8*F8,"")</f>
        <v>1850000</v>
      </c>
      <c r="I8" s="500" t="s">
        <v>439</v>
      </c>
      <c r="J8" s="360"/>
      <c r="K8" s="360"/>
      <c r="L8" s="360"/>
      <c r="M8" s="360" t="s">
        <v>438</v>
      </c>
      <c r="N8" s="360" t="s">
        <v>411</v>
      </c>
      <c r="O8" s="360"/>
      <c r="P8" s="360"/>
      <c r="Q8" s="360"/>
      <c r="R8" s="360" t="s">
        <v>438</v>
      </c>
      <c r="S8" s="360" t="s">
        <v>440</v>
      </c>
      <c r="T8" s="360"/>
      <c r="U8" s="360">
        <v>1850000</v>
      </c>
      <c r="V8" s="360"/>
      <c r="W8" s="365">
        <v>45729</v>
      </c>
      <c r="X8" s="360" t="s">
        <v>431</v>
      </c>
      <c r="Y8" s="360"/>
      <c r="Z8" s="360"/>
      <c r="AA8" s="360"/>
      <c r="AB8" s="360" t="s">
        <v>433</v>
      </c>
      <c r="AC8" s="360"/>
      <c r="AD8" s="360"/>
      <c r="AE8" s="360"/>
      <c r="AF8" s="360"/>
      <c r="AG8" s="360"/>
      <c r="AH8" s="441">
        <f>IF(B8="","",COUNT(J8,O8,T8,Y8,AD8))</f>
        <v>0</v>
      </c>
      <c r="AI8" s="442">
        <f>IF(B8="","",COUNT(K8,P8,U8,Z8,AE8))</f>
        <v>1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1850000</v>
      </c>
      <c r="AM8" s="442" t="str">
        <f>IF(AND(AJ8&lt;&gt;"",AJ8&gt;0),AVERAGE(L8,Q8,V8,AA8,AF8)/'[5]Basic INFO'!$C$103,"")</f>
        <v/>
      </c>
      <c r="AN8" s="442">
        <f>IF(SUM(AH8:AJ8)&lt;&gt;0,AVERAGE(AK8:AM8),"")</f>
        <v>1850000</v>
      </c>
      <c r="AO8" s="349" t="s">
        <v>526</v>
      </c>
      <c r="AP8" s="444">
        <f>IF(B8="","",IF(SUM(AH8:AJ8)=0,"",IF(AO8="IRR",AN8*('[5]Basic INFO'!$C$101*'[5]Basic INFO'!$C$103),IF(AO8="EUR",AN8,AP8))))</f>
        <v>1850000</v>
      </c>
      <c r="AQ8" s="364"/>
      <c r="AR8" s="364">
        <v>400000</v>
      </c>
      <c r="AS8" s="447"/>
      <c r="AT8" s="448"/>
    </row>
    <row r="9" spans="1:46" ht="45" x14ac:dyDescent="0.25">
      <c r="A9" s="457"/>
      <c r="B9" s="458" t="s">
        <v>542</v>
      </c>
      <c r="C9" s="457"/>
      <c r="D9" s="457"/>
      <c r="E9" s="459"/>
      <c r="F9" s="460"/>
      <c r="G9" s="461">
        <f>SUM(G8)</f>
        <v>0</v>
      </c>
      <c r="H9" s="462">
        <f>SUM(H8)</f>
        <v>1850000</v>
      </c>
      <c r="AQ9" s="378" t="s">
        <v>297</v>
      </c>
      <c r="AR9" s="378" t="s">
        <v>298</v>
      </c>
    </row>
    <row r="10" spans="1:46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  <c r="AQ10" s="379"/>
      <c r="AR10" s="379"/>
    </row>
    <row r="11" spans="1:46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  <c r="AQ11" s="380"/>
      <c r="AR11" s="380"/>
    </row>
    <row r="12" spans="1:46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0</v>
      </c>
      <c r="H12" s="469">
        <f>ROUND(H9*H10*(1+H11)/1000,0)*1000</f>
        <v>2401000</v>
      </c>
      <c r="AQ12" s="380"/>
      <c r="AR12" s="380"/>
    </row>
    <row r="13" spans="1:46" x14ac:dyDescent="0.25">
      <c r="G13" s="461">
        <f>ROUND(SUMIF(AP:AP,"&gt;0",G:G)*G10*(1+G11)/1000000,0)*1000000</f>
        <v>0</v>
      </c>
      <c r="H13" s="462">
        <f>ROUND(SUMIF(AP:AP,"&gt;0",H:H)*H10*(1+H11)/1000,0)*1000</f>
        <v>2401000</v>
      </c>
    </row>
  </sheetData>
  <dataValidations disablePrompts="1" count="1">
    <dataValidation type="list" allowBlank="1" showInputMessage="1" showErrorMessage="1" sqref="WBJ983032:WBK983035 JA65528:JB65531 SW65528:SX65531 ACS65528:ACT65531 AMO65528:AMP65531 AWK65528:AWL65531 BGG65528:BGH65531 BQC65528:BQD65531 BZY65528:BZZ65531 CJU65528:CJV65531 CTQ65528:CTR65531 DDM65528:DDN65531 DNI65528:DNJ65531 DXE65528:DXF65531 EHA65528:EHB65531 EQW65528:EQX65531 FAS65528:FAT65531 FKO65528:FKP65531 FUK65528:FUL65531 GEG65528:GEH65531 GOC65528:GOD65531 GXY65528:GXZ65531 HHU65528:HHV65531 HRQ65528:HRR65531 IBM65528:IBN65531 ILI65528:ILJ65531 IVE65528:IVF65531 JFA65528:JFB65531 JOW65528:JOX65531 JYS65528:JYT65531 KIO65528:KIP65531 KSK65528:KSL65531 LCG65528:LCH65531 LMC65528:LMD65531 LVY65528:LVZ65531 MFU65528:MFV65531 MPQ65528:MPR65531 MZM65528:MZN65531 NJI65528:NJJ65531 NTE65528:NTF65531 ODA65528:ODB65531 OMW65528:OMX65531 OWS65528:OWT65531 PGO65528:PGP65531 PQK65528:PQL65531 QAG65528:QAH65531 QKC65528:QKD65531 QTY65528:QTZ65531 RDU65528:RDV65531 RNQ65528:RNR65531 RXM65528:RXN65531 SHI65528:SHJ65531 SRE65528:SRF65531 TBA65528:TBB65531 TKW65528:TKX65531 TUS65528:TUT65531 UEO65528:UEP65531 UOK65528:UOL65531 UYG65528:UYH65531 VIC65528:VID65531 VRY65528:VRZ65531 WBU65528:WBV65531 WLQ65528:WLR65531 WVM65528:WVN65531 JA131064:JB131067 SW131064:SX131067 ACS131064:ACT131067 AMO131064:AMP131067 AWK131064:AWL131067 BGG131064:BGH131067 BQC131064:BQD131067 BZY131064:BZZ131067 CJU131064:CJV131067 CTQ131064:CTR131067 DDM131064:DDN131067 DNI131064:DNJ131067 DXE131064:DXF131067 EHA131064:EHB131067 EQW131064:EQX131067 FAS131064:FAT131067 FKO131064:FKP131067 FUK131064:FUL131067 GEG131064:GEH131067 GOC131064:GOD131067 GXY131064:GXZ131067 HHU131064:HHV131067 HRQ131064:HRR131067 IBM131064:IBN131067 ILI131064:ILJ131067 IVE131064:IVF131067 JFA131064:JFB131067 JOW131064:JOX131067 JYS131064:JYT131067 KIO131064:KIP131067 KSK131064:KSL131067 LCG131064:LCH131067 LMC131064:LMD131067 LVY131064:LVZ131067 MFU131064:MFV131067 MPQ131064:MPR131067 MZM131064:MZN131067 NJI131064:NJJ131067 NTE131064:NTF131067 ODA131064:ODB131067 OMW131064:OMX131067 OWS131064:OWT131067 PGO131064:PGP131067 PQK131064:PQL131067 QAG131064:QAH131067 QKC131064:QKD131067 QTY131064:QTZ131067 RDU131064:RDV131067 RNQ131064:RNR131067 RXM131064:RXN131067 SHI131064:SHJ131067 SRE131064:SRF131067 TBA131064:TBB131067 TKW131064:TKX131067 TUS131064:TUT131067 UEO131064:UEP131067 UOK131064:UOL131067 UYG131064:UYH131067 VIC131064:VID131067 VRY131064:VRZ131067 WBU131064:WBV131067 WLQ131064:WLR131067 WVM131064:WVN131067 JA196600:JB196603 SW196600:SX196603 ACS196600:ACT196603 AMO196600:AMP196603 AWK196600:AWL196603 BGG196600:BGH196603 BQC196600:BQD196603 BZY196600:BZZ196603 CJU196600:CJV196603 CTQ196600:CTR196603 DDM196600:DDN196603 DNI196600:DNJ196603 DXE196600:DXF196603 EHA196600:EHB196603 EQW196600:EQX196603 FAS196600:FAT196603 FKO196600:FKP196603 FUK196600:FUL196603 GEG196600:GEH196603 GOC196600:GOD196603 GXY196600:GXZ196603 HHU196600:HHV196603 HRQ196600:HRR196603 IBM196600:IBN196603 ILI196600:ILJ196603 IVE196600:IVF196603 JFA196600:JFB196603 JOW196600:JOX196603 JYS196600:JYT196603 KIO196600:KIP196603 KSK196600:KSL196603 LCG196600:LCH196603 LMC196600:LMD196603 LVY196600:LVZ196603 MFU196600:MFV196603 MPQ196600:MPR196603 MZM196600:MZN196603 NJI196600:NJJ196603 NTE196600:NTF196603 ODA196600:ODB196603 OMW196600:OMX196603 OWS196600:OWT196603 PGO196600:PGP196603 PQK196600:PQL196603 QAG196600:QAH196603 QKC196600:QKD196603 QTY196600:QTZ196603 RDU196600:RDV196603 RNQ196600:RNR196603 RXM196600:RXN196603 SHI196600:SHJ196603 SRE196600:SRF196603 TBA196600:TBB196603 TKW196600:TKX196603 TUS196600:TUT196603 UEO196600:UEP196603 UOK196600:UOL196603 UYG196600:UYH196603 VIC196600:VID196603 VRY196600:VRZ196603 WBU196600:WBV196603 WLQ196600:WLR196603 WVM196600:WVN196603 JA262136:JB262139 SW262136:SX262139 ACS262136:ACT262139 AMO262136:AMP262139 AWK262136:AWL262139 BGG262136:BGH262139 BQC262136:BQD262139 BZY262136:BZZ262139 CJU262136:CJV262139 CTQ262136:CTR262139 DDM262136:DDN262139 DNI262136:DNJ262139 DXE262136:DXF262139 EHA262136:EHB262139 EQW262136:EQX262139 FAS262136:FAT262139 FKO262136:FKP262139 FUK262136:FUL262139 GEG262136:GEH262139 GOC262136:GOD262139 GXY262136:GXZ262139 HHU262136:HHV262139 HRQ262136:HRR262139 IBM262136:IBN262139 ILI262136:ILJ262139 IVE262136:IVF262139 JFA262136:JFB262139 JOW262136:JOX262139 JYS262136:JYT262139 KIO262136:KIP262139 KSK262136:KSL262139 LCG262136:LCH262139 LMC262136:LMD262139 LVY262136:LVZ262139 MFU262136:MFV262139 MPQ262136:MPR262139 MZM262136:MZN262139 NJI262136:NJJ262139 NTE262136:NTF262139 ODA262136:ODB262139 OMW262136:OMX262139 OWS262136:OWT262139 PGO262136:PGP262139 PQK262136:PQL262139 QAG262136:QAH262139 QKC262136:QKD262139 QTY262136:QTZ262139 RDU262136:RDV262139 RNQ262136:RNR262139 RXM262136:RXN262139 SHI262136:SHJ262139 SRE262136:SRF262139 TBA262136:TBB262139 TKW262136:TKX262139 TUS262136:TUT262139 UEO262136:UEP262139 UOK262136:UOL262139 UYG262136:UYH262139 VIC262136:VID262139 VRY262136:VRZ262139 WBU262136:WBV262139 WLQ262136:WLR262139 WVM262136:WVN262139 JA327672:JB327675 SW327672:SX327675 ACS327672:ACT327675 AMO327672:AMP327675 AWK327672:AWL327675 BGG327672:BGH327675 BQC327672:BQD327675 BZY327672:BZZ327675 CJU327672:CJV327675 CTQ327672:CTR327675 DDM327672:DDN327675 DNI327672:DNJ327675 DXE327672:DXF327675 EHA327672:EHB327675 EQW327672:EQX327675 FAS327672:FAT327675 FKO327672:FKP327675 FUK327672:FUL327675 GEG327672:GEH327675 GOC327672:GOD327675 GXY327672:GXZ327675 HHU327672:HHV327675 HRQ327672:HRR327675 IBM327672:IBN327675 ILI327672:ILJ327675 IVE327672:IVF327675 JFA327672:JFB327675 JOW327672:JOX327675 JYS327672:JYT327675 KIO327672:KIP327675 KSK327672:KSL327675 LCG327672:LCH327675 LMC327672:LMD327675 LVY327672:LVZ327675 MFU327672:MFV327675 MPQ327672:MPR327675 MZM327672:MZN327675 NJI327672:NJJ327675 NTE327672:NTF327675 ODA327672:ODB327675 OMW327672:OMX327675 OWS327672:OWT327675 PGO327672:PGP327675 PQK327672:PQL327675 QAG327672:QAH327675 QKC327672:QKD327675 QTY327672:QTZ327675 RDU327672:RDV327675 RNQ327672:RNR327675 RXM327672:RXN327675 SHI327672:SHJ327675 SRE327672:SRF327675 TBA327672:TBB327675 TKW327672:TKX327675 TUS327672:TUT327675 UEO327672:UEP327675 UOK327672:UOL327675 UYG327672:UYH327675 VIC327672:VID327675 VRY327672:VRZ327675 WBU327672:WBV327675 WLQ327672:WLR327675 WVM327672:WVN327675 JA393208:JB393211 SW393208:SX393211 ACS393208:ACT393211 AMO393208:AMP393211 AWK393208:AWL393211 BGG393208:BGH393211 BQC393208:BQD393211 BZY393208:BZZ393211 CJU393208:CJV393211 CTQ393208:CTR393211 DDM393208:DDN393211 DNI393208:DNJ393211 DXE393208:DXF393211 EHA393208:EHB393211 EQW393208:EQX393211 FAS393208:FAT393211 FKO393208:FKP393211 FUK393208:FUL393211 GEG393208:GEH393211 GOC393208:GOD393211 GXY393208:GXZ393211 HHU393208:HHV393211 HRQ393208:HRR393211 IBM393208:IBN393211 ILI393208:ILJ393211 IVE393208:IVF393211 JFA393208:JFB393211 JOW393208:JOX393211 JYS393208:JYT393211 KIO393208:KIP393211 KSK393208:KSL393211 LCG393208:LCH393211 LMC393208:LMD393211 LVY393208:LVZ393211 MFU393208:MFV393211 MPQ393208:MPR393211 MZM393208:MZN393211 NJI393208:NJJ393211 NTE393208:NTF393211 ODA393208:ODB393211 OMW393208:OMX393211 OWS393208:OWT393211 PGO393208:PGP393211 PQK393208:PQL393211 QAG393208:QAH393211 QKC393208:QKD393211 QTY393208:QTZ393211 RDU393208:RDV393211 RNQ393208:RNR393211 RXM393208:RXN393211 SHI393208:SHJ393211 SRE393208:SRF393211 TBA393208:TBB393211 TKW393208:TKX393211 TUS393208:TUT393211 UEO393208:UEP393211 UOK393208:UOL393211 UYG393208:UYH393211 VIC393208:VID393211 VRY393208:VRZ393211 WBU393208:WBV393211 WLQ393208:WLR393211 WVM393208:WVN393211 JA458744:JB458747 SW458744:SX458747 ACS458744:ACT458747 AMO458744:AMP458747 AWK458744:AWL458747 BGG458744:BGH458747 BQC458744:BQD458747 BZY458744:BZZ458747 CJU458744:CJV458747 CTQ458744:CTR458747 DDM458744:DDN458747 DNI458744:DNJ458747 DXE458744:DXF458747 EHA458744:EHB458747 EQW458744:EQX458747 FAS458744:FAT458747 FKO458744:FKP458747 FUK458744:FUL458747 GEG458744:GEH458747 GOC458744:GOD458747 GXY458744:GXZ458747 HHU458744:HHV458747 HRQ458744:HRR458747 IBM458744:IBN458747 ILI458744:ILJ458747 IVE458744:IVF458747 JFA458744:JFB458747 JOW458744:JOX458747 JYS458744:JYT458747 KIO458744:KIP458747 KSK458744:KSL458747 LCG458744:LCH458747 LMC458744:LMD458747 LVY458744:LVZ458747 MFU458744:MFV458747 MPQ458744:MPR458747 MZM458744:MZN458747 NJI458744:NJJ458747 NTE458744:NTF458747 ODA458744:ODB458747 OMW458744:OMX458747 OWS458744:OWT458747 PGO458744:PGP458747 PQK458744:PQL458747 QAG458744:QAH458747 QKC458744:QKD458747 QTY458744:QTZ458747 RDU458744:RDV458747 RNQ458744:RNR458747 RXM458744:RXN458747 SHI458744:SHJ458747 SRE458744:SRF458747 TBA458744:TBB458747 TKW458744:TKX458747 TUS458744:TUT458747 UEO458744:UEP458747 UOK458744:UOL458747 UYG458744:UYH458747 VIC458744:VID458747 VRY458744:VRZ458747 WBU458744:WBV458747 WLQ458744:WLR458747 WVM458744:WVN458747 JA524280:JB524283 SW524280:SX524283 ACS524280:ACT524283 AMO524280:AMP524283 AWK524280:AWL524283 BGG524280:BGH524283 BQC524280:BQD524283 BZY524280:BZZ524283 CJU524280:CJV524283 CTQ524280:CTR524283 DDM524280:DDN524283 DNI524280:DNJ524283 DXE524280:DXF524283 EHA524280:EHB524283 EQW524280:EQX524283 FAS524280:FAT524283 FKO524280:FKP524283 FUK524280:FUL524283 GEG524280:GEH524283 GOC524280:GOD524283 GXY524280:GXZ524283 HHU524280:HHV524283 HRQ524280:HRR524283 IBM524280:IBN524283 ILI524280:ILJ524283 IVE524280:IVF524283 JFA524280:JFB524283 JOW524280:JOX524283 JYS524280:JYT524283 KIO524280:KIP524283 KSK524280:KSL524283 LCG524280:LCH524283 LMC524280:LMD524283 LVY524280:LVZ524283 MFU524280:MFV524283 MPQ524280:MPR524283 MZM524280:MZN524283 NJI524280:NJJ524283 NTE524280:NTF524283 ODA524280:ODB524283 OMW524280:OMX524283 OWS524280:OWT524283 PGO524280:PGP524283 PQK524280:PQL524283 QAG524280:QAH524283 QKC524280:QKD524283 QTY524280:QTZ524283 RDU524280:RDV524283 RNQ524280:RNR524283 RXM524280:RXN524283 SHI524280:SHJ524283 SRE524280:SRF524283 TBA524280:TBB524283 TKW524280:TKX524283 TUS524280:TUT524283 UEO524280:UEP524283 UOK524280:UOL524283 UYG524280:UYH524283 VIC524280:VID524283 VRY524280:VRZ524283 WBU524280:WBV524283 WLQ524280:WLR524283 WVM524280:WVN524283 JA589816:JB589819 SW589816:SX589819 ACS589816:ACT589819 AMO589816:AMP589819 AWK589816:AWL589819 BGG589816:BGH589819 BQC589816:BQD589819 BZY589816:BZZ589819 CJU589816:CJV589819 CTQ589816:CTR589819 DDM589816:DDN589819 DNI589816:DNJ589819 DXE589816:DXF589819 EHA589816:EHB589819 EQW589816:EQX589819 FAS589816:FAT589819 FKO589816:FKP589819 FUK589816:FUL589819 GEG589816:GEH589819 GOC589816:GOD589819 GXY589816:GXZ589819 HHU589816:HHV589819 HRQ589816:HRR589819 IBM589816:IBN589819 ILI589816:ILJ589819 IVE589816:IVF589819 JFA589816:JFB589819 JOW589816:JOX589819 JYS589816:JYT589819 KIO589816:KIP589819 KSK589816:KSL589819 LCG589816:LCH589819 LMC589816:LMD589819 LVY589816:LVZ589819 MFU589816:MFV589819 MPQ589816:MPR589819 MZM589816:MZN589819 NJI589816:NJJ589819 NTE589816:NTF589819 ODA589816:ODB589819 OMW589816:OMX589819 OWS589816:OWT589819 PGO589816:PGP589819 PQK589816:PQL589819 QAG589816:QAH589819 QKC589816:QKD589819 QTY589816:QTZ589819 RDU589816:RDV589819 RNQ589816:RNR589819 RXM589816:RXN589819 SHI589816:SHJ589819 SRE589816:SRF589819 TBA589816:TBB589819 TKW589816:TKX589819 TUS589816:TUT589819 UEO589816:UEP589819 UOK589816:UOL589819 UYG589816:UYH589819 VIC589816:VID589819 VRY589816:VRZ589819 WBU589816:WBV589819 WLQ589816:WLR589819 WVM589816:WVN589819 JA655352:JB655355 SW655352:SX655355 ACS655352:ACT655355 AMO655352:AMP655355 AWK655352:AWL655355 BGG655352:BGH655355 BQC655352:BQD655355 BZY655352:BZZ655355 CJU655352:CJV655355 CTQ655352:CTR655355 DDM655352:DDN655355 DNI655352:DNJ655355 DXE655352:DXF655355 EHA655352:EHB655355 EQW655352:EQX655355 FAS655352:FAT655355 FKO655352:FKP655355 FUK655352:FUL655355 GEG655352:GEH655355 GOC655352:GOD655355 GXY655352:GXZ655355 HHU655352:HHV655355 HRQ655352:HRR655355 IBM655352:IBN655355 ILI655352:ILJ655355 IVE655352:IVF655355 JFA655352:JFB655355 JOW655352:JOX655355 JYS655352:JYT655355 KIO655352:KIP655355 KSK655352:KSL655355 LCG655352:LCH655355 LMC655352:LMD655355 LVY655352:LVZ655355 MFU655352:MFV655355 MPQ655352:MPR655355 MZM655352:MZN655355 NJI655352:NJJ655355 NTE655352:NTF655355 ODA655352:ODB655355 OMW655352:OMX655355 OWS655352:OWT655355 PGO655352:PGP655355 PQK655352:PQL655355 QAG655352:QAH655355 QKC655352:QKD655355 QTY655352:QTZ655355 RDU655352:RDV655355 RNQ655352:RNR655355 RXM655352:RXN655355 SHI655352:SHJ655355 SRE655352:SRF655355 TBA655352:TBB655355 TKW655352:TKX655355 TUS655352:TUT655355 UEO655352:UEP655355 UOK655352:UOL655355 UYG655352:UYH655355 VIC655352:VID655355 VRY655352:VRZ655355 WBU655352:WBV655355 WLQ655352:WLR655355 WVM655352:WVN655355 JA720888:JB720891 SW720888:SX720891 ACS720888:ACT720891 AMO720888:AMP720891 AWK720888:AWL720891 BGG720888:BGH720891 BQC720888:BQD720891 BZY720888:BZZ720891 CJU720888:CJV720891 CTQ720888:CTR720891 DDM720888:DDN720891 DNI720888:DNJ720891 DXE720888:DXF720891 EHA720888:EHB720891 EQW720888:EQX720891 FAS720888:FAT720891 FKO720888:FKP720891 FUK720888:FUL720891 GEG720888:GEH720891 GOC720888:GOD720891 GXY720888:GXZ720891 HHU720888:HHV720891 HRQ720888:HRR720891 IBM720888:IBN720891 ILI720888:ILJ720891 IVE720888:IVF720891 JFA720888:JFB720891 JOW720888:JOX720891 JYS720888:JYT720891 KIO720888:KIP720891 KSK720888:KSL720891 LCG720888:LCH720891 LMC720888:LMD720891 LVY720888:LVZ720891 MFU720888:MFV720891 MPQ720888:MPR720891 MZM720888:MZN720891 NJI720888:NJJ720891 NTE720888:NTF720891 ODA720888:ODB720891 OMW720888:OMX720891 OWS720888:OWT720891 PGO720888:PGP720891 PQK720888:PQL720891 QAG720888:QAH720891 QKC720888:QKD720891 QTY720888:QTZ720891 RDU720888:RDV720891 RNQ720888:RNR720891 RXM720888:RXN720891 SHI720888:SHJ720891 SRE720888:SRF720891 TBA720888:TBB720891 TKW720888:TKX720891 TUS720888:TUT720891 UEO720888:UEP720891 UOK720888:UOL720891 UYG720888:UYH720891 VIC720888:VID720891 VRY720888:VRZ720891 WBU720888:WBV720891 WLQ720888:WLR720891 WVM720888:WVN720891 JA786424:JB786427 SW786424:SX786427 ACS786424:ACT786427 AMO786424:AMP786427 AWK786424:AWL786427 BGG786424:BGH786427 BQC786424:BQD786427 BZY786424:BZZ786427 CJU786424:CJV786427 CTQ786424:CTR786427 DDM786424:DDN786427 DNI786424:DNJ786427 DXE786424:DXF786427 EHA786424:EHB786427 EQW786424:EQX786427 FAS786424:FAT786427 FKO786424:FKP786427 FUK786424:FUL786427 GEG786424:GEH786427 GOC786424:GOD786427 GXY786424:GXZ786427 HHU786424:HHV786427 HRQ786424:HRR786427 IBM786424:IBN786427 ILI786424:ILJ786427 IVE786424:IVF786427 JFA786424:JFB786427 JOW786424:JOX786427 JYS786424:JYT786427 KIO786424:KIP786427 KSK786424:KSL786427 LCG786424:LCH786427 LMC786424:LMD786427 LVY786424:LVZ786427 MFU786424:MFV786427 MPQ786424:MPR786427 MZM786424:MZN786427 NJI786424:NJJ786427 NTE786424:NTF786427 ODA786424:ODB786427 OMW786424:OMX786427 OWS786424:OWT786427 PGO786424:PGP786427 PQK786424:PQL786427 QAG786424:QAH786427 QKC786424:QKD786427 QTY786424:QTZ786427 RDU786424:RDV786427 RNQ786424:RNR786427 RXM786424:RXN786427 SHI786424:SHJ786427 SRE786424:SRF786427 TBA786424:TBB786427 TKW786424:TKX786427 TUS786424:TUT786427 UEO786424:UEP786427 UOK786424:UOL786427 UYG786424:UYH786427 VIC786424:VID786427 VRY786424:VRZ786427 WBU786424:WBV786427 WLQ786424:WLR786427 WVM786424:WVN786427 JA851960:JB851963 SW851960:SX851963 ACS851960:ACT851963 AMO851960:AMP851963 AWK851960:AWL851963 BGG851960:BGH851963 BQC851960:BQD851963 BZY851960:BZZ851963 CJU851960:CJV851963 CTQ851960:CTR851963 DDM851960:DDN851963 DNI851960:DNJ851963 DXE851960:DXF851963 EHA851960:EHB851963 EQW851960:EQX851963 FAS851960:FAT851963 FKO851960:FKP851963 FUK851960:FUL851963 GEG851960:GEH851963 GOC851960:GOD851963 GXY851960:GXZ851963 HHU851960:HHV851963 HRQ851960:HRR851963 IBM851960:IBN851963 ILI851960:ILJ851963 IVE851960:IVF851963 JFA851960:JFB851963 JOW851960:JOX851963 JYS851960:JYT851963 KIO851960:KIP851963 KSK851960:KSL851963 LCG851960:LCH851963 LMC851960:LMD851963 LVY851960:LVZ851963 MFU851960:MFV851963 MPQ851960:MPR851963 MZM851960:MZN851963 NJI851960:NJJ851963 NTE851960:NTF851963 ODA851960:ODB851963 OMW851960:OMX851963 OWS851960:OWT851963 PGO851960:PGP851963 PQK851960:PQL851963 QAG851960:QAH851963 QKC851960:QKD851963 QTY851960:QTZ851963 RDU851960:RDV851963 RNQ851960:RNR851963 RXM851960:RXN851963 SHI851960:SHJ851963 SRE851960:SRF851963 TBA851960:TBB851963 TKW851960:TKX851963 TUS851960:TUT851963 UEO851960:UEP851963 UOK851960:UOL851963 UYG851960:UYH851963 VIC851960:VID851963 VRY851960:VRZ851963 WBU851960:WBV851963 WLQ851960:WLR851963 WVM851960:WVN851963 JA917496:JB917499 SW917496:SX917499 ACS917496:ACT917499 AMO917496:AMP917499 AWK917496:AWL917499 BGG917496:BGH917499 BQC917496:BQD917499 BZY917496:BZZ917499 CJU917496:CJV917499 CTQ917496:CTR917499 DDM917496:DDN917499 DNI917496:DNJ917499 DXE917496:DXF917499 EHA917496:EHB917499 EQW917496:EQX917499 FAS917496:FAT917499 FKO917496:FKP917499 FUK917496:FUL917499 GEG917496:GEH917499 GOC917496:GOD917499 GXY917496:GXZ917499 HHU917496:HHV917499 HRQ917496:HRR917499 IBM917496:IBN917499 ILI917496:ILJ917499 IVE917496:IVF917499 JFA917496:JFB917499 JOW917496:JOX917499 JYS917496:JYT917499 KIO917496:KIP917499 KSK917496:KSL917499 LCG917496:LCH917499 LMC917496:LMD917499 LVY917496:LVZ917499 MFU917496:MFV917499 MPQ917496:MPR917499 MZM917496:MZN917499 NJI917496:NJJ917499 NTE917496:NTF917499 ODA917496:ODB917499 OMW917496:OMX917499 OWS917496:OWT917499 PGO917496:PGP917499 PQK917496:PQL917499 QAG917496:QAH917499 QKC917496:QKD917499 QTY917496:QTZ917499 RDU917496:RDV917499 RNQ917496:RNR917499 RXM917496:RXN917499 SHI917496:SHJ917499 SRE917496:SRF917499 TBA917496:TBB917499 TKW917496:TKX917499 TUS917496:TUT917499 UEO917496:UEP917499 UOK917496:UOL917499 UYG917496:UYH917499 VIC917496:VID917499 VRY917496:VRZ917499 WBU917496:WBV917499 WLQ917496:WLR917499 WVM917496:WVN917499 JA983032:JB983035 SW983032:SX983035 ACS983032:ACT983035 AMO983032:AMP983035 AWK983032:AWL983035 BGG983032:BGH983035 BQC983032:BQD983035 BZY983032:BZZ983035 CJU983032:CJV983035 CTQ983032:CTR983035 DDM983032:DDN983035 DNI983032:DNJ983035 DXE983032:DXF983035 EHA983032:EHB983035 EQW983032:EQX983035 FAS983032:FAT983035 FKO983032:FKP983035 FUK983032:FUL983035 GEG983032:GEH983035 GOC983032:GOD983035 GXY983032:GXZ983035 HHU983032:HHV983035 HRQ983032:HRR983035 IBM983032:IBN983035 ILI983032:ILJ983035 IVE983032:IVF983035 JFA983032:JFB983035 JOW983032:JOX983035 JYS983032:JYT983035 KIO983032:KIP983035 KSK983032:KSL983035 LCG983032:LCH983035 LMC983032:LMD983035 LVY983032:LVZ983035 MFU983032:MFV983035 MPQ983032:MPR983035 MZM983032:MZN983035 NJI983032:NJJ983035 NTE983032:NTF983035 ODA983032:ODB983035 OMW983032:OMX983035 OWS983032:OWT983035 PGO983032:PGP983035 PQK983032:PQL983035 QAG983032:QAH983035 QKC983032:QKD983035 QTY983032:QTZ983035 RDU983032:RDV983035 RNQ983032:RNR983035 RXM983032:RXN983035 SHI983032:SHJ983035 SRE983032:SRF983035 TBA983032:TBB983035 TKW983032:TKX983035 TUS983032:TUT983035 UEO983032:UEP983035 UOK983032:UOL983035 UYG983032:UYH983035 VIC983032:VID983035 VRY983032:VRZ983035 WBU983032:WBV983035 WLQ983032:WLR983035 WVM983032:WVN983035 WLF983032:WLG983035 IE65528:IF65531 SA65528:SB65531 ABW65528:ABX65531 ALS65528:ALT65531 AVO65528:AVP65531 BFK65528:BFL65531 BPG65528:BPH65531 BZC65528:BZD65531 CIY65528:CIZ65531 CSU65528:CSV65531 DCQ65528:DCR65531 DMM65528:DMN65531 DWI65528:DWJ65531 EGE65528:EGF65531 EQA65528:EQB65531 EZW65528:EZX65531 FJS65528:FJT65531 FTO65528:FTP65531 GDK65528:GDL65531 GNG65528:GNH65531 GXC65528:GXD65531 HGY65528:HGZ65531 HQU65528:HQV65531 IAQ65528:IAR65531 IKM65528:IKN65531 IUI65528:IUJ65531 JEE65528:JEF65531 JOA65528:JOB65531 JXW65528:JXX65531 KHS65528:KHT65531 KRO65528:KRP65531 LBK65528:LBL65531 LLG65528:LLH65531 LVC65528:LVD65531 MEY65528:MEZ65531 MOU65528:MOV65531 MYQ65528:MYR65531 NIM65528:NIN65531 NSI65528:NSJ65531 OCE65528:OCF65531 OMA65528:OMB65531 OVW65528:OVX65531 PFS65528:PFT65531 PPO65528:PPP65531 PZK65528:PZL65531 QJG65528:QJH65531 QTC65528:QTD65531 RCY65528:RCZ65531 RMU65528:RMV65531 RWQ65528:RWR65531 SGM65528:SGN65531 SQI65528:SQJ65531 TAE65528:TAF65531 TKA65528:TKB65531 TTW65528:TTX65531 UDS65528:UDT65531 UNO65528:UNP65531 UXK65528:UXL65531 VHG65528:VHH65531 VRC65528:VRD65531 WAY65528:WAZ65531 WKU65528:WKV65531 WUQ65528:WUR65531 IE131064:IF131067 SA131064:SB131067 ABW131064:ABX131067 ALS131064:ALT131067 AVO131064:AVP131067 BFK131064:BFL131067 BPG131064:BPH131067 BZC131064:BZD131067 CIY131064:CIZ131067 CSU131064:CSV131067 DCQ131064:DCR131067 DMM131064:DMN131067 DWI131064:DWJ131067 EGE131064:EGF131067 EQA131064:EQB131067 EZW131064:EZX131067 FJS131064:FJT131067 FTO131064:FTP131067 GDK131064:GDL131067 GNG131064:GNH131067 GXC131064:GXD131067 HGY131064:HGZ131067 HQU131064:HQV131067 IAQ131064:IAR131067 IKM131064:IKN131067 IUI131064:IUJ131067 JEE131064:JEF131067 JOA131064:JOB131067 JXW131064:JXX131067 KHS131064:KHT131067 KRO131064:KRP131067 LBK131064:LBL131067 LLG131064:LLH131067 LVC131064:LVD131067 MEY131064:MEZ131067 MOU131064:MOV131067 MYQ131064:MYR131067 NIM131064:NIN131067 NSI131064:NSJ131067 OCE131064:OCF131067 OMA131064:OMB131067 OVW131064:OVX131067 PFS131064:PFT131067 PPO131064:PPP131067 PZK131064:PZL131067 QJG131064:QJH131067 QTC131064:QTD131067 RCY131064:RCZ131067 RMU131064:RMV131067 RWQ131064:RWR131067 SGM131064:SGN131067 SQI131064:SQJ131067 TAE131064:TAF131067 TKA131064:TKB131067 TTW131064:TTX131067 UDS131064:UDT131067 UNO131064:UNP131067 UXK131064:UXL131067 VHG131064:VHH131067 VRC131064:VRD131067 WAY131064:WAZ131067 WKU131064:WKV131067 WUQ131064:WUR131067 IE196600:IF196603 SA196600:SB196603 ABW196600:ABX196603 ALS196600:ALT196603 AVO196600:AVP196603 BFK196600:BFL196603 BPG196600:BPH196603 BZC196600:BZD196603 CIY196600:CIZ196603 CSU196600:CSV196603 DCQ196600:DCR196603 DMM196600:DMN196603 DWI196600:DWJ196603 EGE196600:EGF196603 EQA196600:EQB196603 EZW196600:EZX196603 FJS196600:FJT196603 FTO196600:FTP196603 GDK196600:GDL196603 GNG196600:GNH196603 GXC196600:GXD196603 HGY196600:HGZ196603 HQU196600:HQV196603 IAQ196600:IAR196603 IKM196600:IKN196603 IUI196600:IUJ196603 JEE196600:JEF196603 JOA196600:JOB196603 JXW196600:JXX196603 KHS196600:KHT196603 KRO196600:KRP196603 LBK196600:LBL196603 LLG196600:LLH196603 LVC196600:LVD196603 MEY196600:MEZ196603 MOU196600:MOV196603 MYQ196600:MYR196603 NIM196600:NIN196603 NSI196600:NSJ196603 OCE196600:OCF196603 OMA196600:OMB196603 OVW196600:OVX196603 PFS196600:PFT196603 PPO196600:PPP196603 PZK196600:PZL196603 QJG196600:QJH196603 QTC196600:QTD196603 RCY196600:RCZ196603 RMU196600:RMV196603 RWQ196600:RWR196603 SGM196600:SGN196603 SQI196600:SQJ196603 TAE196600:TAF196603 TKA196600:TKB196603 TTW196600:TTX196603 UDS196600:UDT196603 UNO196600:UNP196603 UXK196600:UXL196603 VHG196600:VHH196603 VRC196600:VRD196603 WAY196600:WAZ196603 WKU196600:WKV196603 WUQ196600:WUR196603 IE262136:IF262139 SA262136:SB262139 ABW262136:ABX262139 ALS262136:ALT262139 AVO262136:AVP262139 BFK262136:BFL262139 BPG262136:BPH262139 BZC262136:BZD262139 CIY262136:CIZ262139 CSU262136:CSV262139 DCQ262136:DCR262139 DMM262136:DMN262139 DWI262136:DWJ262139 EGE262136:EGF262139 EQA262136:EQB262139 EZW262136:EZX262139 FJS262136:FJT262139 FTO262136:FTP262139 GDK262136:GDL262139 GNG262136:GNH262139 GXC262136:GXD262139 HGY262136:HGZ262139 HQU262136:HQV262139 IAQ262136:IAR262139 IKM262136:IKN262139 IUI262136:IUJ262139 JEE262136:JEF262139 JOA262136:JOB262139 JXW262136:JXX262139 KHS262136:KHT262139 KRO262136:KRP262139 LBK262136:LBL262139 LLG262136:LLH262139 LVC262136:LVD262139 MEY262136:MEZ262139 MOU262136:MOV262139 MYQ262136:MYR262139 NIM262136:NIN262139 NSI262136:NSJ262139 OCE262136:OCF262139 OMA262136:OMB262139 OVW262136:OVX262139 PFS262136:PFT262139 PPO262136:PPP262139 PZK262136:PZL262139 QJG262136:QJH262139 QTC262136:QTD262139 RCY262136:RCZ262139 RMU262136:RMV262139 RWQ262136:RWR262139 SGM262136:SGN262139 SQI262136:SQJ262139 TAE262136:TAF262139 TKA262136:TKB262139 TTW262136:TTX262139 UDS262136:UDT262139 UNO262136:UNP262139 UXK262136:UXL262139 VHG262136:VHH262139 VRC262136:VRD262139 WAY262136:WAZ262139 WKU262136:WKV262139 WUQ262136:WUR262139 IE327672:IF327675 SA327672:SB327675 ABW327672:ABX327675 ALS327672:ALT327675 AVO327672:AVP327675 BFK327672:BFL327675 BPG327672:BPH327675 BZC327672:BZD327675 CIY327672:CIZ327675 CSU327672:CSV327675 DCQ327672:DCR327675 DMM327672:DMN327675 DWI327672:DWJ327675 EGE327672:EGF327675 EQA327672:EQB327675 EZW327672:EZX327675 FJS327672:FJT327675 FTO327672:FTP327675 GDK327672:GDL327675 GNG327672:GNH327675 GXC327672:GXD327675 HGY327672:HGZ327675 HQU327672:HQV327675 IAQ327672:IAR327675 IKM327672:IKN327675 IUI327672:IUJ327675 JEE327672:JEF327675 JOA327672:JOB327675 JXW327672:JXX327675 KHS327672:KHT327675 KRO327672:KRP327675 LBK327672:LBL327675 LLG327672:LLH327675 LVC327672:LVD327675 MEY327672:MEZ327675 MOU327672:MOV327675 MYQ327672:MYR327675 NIM327672:NIN327675 NSI327672:NSJ327675 OCE327672:OCF327675 OMA327672:OMB327675 OVW327672:OVX327675 PFS327672:PFT327675 PPO327672:PPP327675 PZK327672:PZL327675 QJG327672:QJH327675 QTC327672:QTD327675 RCY327672:RCZ327675 RMU327672:RMV327675 RWQ327672:RWR327675 SGM327672:SGN327675 SQI327672:SQJ327675 TAE327672:TAF327675 TKA327672:TKB327675 TTW327672:TTX327675 UDS327672:UDT327675 UNO327672:UNP327675 UXK327672:UXL327675 VHG327672:VHH327675 VRC327672:VRD327675 WAY327672:WAZ327675 WKU327672:WKV327675 WUQ327672:WUR327675 IE393208:IF393211 SA393208:SB393211 ABW393208:ABX393211 ALS393208:ALT393211 AVO393208:AVP393211 BFK393208:BFL393211 BPG393208:BPH393211 BZC393208:BZD393211 CIY393208:CIZ393211 CSU393208:CSV393211 DCQ393208:DCR393211 DMM393208:DMN393211 DWI393208:DWJ393211 EGE393208:EGF393211 EQA393208:EQB393211 EZW393208:EZX393211 FJS393208:FJT393211 FTO393208:FTP393211 GDK393208:GDL393211 GNG393208:GNH393211 GXC393208:GXD393211 HGY393208:HGZ393211 HQU393208:HQV393211 IAQ393208:IAR393211 IKM393208:IKN393211 IUI393208:IUJ393211 JEE393208:JEF393211 JOA393208:JOB393211 JXW393208:JXX393211 KHS393208:KHT393211 KRO393208:KRP393211 LBK393208:LBL393211 LLG393208:LLH393211 LVC393208:LVD393211 MEY393208:MEZ393211 MOU393208:MOV393211 MYQ393208:MYR393211 NIM393208:NIN393211 NSI393208:NSJ393211 OCE393208:OCF393211 OMA393208:OMB393211 OVW393208:OVX393211 PFS393208:PFT393211 PPO393208:PPP393211 PZK393208:PZL393211 QJG393208:QJH393211 QTC393208:QTD393211 RCY393208:RCZ393211 RMU393208:RMV393211 RWQ393208:RWR393211 SGM393208:SGN393211 SQI393208:SQJ393211 TAE393208:TAF393211 TKA393208:TKB393211 TTW393208:TTX393211 UDS393208:UDT393211 UNO393208:UNP393211 UXK393208:UXL393211 VHG393208:VHH393211 VRC393208:VRD393211 WAY393208:WAZ393211 WKU393208:WKV393211 WUQ393208:WUR393211 IE458744:IF458747 SA458744:SB458747 ABW458744:ABX458747 ALS458744:ALT458747 AVO458744:AVP458747 BFK458744:BFL458747 BPG458744:BPH458747 BZC458744:BZD458747 CIY458744:CIZ458747 CSU458744:CSV458747 DCQ458744:DCR458747 DMM458744:DMN458747 DWI458744:DWJ458747 EGE458744:EGF458747 EQA458744:EQB458747 EZW458744:EZX458747 FJS458744:FJT458747 FTO458744:FTP458747 GDK458744:GDL458747 GNG458744:GNH458747 GXC458744:GXD458747 HGY458744:HGZ458747 HQU458744:HQV458747 IAQ458744:IAR458747 IKM458744:IKN458747 IUI458744:IUJ458747 JEE458744:JEF458747 JOA458744:JOB458747 JXW458744:JXX458747 KHS458744:KHT458747 KRO458744:KRP458747 LBK458744:LBL458747 LLG458744:LLH458747 LVC458744:LVD458747 MEY458744:MEZ458747 MOU458744:MOV458747 MYQ458744:MYR458747 NIM458744:NIN458747 NSI458744:NSJ458747 OCE458744:OCF458747 OMA458744:OMB458747 OVW458744:OVX458747 PFS458744:PFT458747 PPO458744:PPP458747 PZK458744:PZL458747 QJG458744:QJH458747 QTC458744:QTD458747 RCY458744:RCZ458747 RMU458744:RMV458747 RWQ458744:RWR458747 SGM458744:SGN458747 SQI458744:SQJ458747 TAE458744:TAF458747 TKA458744:TKB458747 TTW458744:TTX458747 UDS458744:UDT458747 UNO458744:UNP458747 UXK458744:UXL458747 VHG458744:VHH458747 VRC458744:VRD458747 WAY458744:WAZ458747 WKU458744:WKV458747 WUQ458744:WUR458747 IE524280:IF524283 SA524280:SB524283 ABW524280:ABX524283 ALS524280:ALT524283 AVO524280:AVP524283 BFK524280:BFL524283 BPG524280:BPH524283 BZC524280:BZD524283 CIY524280:CIZ524283 CSU524280:CSV524283 DCQ524280:DCR524283 DMM524280:DMN524283 DWI524280:DWJ524283 EGE524280:EGF524283 EQA524280:EQB524283 EZW524280:EZX524283 FJS524280:FJT524283 FTO524280:FTP524283 GDK524280:GDL524283 GNG524280:GNH524283 GXC524280:GXD524283 HGY524280:HGZ524283 HQU524280:HQV524283 IAQ524280:IAR524283 IKM524280:IKN524283 IUI524280:IUJ524283 JEE524280:JEF524283 JOA524280:JOB524283 JXW524280:JXX524283 KHS524280:KHT524283 KRO524280:KRP524283 LBK524280:LBL524283 LLG524280:LLH524283 LVC524280:LVD524283 MEY524280:MEZ524283 MOU524280:MOV524283 MYQ524280:MYR524283 NIM524280:NIN524283 NSI524280:NSJ524283 OCE524280:OCF524283 OMA524280:OMB524283 OVW524280:OVX524283 PFS524280:PFT524283 PPO524280:PPP524283 PZK524280:PZL524283 QJG524280:QJH524283 QTC524280:QTD524283 RCY524280:RCZ524283 RMU524280:RMV524283 RWQ524280:RWR524283 SGM524280:SGN524283 SQI524280:SQJ524283 TAE524280:TAF524283 TKA524280:TKB524283 TTW524280:TTX524283 UDS524280:UDT524283 UNO524280:UNP524283 UXK524280:UXL524283 VHG524280:VHH524283 VRC524280:VRD524283 WAY524280:WAZ524283 WKU524280:WKV524283 WUQ524280:WUR524283 IE589816:IF589819 SA589816:SB589819 ABW589816:ABX589819 ALS589816:ALT589819 AVO589816:AVP589819 BFK589816:BFL589819 BPG589816:BPH589819 BZC589816:BZD589819 CIY589816:CIZ589819 CSU589816:CSV589819 DCQ589816:DCR589819 DMM589816:DMN589819 DWI589816:DWJ589819 EGE589816:EGF589819 EQA589816:EQB589819 EZW589816:EZX589819 FJS589816:FJT589819 FTO589816:FTP589819 GDK589816:GDL589819 GNG589816:GNH589819 GXC589816:GXD589819 HGY589816:HGZ589819 HQU589816:HQV589819 IAQ589816:IAR589819 IKM589816:IKN589819 IUI589816:IUJ589819 JEE589816:JEF589819 JOA589816:JOB589819 JXW589816:JXX589819 KHS589816:KHT589819 KRO589816:KRP589819 LBK589816:LBL589819 LLG589816:LLH589819 LVC589816:LVD589819 MEY589816:MEZ589819 MOU589816:MOV589819 MYQ589816:MYR589819 NIM589816:NIN589819 NSI589816:NSJ589819 OCE589816:OCF589819 OMA589816:OMB589819 OVW589816:OVX589819 PFS589816:PFT589819 PPO589816:PPP589819 PZK589816:PZL589819 QJG589816:QJH589819 QTC589816:QTD589819 RCY589816:RCZ589819 RMU589816:RMV589819 RWQ589816:RWR589819 SGM589816:SGN589819 SQI589816:SQJ589819 TAE589816:TAF589819 TKA589816:TKB589819 TTW589816:TTX589819 UDS589816:UDT589819 UNO589816:UNP589819 UXK589816:UXL589819 VHG589816:VHH589819 VRC589816:VRD589819 WAY589816:WAZ589819 WKU589816:WKV589819 WUQ589816:WUR589819 IE655352:IF655355 SA655352:SB655355 ABW655352:ABX655355 ALS655352:ALT655355 AVO655352:AVP655355 BFK655352:BFL655355 BPG655352:BPH655355 BZC655352:BZD655355 CIY655352:CIZ655355 CSU655352:CSV655355 DCQ655352:DCR655355 DMM655352:DMN655355 DWI655352:DWJ655355 EGE655352:EGF655355 EQA655352:EQB655355 EZW655352:EZX655355 FJS655352:FJT655355 FTO655352:FTP655355 GDK655352:GDL655355 GNG655352:GNH655355 GXC655352:GXD655355 HGY655352:HGZ655355 HQU655352:HQV655355 IAQ655352:IAR655355 IKM655352:IKN655355 IUI655352:IUJ655355 JEE655352:JEF655355 JOA655352:JOB655355 JXW655352:JXX655355 KHS655352:KHT655355 KRO655352:KRP655355 LBK655352:LBL655355 LLG655352:LLH655355 LVC655352:LVD655355 MEY655352:MEZ655355 MOU655352:MOV655355 MYQ655352:MYR655355 NIM655352:NIN655355 NSI655352:NSJ655355 OCE655352:OCF655355 OMA655352:OMB655355 OVW655352:OVX655355 PFS655352:PFT655355 PPO655352:PPP655355 PZK655352:PZL655355 QJG655352:QJH655355 QTC655352:QTD655355 RCY655352:RCZ655355 RMU655352:RMV655355 RWQ655352:RWR655355 SGM655352:SGN655355 SQI655352:SQJ655355 TAE655352:TAF655355 TKA655352:TKB655355 TTW655352:TTX655355 UDS655352:UDT655355 UNO655352:UNP655355 UXK655352:UXL655355 VHG655352:VHH655355 VRC655352:VRD655355 WAY655352:WAZ655355 WKU655352:WKV655355 WUQ655352:WUR655355 IE720888:IF720891 SA720888:SB720891 ABW720888:ABX720891 ALS720888:ALT720891 AVO720888:AVP720891 BFK720888:BFL720891 BPG720888:BPH720891 BZC720888:BZD720891 CIY720888:CIZ720891 CSU720888:CSV720891 DCQ720888:DCR720891 DMM720888:DMN720891 DWI720888:DWJ720891 EGE720888:EGF720891 EQA720888:EQB720891 EZW720888:EZX720891 FJS720888:FJT720891 FTO720888:FTP720891 GDK720888:GDL720891 GNG720888:GNH720891 GXC720888:GXD720891 HGY720888:HGZ720891 HQU720888:HQV720891 IAQ720888:IAR720891 IKM720888:IKN720891 IUI720888:IUJ720891 JEE720888:JEF720891 JOA720888:JOB720891 JXW720888:JXX720891 KHS720888:KHT720891 KRO720888:KRP720891 LBK720888:LBL720891 LLG720888:LLH720891 LVC720888:LVD720891 MEY720888:MEZ720891 MOU720888:MOV720891 MYQ720888:MYR720891 NIM720888:NIN720891 NSI720888:NSJ720891 OCE720888:OCF720891 OMA720888:OMB720891 OVW720888:OVX720891 PFS720888:PFT720891 PPO720888:PPP720891 PZK720888:PZL720891 QJG720888:QJH720891 QTC720888:QTD720891 RCY720888:RCZ720891 RMU720888:RMV720891 RWQ720888:RWR720891 SGM720888:SGN720891 SQI720888:SQJ720891 TAE720888:TAF720891 TKA720888:TKB720891 TTW720888:TTX720891 UDS720888:UDT720891 UNO720888:UNP720891 UXK720888:UXL720891 VHG720888:VHH720891 VRC720888:VRD720891 WAY720888:WAZ720891 WKU720888:WKV720891 WUQ720888:WUR720891 IE786424:IF786427 SA786424:SB786427 ABW786424:ABX786427 ALS786424:ALT786427 AVO786424:AVP786427 BFK786424:BFL786427 BPG786424:BPH786427 BZC786424:BZD786427 CIY786424:CIZ786427 CSU786424:CSV786427 DCQ786424:DCR786427 DMM786424:DMN786427 DWI786424:DWJ786427 EGE786424:EGF786427 EQA786424:EQB786427 EZW786424:EZX786427 FJS786424:FJT786427 FTO786424:FTP786427 GDK786424:GDL786427 GNG786424:GNH786427 GXC786424:GXD786427 HGY786424:HGZ786427 HQU786424:HQV786427 IAQ786424:IAR786427 IKM786424:IKN786427 IUI786424:IUJ786427 JEE786424:JEF786427 JOA786424:JOB786427 JXW786424:JXX786427 KHS786424:KHT786427 KRO786424:KRP786427 LBK786424:LBL786427 LLG786424:LLH786427 LVC786424:LVD786427 MEY786424:MEZ786427 MOU786424:MOV786427 MYQ786424:MYR786427 NIM786424:NIN786427 NSI786424:NSJ786427 OCE786424:OCF786427 OMA786424:OMB786427 OVW786424:OVX786427 PFS786424:PFT786427 PPO786424:PPP786427 PZK786424:PZL786427 QJG786424:QJH786427 QTC786424:QTD786427 RCY786424:RCZ786427 RMU786424:RMV786427 RWQ786424:RWR786427 SGM786424:SGN786427 SQI786424:SQJ786427 TAE786424:TAF786427 TKA786424:TKB786427 TTW786424:TTX786427 UDS786424:UDT786427 UNO786424:UNP786427 UXK786424:UXL786427 VHG786424:VHH786427 VRC786424:VRD786427 WAY786424:WAZ786427 WKU786424:WKV786427 WUQ786424:WUR786427 IE851960:IF851963 SA851960:SB851963 ABW851960:ABX851963 ALS851960:ALT851963 AVO851960:AVP851963 BFK851960:BFL851963 BPG851960:BPH851963 BZC851960:BZD851963 CIY851960:CIZ851963 CSU851960:CSV851963 DCQ851960:DCR851963 DMM851960:DMN851963 DWI851960:DWJ851963 EGE851960:EGF851963 EQA851960:EQB851963 EZW851960:EZX851963 FJS851960:FJT851963 FTO851960:FTP851963 GDK851960:GDL851963 GNG851960:GNH851963 GXC851960:GXD851963 HGY851960:HGZ851963 HQU851960:HQV851963 IAQ851960:IAR851963 IKM851960:IKN851963 IUI851960:IUJ851963 JEE851960:JEF851963 JOA851960:JOB851963 JXW851960:JXX851963 KHS851960:KHT851963 KRO851960:KRP851963 LBK851960:LBL851963 LLG851960:LLH851963 LVC851960:LVD851963 MEY851960:MEZ851963 MOU851960:MOV851963 MYQ851960:MYR851963 NIM851960:NIN851963 NSI851960:NSJ851963 OCE851960:OCF851963 OMA851960:OMB851963 OVW851960:OVX851963 PFS851960:PFT851963 PPO851960:PPP851963 PZK851960:PZL851963 QJG851960:QJH851963 QTC851960:QTD851963 RCY851960:RCZ851963 RMU851960:RMV851963 RWQ851960:RWR851963 SGM851960:SGN851963 SQI851960:SQJ851963 TAE851960:TAF851963 TKA851960:TKB851963 TTW851960:TTX851963 UDS851960:UDT851963 UNO851960:UNP851963 UXK851960:UXL851963 VHG851960:VHH851963 VRC851960:VRD851963 WAY851960:WAZ851963 WKU851960:WKV851963 WUQ851960:WUR851963 IE917496:IF917499 SA917496:SB917499 ABW917496:ABX917499 ALS917496:ALT917499 AVO917496:AVP917499 BFK917496:BFL917499 BPG917496:BPH917499 BZC917496:BZD917499 CIY917496:CIZ917499 CSU917496:CSV917499 DCQ917496:DCR917499 DMM917496:DMN917499 DWI917496:DWJ917499 EGE917496:EGF917499 EQA917496:EQB917499 EZW917496:EZX917499 FJS917496:FJT917499 FTO917496:FTP917499 GDK917496:GDL917499 GNG917496:GNH917499 GXC917496:GXD917499 HGY917496:HGZ917499 HQU917496:HQV917499 IAQ917496:IAR917499 IKM917496:IKN917499 IUI917496:IUJ917499 JEE917496:JEF917499 JOA917496:JOB917499 JXW917496:JXX917499 KHS917496:KHT917499 KRO917496:KRP917499 LBK917496:LBL917499 LLG917496:LLH917499 LVC917496:LVD917499 MEY917496:MEZ917499 MOU917496:MOV917499 MYQ917496:MYR917499 NIM917496:NIN917499 NSI917496:NSJ917499 OCE917496:OCF917499 OMA917496:OMB917499 OVW917496:OVX917499 PFS917496:PFT917499 PPO917496:PPP917499 PZK917496:PZL917499 QJG917496:QJH917499 QTC917496:QTD917499 RCY917496:RCZ917499 RMU917496:RMV917499 RWQ917496:RWR917499 SGM917496:SGN917499 SQI917496:SQJ917499 TAE917496:TAF917499 TKA917496:TKB917499 TTW917496:TTX917499 UDS917496:UDT917499 UNO917496:UNP917499 UXK917496:UXL917499 VHG917496:VHH917499 VRC917496:VRD917499 WAY917496:WAZ917499 WKU917496:WKV917499 WUQ917496:WUR917499 IE983032:IF983035 SA983032:SB983035 ABW983032:ABX983035 ALS983032:ALT983035 AVO983032:AVP983035 BFK983032:BFL983035 BPG983032:BPH983035 BZC983032:BZD983035 CIY983032:CIZ983035 CSU983032:CSV983035 DCQ983032:DCR983035 DMM983032:DMN983035 DWI983032:DWJ983035 EGE983032:EGF983035 EQA983032:EQB983035 EZW983032:EZX983035 FJS983032:FJT983035 FTO983032:FTP983035 GDK983032:GDL983035 GNG983032:GNH983035 GXC983032:GXD983035 HGY983032:HGZ983035 HQU983032:HQV983035 IAQ983032:IAR983035 IKM983032:IKN983035 IUI983032:IUJ983035 JEE983032:JEF983035 JOA983032:JOB983035 JXW983032:JXX983035 KHS983032:KHT983035 KRO983032:KRP983035 LBK983032:LBL983035 LLG983032:LLH983035 LVC983032:LVD983035 MEY983032:MEZ983035 MOU983032:MOV983035 MYQ983032:MYR983035 NIM983032:NIN983035 NSI983032:NSJ983035 OCE983032:OCF983035 OMA983032:OMB983035 OVW983032:OVX983035 PFS983032:PFT983035 PPO983032:PPP983035 PZK983032:PZL983035 QJG983032:QJH983035 QTC983032:QTD983035 RCY983032:RCZ983035 RMU983032:RMV983035 RWQ983032:RWR983035 SGM983032:SGN983035 SQI983032:SQJ983035 TAE983032:TAF983035 TKA983032:TKB983035 TTW983032:TTX983035 UDS983032:UDT983035 UNO983032:UNP983035 UXK983032:UXL983035 VHG983032:VHH983035 VRC983032:VRD983035 WAY983032:WAZ983035 WKU983032:WKV983035 WUQ983032:WUR983035 WVB983032:WVC983035 VRN983032:VRO983035 IP65528:IQ65531 SL65528:SM65531 ACH65528:ACI65531 AMD65528:AME65531 AVZ65528:AWA65531 BFV65528:BFW65531 BPR65528:BPS65531 BZN65528:BZO65531 CJJ65528:CJK65531 CTF65528:CTG65531 DDB65528:DDC65531 DMX65528:DMY65531 DWT65528:DWU65531 EGP65528:EGQ65531 EQL65528:EQM65531 FAH65528:FAI65531 FKD65528:FKE65531 FTZ65528:FUA65531 GDV65528:GDW65531 GNR65528:GNS65531 GXN65528:GXO65531 HHJ65528:HHK65531 HRF65528:HRG65531 IBB65528:IBC65531 IKX65528:IKY65531 IUT65528:IUU65531 JEP65528:JEQ65531 JOL65528:JOM65531 JYH65528:JYI65531 KID65528:KIE65531 KRZ65528:KSA65531 LBV65528:LBW65531 LLR65528:LLS65531 LVN65528:LVO65531 MFJ65528:MFK65531 MPF65528:MPG65531 MZB65528:MZC65531 NIX65528:NIY65531 NST65528:NSU65531 OCP65528:OCQ65531 OML65528:OMM65531 OWH65528:OWI65531 PGD65528:PGE65531 PPZ65528:PQA65531 PZV65528:PZW65531 QJR65528:QJS65531 QTN65528:QTO65531 RDJ65528:RDK65531 RNF65528:RNG65531 RXB65528:RXC65531 SGX65528:SGY65531 SQT65528:SQU65531 TAP65528:TAQ65531 TKL65528:TKM65531 TUH65528:TUI65531 UED65528:UEE65531 UNZ65528:UOA65531 UXV65528:UXW65531 VHR65528:VHS65531 VRN65528:VRO65531 WBJ65528:WBK65531 WLF65528:WLG65531 WVB65528:WVC65531 IP131064:IQ131067 SL131064:SM131067 ACH131064:ACI131067 AMD131064:AME131067 AVZ131064:AWA131067 BFV131064:BFW131067 BPR131064:BPS131067 BZN131064:BZO131067 CJJ131064:CJK131067 CTF131064:CTG131067 DDB131064:DDC131067 DMX131064:DMY131067 DWT131064:DWU131067 EGP131064:EGQ131067 EQL131064:EQM131067 FAH131064:FAI131067 FKD131064:FKE131067 FTZ131064:FUA131067 GDV131064:GDW131067 GNR131064:GNS131067 GXN131064:GXO131067 HHJ131064:HHK131067 HRF131064:HRG131067 IBB131064:IBC131067 IKX131064:IKY131067 IUT131064:IUU131067 JEP131064:JEQ131067 JOL131064:JOM131067 JYH131064:JYI131067 KID131064:KIE131067 KRZ131064:KSA131067 LBV131064:LBW131067 LLR131064:LLS131067 LVN131064:LVO131067 MFJ131064:MFK131067 MPF131064:MPG131067 MZB131064:MZC131067 NIX131064:NIY131067 NST131064:NSU131067 OCP131064:OCQ131067 OML131064:OMM131067 OWH131064:OWI131067 PGD131064:PGE131067 PPZ131064:PQA131067 PZV131064:PZW131067 QJR131064:QJS131067 QTN131064:QTO131067 RDJ131064:RDK131067 RNF131064:RNG131067 RXB131064:RXC131067 SGX131064:SGY131067 SQT131064:SQU131067 TAP131064:TAQ131067 TKL131064:TKM131067 TUH131064:TUI131067 UED131064:UEE131067 UNZ131064:UOA131067 UXV131064:UXW131067 VHR131064:VHS131067 VRN131064:VRO131067 WBJ131064:WBK131067 WLF131064:WLG131067 WVB131064:WVC131067 IP196600:IQ196603 SL196600:SM196603 ACH196600:ACI196603 AMD196600:AME196603 AVZ196600:AWA196603 BFV196600:BFW196603 BPR196600:BPS196603 BZN196600:BZO196603 CJJ196600:CJK196603 CTF196600:CTG196603 DDB196600:DDC196603 DMX196600:DMY196603 DWT196600:DWU196603 EGP196600:EGQ196603 EQL196600:EQM196603 FAH196600:FAI196603 FKD196600:FKE196603 FTZ196600:FUA196603 GDV196600:GDW196603 GNR196600:GNS196603 GXN196600:GXO196603 HHJ196600:HHK196603 HRF196600:HRG196603 IBB196600:IBC196603 IKX196600:IKY196603 IUT196600:IUU196603 JEP196600:JEQ196603 JOL196600:JOM196603 JYH196600:JYI196603 KID196600:KIE196603 KRZ196600:KSA196603 LBV196600:LBW196603 LLR196600:LLS196603 LVN196600:LVO196603 MFJ196600:MFK196603 MPF196600:MPG196603 MZB196600:MZC196603 NIX196600:NIY196603 NST196600:NSU196603 OCP196600:OCQ196603 OML196600:OMM196603 OWH196600:OWI196603 PGD196600:PGE196603 PPZ196600:PQA196603 PZV196600:PZW196603 QJR196600:QJS196603 QTN196600:QTO196603 RDJ196600:RDK196603 RNF196600:RNG196603 RXB196600:RXC196603 SGX196600:SGY196603 SQT196600:SQU196603 TAP196600:TAQ196603 TKL196600:TKM196603 TUH196600:TUI196603 UED196600:UEE196603 UNZ196600:UOA196603 UXV196600:UXW196603 VHR196600:VHS196603 VRN196600:VRO196603 WBJ196600:WBK196603 WLF196600:WLG196603 WVB196600:WVC196603 IP262136:IQ262139 SL262136:SM262139 ACH262136:ACI262139 AMD262136:AME262139 AVZ262136:AWA262139 BFV262136:BFW262139 BPR262136:BPS262139 BZN262136:BZO262139 CJJ262136:CJK262139 CTF262136:CTG262139 DDB262136:DDC262139 DMX262136:DMY262139 DWT262136:DWU262139 EGP262136:EGQ262139 EQL262136:EQM262139 FAH262136:FAI262139 FKD262136:FKE262139 FTZ262136:FUA262139 GDV262136:GDW262139 GNR262136:GNS262139 GXN262136:GXO262139 HHJ262136:HHK262139 HRF262136:HRG262139 IBB262136:IBC262139 IKX262136:IKY262139 IUT262136:IUU262139 JEP262136:JEQ262139 JOL262136:JOM262139 JYH262136:JYI262139 KID262136:KIE262139 KRZ262136:KSA262139 LBV262136:LBW262139 LLR262136:LLS262139 LVN262136:LVO262139 MFJ262136:MFK262139 MPF262136:MPG262139 MZB262136:MZC262139 NIX262136:NIY262139 NST262136:NSU262139 OCP262136:OCQ262139 OML262136:OMM262139 OWH262136:OWI262139 PGD262136:PGE262139 PPZ262136:PQA262139 PZV262136:PZW262139 QJR262136:QJS262139 QTN262136:QTO262139 RDJ262136:RDK262139 RNF262136:RNG262139 RXB262136:RXC262139 SGX262136:SGY262139 SQT262136:SQU262139 TAP262136:TAQ262139 TKL262136:TKM262139 TUH262136:TUI262139 UED262136:UEE262139 UNZ262136:UOA262139 UXV262136:UXW262139 VHR262136:VHS262139 VRN262136:VRO262139 WBJ262136:WBK262139 WLF262136:WLG262139 WVB262136:WVC262139 IP327672:IQ327675 SL327672:SM327675 ACH327672:ACI327675 AMD327672:AME327675 AVZ327672:AWA327675 BFV327672:BFW327675 BPR327672:BPS327675 BZN327672:BZO327675 CJJ327672:CJK327675 CTF327672:CTG327675 DDB327672:DDC327675 DMX327672:DMY327675 DWT327672:DWU327675 EGP327672:EGQ327675 EQL327672:EQM327675 FAH327672:FAI327675 FKD327672:FKE327675 FTZ327672:FUA327675 GDV327672:GDW327675 GNR327672:GNS327675 GXN327672:GXO327675 HHJ327672:HHK327675 HRF327672:HRG327675 IBB327672:IBC327675 IKX327672:IKY327675 IUT327672:IUU327675 JEP327672:JEQ327675 JOL327672:JOM327675 JYH327672:JYI327675 KID327672:KIE327675 KRZ327672:KSA327675 LBV327672:LBW327675 LLR327672:LLS327675 LVN327672:LVO327675 MFJ327672:MFK327675 MPF327672:MPG327675 MZB327672:MZC327675 NIX327672:NIY327675 NST327672:NSU327675 OCP327672:OCQ327675 OML327672:OMM327675 OWH327672:OWI327675 PGD327672:PGE327675 PPZ327672:PQA327675 PZV327672:PZW327675 QJR327672:QJS327675 QTN327672:QTO327675 RDJ327672:RDK327675 RNF327672:RNG327675 RXB327672:RXC327675 SGX327672:SGY327675 SQT327672:SQU327675 TAP327672:TAQ327675 TKL327672:TKM327675 TUH327672:TUI327675 UED327672:UEE327675 UNZ327672:UOA327675 UXV327672:UXW327675 VHR327672:VHS327675 VRN327672:VRO327675 WBJ327672:WBK327675 WLF327672:WLG327675 WVB327672:WVC327675 IP393208:IQ393211 SL393208:SM393211 ACH393208:ACI393211 AMD393208:AME393211 AVZ393208:AWA393211 BFV393208:BFW393211 BPR393208:BPS393211 BZN393208:BZO393211 CJJ393208:CJK393211 CTF393208:CTG393211 DDB393208:DDC393211 DMX393208:DMY393211 DWT393208:DWU393211 EGP393208:EGQ393211 EQL393208:EQM393211 FAH393208:FAI393211 FKD393208:FKE393211 FTZ393208:FUA393211 GDV393208:GDW393211 GNR393208:GNS393211 GXN393208:GXO393211 HHJ393208:HHK393211 HRF393208:HRG393211 IBB393208:IBC393211 IKX393208:IKY393211 IUT393208:IUU393211 JEP393208:JEQ393211 JOL393208:JOM393211 JYH393208:JYI393211 KID393208:KIE393211 KRZ393208:KSA393211 LBV393208:LBW393211 LLR393208:LLS393211 LVN393208:LVO393211 MFJ393208:MFK393211 MPF393208:MPG393211 MZB393208:MZC393211 NIX393208:NIY393211 NST393208:NSU393211 OCP393208:OCQ393211 OML393208:OMM393211 OWH393208:OWI393211 PGD393208:PGE393211 PPZ393208:PQA393211 PZV393208:PZW393211 QJR393208:QJS393211 QTN393208:QTO393211 RDJ393208:RDK393211 RNF393208:RNG393211 RXB393208:RXC393211 SGX393208:SGY393211 SQT393208:SQU393211 TAP393208:TAQ393211 TKL393208:TKM393211 TUH393208:TUI393211 UED393208:UEE393211 UNZ393208:UOA393211 UXV393208:UXW393211 VHR393208:VHS393211 VRN393208:VRO393211 WBJ393208:WBK393211 WLF393208:WLG393211 WVB393208:WVC393211 IP458744:IQ458747 SL458744:SM458747 ACH458744:ACI458747 AMD458744:AME458747 AVZ458744:AWA458747 BFV458744:BFW458747 BPR458744:BPS458747 BZN458744:BZO458747 CJJ458744:CJK458747 CTF458744:CTG458747 DDB458744:DDC458747 DMX458744:DMY458747 DWT458744:DWU458747 EGP458744:EGQ458747 EQL458744:EQM458747 FAH458744:FAI458747 FKD458744:FKE458747 FTZ458744:FUA458747 GDV458744:GDW458747 GNR458744:GNS458747 GXN458744:GXO458747 HHJ458744:HHK458747 HRF458744:HRG458747 IBB458744:IBC458747 IKX458744:IKY458747 IUT458744:IUU458747 JEP458744:JEQ458747 JOL458744:JOM458747 JYH458744:JYI458747 KID458744:KIE458747 KRZ458744:KSA458747 LBV458744:LBW458747 LLR458744:LLS458747 LVN458744:LVO458747 MFJ458744:MFK458747 MPF458744:MPG458747 MZB458744:MZC458747 NIX458744:NIY458747 NST458744:NSU458747 OCP458744:OCQ458747 OML458744:OMM458747 OWH458744:OWI458747 PGD458744:PGE458747 PPZ458744:PQA458747 PZV458744:PZW458747 QJR458744:QJS458747 QTN458744:QTO458747 RDJ458744:RDK458747 RNF458744:RNG458747 RXB458744:RXC458747 SGX458744:SGY458747 SQT458744:SQU458747 TAP458744:TAQ458747 TKL458744:TKM458747 TUH458744:TUI458747 UED458744:UEE458747 UNZ458744:UOA458747 UXV458744:UXW458747 VHR458744:VHS458747 VRN458744:VRO458747 WBJ458744:WBK458747 WLF458744:WLG458747 WVB458744:WVC458747 IP524280:IQ524283 SL524280:SM524283 ACH524280:ACI524283 AMD524280:AME524283 AVZ524280:AWA524283 BFV524280:BFW524283 BPR524280:BPS524283 BZN524280:BZO524283 CJJ524280:CJK524283 CTF524280:CTG524283 DDB524280:DDC524283 DMX524280:DMY524283 DWT524280:DWU524283 EGP524280:EGQ524283 EQL524280:EQM524283 FAH524280:FAI524283 FKD524280:FKE524283 FTZ524280:FUA524283 GDV524280:GDW524283 GNR524280:GNS524283 GXN524280:GXO524283 HHJ524280:HHK524283 HRF524280:HRG524283 IBB524280:IBC524283 IKX524280:IKY524283 IUT524280:IUU524283 JEP524280:JEQ524283 JOL524280:JOM524283 JYH524280:JYI524283 KID524280:KIE524283 KRZ524280:KSA524283 LBV524280:LBW524283 LLR524280:LLS524283 LVN524280:LVO524283 MFJ524280:MFK524283 MPF524280:MPG524283 MZB524280:MZC524283 NIX524280:NIY524283 NST524280:NSU524283 OCP524280:OCQ524283 OML524280:OMM524283 OWH524280:OWI524283 PGD524280:PGE524283 PPZ524280:PQA524283 PZV524280:PZW524283 QJR524280:QJS524283 QTN524280:QTO524283 RDJ524280:RDK524283 RNF524280:RNG524283 RXB524280:RXC524283 SGX524280:SGY524283 SQT524280:SQU524283 TAP524280:TAQ524283 TKL524280:TKM524283 TUH524280:TUI524283 UED524280:UEE524283 UNZ524280:UOA524283 UXV524280:UXW524283 VHR524280:VHS524283 VRN524280:VRO524283 WBJ524280:WBK524283 WLF524280:WLG524283 WVB524280:WVC524283 IP589816:IQ589819 SL589816:SM589819 ACH589816:ACI589819 AMD589816:AME589819 AVZ589816:AWA589819 BFV589816:BFW589819 BPR589816:BPS589819 BZN589816:BZO589819 CJJ589816:CJK589819 CTF589816:CTG589819 DDB589816:DDC589819 DMX589816:DMY589819 DWT589816:DWU589819 EGP589816:EGQ589819 EQL589816:EQM589819 FAH589816:FAI589819 FKD589816:FKE589819 FTZ589816:FUA589819 GDV589816:GDW589819 GNR589816:GNS589819 GXN589816:GXO589819 HHJ589816:HHK589819 HRF589816:HRG589819 IBB589816:IBC589819 IKX589816:IKY589819 IUT589816:IUU589819 JEP589816:JEQ589819 JOL589816:JOM589819 JYH589816:JYI589819 KID589816:KIE589819 KRZ589816:KSA589819 LBV589816:LBW589819 LLR589816:LLS589819 LVN589816:LVO589819 MFJ589816:MFK589819 MPF589816:MPG589819 MZB589816:MZC589819 NIX589816:NIY589819 NST589816:NSU589819 OCP589816:OCQ589819 OML589816:OMM589819 OWH589816:OWI589819 PGD589816:PGE589819 PPZ589816:PQA589819 PZV589816:PZW589819 QJR589816:QJS589819 QTN589816:QTO589819 RDJ589816:RDK589819 RNF589816:RNG589819 RXB589816:RXC589819 SGX589816:SGY589819 SQT589816:SQU589819 TAP589816:TAQ589819 TKL589816:TKM589819 TUH589816:TUI589819 UED589816:UEE589819 UNZ589816:UOA589819 UXV589816:UXW589819 VHR589816:VHS589819 VRN589816:VRO589819 WBJ589816:WBK589819 WLF589816:WLG589819 WVB589816:WVC589819 IP655352:IQ655355 SL655352:SM655355 ACH655352:ACI655355 AMD655352:AME655355 AVZ655352:AWA655355 BFV655352:BFW655355 BPR655352:BPS655355 BZN655352:BZO655355 CJJ655352:CJK655355 CTF655352:CTG655355 DDB655352:DDC655355 DMX655352:DMY655355 DWT655352:DWU655355 EGP655352:EGQ655355 EQL655352:EQM655355 FAH655352:FAI655355 FKD655352:FKE655355 FTZ655352:FUA655355 GDV655352:GDW655355 GNR655352:GNS655355 GXN655352:GXO655355 HHJ655352:HHK655355 HRF655352:HRG655355 IBB655352:IBC655355 IKX655352:IKY655355 IUT655352:IUU655355 JEP655352:JEQ655355 JOL655352:JOM655355 JYH655352:JYI655355 KID655352:KIE655355 KRZ655352:KSA655355 LBV655352:LBW655355 LLR655352:LLS655355 LVN655352:LVO655355 MFJ655352:MFK655355 MPF655352:MPG655355 MZB655352:MZC655355 NIX655352:NIY655355 NST655352:NSU655355 OCP655352:OCQ655355 OML655352:OMM655355 OWH655352:OWI655355 PGD655352:PGE655355 PPZ655352:PQA655355 PZV655352:PZW655355 QJR655352:QJS655355 QTN655352:QTO655355 RDJ655352:RDK655355 RNF655352:RNG655355 RXB655352:RXC655355 SGX655352:SGY655355 SQT655352:SQU655355 TAP655352:TAQ655355 TKL655352:TKM655355 TUH655352:TUI655355 UED655352:UEE655355 UNZ655352:UOA655355 UXV655352:UXW655355 VHR655352:VHS655355 VRN655352:VRO655355 WBJ655352:WBK655355 WLF655352:WLG655355 WVB655352:WVC655355 IP720888:IQ720891 SL720888:SM720891 ACH720888:ACI720891 AMD720888:AME720891 AVZ720888:AWA720891 BFV720888:BFW720891 BPR720888:BPS720891 BZN720888:BZO720891 CJJ720888:CJK720891 CTF720888:CTG720891 DDB720888:DDC720891 DMX720888:DMY720891 DWT720888:DWU720891 EGP720888:EGQ720891 EQL720888:EQM720891 FAH720888:FAI720891 FKD720888:FKE720891 FTZ720888:FUA720891 GDV720888:GDW720891 GNR720888:GNS720891 GXN720888:GXO720891 HHJ720888:HHK720891 HRF720888:HRG720891 IBB720888:IBC720891 IKX720888:IKY720891 IUT720888:IUU720891 JEP720888:JEQ720891 JOL720888:JOM720891 JYH720888:JYI720891 KID720888:KIE720891 KRZ720888:KSA720891 LBV720888:LBW720891 LLR720888:LLS720891 LVN720888:LVO720891 MFJ720888:MFK720891 MPF720888:MPG720891 MZB720888:MZC720891 NIX720888:NIY720891 NST720888:NSU720891 OCP720888:OCQ720891 OML720888:OMM720891 OWH720888:OWI720891 PGD720888:PGE720891 PPZ720888:PQA720891 PZV720888:PZW720891 QJR720888:QJS720891 QTN720888:QTO720891 RDJ720888:RDK720891 RNF720888:RNG720891 RXB720888:RXC720891 SGX720888:SGY720891 SQT720888:SQU720891 TAP720888:TAQ720891 TKL720888:TKM720891 TUH720888:TUI720891 UED720888:UEE720891 UNZ720888:UOA720891 UXV720888:UXW720891 VHR720888:VHS720891 VRN720888:VRO720891 WBJ720888:WBK720891 WLF720888:WLG720891 WVB720888:WVC720891 IP786424:IQ786427 SL786424:SM786427 ACH786424:ACI786427 AMD786424:AME786427 AVZ786424:AWA786427 BFV786424:BFW786427 BPR786424:BPS786427 BZN786424:BZO786427 CJJ786424:CJK786427 CTF786424:CTG786427 DDB786424:DDC786427 DMX786424:DMY786427 DWT786424:DWU786427 EGP786424:EGQ786427 EQL786424:EQM786427 FAH786424:FAI786427 FKD786424:FKE786427 FTZ786424:FUA786427 GDV786424:GDW786427 GNR786424:GNS786427 GXN786424:GXO786427 HHJ786424:HHK786427 HRF786424:HRG786427 IBB786424:IBC786427 IKX786424:IKY786427 IUT786424:IUU786427 JEP786424:JEQ786427 JOL786424:JOM786427 JYH786424:JYI786427 KID786424:KIE786427 KRZ786424:KSA786427 LBV786424:LBW786427 LLR786424:LLS786427 LVN786424:LVO786427 MFJ786424:MFK786427 MPF786424:MPG786427 MZB786424:MZC786427 NIX786424:NIY786427 NST786424:NSU786427 OCP786424:OCQ786427 OML786424:OMM786427 OWH786424:OWI786427 PGD786424:PGE786427 PPZ786424:PQA786427 PZV786424:PZW786427 QJR786424:QJS786427 QTN786424:QTO786427 RDJ786424:RDK786427 RNF786424:RNG786427 RXB786424:RXC786427 SGX786424:SGY786427 SQT786424:SQU786427 TAP786424:TAQ786427 TKL786424:TKM786427 TUH786424:TUI786427 UED786424:UEE786427 UNZ786424:UOA786427 UXV786424:UXW786427 VHR786424:VHS786427 VRN786424:VRO786427 WBJ786424:WBK786427 WLF786424:WLG786427 WVB786424:WVC786427 IP851960:IQ851963 SL851960:SM851963 ACH851960:ACI851963 AMD851960:AME851963 AVZ851960:AWA851963 BFV851960:BFW851963 BPR851960:BPS851963 BZN851960:BZO851963 CJJ851960:CJK851963 CTF851960:CTG851963 DDB851960:DDC851963 DMX851960:DMY851963 DWT851960:DWU851963 EGP851960:EGQ851963 EQL851960:EQM851963 FAH851960:FAI851963 FKD851960:FKE851963 FTZ851960:FUA851963 GDV851960:GDW851963 GNR851960:GNS851963 GXN851960:GXO851963 HHJ851960:HHK851963 HRF851960:HRG851963 IBB851960:IBC851963 IKX851960:IKY851963 IUT851960:IUU851963 JEP851960:JEQ851963 JOL851960:JOM851963 JYH851960:JYI851963 KID851960:KIE851963 KRZ851960:KSA851963 LBV851960:LBW851963 LLR851960:LLS851963 LVN851960:LVO851963 MFJ851960:MFK851963 MPF851960:MPG851963 MZB851960:MZC851963 NIX851960:NIY851963 NST851960:NSU851963 OCP851960:OCQ851963 OML851960:OMM851963 OWH851960:OWI851963 PGD851960:PGE851963 PPZ851960:PQA851963 PZV851960:PZW851963 QJR851960:QJS851963 QTN851960:QTO851963 RDJ851960:RDK851963 RNF851960:RNG851963 RXB851960:RXC851963 SGX851960:SGY851963 SQT851960:SQU851963 TAP851960:TAQ851963 TKL851960:TKM851963 TUH851960:TUI851963 UED851960:UEE851963 UNZ851960:UOA851963 UXV851960:UXW851963 VHR851960:VHS851963 VRN851960:VRO851963 WBJ851960:WBK851963 WLF851960:WLG851963 WVB851960:WVC851963 IP917496:IQ917499 SL917496:SM917499 ACH917496:ACI917499 AMD917496:AME917499 AVZ917496:AWA917499 BFV917496:BFW917499 BPR917496:BPS917499 BZN917496:BZO917499 CJJ917496:CJK917499 CTF917496:CTG917499 DDB917496:DDC917499 DMX917496:DMY917499 DWT917496:DWU917499 EGP917496:EGQ917499 EQL917496:EQM917499 FAH917496:FAI917499 FKD917496:FKE917499 FTZ917496:FUA917499 GDV917496:GDW917499 GNR917496:GNS917499 GXN917496:GXO917499 HHJ917496:HHK917499 HRF917496:HRG917499 IBB917496:IBC917499 IKX917496:IKY917499 IUT917496:IUU917499 JEP917496:JEQ917499 JOL917496:JOM917499 JYH917496:JYI917499 KID917496:KIE917499 KRZ917496:KSA917499 LBV917496:LBW917499 LLR917496:LLS917499 LVN917496:LVO917499 MFJ917496:MFK917499 MPF917496:MPG917499 MZB917496:MZC917499 NIX917496:NIY917499 NST917496:NSU917499 OCP917496:OCQ917499 OML917496:OMM917499 OWH917496:OWI917499 PGD917496:PGE917499 PPZ917496:PQA917499 PZV917496:PZW917499 QJR917496:QJS917499 QTN917496:QTO917499 RDJ917496:RDK917499 RNF917496:RNG917499 RXB917496:RXC917499 SGX917496:SGY917499 SQT917496:SQU917499 TAP917496:TAQ917499 TKL917496:TKM917499 TUH917496:TUI917499 UED917496:UEE917499 UNZ917496:UOA917499 UXV917496:UXW917499 VHR917496:VHS917499 VRN917496:VRO917499 WBJ917496:WBK917499 WLF917496:WLG917499 WVB917496:WVC917499 IP983032:IQ983035 SL983032:SM983035 ACH983032:ACI983035 AMD983032:AME983035 AVZ983032:AWA983035 BFV983032:BFW983035 BPR983032:BPS983035 BZN983032:BZO983035 CJJ983032:CJK983035 CTF983032:CTG983035 DDB983032:DDC983035 DMX983032:DMY983035 DWT983032:DWU983035 EGP983032:EGQ983035 EQL983032:EQM983035 FAH983032:FAI983035 FKD983032:FKE983035 FTZ983032:FUA983035 GDV983032:GDW983035 GNR983032:GNS983035 GXN983032:GXO983035 HHJ983032:HHK983035 HRF983032:HRG983035 IBB983032:IBC983035 IKX983032:IKY983035 IUT983032:IUU983035 JEP983032:JEQ983035 JOL983032:JOM983035 JYH983032:JYI983035 KID983032:KIE983035 KRZ983032:KSA983035 LBV983032:LBW983035 LLR983032:LLS983035 LVN983032:LVO983035 MFJ983032:MFK983035 MPF983032:MPG983035 MZB983032:MZC983035 NIX983032:NIY983035 NST983032:NSU983035 OCP983032:OCQ983035 OML983032:OMM983035 OWH983032:OWI983035 PGD983032:PGE983035 PPZ983032:PQA983035 PZV983032:PZW983035 QJR983032:QJS983035 QTN983032:QTO983035 RDJ983032:RDK983035 RNF983032:RNG983035 RXB983032:RXC983035 SGX983032:SGY983035 SQT983032:SQU983035 TAP983032:TAQ983035 TKL983032:TKM983035 TUH983032:TUI983035 UED983032:UEE983035 UNZ983032:UOA983035 UXV983032:UXW983035 VHR983032:VHS983035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T13"/>
  <sheetViews>
    <sheetView view="pageBreakPreview" zoomScaleNormal="115" zoomScaleSheetLayoutView="100" workbookViewId="0">
      <selection activeCell="G13" sqref="G13:H13"/>
    </sheetView>
  </sheetViews>
  <sheetFormatPr defaultRowHeight="11.25" x14ac:dyDescent="0.2"/>
  <cols>
    <col min="1" max="1" width="8" style="8" customWidth="1"/>
    <col min="2" max="2" width="60.7109375" style="8" customWidth="1"/>
    <col min="3" max="3" width="5.140625" style="8" bestFit="1" customWidth="1"/>
    <col min="4" max="4" width="13.85546875" style="8" customWidth="1"/>
    <col min="5" max="5" width="9.85546875" style="8" bestFit="1" customWidth="1"/>
    <col min="6" max="6" width="11.5703125" style="8" bestFit="1" customWidth="1"/>
    <col min="7" max="7" width="10.85546875" style="8" bestFit="1" customWidth="1"/>
    <col min="8" max="8" width="13.140625" style="8" customWidth="1"/>
    <col min="9" max="20" width="9.140625" style="8"/>
    <col min="21" max="21" width="9.5703125" style="8" bestFit="1" customWidth="1"/>
    <col min="22" max="42" width="9.140625" style="8"/>
    <col min="43" max="44" width="9.85546875" style="8" bestFit="1" customWidth="1"/>
    <col min="45" max="224" width="9.140625" style="8"/>
    <col min="225" max="263" width="2.42578125" style="8" customWidth="1"/>
    <col min="264" max="264" width="3.42578125" style="8" bestFit="1" customWidth="1"/>
    <col min="265" max="480" width="9.140625" style="8"/>
    <col min="481" max="519" width="2.42578125" style="8" customWidth="1"/>
    <col min="520" max="520" width="3.42578125" style="8" bestFit="1" customWidth="1"/>
    <col min="521" max="736" width="9.140625" style="8"/>
    <col min="737" max="775" width="2.42578125" style="8" customWidth="1"/>
    <col min="776" max="776" width="3.42578125" style="8" bestFit="1" customWidth="1"/>
    <col min="777" max="992" width="9.140625" style="8"/>
    <col min="993" max="1031" width="2.42578125" style="8" customWidth="1"/>
    <col min="1032" max="1032" width="3.42578125" style="8" bestFit="1" customWidth="1"/>
    <col min="1033" max="1248" width="9.140625" style="8"/>
    <col min="1249" max="1287" width="2.42578125" style="8" customWidth="1"/>
    <col min="1288" max="1288" width="3.42578125" style="8" bestFit="1" customWidth="1"/>
    <col min="1289" max="1504" width="9.140625" style="8"/>
    <col min="1505" max="1543" width="2.42578125" style="8" customWidth="1"/>
    <col min="1544" max="1544" width="3.42578125" style="8" bestFit="1" customWidth="1"/>
    <col min="1545" max="1760" width="9.140625" style="8"/>
    <col min="1761" max="1799" width="2.42578125" style="8" customWidth="1"/>
    <col min="1800" max="1800" width="3.42578125" style="8" bestFit="1" customWidth="1"/>
    <col min="1801" max="2016" width="9.140625" style="8"/>
    <col min="2017" max="2055" width="2.42578125" style="8" customWidth="1"/>
    <col min="2056" max="2056" width="3.42578125" style="8" bestFit="1" customWidth="1"/>
    <col min="2057" max="2272" width="9.140625" style="8"/>
    <col min="2273" max="2311" width="2.42578125" style="8" customWidth="1"/>
    <col min="2312" max="2312" width="3.42578125" style="8" bestFit="1" customWidth="1"/>
    <col min="2313" max="2528" width="9.140625" style="8"/>
    <col min="2529" max="2567" width="2.42578125" style="8" customWidth="1"/>
    <col min="2568" max="2568" width="3.42578125" style="8" bestFit="1" customWidth="1"/>
    <col min="2569" max="2784" width="9.140625" style="8"/>
    <col min="2785" max="2823" width="2.42578125" style="8" customWidth="1"/>
    <col min="2824" max="2824" width="3.42578125" style="8" bestFit="1" customWidth="1"/>
    <col min="2825" max="3040" width="9.140625" style="8"/>
    <col min="3041" max="3079" width="2.42578125" style="8" customWidth="1"/>
    <col min="3080" max="3080" width="3.42578125" style="8" bestFit="1" customWidth="1"/>
    <col min="3081" max="3296" width="9.140625" style="8"/>
    <col min="3297" max="3335" width="2.42578125" style="8" customWidth="1"/>
    <col min="3336" max="3336" width="3.42578125" style="8" bestFit="1" customWidth="1"/>
    <col min="3337" max="3552" width="9.140625" style="8"/>
    <col min="3553" max="3591" width="2.42578125" style="8" customWidth="1"/>
    <col min="3592" max="3592" width="3.42578125" style="8" bestFit="1" customWidth="1"/>
    <col min="3593" max="3808" width="9.140625" style="8"/>
    <col min="3809" max="3847" width="2.42578125" style="8" customWidth="1"/>
    <col min="3848" max="3848" width="3.42578125" style="8" bestFit="1" customWidth="1"/>
    <col min="3849" max="4064" width="9.140625" style="8"/>
    <col min="4065" max="4103" width="2.42578125" style="8" customWidth="1"/>
    <col min="4104" max="4104" width="3.42578125" style="8" bestFit="1" customWidth="1"/>
    <col min="4105" max="4320" width="9.140625" style="8"/>
    <col min="4321" max="4359" width="2.42578125" style="8" customWidth="1"/>
    <col min="4360" max="4360" width="3.42578125" style="8" bestFit="1" customWidth="1"/>
    <col min="4361" max="4576" width="9.140625" style="8"/>
    <col min="4577" max="4615" width="2.42578125" style="8" customWidth="1"/>
    <col min="4616" max="4616" width="3.42578125" style="8" bestFit="1" customWidth="1"/>
    <col min="4617" max="4832" width="9.140625" style="8"/>
    <col min="4833" max="4871" width="2.42578125" style="8" customWidth="1"/>
    <col min="4872" max="4872" width="3.42578125" style="8" bestFit="1" customWidth="1"/>
    <col min="4873" max="5088" width="9.140625" style="8"/>
    <col min="5089" max="5127" width="2.42578125" style="8" customWidth="1"/>
    <col min="5128" max="5128" width="3.42578125" style="8" bestFit="1" customWidth="1"/>
    <col min="5129" max="5344" width="9.140625" style="8"/>
    <col min="5345" max="5383" width="2.42578125" style="8" customWidth="1"/>
    <col min="5384" max="5384" width="3.42578125" style="8" bestFit="1" customWidth="1"/>
    <col min="5385" max="5600" width="9.140625" style="8"/>
    <col min="5601" max="5639" width="2.42578125" style="8" customWidth="1"/>
    <col min="5640" max="5640" width="3.42578125" style="8" bestFit="1" customWidth="1"/>
    <col min="5641" max="5856" width="9.140625" style="8"/>
    <col min="5857" max="5895" width="2.42578125" style="8" customWidth="1"/>
    <col min="5896" max="5896" width="3.42578125" style="8" bestFit="1" customWidth="1"/>
    <col min="5897" max="6112" width="9.140625" style="8"/>
    <col min="6113" max="6151" width="2.42578125" style="8" customWidth="1"/>
    <col min="6152" max="6152" width="3.42578125" style="8" bestFit="1" customWidth="1"/>
    <col min="6153" max="6368" width="9.140625" style="8"/>
    <col min="6369" max="6407" width="2.42578125" style="8" customWidth="1"/>
    <col min="6408" max="6408" width="3.42578125" style="8" bestFit="1" customWidth="1"/>
    <col min="6409" max="6624" width="9.140625" style="8"/>
    <col min="6625" max="6663" width="2.42578125" style="8" customWidth="1"/>
    <col min="6664" max="6664" width="3.42578125" style="8" bestFit="1" customWidth="1"/>
    <col min="6665" max="6880" width="9.140625" style="8"/>
    <col min="6881" max="6919" width="2.42578125" style="8" customWidth="1"/>
    <col min="6920" max="6920" width="3.42578125" style="8" bestFit="1" customWidth="1"/>
    <col min="6921" max="7136" width="9.140625" style="8"/>
    <col min="7137" max="7175" width="2.42578125" style="8" customWidth="1"/>
    <col min="7176" max="7176" width="3.42578125" style="8" bestFit="1" customWidth="1"/>
    <col min="7177" max="7392" width="9.140625" style="8"/>
    <col min="7393" max="7431" width="2.42578125" style="8" customWidth="1"/>
    <col min="7432" max="7432" width="3.42578125" style="8" bestFit="1" customWidth="1"/>
    <col min="7433" max="7648" width="9.140625" style="8"/>
    <col min="7649" max="7687" width="2.42578125" style="8" customWidth="1"/>
    <col min="7688" max="7688" width="3.42578125" style="8" bestFit="1" customWidth="1"/>
    <col min="7689" max="7904" width="9.140625" style="8"/>
    <col min="7905" max="7943" width="2.42578125" style="8" customWidth="1"/>
    <col min="7944" max="7944" width="3.42578125" style="8" bestFit="1" customWidth="1"/>
    <col min="7945" max="8160" width="9.140625" style="8"/>
    <col min="8161" max="8199" width="2.42578125" style="8" customWidth="1"/>
    <col min="8200" max="8200" width="3.42578125" style="8" bestFit="1" customWidth="1"/>
    <col min="8201" max="8416" width="9.140625" style="8"/>
    <col min="8417" max="8455" width="2.42578125" style="8" customWidth="1"/>
    <col min="8456" max="8456" width="3.42578125" style="8" bestFit="1" customWidth="1"/>
    <col min="8457" max="8672" width="9.140625" style="8"/>
    <col min="8673" max="8711" width="2.42578125" style="8" customWidth="1"/>
    <col min="8712" max="8712" width="3.42578125" style="8" bestFit="1" customWidth="1"/>
    <col min="8713" max="8928" width="9.140625" style="8"/>
    <col min="8929" max="8967" width="2.42578125" style="8" customWidth="1"/>
    <col min="8968" max="8968" width="3.42578125" style="8" bestFit="1" customWidth="1"/>
    <col min="8969" max="9184" width="9.140625" style="8"/>
    <col min="9185" max="9223" width="2.42578125" style="8" customWidth="1"/>
    <col min="9224" max="9224" width="3.42578125" style="8" bestFit="1" customWidth="1"/>
    <col min="9225" max="9440" width="9.140625" style="8"/>
    <col min="9441" max="9479" width="2.42578125" style="8" customWidth="1"/>
    <col min="9480" max="9480" width="3.42578125" style="8" bestFit="1" customWidth="1"/>
    <col min="9481" max="9696" width="9.140625" style="8"/>
    <col min="9697" max="9735" width="2.42578125" style="8" customWidth="1"/>
    <col min="9736" max="9736" width="3.42578125" style="8" bestFit="1" customWidth="1"/>
    <col min="9737" max="9952" width="9.140625" style="8"/>
    <col min="9953" max="9991" width="2.42578125" style="8" customWidth="1"/>
    <col min="9992" max="9992" width="3.42578125" style="8" bestFit="1" customWidth="1"/>
    <col min="9993" max="10208" width="9.140625" style="8"/>
    <col min="10209" max="10247" width="2.42578125" style="8" customWidth="1"/>
    <col min="10248" max="10248" width="3.42578125" style="8" bestFit="1" customWidth="1"/>
    <col min="10249" max="10464" width="9.140625" style="8"/>
    <col min="10465" max="10503" width="2.42578125" style="8" customWidth="1"/>
    <col min="10504" max="10504" width="3.42578125" style="8" bestFit="1" customWidth="1"/>
    <col min="10505" max="10720" width="9.140625" style="8"/>
    <col min="10721" max="10759" width="2.42578125" style="8" customWidth="1"/>
    <col min="10760" max="10760" width="3.42578125" style="8" bestFit="1" customWidth="1"/>
    <col min="10761" max="10976" width="9.140625" style="8"/>
    <col min="10977" max="11015" width="2.42578125" style="8" customWidth="1"/>
    <col min="11016" max="11016" width="3.42578125" style="8" bestFit="1" customWidth="1"/>
    <col min="11017" max="11232" width="9.140625" style="8"/>
    <col min="11233" max="11271" width="2.42578125" style="8" customWidth="1"/>
    <col min="11272" max="11272" width="3.42578125" style="8" bestFit="1" customWidth="1"/>
    <col min="11273" max="11488" width="9.140625" style="8"/>
    <col min="11489" max="11527" width="2.42578125" style="8" customWidth="1"/>
    <col min="11528" max="11528" width="3.42578125" style="8" bestFit="1" customWidth="1"/>
    <col min="11529" max="11744" width="9.140625" style="8"/>
    <col min="11745" max="11783" width="2.42578125" style="8" customWidth="1"/>
    <col min="11784" max="11784" width="3.42578125" style="8" bestFit="1" customWidth="1"/>
    <col min="11785" max="12000" width="9.140625" style="8"/>
    <col min="12001" max="12039" width="2.42578125" style="8" customWidth="1"/>
    <col min="12040" max="12040" width="3.42578125" style="8" bestFit="1" customWidth="1"/>
    <col min="12041" max="12256" width="9.140625" style="8"/>
    <col min="12257" max="12295" width="2.42578125" style="8" customWidth="1"/>
    <col min="12296" max="12296" width="3.42578125" style="8" bestFit="1" customWidth="1"/>
    <col min="12297" max="12512" width="9.140625" style="8"/>
    <col min="12513" max="12551" width="2.42578125" style="8" customWidth="1"/>
    <col min="12552" max="12552" width="3.42578125" style="8" bestFit="1" customWidth="1"/>
    <col min="12553" max="12768" width="9.140625" style="8"/>
    <col min="12769" max="12807" width="2.42578125" style="8" customWidth="1"/>
    <col min="12808" max="12808" width="3.42578125" style="8" bestFit="1" customWidth="1"/>
    <col min="12809" max="13024" width="9.140625" style="8"/>
    <col min="13025" max="13063" width="2.42578125" style="8" customWidth="1"/>
    <col min="13064" max="13064" width="3.42578125" style="8" bestFit="1" customWidth="1"/>
    <col min="13065" max="13280" width="9.140625" style="8"/>
    <col min="13281" max="13319" width="2.42578125" style="8" customWidth="1"/>
    <col min="13320" max="13320" width="3.42578125" style="8" bestFit="1" customWidth="1"/>
    <col min="13321" max="13536" width="9.140625" style="8"/>
    <col min="13537" max="13575" width="2.42578125" style="8" customWidth="1"/>
    <col min="13576" max="13576" width="3.42578125" style="8" bestFit="1" customWidth="1"/>
    <col min="13577" max="13792" width="9.140625" style="8"/>
    <col min="13793" max="13831" width="2.42578125" style="8" customWidth="1"/>
    <col min="13832" max="13832" width="3.42578125" style="8" bestFit="1" customWidth="1"/>
    <col min="13833" max="14048" width="9.140625" style="8"/>
    <col min="14049" max="14087" width="2.42578125" style="8" customWidth="1"/>
    <col min="14088" max="14088" width="3.42578125" style="8" bestFit="1" customWidth="1"/>
    <col min="14089" max="14304" width="9.140625" style="8"/>
    <col min="14305" max="14343" width="2.42578125" style="8" customWidth="1"/>
    <col min="14344" max="14344" width="3.42578125" style="8" bestFit="1" customWidth="1"/>
    <col min="14345" max="14560" width="9.140625" style="8"/>
    <col min="14561" max="14599" width="2.42578125" style="8" customWidth="1"/>
    <col min="14600" max="14600" width="3.42578125" style="8" bestFit="1" customWidth="1"/>
    <col min="14601" max="14816" width="9.140625" style="8"/>
    <col min="14817" max="14855" width="2.42578125" style="8" customWidth="1"/>
    <col min="14856" max="14856" width="3.42578125" style="8" bestFit="1" customWidth="1"/>
    <col min="14857" max="15072" width="9.140625" style="8"/>
    <col min="15073" max="15111" width="2.42578125" style="8" customWidth="1"/>
    <col min="15112" max="15112" width="3.42578125" style="8" bestFit="1" customWidth="1"/>
    <col min="15113" max="15328" width="9.140625" style="8"/>
    <col min="15329" max="15367" width="2.42578125" style="8" customWidth="1"/>
    <col min="15368" max="15368" width="3.42578125" style="8" bestFit="1" customWidth="1"/>
    <col min="15369" max="15584" width="9.140625" style="8"/>
    <col min="15585" max="15623" width="2.42578125" style="8" customWidth="1"/>
    <col min="15624" max="15624" width="3.42578125" style="8" bestFit="1" customWidth="1"/>
    <col min="15625" max="15840" width="9.140625" style="8"/>
    <col min="15841" max="15879" width="2.42578125" style="8" customWidth="1"/>
    <col min="15880" max="15880" width="3.42578125" style="8" bestFit="1" customWidth="1"/>
    <col min="15881" max="16096" width="9.140625" style="8"/>
    <col min="16097" max="16135" width="2.42578125" style="8" customWidth="1"/>
    <col min="16136" max="16136" width="3.42578125" style="8" bestFit="1" customWidth="1"/>
    <col min="16137" max="16384" width="9.140625" style="8"/>
  </cols>
  <sheetData>
    <row r="1" spans="1:46" s="323" customFormat="1" ht="15.75" thickBot="1" x14ac:dyDescent="0.3">
      <c r="A1" s="312" t="s">
        <v>467</v>
      </c>
      <c r="B1" s="313"/>
      <c r="C1" s="314"/>
      <c r="D1" s="314"/>
      <c r="E1" s="315"/>
      <c r="F1" s="316"/>
      <c r="G1" s="315"/>
      <c r="H1" s="317"/>
      <c r="I1" s="318"/>
      <c r="J1" s="319"/>
      <c r="K1" s="320"/>
      <c r="L1" s="320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21"/>
      <c r="AP1" s="322"/>
      <c r="AQ1" s="315"/>
      <c r="AR1" s="316"/>
    </row>
    <row r="2" spans="1:46" s="323" customFormat="1" ht="15.75" thickBot="1" x14ac:dyDescent="0.3">
      <c r="A2" s="312" t="s">
        <v>468</v>
      </c>
      <c r="B2" s="313"/>
      <c r="C2" s="314"/>
      <c r="D2" s="314"/>
      <c r="E2" s="315"/>
      <c r="F2" s="316"/>
      <c r="G2" s="315"/>
      <c r="H2" s="317"/>
      <c r="I2" s="318"/>
      <c r="J2" s="319"/>
      <c r="K2" s="320"/>
      <c r="L2" s="320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21"/>
      <c r="AP2" s="322"/>
      <c r="AQ2" s="315"/>
      <c r="AR2" s="316"/>
    </row>
    <row r="3" spans="1:46" s="323" customFormat="1" ht="15.75" thickBot="1" x14ac:dyDescent="0.3">
      <c r="A3" s="312" t="s">
        <v>469</v>
      </c>
      <c r="B3" s="313"/>
      <c r="C3" s="314"/>
      <c r="D3" s="314"/>
      <c r="E3" s="315"/>
      <c r="F3" s="316"/>
      <c r="G3" s="315"/>
      <c r="H3" s="317"/>
      <c r="I3" s="318"/>
      <c r="J3" s="319"/>
      <c r="K3" s="320"/>
      <c r="L3" s="320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21"/>
      <c r="AP3" s="322"/>
      <c r="AQ3" s="315"/>
      <c r="AR3" s="316"/>
    </row>
    <row r="4" spans="1:46" s="323" customFormat="1" ht="15.75" thickBot="1" x14ac:dyDescent="0.3">
      <c r="A4" s="324" t="s">
        <v>470</v>
      </c>
      <c r="B4" s="313"/>
      <c r="C4" s="314"/>
      <c r="D4" s="314"/>
      <c r="E4" s="315"/>
      <c r="F4" s="316"/>
      <c r="G4" s="315"/>
      <c r="H4" s="317"/>
      <c r="I4" s="318"/>
      <c r="J4" s="319"/>
      <c r="K4" s="320"/>
      <c r="L4" s="320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21"/>
      <c r="AP4" s="322"/>
      <c r="AQ4" s="315"/>
      <c r="AR4" s="316"/>
    </row>
    <row r="5" spans="1:46" s="323" customFormat="1" ht="15.75" thickBot="1" x14ac:dyDescent="0.3">
      <c r="A5" s="324" t="s">
        <v>471</v>
      </c>
      <c r="B5" s="313"/>
      <c r="C5" s="314"/>
      <c r="D5" s="314"/>
      <c r="E5" s="315"/>
      <c r="F5" s="316"/>
      <c r="G5" s="315"/>
      <c r="H5" s="317"/>
      <c r="I5" s="318"/>
      <c r="J5" s="319"/>
      <c r="K5" s="320"/>
      <c r="L5" s="320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21"/>
      <c r="AP5" s="322"/>
      <c r="AQ5" s="315"/>
      <c r="AR5" s="316"/>
    </row>
    <row r="6" spans="1:46" ht="13.5" thickBot="1" x14ac:dyDescent="0.25">
      <c r="A6" s="330" t="s">
        <v>322</v>
      </c>
      <c r="B6" s="33"/>
      <c r="C6" s="33"/>
      <c r="D6" s="33"/>
      <c r="E6" s="33"/>
      <c r="F6" s="33"/>
      <c r="G6" s="33"/>
      <c r="H6" s="33"/>
      <c r="I6" s="333" t="s">
        <v>405</v>
      </c>
      <c r="J6" s="333"/>
      <c r="K6" s="333"/>
      <c r="L6" s="333"/>
      <c r="M6" s="333"/>
      <c r="N6" s="333" t="s">
        <v>406</v>
      </c>
      <c r="O6" s="333"/>
      <c r="P6" s="333"/>
      <c r="Q6" s="333"/>
      <c r="R6" s="333"/>
      <c r="S6" s="333" t="s">
        <v>407</v>
      </c>
      <c r="T6" s="333"/>
      <c r="U6" s="333"/>
      <c r="V6" s="333"/>
      <c r="W6" s="333"/>
      <c r="AQ6" s="33"/>
      <c r="AR6" s="33"/>
    </row>
    <row r="7" spans="1:46" ht="120" x14ac:dyDescent="0.25">
      <c r="A7" s="354" t="s">
        <v>295</v>
      </c>
      <c r="B7" s="355" t="s">
        <v>296</v>
      </c>
      <c r="C7" s="356" t="s">
        <v>302</v>
      </c>
      <c r="D7" s="331"/>
      <c r="E7" s="449" t="s">
        <v>538</v>
      </c>
      <c r="F7" s="450" t="s">
        <v>539</v>
      </c>
      <c r="G7" s="451" t="s">
        <v>540</v>
      </c>
      <c r="H7" s="452" t="s">
        <v>541</v>
      </c>
      <c r="I7" s="333" t="s">
        <v>408</v>
      </c>
      <c r="J7" s="333" t="s">
        <v>409</v>
      </c>
      <c r="K7" s="333" t="s">
        <v>410</v>
      </c>
      <c r="L7" s="333" t="s">
        <v>418</v>
      </c>
      <c r="M7" s="333" t="s">
        <v>414</v>
      </c>
      <c r="N7" s="333" t="s">
        <v>408</v>
      </c>
      <c r="O7" s="333" t="s">
        <v>409</v>
      </c>
      <c r="P7" s="333" t="s">
        <v>410</v>
      </c>
      <c r="Q7" s="333" t="s">
        <v>418</v>
      </c>
      <c r="R7" s="333" t="s">
        <v>414</v>
      </c>
      <c r="S7" s="333" t="s">
        <v>408</v>
      </c>
      <c r="T7" s="333" t="s">
        <v>409</v>
      </c>
      <c r="U7" s="333" t="s">
        <v>410</v>
      </c>
      <c r="V7" s="333" t="s">
        <v>418</v>
      </c>
      <c r="W7" s="33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31" t="s">
        <v>299</v>
      </c>
      <c r="AR7" s="332" t="s">
        <v>386</v>
      </c>
      <c r="AS7" s="445" t="s">
        <v>536</v>
      </c>
      <c r="AT7" s="446" t="s">
        <v>537</v>
      </c>
    </row>
    <row r="8" spans="1:46" ht="409.5" x14ac:dyDescent="0.2">
      <c r="A8" s="362" t="s">
        <v>323</v>
      </c>
      <c r="B8" s="381" t="s">
        <v>524</v>
      </c>
      <c r="C8" s="363">
        <v>1</v>
      </c>
      <c r="D8" s="325"/>
      <c r="E8" s="453" t="str">
        <f>IF(AND(AO8="IRR",SUM(AH8:AJ8)&gt;0),AP8,IF(AND(AO8="IRR",AQ8&lt;&gt;""),AQ8*'[5]Basic INFO'!$E$127,IF(AO8="IRR",AS8,"")))</f>
        <v/>
      </c>
      <c r="F8" s="454">
        <f>IF(AND(AO8="EUR",SUM(AH8:AJ8)&gt;0),AP8,IF(AND(AO8="EUR",AR8&lt;&gt;""),AR8*'[5]Basic INFO'!$C$138,IF(AO8="EUR",AT8,"")))</f>
        <v>556479.59183673467</v>
      </c>
      <c r="G8" s="455" t="str">
        <f t="shared" ref="G8" si="0">IF(AO8="IRR",C8*E8,"")</f>
        <v/>
      </c>
      <c r="H8" s="456">
        <f t="shared" ref="H8" si="1">IF(AO8="EUR",C8*F8,"")</f>
        <v>556479.59183673467</v>
      </c>
      <c r="I8" s="375" t="s">
        <v>430</v>
      </c>
      <c r="J8" s="375"/>
      <c r="K8" s="375"/>
      <c r="L8" s="375"/>
      <c r="M8" s="375" t="s">
        <v>433</v>
      </c>
      <c r="N8" s="375" t="s">
        <v>431</v>
      </c>
      <c r="O8" s="375"/>
      <c r="P8" s="375"/>
      <c r="Q8" s="375"/>
      <c r="R8" s="375" t="s">
        <v>433</v>
      </c>
      <c r="S8" s="375" t="s">
        <v>432</v>
      </c>
      <c r="T8" s="375"/>
      <c r="U8" s="484">
        <v>556479.59183673467</v>
      </c>
      <c r="V8" s="375"/>
      <c r="W8" s="376">
        <v>45796</v>
      </c>
      <c r="AH8" s="441">
        <f>IF(B8="","",COUNT(J8,O8,T8,Y8,AD8))</f>
        <v>0</v>
      </c>
      <c r="AI8" s="442">
        <f>IF(B8="","",COUNT(K8,P8,U8,Z8,AE8))</f>
        <v>1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556479.59183673467</v>
      </c>
      <c r="AM8" s="442" t="str">
        <f>IF(AND(AJ8&lt;&gt;"",AJ8&gt;0),AVERAGE(L8,Q8,V8,AA8,AF8)/'[5]Basic INFO'!$C$103,"")</f>
        <v/>
      </c>
      <c r="AN8" s="442">
        <f>IF(SUM(AH8:AJ8)&lt;&gt;0,AVERAGE(AK8:AM8),"")</f>
        <v>556479.59183673467</v>
      </c>
      <c r="AO8" s="8" t="s">
        <v>526</v>
      </c>
      <c r="AP8" s="444">
        <f>IF(B8="","",IF(SUM(AH8:AJ8)=0,"",IF(AO8="IRR",AN8*('[5]Basic INFO'!$C$101*'[5]Basic INFO'!$C$103),IF(AO8="EUR",AN8,AP8))))</f>
        <v>556479.59183673467</v>
      </c>
      <c r="AQ8" s="326"/>
      <c r="AR8" s="326">
        <v>700000</v>
      </c>
      <c r="AS8" s="447"/>
      <c r="AT8" s="448"/>
    </row>
    <row r="9" spans="1:46" ht="22.5" x14ac:dyDescent="0.25">
      <c r="A9" s="457"/>
      <c r="B9" s="458" t="s">
        <v>542</v>
      </c>
      <c r="C9" s="457"/>
      <c r="D9" s="457"/>
      <c r="E9" s="459"/>
      <c r="F9" s="460"/>
      <c r="G9" s="461">
        <f>SUM(G8)</f>
        <v>0</v>
      </c>
      <c r="H9" s="462">
        <f>SUM(H8)</f>
        <v>556479.59183673467</v>
      </c>
      <c r="AQ9" s="377" t="s">
        <v>297</v>
      </c>
      <c r="AR9" s="377" t="s">
        <v>298</v>
      </c>
    </row>
    <row r="10" spans="1:46" ht="15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  <c r="AQ10" s="329"/>
      <c r="AR10" s="329"/>
    </row>
    <row r="11" spans="1:46" ht="15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</row>
    <row r="12" spans="1:46" ht="15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0</v>
      </c>
      <c r="H12" s="469">
        <f>ROUND(H9*H10*(1+H11)/1000,0)*1000</f>
        <v>722000</v>
      </c>
    </row>
    <row r="13" spans="1:46" ht="12" x14ac:dyDescent="0.2">
      <c r="G13" s="461">
        <f>ROUND(SUMIF(AP:AP,"&gt;0",G:G)*G10*(1+G11)/1000000,0)*1000000</f>
        <v>0</v>
      </c>
      <c r="H13" s="462">
        <f>ROUND(SUMIF(AP:AP,"&gt;0",H:H)*H10*(1+H11)/1000,0)*1000</f>
        <v>722000</v>
      </c>
    </row>
  </sheetData>
  <dataValidations disablePrompts="1" count="1">
    <dataValidation type="list" allowBlank="1" showInputMessage="1" showErrorMessage="1" sqref="WBJ983030:WBK983033 JA65526:JB65529 SW65526:SX65529 ACS65526:ACT65529 AMO65526:AMP65529 AWK65526:AWL65529 BGG65526:BGH65529 BQC65526:BQD65529 BZY65526:BZZ65529 CJU65526:CJV65529 CTQ65526:CTR65529 DDM65526:DDN65529 DNI65526:DNJ65529 DXE65526:DXF65529 EHA65526:EHB65529 EQW65526:EQX65529 FAS65526:FAT65529 FKO65526:FKP65529 FUK65526:FUL65529 GEG65526:GEH65529 GOC65526:GOD65529 GXY65526:GXZ65529 HHU65526:HHV65529 HRQ65526:HRR65529 IBM65526:IBN65529 ILI65526:ILJ65529 IVE65526:IVF65529 JFA65526:JFB65529 JOW65526:JOX65529 JYS65526:JYT65529 KIO65526:KIP65529 KSK65526:KSL65529 LCG65526:LCH65529 LMC65526:LMD65529 LVY65526:LVZ65529 MFU65526:MFV65529 MPQ65526:MPR65529 MZM65526:MZN65529 NJI65526:NJJ65529 NTE65526:NTF65529 ODA65526:ODB65529 OMW65526:OMX65529 OWS65526:OWT65529 PGO65526:PGP65529 PQK65526:PQL65529 QAG65526:QAH65529 QKC65526:QKD65529 QTY65526:QTZ65529 RDU65526:RDV65529 RNQ65526:RNR65529 RXM65526:RXN65529 SHI65526:SHJ65529 SRE65526:SRF65529 TBA65526:TBB65529 TKW65526:TKX65529 TUS65526:TUT65529 UEO65526:UEP65529 UOK65526:UOL65529 UYG65526:UYH65529 VIC65526:VID65529 VRY65526:VRZ65529 WBU65526:WBV65529 WLQ65526:WLR65529 WVM65526:WVN65529 JA131062:JB131065 SW131062:SX131065 ACS131062:ACT131065 AMO131062:AMP131065 AWK131062:AWL131065 BGG131062:BGH131065 BQC131062:BQD131065 BZY131062:BZZ131065 CJU131062:CJV131065 CTQ131062:CTR131065 DDM131062:DDN131065 DNI131062:DNJ131065 DXE131062:DXF131065 EHA131062:EHB131065 EQW131062:EQX131065 FAS131062:FAT131065 FKO131062:FKP131065 FUK131062:FUL131065 GEG131062:GEH131065 GOC131062:GOD131065 GXY131062:GXZ131065 HHU131062:HHV131065 HRQ131062:HRR131065 IBM131062:IBN131065 ILI131062:ILJ131065 IVE131062:IVF131065 JFA131062:JFB131065 JOW131062:JOX131065 JYS131062:JYT131065 KIO131062:KIP131065 KSK131062:KSL131065 LCG131062:LCH131065 LMC131062:LMD131065 LVY131062:LVZ131065 MFU131062:MFV131065 MPQ131062:MPR131065 MZM131062:MZN131065 NJI131062:NJJ131065 NTE131062:NTF131065 ODA131062:ODB131065 OMW131062:OMX131065 OWS131062:OWT131065 PGO131062:PGP131065 PQK131062:PQL131065 QAG131062:QAH131065 QKC131062:QKD131065 QTY131062:QTZ131065 RDU131062:RDV131065 RNQ131062:RNR131065 RXM131062:RXN131065 SHI131062:SHJ131065 SRE131062:SRF131065 TBA131062:TBB131065 TKW131062:TKX131065 TUS131062:TUT131065 UEO131062:UEP131065 UOK131062:UOL131065 UYG131062:UYH131065 VIC131062:VID131065 VRY131062:VRZ131065 WBU131062:WBV131065 WLQ131062:WLR131065 WVM131062:WVN131065 JA196598:JB196601 SW196598:SX196601 ACS196598:ACT196601 AMO196598:AMP196601 AWK196598:AWL196601 BGG196598:BGH196601 BQC196598:BQD196601 BZY196598:BZZ196601 CJU196598:CJV196601 CTQ196598:CTR196601 DDM196598:DDN196601 DNI196598:DNJ196601 DXE196598:DXF196601 EHA196598:EHB196601 EQW196598:EQX196601 FAS196598:FAT196601 FKO196598:FKP196601 FUK196598:FUL196601 GEG196598:GEH196601 GOC196598:GOD196601 GXY196598:GXZ196601 HHU196598:HHV196601 HRQ196598:HRR196601 IBM196598:IBN196601 ILI196598:ILJ196601 IVE196598:IVF196601 JFA196598:JFB196601 JOW196598:JOX196601 JYS196598:JYT196601 KIO196598:KIP196601 KSK196598:KSL196601 LCG196598:LCH196601 LMC196598:LMD196601 LVY196598:LVZ196601 MFU196598:MFV196601 MPQ196598:MPR196601 MZM196598:MZN196601 NJI196598:NJJ196601 NTE196598:NTF196601 ODA196598:ODB196601 OMW196598:OMX196601 OWS196598:OWT196601 PGO196598:PGP196601 PQK196598:PQL196601 QAG196598:QAH196601 QKC196598:QKD196601 QTY196598:QTZ196601 RDU196598:RDV196601 RNQ196598:RNR196601 RXM196598:RXN196601 SHI196598:SHJ196601 SRE196598:SRF196601 TBA196598:TBB196601 TKW196598:TKX196601 TUS196598:TUT196601 UEO196598:UEP196601 UOK196598:UOL196601 UYG196598:UYH196601 VIC196598:VID196601 VRY196598:VRZ196601 WBU196598:WBV196601 WLQ196598:WLR196601 WVM196598:WVN196601 JA262134:JB262137 SW262134:SX262137 ACS262134:ACT262137 AMO262134:AMP262137 AWK262134:AWL262137 BGG262134:BGH262137 BQC262134:BQD262137 BZY262134:BZZ262137 CJU262134:CJV262137 CTQ262134:CTR262137 DDM262134:DDN262137 DNI262134:DNJ262137 DXE262134:DXF262137 EHA262134:EHB262137 EQW262134:EQX262137 FAS262134:FAT262137 FKO262134:FKP262137 FUK262134:FUL262137 GEG262134:GEH262137 GOC262134:GOD262137 GXY262134:GXZ262137 HHU262134:HHV262137 HRQ262134:HRR262137 IBM262134:IBN262137 ILI262134:ILJ262137 IVE262134:IVF262137 JFA262134:JFB262137 JOW262134:JOX262137 JYS262134:JYT262137 KIO262134:KIP262137 KSK262134:KSL262137 LCG262134:LCH262137 LMC262134:LMD262137 LVY262134:LVZ262137 MFU262134:MFV262137 MPQ262134:MPR262137 MZM262134:MZN262137 NJI262134:NJJ262137 NTE262134:NTF262137 ODA262134:ODB262137 OMW262134:OMX262137 OWS262134:OWT262137 PGO262134:PGP262137 PQK262134:PQL262137 QAG262134:QAH262137 QKC262134:QKD262137 QTY262134:QTZ262137 RDU262134:RDV262137 RNQ262134:RNR262137 RXM262134:RXN262137 SHI262134:SHJ262137 SRE262134:SRF262137 TBA262134:TBB262137 TKW262134:TKX262137 TUS262134:TUT262137 UEO262134:UEP262137 UOK262134:UOL262137 UYG262134:UYH262137 VIC262134:VID262137 VRY262134:VRZ262137 WBU262134:WBV262137 WLQ262134:WLR262137 WVM262134:WVN262137 JA327670:JB327673 SW327670:SX327673 ACS327670:ACT327673 AMO327670:AMP327673 AWK327670:AWL327673 BGG327670:BGH327673 BQC327670:BQD327673 BZY327670:BZZ327673 CJU327670:CJV327673 CTQ327670:CTR327673 DDM327670:DDN327673 DNI327670:DNJ327673 DXE327670:DXF327673 EHA327670:EHB327673 EQW327670:EQX327673 FAS327670:FAT327673 FKO327670:FKP327673 FUK327670:FUL327673 GEG327670:GEH327673 GOC327670:GOD327673 GXY327670:GXZ327673 HHU327670:HHV327673 HRQ327670:HRR327673 IBM327670:IBN327673 ILI327670:ILJ327673 IVE327670:IVF327673 JFA327670:JFB327673 JOW327670:JOX327673 JYS327670:JYT327673 KIO327670:KIP327673 KSK327670:KSL327673 LCG327670:LCH327673 LMC327670:LMD327673 LVY327670:LVZ327673 MFU327670:MFV327673 MPQ327670:MPR327673 MZM327670:MZN327673 NJI327670:NJJ327673 NTE327670:NTF327673 ODA327670:ODB327673 OMW327670:OMX327673 OWS327670:OWT327673 PGO327670:PGP327673 PQK327670:PQL327673 QAG327670:QAH327673 QKC327670:QKD327673 QTY327670:QTZ327673 RDU327670:RDV327673 RNQ327670:RNR327673 RXM327670:RXN327673 SHI327670:SHJ327673 SRE327670:SRF327673 TBA327670:TBB327673 TKW327670:TKX327673 TUS327670:TUT327673 UEO327670:UEP327673 UOK327670:UOL327673 UYG327670:UYH327673 VIC327670:VID327673 VRY327670:VRZ327673 WBU327670:WBV327673 WLQ327670:WLR327673 WVM327670:WVN327673 JA393206:JB393209 SW393206:SX393209 ACS393206:ACT393209 AMO393206:AMP393209 AWK393206:AWL393209 BGG393206:BGH393209 BQC393206:BQD393209 BZY393206:BZZ393209 CJU393206:CJV393209 CTQ393206:CTR393209 DDM393206:DDN393209 DNI393206:DNJ393209 DXE393206:DXF393209 EHA393206:EHB393209 EQW393206:EQX393209 FAS393206:FAT393209 FKO393206:FKP393209 FUK393206:FUL393209 GEG393206:GEH393209 GOC393206:GOD393209 GXY393206:GXZ393209 HHU393206:HHV393209 HRQ393206:HRR393209 IBM393206:IBN393209 ILI393206:ILJ393209 IVE393206:IVF393209 JFA393206:JFB393209 JOW393206:JOX393209 JYS393206:JYT393209 KIO393206:KIP393209 KSK393206:KSL393209 LCG393206:LCH393209 LMC393206:LMD393209 LVY393206:LVZ393209 MFU393206:MFV393209 MPQ393206:MPR393209 MZM393206:MZN393209 NJI393206:NJJ393209 NTE393206:NTF393209 ODA393206:ODB393209 OMW393206:OMX393209 OWS393206:OWT393209 PGO393206:PGP393209 PQK393206:PQL393209 QAG393206:QAH393209 QKC393206:QKD393209 QTY393206:QTZ393209 RDU393206:RDV393209 RNQ393206:RNR393209 RXM393206:RXN393209 SHI393206:SHJ393209 SRE393206:SRF393209 TBA393206:TBB393209 TKW393206:TKX393209 TUS393206:TUT393209 UEO393206:UEP393209 UOK393206:UOL393209 UYG393206:UYH393209 VIC393206:VID393209 VRY393206:VRZ393209 WBU393206:WBV393209 WLQ393206:WLR393209 WVM393206:WVN393209 JA458742:JB458745 SW458742:SX458745 ACS458742:ACT458745 AMO458742:AMP458745 AWK458742:AWL458745 BGG458742:BGH458745 BQC458742:BQD458745 BZY458742:BZZ458745 CJU458742:CJV458745 CTQ458742:CTR458745 DDM458742:DDN458745 DNI458742:DNJ458745 DXE458742:DXF458745 EHA458742:EHB458745 EQW458742:EQX458745 FAS458742:FAT458745 FKO458742:FKP458745 FUK458742:FUL458745 GEG458742:GEH458745 GOC458742:GOD458745 GXY458742:GXZ458745 HHU458742:HHV458745 HRQ458742:HRR458745 IBM458742:IBN458745 ILI458742:ILJ458745 IVE458742:IVF458745 JFA458742:JFB458745 JOW458742:JOX458745 JYS458742:JYT458745 KIO458742:KIP458745 KSK458742:KSL458745 LCG458742:LCH458745 LMC458742:LMD458745 LVY458742:LVZ458745 MFU458742:MFV458745 MPQ458742:MPR458745 MZM458742:MZN458745 NJI458742:NJJ458745 NTE458742:NTF458745 ODA458742:ODB458745 OMW458742:OMX458745 OWS458742:OWT458745 PGO458742:PGP458745 PQK458742:PQL458745 QAG458742:QAH458745 QKC458742:QKD458745 QTY458742:QTZ458745 RDU458742:RDV458745 RNQ458742:RNR458745 RXM458742:RXN458745 SHI458742:SHJ458745 SRE458742:SRF458745 TBA458742:TBB458745 TKW458742:TKX458745 TUS458742:TUT458745 UEO458742:UEP458745 UOK458742:UOL458745 UYG458742:UYH458745 VIC458742:VID458745 VRY458742:VRZ458745 WBU458742:WBV458745 WLQ458742:WLR458745 WVM458742:WVN458745 JA524278:JB524281 SW524278:SX524281 ACS524278:ACT524281 AMO524278:AMP524281 AWK524278:AWL524281 BGG524278:BGH524281 BQC524278:BQD524281 BZY524278:BZZ524281 CJU524278:CJV524281 CTQ524278:CTR524281 DDM524278:DDN524281 DNI524278:DNJ524281 DXE524278:DXF524281 EHA524278:EHB524281 EQW524278:EQX524281 FAS524278:FAT524281 FKO524278:FKP524281 FUK524278:FUL524281 GEG524278:GEH524281 GOC524278:GOD524281 GXY524278:GXZ524281 HHU524278:HHV524281 HRQ524278:HRR524281 IBM524278:IBN524281 ILI524278:ILJ524281 IVE524278:IVF524281 JFA524278:JFB524281 JOW524278:JOX524281 JYS524278:JYT524281 KIO524278:KIP524281 KSK524278:KSL524281 LCG524278:LCH524281 LMC524278:LMD524281 LVY524278:LVZ524281 MFU524278:MFV524281 MPQ524278:MPR524281 MZM524278:MZN524281 NJI524278:NJJ524281 NTE524278:NTF524281 ODA524278:ODB524281 OMW524278:OMX524281 OWS524278:OWT524281 PGO524278:PGP524281 PQK524278:PQL524281 QAG524278:QAH524281 QKC524278:QKD524281 QTY524278:QTZ524281 RDU524278:RDV524281 RNQ524278:RNR524281 RXM524278:RXN524281 SHI524278:SHJ524281 SRE524278:SRF524281 TBA524278:TBB524281 TKW524278:TKX524281 TUS524278:TUT524281 UEO524278:UEP524281 UOK524278:UOL524281 UYG524278:UYH524281 VIC524278:VID524281 VRY524278:VRZ524281 WBU524278:WBV524281 WLQ524278:WLR524281 WVM524278:WVN524281 JA589814:JB589817 SW589814:SX589817 ACS589814:ACT589817 AMO589814:AMP589817 AWK589814:AWL589817 BGG589814:BGH589817 BQC589814:BQD589817 BZY589814:BZZ589817 CJU589814:CJV589817 CTQ589814:CTR589817 DDM589814:DDN589817 DNI589814:DNJ589817 DXE589814:DXF589817 EHA589814:EHB589817 EQW589814:EQX589817 FAS589814:FAT589817 FKO589814:FKP589817 FUK589814:FUL589817 GEG589814:GEH589817 GOC589814:GOD589817 GXY589814:GXZ589817 HHU589814:HHV589817 HRQ589814:HRR589817 IBM589814:IBN589817 ILI589814:ILJ589817 IVE589814:IVF589817 JFA589814:JFB589817 JOW589814:JOX589817 JYS589814:JYT589817 KIO589814:KIP589817 KSK589814:KSL589817 LCG589814:LCH589817 LMC589814:LMD589817 LVY589814:LVZ589817 MFU589814:MFV589817 MPQ589814:MPR589817 MZM589814:MZN589817 NJI589814:NJJ589817 NTE589814:NTF589817 ODA589814:ODB589817 OMW589814:OMX589817 OWS589814:OWT589817 PGO589814:PGP589817 PQK589814:PQL589817 QAG589814:QAH589817 QKC589814:QKD589817 QTY589814:QTZ589817 RDU589814:RDV589817 RNQ589814:RNR589817 RXM589814:RXN589817 SHI589814:SHJ589817 SRE589814:SRF589817 TBA589814:TBB589817 TKW589814:TKX589817 TUS589814:TUT589817 UEO589814:UEP589817 UOK589814:UOL589817 UYG589814:UYH589817 VIC589814:VID589817 VRY589814:VRZ589817 WBU589814:WBV589817 WLQ589814:WLR589817 WVM589814:WVN589817 JA655350:JB655353 SW655350:SX655353 ACS655350:ACT655353 AMO655350:AMP655353 AWK655350:AWL655353 BGG655350:BGH655353 BQC655350:BQD655353 BZY655350:BZZ655353 CJU655350:CJV655353 CTQ655350:CTR655353 DDM655350:DDN655353 DNI655350:DNJ655353 DXE655350:DXF655353 EHA655350:EHB655353 EQW655350:EQX655353 FAS655350:FAT655353 FKO655350:FKP655353 FUK655350:FUL655353 GEG655350:GEH655353 GOC655350:GOD655353 GXY655350:GXZ655353 HHU655350:HHV655353 HRQ655350:HRR655353 IBM655350:IBN655353 ILI655350:ILJ655353 IVE655350:IVF655353 JFA655350:JFB655353 JOW655350:JOX655353 JYS655350:JYT655353 KIO655350:KIP655353 KSK655350:KSL655353 LCG655350:LCH655353 LMC655350:LMD655353 LVY655350:LVZ655353 MFU655350:MFV655353 MPQ655350:MPR655353 MZM655350:MZN655353 NJI655350:NJJ655353 NTE655350:NTF655353 ODA655350:ODB655353 OMW655350:OMX655353 OWS655350:OWT655353 PGO655350:PGP655353 PQK655350:PQL655353 QAG655350:QAH655353 QKC655350:QKD655353 QTY655350:QTZ655353 RDU655350:RDV655353 RNQ655350:RNR655353 RXM655350:RXN655353 SHI655350:SHJ655353 SRE655350:SRF655353 TBA655350:TBB655353 TKW655350:TKX655353 TUS655350:TUT655353 UEO655350:UEP655353 UOK655350:UOL655353 UYG655350:UYH655353 VIC655350:VID655353 VRY655350:VRZ655353 WBU655350:WBV655353 WLQ655350:WLR655353 WVM655350:WVN655353 JA720886:JB720889 SW720886:SX720889 ACS720886:ACT720889 AMO720886:AMP720889 AWK720886:AWL720889 BGG720886:BGH720889 BQC720886:BQD720889 BZY720886:BZZ720889 CJU720886:CJV720889 CTQ720886:CTR720889 DDM720886:DDN720889 DNI720886:DNJ720889 DXE720886:DXF720889 EHA720886:EHB720889 EQW720886:EQX720889 FAS720886:FAT720889 FKO720886:FKP720889 FUK720886:FUL720889 GEG720886:GEH720889 GOC720886:GOD720889 GXY720886:GXZ720889 HHU720886:HHV720889 HRQ720886:HRR720889 IBM720886:IBN720889 ILI720886:ILJ720889 IVE720886:IVF720889 JFA720886:JFB720889 JOW720886:JOX720889 JYS720886:JYT720889 KIO720886:KIP720889 KSK720886:KSL720889 LCG720886:LCH720889 LMC720886:LMD720889 LVY720886:LVZ720889 MFU720886:MFV720889 MPQ720886:MPR720889 MZM720886:MZN720889 NJI720886:NJJ720889 NTE720886:NTF720889 ODA720886:ODB720889 OMW720886:OMX720889 OWS720886:OWT720889 PGO720886:PGP720889 PQK720886:PQL720889 QAG720886:QAH720889 QKC720886:QKD720889 QTY720886:QTZ720889 RDU720886:RDV720889 RNQ720886:RNR720889 RXM720886:RXN720889 SHI720886:SHJ720889 SRE720886:SRF720889 TBA720886:TBB720889 TKW720886:TKX720889 TUS720886:TUT720889 UEO720886:UEP720889 UOK720886:UOL720889 UYG720886:UYH720889 VIC720886:VID720889 VRY720886:VRZ720889 WBU720886:WBV720889 WLQ720886:WLR720889 WVM720886:WVN720889 JA786422:JB786425 SW786422:SX786425 ACS786422:ACT786425 AMO786422:AMP786425 AWK786422:AWL786425 BGG786422:BGH786425 BQC786422:BQD786425 BZY786422:BZZ786425 CJU786422:CJV786425 CTQ786422:CTR786425 DDM786422:DDN786425 DNI786422:DNJ786425 DXE786422:DXF786425 EHA786422:EHB786425 EQW786422:EQX786425 FAS786422:FAT786425 FKO786422:FKP786425 FUK786422:FUL786425 GEG786422:GEH786425 GOC786422:GOD786425 GXY786422:GXZ786425 HHU786422:HHV786425 HRQ786422:HRR786425 IBM786422:IBN786425 ILI786422:ILJ786425 IVE786422:IVF786425 JFA786422:JFB786425 JOW786422:JOX786425 JYS786422:JYT786425 KIO786422:KIP786425 KSK786422:KSL786425 LCG786422:LCH786425 LMC786422:LMD786425 LVY786422:LVZ786425 MFU786422:MFV786425 MPQ786422:MPR786425 MZM786422:MZN786425 NJI786422:NJJ786425 NTE786422:NTF786425 ODA786422:ODB786425 OMW786422:OMX786425 OWS786422:OWT786425 PGO786422:PGP786425 PQK786422:PQL786425 QAG786422:QAH786425 QKC786422:QKD786425 QTY786422:QTZ786425 RDU786422:RDV786425 RNQ786422:RNR786425 RXM786422:RXN786425 SHI786422:SHJ786425 SRE786422:SRF786425 TBA786422:TBB786425 TKW786422:TKX786425 TUS786422:TUT786425 UEO786422:UEP786425 UOK786422:UOL786425 UYG786422:UYH786425 VIC786422:VID786425 VRY786422:VRZ786425 WBU786422:WBV786425 WLQ786422:WLR786425 WVM786422:WVN786425 JA851958:JB851961 SW851958:SX851961 ACS851958:ACT851961 AMO851958:AMP851961 AWK851958:AWL851961 BGG851958:BGH851961 BQC851958:BQD851961 BZY851958:BZZ851961 CJU851958:CJV851961 CTQ851958:CTR851961 DDM851958:DDN851961 DNI851958:DNJ851961 DXE851958:DXF851961 EHA851958:EHB851961 EQW851958:EQX851961 FAS851958:FAT851961 FKO851958:FKP851961 FUK851958:FUL851961 GEG851958:GEH851961 GOC851958:GOD851961 GXY851958:GXZ851961 HHU851958:HHV851961 HRQ851958:HRR851961 IBM851958:IBN851961 ILI851958:ILJ851961 IVE851958:IVF851961 JFA851958:JFB851961 JOW851958:JOX851961 JYS851958:JYT851961 KIO851958:KIP851961 KSK851958:KSL851961 LCG851958:LCH851961 LMC851958:LMD851961 LVY851958:LVZ851961 MFU851958:MFV851961 MPQ851958:MPR851961 MZM851958:MZN851961 NJI851958:NJJ851961 NTE851958:NTF851961 ODA851958:ODB851961 OMW851958:OMX851961 OWS851958:OWT851961 PGO851958:PGP851961 PQK851958:PQL851961 QAG851958:QAH851961 QKC851958:QKD851961 QTY851958:QTZ851961 RDU851958:RDV851961 RNQ851958:RNR851961 RXM851958:RXN851961 SHI851958:SHJ851961 SRE851958:SRF851961 TBA851958:TBB851961 TKW851958:TKX851961 TUS851958:TUT851961 UEO851958:UEP851961 UOK851958:UOL851961 UYG851958:UYH851961 VIC851958:VID851961 VRY851958:VRZ851961 WBU851958:WBV851961 WLQ851958:WLR851961 WVM851958:WVN851961 JA917494:JB917497 SW917494:SX917497 ACS917494:ACT917497 AMO917494:AMP917497 AWK917494:AWL917497 BGG917494:BGH917497 BQC917494:BQD917497 BZY917494:BZZ917497 CJU917494:CJV917497 CTQ917494:CTR917497 DDM917494:DDN917497 DNI917494:DNJ917497 DXE917494:DXF917497 EHA917494:EHB917497 EQW917494:EQX917497 FAS917494:FAT917497 FKO917494:FKP917497 FUK917494:FUL917497 GEG917494:GEH917497 GOC917494:GOD917497 GXY917494:GXZ917497 HHU917494:HHV917497 HRQ917494:HRR917497 IBM917494:IBN917497 ILI917494:ILJ917497 IVE917494:IVF917497 JFA917494:JFB917497 JOW917494:JOX917497 JYS917494:JYT917497 KIO917494:KIP917497 KSK917494:KSL917497 LCG917494:LCH917497 LMC917494:LMD917497 LVY917494:LVZ917497 MFU917494:MFV917497 MPQ917494:MPR917497 MZM917494:MZN917497 NJI917494:NJJ917497 NTE917494:NTF917497 ODA917494:ODB917497 OMW917494:OMX917497 OWS917494:OWT917497 PGO917494:PGP917497 PQK917494:PQL917497 QAG917494:QAH917497 QKC917494:QKD917497 QTY917494:QTZ917497 RDU917494:RDV917497 RNQ917494:RNR917497 RXM917494:RXN917497 SHI917494:SHJ917497 SRE917494:SRF917497 TBA917494:TBB917497 TKW917494:TKX917497 TUS917494:TUT917497 UEO917494:UEP917497 UOK917494:UOL917497 UYG917494:UYH917497 VIC917494:VID917497 VRY917494:VRZ917497 WBU917494:WBV917497 WLQ917494:WLR917497 WVM917494:WVN917497 JA983030:JB983033 SW983030:SX983033 ACS983030:ACT983033 AMO983030:AMP983033 AWK983030:AWL983033 BGG983030:BGH983033 BQC983030:BQD983033 BZY983030:BZZ983033 CJU983030:CJV983033 CTQ983030:CTR983033 DDM983030:DDN983033 DNI983030:DNJ983033 DXE983030:DXF983033 EHA983030:EHB983033 EQW983030:EQX983033 FAS983030:FAT983033 FKO983030:FKP983033 FUK983030:FUL983033 GEG983030:GEH983033 GOC983030:GOD983033 GXY983030:GXZ983033 HHU983030:HHV983033 HRQ983030:HRR983033 IBM983030:IBN983033 ILI983030:ILJ983033 IVE983030:IVF983033 JFA983030:JFB983033 JOW983030:JOX983033 JYS983030:JYT983033 KIO983030:KIP983033 KSK983030:KSL983033 LCG983030:LCH983033 LMC983030:LMD983033 LVY983030:LVZ983033 MFU983030:MFV983033 MPQ983030:MPR983033 MZM983030:MZN983033 NJI983030:NJJ983033 NTE983030:NTF983033 ODA983030:ODB983033 OMW983030:OMX983033 OWS983030:OWT983033 PGO983030:PGP983033 PQK983030:PQL983033 QAG983030:QAH983033 QKC983030:QKD983033 QTY983030:QTZ983033 RDU983030:RDV983033 RNQ983030:RNR983033 RXM983030:RXN983033 SHI983030:SHJ983033 SRE983030:SRF983033 TBA983030:TBB983033 TKW983030:TKX983033 TUS983030:TUT983033 UEO983030:UEP983033 UOK983030:UOL983033 UYG983030:UYH983033 VIC983030:VID983033 VRY983030:VRZ983033 WBU983030:WBV983033 WLQ983030:WLR983033 WVM983030:WVN983033 WLF983030:WLG983033 IE65526:IF65529 SA65526:SB65529 ABW65526:ABX65529 ALS65526:ALT65529 AVO65526:AVP65529 BFK65526:BFL65529 BPG65526:BPH65529 BZC65526:BZD65529 CIY65526:CIZ65529 CSU65526:CSV65529 DCQ65526:DCR65529 DMM65526:DMN65529 DWI65526:DWJ65529 EGE65526:EGF65529 EQA65526:EQB65529 EZW65526:EZX65529 FJS65526:FJT65529 FTO65526:FTP65529 GDK65526:GDL65529 GNG65526:GNH65529 GXC65526:GXD65529 HGY65526:HGZ65529 HQU65526:HQV65529 IAQ65526:IAR65529 IKM65526:IKN65529 IUI65526:IUJ65529 JEE65526:JEF65529 JOA65526:JOB65529 JXW65526:JXX65529 KHS65526:KHT65529 KRO65526:KRP65529 LBK65526:LBL65529 LLG65526:LLH65529 LVC65526:LVD65529 MEY65526:MEZ65529 MOU65526:MOV65529 MYQ65526:MYR65529 NIM65526:NIN65529 NSI65526:NSJ65529 OCE65526:OCF65529 OMA65526:OMB65529 OVW65526:OVX65529 PFS65526:PFT65529 PPO65526:PPP65529 PZK65526:PZL65529 QJG65526:QJH65529 QTC65526:QTD65529 RCY65526:RCZ65529 RMU65526:RMV65529 RWQ65526:RWR65529 SGM65526:SGN65529 SQI65526:SQJ65529 TAE65526:TAF65529 TKA65526:TKB65529 TTW65526:TTX65529 UDS65526:UDT65529 UNO65526:UNP65529 UXK65526:UXL65529 VHG65526:VHH65529 VRC65526:VRD65529 WAY65526:WAZ65529 WKU65526:WKV65529 WUQ65526:WUR65529 IE131062:IF131065 SA131062:SB131065 ABW131062:ABX131065 ALS131062:ALT131065 AVO131062:AVP131065 BFK131062:BFL131065 BPG131062:BPH131065 BZC131062:BZD131065 CIY131062:CIZ131065 CSU131062:CSV131065 DCQ131062:DCR131065 DMM131062:DMN131065 DWI131062:DWJ131065 EGE131062:EGF131065 EQA131062:EQB131065 EZW131062:EZX131065 FJS131062:FJT131065 FTO131062:FTP131065 GDK131062:GDL131065 GNG131062:GNH131065 GXC131062:GXD131065 HGY131062:HGZ131065 HQU131062:HQV131065 IAQ131062:IAR131065 IKM131062:IKN131065 IUI131062:IUJ131065 JEE131062:JEF131065 JOA131062:JOB131065 JXW131062:JXX131065 KHS131062:KHT131065 KRO131062:KRP131065 LBK131062:LBL131065 LLG131062:LLH131065 LVC131062:LVD131065 MEY131062:MEZ131065 MOU131062:MOV131065 MYQ131062:MYR131065 NIM131062:NIN131065 NSI131062:NSJ131065 OCE131062:OCF131065 OMA131062:OMB131065 OVW131062:OVX131065 PFS131062:PFT131065 PPO131062:PPP131065 PZK131062:PZL131065 QJG131062:QJH131065 QTC131062:QTD131065 RCY131062:RCZ131065 RMU131062:RMV131065 RWQ131062:RWR131065 SGM131062:SGN131065 SQI131062:SQJ131065 TAE131062:TAF131065 TKA131062:TKB131065 TTW131062:TTX131065 UDS131062:UDT131065 UNO131062:UNP131065 UXK131062:UXL131065 VHG131062:VHH131065 VRC131062:VRD131065 WAY131062:WAZ131065 WKU131062:WKV131065 WUQ131062:WUR131065 IE196598:IF196601 SA196598:SB196601 ABW196598:ABX196601 ALS196598:ALT196601 AVO196598:AVP196601 BFK196598:BFL196601 BPG196598:BPH196601 BZC196598:BZD196601 CIY196598:CIZ196601 CSU196598:CSV196601 DCQ196598:DCR196601 DMM196598:DMN196601 DWI196598:DWJ196601 EGE196598:EGF196601 EQA196598:EQB196601 EZW196598:EZX196601 FJS196598:FJT196601 FTO196598:FTP196601 GDK196598:GDL196601 GNG196598:GNH196601 GXC196598:GXD196601 HGY196598:HGZ196601 HQU196598:HQV196601 IAQ196598:IAR196601 IKM196598:IKN196601 IUI196598:IUJ196601 JEE196598:JEF196601 JOA196598:JOB196601 JXW196598:JXX196601 KHS196598:KHT196601 KRO196598:KRP196601 LBK196598:LBL196601 LLG196598:LLH196601 LVC196598:LVD196601 MEY196598:MEZ196601 MOU196598:MOV196601 MYQ196598:MYR196601 NIM196598:NIN196601 NSI196598:NSJ196601 OCE196598:OCF196601 OMA196598:OMB196601 OVW196598:OVX196601 PFS196598:PFT196601 PPO196598:PPP196601 PZK196598:PZL196601 QJG196598:QJH196601 QTC196598:QTD196601 RCY196598:RCZ196601 RMU196598:RMV196601 RWQ196598:RWR196601 SGM196598:SGN196601 SQI196598:SQJ196601 TAE196598:TAF196601 TKA196598:TKB196601 TTW196598:TTX196601 UDS196598:UDT196601 UNO196598:UNP196601 UXK196598:UXL196601 VHG196598:VHH196601 VRC196598:VRD196601 WAY196598:WAZ196601 WKU196598:WKV196601 WUQ196598:WUR196601 IE262134:IF262137 SA262134:SB262137 ABW262134:ABX262137 ALS262134:ALT262137 AVO262134:AVP262137 BFK262134:BFL262137 BPG262134:BPH262137 BZC262134:BZD262137 CIY262134:CIZ262137 CSU262134:CSV262137 DCQ262134:DCR262137 DMM262134:DMN262137 DWI262134:DWJ262137 EGE262134:EGF262137 EQA262134:EQB262137 EZW262134:EZX262137 FJS262134:FJT262137 FTO262134:FTP262137 GDK262134:GDL262137 GNG262134:GNH262137 GXC262134:GXD262137 HGY262134:HGZ262137 HQU262134:HQV262137 IAQ262134:IAR262137 IKM262134:IKN262137 IUI262134:IUJ262137 JEE262134:JEF262137 JOA262134:JOB262137 JXW262134:JXX262137 KHS262134:KHT262137 KRO262134:KRP262137 LBK262134:LBL262137 LLG262134:LLH262137 LVC262134:LVD262137 MEY262134:MEZ262137 MOU262134:MOV262137 MYQ262134:MYR262137 NIM262134:NIN262137 NSI262134:NSJ262137 OCE262134:OCF262137 OMA262134:OMB262137 OVW262134:OVX262137 PFS262134:PFT262137 PPO262134:PPP262137 PZK262134:PZL262137 QJG262134:QJH262137 QTC262134:QTD262137 RCY262134:RCZ262137 RMU262134:RMV262137 RWQ262134:RWR262137 SGM262134:SGN262137 SQI262134:SQJ262137 TAE262134:TAF262137 TKA262134:TKB262137 TTW262134:TTX262137 UDS262134:UDT262137 UNO262134:UNP262137 UXK262134:UXL262137 VHG262134:VHH262137 VRC262134:VRD262137 WAY262134:WAZ262137 WKU262134:WKV262137 WUQ262134:WUR262137 IE327670:IF327673 SA327670:SB327673 ABW327670:ABX327673 ALS327670:ALT327673 AVO327670:AVP327673 BFK327670:BFL327673 BPG327670:BPH327673 BZC327670:BZD327673 CIY327670:CIZ327673 CSU327670:CSV327673 DCQ327670:DCR327673 DMM327670:DMN327673 DWI327670:DWJ327673 EGE327670:EGF327673 EQA327670:EQB327673 EZW327670:EZX327673 FJS327670:FJT327673 FTO327670:FTP327673 GDK327670:GDL327673 GNG327670:GNH327673 GXC327670:GXD327673 HGY327670:HGZ327673 HQU327670:HQV327673 IAQ327670:IAR327673 IKM327670:IKN327673 IUI327670:IUJ327673 JEE327670:JEF327673 JOA327670:JOB327673 JXW327670:JXX327673 KHS327670:KHT327673 KRO327670:KRP327673 LBK327670:LBL327673 LLG327670:LLH327673 LVC327670:LVD327673 MEY327670:MEZ327673 MOU327670:MOV327673 MYQ327670:MYR327673 NIM327670:NIN327673 NSI327670:NSJ327673 OCE327670:OCF327673 OMA327670:OMB327673 OVW327670:OVX327673 PFS327670:PFT327673 PPO327670:PPP327673 PZK327670:PZL327673 QJG327670:QJH327673 QTC327670:QTD327673 RCY327670:RCZ327673 RMU327670:RMV327673 RWQ327670:RWR327673 SGM327670:SGN327673 SQI327670:SQJ327673 TAE327670:TAF327673 TKA327670:TKB327673 TTW327670:TTX327673 UDS327670:UDT327673 UNO327670:UNP327673 UXK327670:UXL327673 VHG327670:VHH327673 VRC327670:VRD327673 WAY327670:WAZ327673 WKU327670:WKV327673 WUQ327670:WUR327673 IE393206:IF393209 SA393206:SB393209 ABW393206:ABX393209 ALS393206:ALT393209 AVO393206:AVP393209 BFK393206:BFL393209 BPG393206:BPH393209 BZC393206:BZD393209 CIY393206:CIZ393209 CSU393206:CSV393209 DCQ393206:DCR393209 DMM393206:DMN393209 DWI393206:DWJ393209 EGE393206:EGF393209 EQA393206:EQB393209 EZW393206:EZX393209 FJS393206:FJT393209 FTO393206:FTP393209 GDK393206:GDL393209 GNG393206:GNH393209 GXC393206:GXD393209 HGY393206:HGZ393209 HQU393206:HQV393209 IAQ393206:IAR393209 IKM393206:IKN393209 IUI393206:IUJ393209 JEE393206:JEF393209 JOA393206:JOB393209 JXW393206:JXX393209 KHS393206:KHT393209 KRO393206:KRP393209 LBK393206:LBL393209 LLG393206:LLH393209 LVC393206:LVD393209 MEY393206:MEZ393209 MOU393206:MOV393209 MYQ393206:MYR393209 NIM393206:NIN393209 NSI393206:NSJ393209 OCE393206:OCF393209 OMA393206:OMB393209 OVW393206:OVX393209 PFS393206:PFT393209 PPO393206:PPP393209 PZK393206:PZL393209 QJG393206:QJH393209 QTC393206:QTD393209 RCY393206:RCZ393209 RMU393206:RMV393209 RWQ393206:RWR393209 SGM393206:SGN393209 SQI393206:SQJ393209 TAE393206:TAF393209 TKA393206:TKB393209 TTW393206:TTX393209 UDS393206:UDT393209 UNO393206:UNP393209 UXK393206:UXL393209 VHG393206:VHH393209 VRC393206:VRD393209 WAY393206:WAZ393209 WKU393206:WKV393209 WUQ393206:WUR393209 IE458742:IF458745 SA458742:SB458745 ABW458742:ABX458745 ALS458742:ALT458745 AVO458742:AVP458745 BFK458742:BFL458745 BPG458742:BPH458745 BZC458742:BZD458745 CIY458742:CIZ458745 CSU458742:CSV458745 DCQ458742:DCR458745 DMM458742:DMN458745 DWI458742:DWJ458745 EGE458742:EGF458745 EQA458742:EQB458745 EZW458742:EZX458745 FJS458742:FJT458745 FTO458742:FTP458745 GDK458742:GDL458745 GNG458742:GNH458745 GXC458742:GXD458745 HGY458742:HGZ458745 HQU458742:HQV458745 IAQ458742:IAR458745 IKM458742:IKN458745 IUI458742:IUJ458745 JEE458742:JEF458745 JOA458742:JOB458745 JXW458742:JXX458745 KHS458742:KHT458745 KRO458742:KRP458745 LBK458742:LBL458745 LLG458742:LLH458745 LVC458742:LVD458745 MEY458742:MEZ458745 MOU458742:MOV458745 MYQ458742:MYR458745 NIM458742:NIN458745 NSI458742:NSJ458745 OCE458742:OCF458745 OMA458742:OMB458745 OVW458742:OVX458745 PFS458742:PFT458745 PPO458742:PPP458745 PZK458742:PZL458745 QJG458742:QJH458745 QTC458742:QTD458745 RCY458742:RCZ458745 RMU458742:RMV458745 RWQ458742:RWR458745 SGM458742:SGN458745 SQI458742:SQJ458745 TAE458742:TAF458745 TKA458742:TKB458745 TTW458742:TTX458745 UDS458742:UDT458745 UNO458742:UNP458745 UXK458742:UXL458745 VHG458742:VHH458745 VRC458742:VRD458745 WAY458742:WAZ458745 WKU458742:WKV458745 WUQ458742:WUR458745 IE524278:IF524281 SA524278:SB524281 ABW524278:ABX524281 ALS524278:ALT524281 AVO524278:AVP524281 BFK524278:BFL524281 BPG524278:BPH524281 BZC524278:BZD524281 CIY524278:CIZ524281 CSU524278:CSV524281 DCQ524278:DCR524281 DMM524278:DMN524281 DWI524278:DWJ524281 EGE524278:EGF524281 EQA524278:EQB524281 EZW524278:EZX524281 FJS524278:FJT524281 FTO524278:FTP524281 GDK524278:GDL524281 GNG524278:GNH524281 GXC524278:GXD524281 HGY524278:HGZ524281 HQU524278:HQV524281 IAQ524278:IAR524281 IKM524278:IKN524281 IUI524278:IUJ524281 JEE524278:JEF524281 JOA524278:JOB524281 JXW524278:JXX524281 KHS524278:KHT524281 KRO524278:KRP524281 LBK524278:LBL524281 LLG524278:LLH524281 LVC524278:LVD524281 MEY524278:MEZ524281 MOU524278:MOV524281 MYQ524278:MYR524281 NIM524278:NIN524281 NSI524278:NSJ524281 OCE524278:OCF524281 OMA524278:OMB524281 OVW524278:OVX524281 PFS524278:PFT524281 PPO524278:PPP524281 PZK524278:PZL524281 QJG524278:QJH524281 QTC524278:QTD524281 RCY524278:RCZ524281 RMU524278:RMV524281 RWQ524278:RWR524281 SGM524278:SGN524281 SQI524278:SQJ524281 TAE524278:TAF524281 TKA524278:TKB524281 TTW524278:TTX524281 UDS524278:UDT524281 UNO524278:UNP524281 UXK524278:UXL524281 VHG524278:VHH524281 VRC524278:VRD524281 WAY524278:WAZ524281 WKU524278:WKV524281 WUQ524278:WUR524281 IE589814:IF589817 SA589814:SB589817 ABW589814:ABX589817 ALS589814:ALT589817 AVO589814:AVP589817 BFK589814:BFL589817 BPG589814:BPH589817 BZC589814:BZD589817 CIY589814:CIZ589817 CSU589814:CSV589817 DCQ589814:DCR589817 DMM589814:DMN589817 DWI589814:DWJ589817 EGE589814:EGF589817 EQA589814:EQB589817 EZW589814:EZX589817 FJS589814:FJT589817 FTO589814:FTP589817 GDK589814:GDL589817 GNG589814:GNH589817 GXC589814:GXD589817 HGY589814:HGZ589817 HQU589814:HQV589817 IAQ589814:IAR589817 IKM589814:IKN589817 IUI589814:IUJ589817 JEE589814:JEF589817 JOA589814:JOB589817 JXW589814:JXX589817 KHS589814:KHT589817 KRO589814:KRP589817 LBK589814:LBL589817 LLG589814:LLH589817 LVC589814:LVD589817 MEY589814:MEZ589817 MOU589814:MOV589817 MYQ589814:MYR589817 NIM589814:NIN589817 NSI589814:NSJ589817 OCE589814:OCF589817 OMA589814:OMB589817 OVW589814:OVX589817 PFS589814:PFT589817 PPO589814:PPP589817 PZK589814:PZL589817 QJG589814:QJH589817 QTC589814:QTD589817 RCY589814:RCZ589817 RMU589814:RMV589817 RWQ589814:RWR589817 SGM589814:SGN589817 SQI589814:SQJ589817 TAE589814:TAF589817 TKA589814:TKB589817 TTW589814:TTX589817 UDS589814:UDT589817 UNO589814:UNP589817 UXK589814:UXL589817 VHG589814:VHH589817 VRC589814:VRD589817 WAY589814:WAZ589817 WKU589814:WKV589817 WUQ589814:WUR589817 IE655350:IF655353 SA655350:SB655353 ABW655350:ABX655353 ALS655350:ALT655353 AVO655350:AVP655353 BFK655350:BFL655353 BPG655350:BPH655353 BZC655350:BZD655353 CIY655350:CIZ655353 CSU655350:CSV655353 DCQ655350:DCR655353 DMM655350:DMN655353 DWI655350:DWJ655353 EGE655350:EGF655353 EQA655350:EQB655353 EZW655350:EZX655353 FJS655350:FJT655353 FTO655350:FTP655353 GDK655350:GDL655353 GNG655350:GNH655353 GXC655350:GXD655353 HGY655350:HGZ655353 HQU655350:HQV655353 IAQ655350:IAR655353 IKM655350:IKN655353 IUI655350:IUJ655353 JEE655350:JEF655353 JOA655350:JOB655353 JXW655350:JXX655353 KHS655350:KHT655353 KRO655350:KRP655353 LBK655350:LBL655353 LLG655350:LLH655353 LVC655350:LVD655353 MEY655350:MEZ655353 MOU655350:MOV655353 MYQ655350:MYR655353 NIM655350:NIN655353 NSI655350:NSJ655353 OCE655350:OCF655353 OMA655350:OMB655353 OVW655350:OVX655353 PFS655350:PFT655353 PPO655350:PPP655353 PZK655350:PZL655353 QJG655350:QJH655353 QTC655350:QTD655353 RCY655350:RCZ655353 RMU655350:RMV655353 RWQ655350:RWR655353 SGM655350:SGN655353 SQI655350:SQJ655353 TAE655350:TAF655353 TKA655350:TKB655353 TTW655350:TTX655353 UDS655350:UDT655353 UNO655350:UNP655353 UXK655350:UXL655353 VHG655350:VHH655353 VRC655350:VRD655353 WAY655350:WAZ655353 WKU655350:WKV655353 WUQ655350:WUR655353 IE720886:IF720889 SA720886:SB720889 ABW720886:ABX720889 ALS720886:ALT720889 AVO720886:AVP720889 BFK720886:BFL720889 BPG720886:BPH720889 BZC720886:BZD720889 CIY720886:CIZ720889 CSU720886:CSV720889 DCQ720886:DCR720889 DMM720886:DMN720889 DWI720886:DWJ720889 EGE720886:EGF720889 EQA720886:EQB720889 EZW720886:EZX720889 FJS720886:FJT720889 FTO720886:FTP720889 GDK720886:GDL720889 GNG720886:GNH720889 GXC720886:GXD720889 HGY720886:HGZ720889 HQU720886:HQV720889 IAQ720886:IAR720889 IKM720886:IKN720889 IUI720886:IUJ720889 JEE720886:JEF720889 JOA720886:JOB720889 JXW720886:JXX720889 KHS720886:KHT720889 KRO720886:KRP720889 LBK720886:LBL720889 LLG720886:LLH720889 LVC720886:LVD720889 MEY720886:MEZ720889 MOU720886:MOV720889 MYQ720886:MYR720889 NIM720886:NIN720889 NSI720886:NSJ720889 OCE720886:OCF720889 OMA720886:OMB720889 OVW720886:OVX720889 PFS720886:PFT720889 PPO720886:PPP720889 PZK720886:PZL720889 QJG720886:QJH720889 QTC720886:QTD720889 RCY720886:RCZ720889 RMU720886:RMV720889 RWQ720886:RWR720889 SGM720886:SGN720889 SQI720886:SQJ720889 TAE720886:TAF720889 TKA720886:TKB720889 TTW720886:TTX720889 UDS720886:UDT720889 UNO720886:UNP720889 UXK720886:UXL720889 VHG720886:VHH720889 VRC720886:VRD720889 WAY720886:WAZ720889 WKU720886:WKV720889 WUQ720886:WUR720889 IE786422:IF786425 SA786422:SB786425 ABW786422:ABX786425 ALS786422:ALT786425 AVO786422:AVP786425 BFK786422:BFL786425 BPG786422:BPH786425 BZC786422:BZD786425 CIY786422:CIZ786425 CSU786422:CSV786425 DCQ786422:DCR786425 DMM786422:DMN786425 DWI786422:DWJ786425 EGE786422:EGF786425 EQA786422:EQB786425 EZW786422:EZX786425 FJS786422:FJT786425 FTO786422:FTP786425 GDK786422:GDL786425 GNG786422:GNH786425 GXC786422:GXD786425 HGY786422:HGZ786425 HQU786422:HQV786425 IAQ786422:IAR786425 IKM786422:IKN786425 IUI786422:IUJ786425 JEE786422:JEF786425 JOA786422:JOB786425 JXW786422:JXX786425 KHS786422:KHT786425 KRO786422:KRP786425 LBK786422:LBL786425 LLG786422:LLH786425 LVC786422:LVD786425 MEY786422:MEZ786425 MOU786422:MOV786425 MYQ786422:MYR786425 NIM786422:NIN786425 NSI786422:NSJ786425 OCE786422:OCF786425 OMA786422:OMB786425 OVW786422:OVX786425 PFS786422:PFT786425 PPO786422:PPP786425 PZK786422:PZL786425 QJG786422:QJH786425 QTC786422:QTD786425 RCY786422:RCZ786425 RMU786422:RMV786425 RWQ786422:RWR786425 SGM786422:SGN786425 SQI786422:SQJ786425 TAE786422:TAF786425 TKA786422:TKB786425 TTW786422:TTX786425 UDS786422:UDT786425 UNO786422:UNP786425 UXK786422:UXL786425 VHG786422:VHH786425 VRC786422:VRD786425 WAY786422:WAZ786425 WKU786422:WKV786425 WUQ786422:WUR786425 IE851958:IF851961 SA851958:SB851961 ABW851958:ABX851961 ALS851958:ALT851961 AVO851958:AVP851961 BFK851958:BFL851961 BPG851958:BPH851961 BZC851958:BZD851961 CIY851958:CIZ851961 CSU851958:CSV851961 DCQ851958:DCR851961 DMM851958:DMN851961 DWI851958:DWJ851961 EGE851958:EGF851961 EQA851958:EQB851961 EZW851958:EZX851961 FJS851958:FJT851961 FTO851958:FTP851961 GDK851958:GDL851961 GNG851958:GNH851961 GXC851958:GXD851961 HGY851958:HGZ851961 HQU851958:HQV851961 IAQ851958:IAR851961 IKM851958:IKN851961 IUI851958:IUJ851961 JEE851958:JEF851961 JOA851958:JOB851961 JXW851958:JXX851961 KHS851958:KHT851961 KRO851958:KRP851961 LBK851958:LBL851961 LLG851958:LLH851961 LVC851958:LVD851961 MEY851958:MEZ851961 MOU851958:MOV851961 MYQ851958:MYR851961 NIM851958:NIN851961 NSI851958:NSJ851961 OCE851958:OCF851961 OMA851958:OMB851961 OVW851958:OVX851961 PFS851958:PFT851961 PPO851958:PPP851961 PZK851958:PZL851961 QJG851958:QJH851961 QTC851958:QTD851961 RCY851958:RCZ851961 RMU851958:RMV851961 RWQ851958:RWR851961 SGM851958:SGN851961 SQI851958:SQJ851961 TAE851958:TAF851961 TKA851958:TKB851961 TTW851958:TTX851961 UDS851958:UDT851961 UNO851958:UNP851961 UXK851958:UXL851961 VHG851958:VHH851961 VRC851958:VRD851961 WAY851958:WAZ851961 WKU851958:WKV851961 WUQ851958:WUR851961 IE917494:IF917497 SA917494:SB917497 ABW917494:ABX917497 ALS917494:ALT917497 AVO917494:AVP917497 BFK917494:BFL917497 BPG917494:BPH917497 BZC917494:BZD917497 CIY917494:CIZ917497 CSU917494:CSV917497 DCQ917494:DCR917497 DMM917494:DMN917497 DWI917494:DWJ917497 EGE917494:EGF917497 EQA917494:EQB917497 EZW917494:EZX917497 FJS917494:FJT917497 FTO917494:FTP917497 GDK917494:GDL917497 GNG917494:GNH917497 GXC917494:GXD917497 HGY917494:HGZ917497 HQU917494:HQV917497 IAQ917494:IAR917497 IKM917494:IKN917497 IUI917494:IUJ917497 JEE917494:JEF917497 JOA917494:JOB917497 JXW917494:JXX917497 KHS917494:KHT917497 KRO917494:KRP917497 LBK917494:LBL917497 LLG917494:LLH917497 LVC917494:LVD917497 MEY917494:MEZ917497 MOU917494:MOV917497 MYQ917494:MYR917497 NIM917494:NIN917497 NSI917494:NSJ917497 OCE917494:OCF917497 OMA917494:OMB917497 OVW917494:OVX917497 PFS917494:PFT917497 PPO917494:PPP917497 PZK917494:PZL917497 QJG917494:QJH917497 QTC917494:QTD917497 RCY917494:RCZ917497 RMU917494:RMV917497 RWQ917494:RWR917497 SGM917494:SGN917497 SQI917494:SQJ917497 TAE917494:TAF917497 TKA917494:TKB917497 TTW917494:TTX917497 UDS917494:UDT917497 UNO917494:UNP917497 UXK917494:UXL917497 VHG917494:VHH917497 VRC917494:VRD917497 WAY917494:WAZ917497 WKU917494:WKV917497 WUQ917494:WUR917497 IE983030:IF983033 SA983030:SB983033 ABW983030:ABX983033 ALS983030:ALT983033 AVO983030:AVP983033 BFK983030:BFL983033 BPG983030:BPH983033 BZC983030:BZD983033 CIY983030:CIZ983033 CSU983030:CSV983033 DCQ983030:DCR983033 DMM983030:DMN983033 DWI983030:DWJ983033 EGE983030:EGF983033 EQA983030:EQB983033 EZW983030:EZX983033 FJS983030:FJT983033 FTO983030:FTP983033 GDK983030:GDL983033 GNG983030:GNH983033 GXC983030:GXD983033 HGY983030:HGZ983033 HQU983030:HQV983033 IAQ983030:IAR983033 IKM983030:IKN983033 IUI983030:IUJ983033 JEE983030:JEF983033 JOA983030:JOB983033 JXW983030:JXX983033 KHS983030:KHT983033 KRO983030:KRP983033 LBK983030:LBL983033 LLG983030:LLH983033 LVC983030:LVD983033 MEY983030:MEZ983033 MOU983030:MOV983033 MYQ983030:MYR983033 NIM983030:NIN983033 NSI983030:NSJ983033 OCE983030:OCF983033 OMA983030:OMB983033 OVW983030:OVX983033 PFS983030:PFT983033 PPO983030:PPP983033 PZK983030:PZL983033 QJG983030:QJH983033 QTC983030:QTD983033 RCY983030:RCZ983033 RMU983030:RMV983033 RWQ983030:RWR983033 SGM983030:SGN983033 SQI983030:SQJ983033 TAE983030:TAF983033 TKA983030:TKB983033 TTW983030:TTX983033 UDS983030:UDT983033 UNO983030:UNP983033 UXK983030:UXL983033 VHG983030:VHH983033 VRC983030:VRD983033 WAY983030:WAZ983033 WKU983030:WKV983033 WUQ983030:WUR983033 WVB983030:WVC983033 VRN983030:VRO983033 IP65526:IQ65529 SL65526:SM65529 ACH65526:ACI65529 AMD65526:AME65529 AVZ65526:AWA65529 BFV65526:BFW65529 BPR65526:BPS65529 BZN65526:BZO65529 CJJ65526:CJK65529 CTF65526:CTG65529 DDB65526:DDC65529 DMX65526:DMY65529 DWT65526:DWU65529 EGP65526:EGQ65529 EQL65526:EQM65529 FAH65526:FAI65529 FKD65526:FKE65529 FTZ65526:FUA65529 GDV65526:GDW65529 GNR65526:GNS65529 GXN65526:GXO65529 HHJ65526:HHK65529 HRF65526:HRG65529 IBB65526:IBC65529 IKX65526:IKY65529 IUT65526:IUU65529 JEP65526:JEQ65529 JOL65526:JOM65529 JYH65526:JYI65529 KID65526:KIE65529 KRZ65526:KSA65529 LBV65526:LBW65529 LLR65526:LLS65529 LVN65526:LVO65529 MFJ65526:MFK65529 MPF65526:MPG65529 MZB65526:MZC65529 NIX65526:NIY65529 NST65526:NSU65529 OCP65526:OCQ65529 OML65526:OMM65529 OWH65526:OWI65529 PGD65526:PGE65529 PPZ65526:PQA65529 PZV65526:PZW65529 QJR65526:QJS65529 QTN65526:QTO65529 RDJ65526:RDK65529 RNF65526:RNG65529 RXB65526:RXC65529 SGX65526:SGY65529 SQT65526:SQU65529 TAP65526:TAQ65529 TKL65526:TKM65529 TUH65526:TUI65529 UED65526:UEE65529 UNZ65526:UOA65529 UXV65526:UXW65529 VHR65526:VHS65529 VRN65526:VRO65529 WBJ65526:WBK65529 WLF65526:WLG65529 WVB65526:WVC65529 IP131062:IQ131065 SL131062:SM131065 ACH131062:ACI131065 AMD131062:AME131065 AVZ131062:AWA131065 BFV131062:BFW131065 BPR131062:BPS131065 BZN131062:BZO131065 CJJ131062:CJK131065 CTF131062:CTG131065 DDB131062:DDC131065 DMX131062:DMY131065 DWT131062:DWU131065 EGP131062:EGQ131065 EQL131062:EQM131065 FAH131062:FAI131065 FKD131062:FKE131065 FTZ131062:FUA131065 GDV131062:GDW131065 GNR131062:GNS131065 GXN131062:GXO131065 HHJ131062:HHK131065 HRF131062:HRG131065 IBB131062:IBC131065 IKX131062:IKY131065 IUT131062:IUU131065 JEP131062:JEQ131065 JOL131062:JOM131065 JYH131062:JYI131065 KID131062:KIE131065 KRZ131062:KSA131065 LBV131062:LBW131065 LLR131062:LLS131065 LVN131062:LVO131065 MFJ131062:MFK131065 MPF131062:MPG131065 MZB131062:MZC131065 NIX131062:NIY131065 NST131062:NSU131065 OCP131062:OCQ131065 OML131062:OMM131065 OWH131062:OWI131065 PGD131062:PGE131065 PPZ131062:PQA131065 PZV131062:PZW131065 QJR131062:QJS131065 QTN131062:QTO131065 RDJ131062:RDK131065 RNF131062:RNG131065 RXB131062:RXC131065 SGX131062:SGY131065 SQT131062:SQU131065 TAP131062:TAQ131065 TKL131062:TKM131065 TUH131062:TUI131065 UED131062:UEE131065 UNZ131062:UOA131065 UXV131062:UXW131065 VHR131062:VHS131065 VRN131062:VRO131065 WBJ131062:WBK131065 WLF131062:WLG131065 WVB131062:WVC131065 IP196598:IQ196601 SL196598:SM196601 ACH196598:ACI196601 AMD196598:AME196601 AVZ196598:AWA196601 BFV196598:BFW196601 BPR196598:BPS196601 BZN196598:BZO196601 CJJ196598:CJK196601 CTF196598:CTG196601 DDB196598:DDC196601 DMX196598:DMY196601 DWT196598:DWU196601 EGP196598:EGQ196601 EQL196598:EQM196601 FAH196598:FAI196601 FKD196598:FKE196601 FTZ196598:FUA196601 GDV196598:GDW196601 GNR196598:GNS196601 GXN196598:GXO196601 HHJ196598:HHK196601 HRF196598:HRG196601 IBB196598:IBC196601 IKX196598:IKY196601 IUT196598:IUU196601 JEP196598:JEQ196601 JOL196598:JOM196601 JYH196598:JYI196601 KID196598:KIE196601 KRZ196598:KSA196601 LBV196598:LBW196601 LLR196598:LLS196601 LVN196598:LVO196601 MFJ196598:MFK196601 MPF196598:MPG196601 MZB196598:MZC196601 NIX196598:NIY196601 NST196598:NSU196601 OCP196598:OCQ196601 OML196598:OMM196601 OWH196598:OWI196601 PGD196598:PGE196601 PPZ196598:PQA196601 PZV196598:PZW196601 QJR196598:QJS196601 QTN196598:QTO196601 RDJ196598:RDK196601 RNF196598:RNG196601 RXB196598:RXC196601 SGX196598:SGY196601 SQT196598:SQU196601 TAP196598:TAQ196601 TKL196598:TKM196601 TUH196598:TUI196601 UED196598:UEE196601 UNZ196598:UOA196601 UXV196598:UXW196601 VHR196598:VHS196601 VRN196598:VRO196601 WBJ196598:WBK196601 WLF196598:WLG196601 WVB196598:WVC196601 IP262134:IQ262137 SL262134:SM262137 ACH262134:ACI262137 AMD262134:AME262137 AVZ262134:AWA262137 BFV262134:BFW262137 BPR262134:BPS262137 BZN262134:BZO262137 CJJ262134:CJK262137 CTF262134:CTG262137 DDB262134:DDC262137 DMX262134:DMY262137 DWT262134:DWU262137 EGP262134:EGQ262137 EQL262134:EQM262137 FAH262134:FAI262137 FKD262134:FKE262137 FTZ262134:FUA262137 GDV262134:GDW262137 GNR262134:GNS262137 GXN262134:GXO262137 HHJ262134:HHK262137 HRF262134:HRG262137 IBB262134:IBC262137 IKX262134:IKY262137 IUT262134:IUU262137 JEP262134:JEQ262137 JOL262134:JOM262137 JYH262134:JYI262137 KID262134:KIE262137 KRZ262134:KSA262137 LBV262134:LBW262137 LLR262134:LLS262137 LVN262134:LVO262137 MFJ262134:MFK262137 MPF262134:MPG262137 MZB262134:MZC262137 NIX262134:NIY262137 NST262134:NSU262137 OCP262134:OCQ262137 OML262134:OMM262137 OWH262134:OWI262137 PGD262134:PGE262137 PPZ262134:PQA262137 PZV262134:PZW262137 QJR262134:QJS262137 QTN262134:QTO262137 RDJ262134:RDK262137 RNF262134:RNG262137 RXB262134:RXC262137 SGX262134:SGY262137 SQT262134:SQU262137 TAP262134:TAQ262137 TKL262134:TKM262137 TUH262134:TUI262137 UED262134:UEE262137 UNZ262134:UOA262137 UXV262134:UXW262137 VHR262134:VHS262137 VRN262134:VRO262137 WBJ262134:WBK262137 WLF262134:WLG262137 WVB262134:WVC262137 IP327670:IQ327673 SL327670:SM327673 ACH327670:ACI327673 AMD327670:AME327673 AVZ327670:AWA327673 BFV327670:BFW327673 BPR327670:BPS327673 BZN327670:BZO327673 CJJ327670:CJK327673 CTF327670:CTG327673 DDB327670:DDC327673 DMX327670:DMY327673 DWT327670:DWU327673 EGP327670:EGQ327673 EQL327670:EQM327673 FAH327670:FAI327673 FKD327670:FKE327673 FTZ327670:FUA327673 GDV327670:GDW327673 GNR327670:GNS327673 GXN327670:GXO327673 HHJ327670:HHK327673 HRF327670:HRG327673 IBB327670:IBC327673 IKX327670:IKY327673 IUT327670:IUU327673 JEP327670:JEQ327673 JOL327670:JOM327673 JYH327670:JYI327673 KID327670:KIE327673 KRZ327670:KSA327673 LBV327670:LBW327673 LLR327670:LLS327673 LVN327670:LVO327673 MFJ327670:MFK327673 MPF327670:MPG327673 MZB327670:MZC327673 NIX327670:NIY327673 NST327670:NSU327673 OCP327670:OCQ327673 OML327670:OMM327673 OWH327670:OWI327673 PGD327670:PGE327673 PPZ327670:PQA327673 PZV327670:PZW327673 QJR327670:QJS327673 QTN327670:QTO327673 RDJ327670:RDK327673 RNF327670:RNG327673 RXB327670:RXC327673 SGX327670:SGY327673 SQT327670:SQU327673 TAP327670:TAQ327673 TKL327670:TKM327673 TUH327670:TUI327673 UED327670:UEE327673 UNZ327670:UOA327673 UXV327670:UXW327673 VHR327670:VHS327673 VRN327670:VRO327673 WBJ327670:WBK327673 WLF327670:WLG327673 WVB327670:WVC327673 IP393206:IQ393209 SL393206:SM393209 ACH393206:ACI393209 AMD393206:AME393209 AVZ393206:AWA393209 BFV393206:BFW393209 BPR393206:BPS393209 BZN393206:BZO393209 CJJ393206:CJK393209 CTF393206:CTG393209 DDB393206:DDC393209 DMX393206:DMY393209 DWT393206:DWU393209 EGP393206:EGQ393209 EQL393206:EQM393209 FAH393206:FAI393209 FKD393206:FKE393209 FTZ393206:FUA393209 GDV393206:GDW393209 GNR393206:GNS393209 GXN393206:GXO393209 HHJ393206:HHK393209 HRF393206:HRG393209 IBB393206:IBC393209 IKX393206:IKY393209 IUT393206:IUU393209 JEP393206:JEQ393209 JOL393206:JOM393209 JYH393206:JYI393209 KID393206:KIE393209 KRZ393206:KSA393209 LBV393206:LBW393209 LLR393206:LLS393209 LVN393206:LVO393209 MFJ393206:MFK393209 MPF393206:MPG393209 MZB393206:MZC393209 NIX393206:NIY393209 NST393206:NSU393209 OCP393206:OCQ393209 OML393206:OMM393209 OWH393206:OWI393209 PGD393206:PGE393209 PPZ393206:PQA393209 PZV393206:PZW393209 QJR393206:QJS393209 QTN393206:QTO393209 RDJ393206:RDK393209 RNF393206:RNG393209 RXB393206:RXC393209 SGX393206:SGY393209 SQT393206:SQU393209 TAP393206:TAQ393209 TKL393206:TKM393209 TUH393206:TUI393209 UED393206:UEE393209 UNZ393206:UOA393209 UXV393206:UXW393209 VHR393206:VHS393209 VRN393206:VRO393209 WBJ393206:WBK393209 WLF393206:WLG393209 WVB393206:WVC393209 IP458742:IQ458745 SL458742:SM458745 ACH458742:ACI458745 AMD458742:AME458745 AVZ458742:AWA458745 BFV458742:BFW458745 BPR458742:BPS458745 BZN458742:BZO458745 CJJ458742:CJK458745 CTF458742:CTG458745 DDB458742:DDC458745 DMX458742:DMY458745 DWT458742:DWU458745 EGP458742:EGQ458745 EQL458742:EQM458745 FAH458742:FAI458745 FKD458742:FKE458745 FTZ458742:FUA458745 GDV458742:GDW458745 GNR458742:GNS458745 GXN458742:GXO458745 HHJ458742:HHK458745 HRF458742:HRG458745 IBB458742:IBC458745 IKX458742:IKY458745 IUT458742:IUU458745 JEP458742:JEQ458745 JOL458742:JOM458745 JYH458742:JYI458745 KID458742:KIE458745 KRZ458742:KSA458745 LBV458742:LBW458745 LLR458742:LLS458745 LVN458742:LVO458745 MFJ458742:MFK458745 MPF458742:MPG458745 MZB458742:MZC458745 NIX458742:NIY458745 NST458742:NSU458745 OCP458742:OCQ458745 OML458742:OMM458745 OWH458742:OWI458745 PGD458742:PGE458745 PPZ458742:PQA458745 PZV458742:PZW458745 QJR458742:QJS458745 QTN458742:QTO458745 RDJ458742:RDK458745 RNF458742:RNG458745 RXB458742:RXC458745 SGX458742:SGY458745 SQT458742:SQU458745 TAP458742:TAQ458745 TKL458742:TKM458745 TUH458742:TUI458745 UED458742:UEE458745 UNZ458742:UOA458745 UXV458742:UXW458745 VHR458742:VHS458745 VRN458742:VRO458745 WBJ458742:WBK458745 WLF458742:WLG458745 WVB458742:WVC458745 IP524278:IQ524281 SL524278:SM524281 ACH524278:ACI524281 AMD524278:AME524281 AVZ524278:AWA524281 BFV524278:BFW524281 BPR524278:BPS524281 BZN524278:BZO524281 CJJ524278:CJK524281 CTF524278:CTG524281 DDB524278:DDC524281 DMX524278:DMY524281 DWT524278:DWU524281 EGP524278:EGQ524281 EQL524278:EQM524281 FAH524278:FAI524281 FKD524278:FKE524281 FTZ524278:FUA524281 GDV524278:GDW524281 GNR524278:GNS524281 GXN524278:GXO524281 HHJ524278:HHK524281 HRF524278:HRG524281 IBB524278:IBC524281 IKX524278:IKY524281 IUT524278:IUU524281 JEP524278:JEQ524281 JOL524278:JOM524281 JYH524278:JYI524281 KID524278:KIE524281 KRZ524278:KSA524281 LBV524278:LBW524281 LLR524278:LLS524281 LVN524278:LVO524281 MFJ524278:MFK524281 MPF524278:MPG524281 MZB524278:MZC524281 NIX524278:NIY524281 NST524278:NSU524281 OCP524278:OCQ524281 OML524278:OMM524281 OWH524278:OWI524281 PGD524278:PGE524281 PPZ524278:PQA524281 PZV524278:PZW524281 QJR524278:QJS524281 QTN524278:QTO524281 RDJ524278:RDK524281 RNF524278:RNG524281 RXB524278:RXC524281 SGX524278:SGY524281 SQT524278:SQU524281 TAP524278:TAQ524281 TKL524278:TKM524281 TUH524278:TUI524281 UED524278:UEE524281 UNZ524278:UOA524281 UXV524278:UXW524281 VHR524278:VHS524281 VRN524278:VRO524281 WBJ524278:WBK524281 WLF524278:WLG524281 WVB524278:WVC524281 IP589814:IQ589817 SL589814:SM589817 ACH589814:ACI589817 AMD589814:AME589817 AVZ589814:AWA589817 BFV589814:BFW589817 BPR589814:BPS589817 BZN589814:BZO589817 CJJ589814:CJK589817 CTF589814:CTG589817 DDB589814:DDC589817 DMX589814:DMY589817 DWT589814:DWU589817 EGP589814:EGQ589817 EQL589814:EQM589817 FAH589814:FAI589817 FKD589814:FKE589817 FTZ589814:FUA589817 GDV589814:GDW589817 GNR589814:GNS589817 GXN589814:GXO589817 HHJ589814:HHK589817 HRF589814:HRG589817 IBB589814:IBC589817 IKX589814:IKY589817 IUT589814:IUU589817 JEP589814:JEQ589817 JOL589814:JOM589817 JYH589814:JYI589817 KID589814:KIE589817 KRZ589814:KSA589817 LBV589814:LBW589817 LLR589814:LLS589817 LVN589814:LVO589817 MFJ589814:MFK589817 MPF589814:MPG589817 MZB589814:MZC589817 NIX589814:NIY589817 NST589814:NSU589817 OCP589814:OCQ589817 OML589814:OMM589817 OWH589814:OWI589817 PGD589814:PGE589817 PPZ589814:PQA589817 PZV589814:PZW589817 QJR589814:QJS589817 QTN589814:QTO589817 RDJ589814:RDK589817 RNF589814:RNG589817 RXB589814:RXC589817 SGX589814:SGY589817 SQT589814:SQU589817 TAP589814:TAQ589817 TKL589814:TKM589817 TUH589814:TUI589817 UED589814:UEE589817 UNZ589814:UOA589817 UXV589814:UXW589817 VHR589814:VHS589817 VRN589814:VRO589817 WBJ589814:WBK589817 WLF589814:WLG589817 WVB589814:WVC589817 IP655350:IQ655353 SL655350:SM655353 ACH655350:ACI655353 AMD655350:AME655353 AVZ655350:AWA655353 BFV655350:BFW655353 BPR655350:BPS655353 BZN655350:BZO655353 CJJ655350:CJK655353 CTF655350:CTG655353 DDB655350:DDC655353 DMX655350:DMY655353 DWT655350:DWU655353 EGP655350:EGQ655353 EQL655350:EQM655353 FAH655350:FAI655353 FKD655350:FKE655353 FTZ655350:FUA655353 GDV655350:GDW655353 GNR655350:GNS655353 GXN655350:GXO655353 HHJ655350:HHK655353 HRF655350:HRG655353 IBB655350:IBC655353 IKX655350:IKY655353 IUT655350:IUU655353 JEP655350:JEQ655353 JOL655350:JOM655353 JYH655350:JYI655353 KID655350:KIE655353 KRZ655350:KSA655353 LBV655350:LBW655353 LLR655350:LLS655353 LVN655350:LVO655353 MFJ655350:MFK655353 MPF655350:MPG655353 MZB655350:MZC655353 NIX655350:NIY655353 NST655350:NSU655353 OCP655350:OCQ655353 OML655350:OMM655353 OWH655350:OWI655353 PGD655350:PGE655353 PPZ655350:PQA655353 PZV655350:PZW655353 QJR655350:QJS655353 QTN655350:QTO655353 RDJ655350:RDK655353 RNF655350:RNG655353 RXB655350:RXC655353 SGX655350:SGY655353 SQT655350:SQU655353 TAP655350:TAQ655353 TKL655350:TKM655353 TUH655350:TUI655353 UED655350:UEE655353 UNZ655350:UOA655353 UXV655350:UXW655353 VHR655350:VHS655353 VRN655350:VRO655353 WBJ655350:WBK655353 WLF655350:WLG655353 WVB655350:WVC655353 IP720886:IQ720889 SL720886:SM720889 ACH720886:ACI720889 AMD720886:AME720889 AVZ720886:AWA720889 BFV720886:BFW720889 BPR720886:BPS720889 BZN720886:BZO720889 CJJ720886:CJK720889 CTF720886:CTG720889 DDB720886:DDC720889 DMX720886:DMY720889 DWT720886:DWU720889 EGP720886:EGQ720889 EQL720886:EQM720889 FAH720886:FAI720889 FKD720886:FKE720889 FTZ720886:FUA720889 GDV720886:GDW720889 GNR720886:GNS720889 GXN720886:GXO720889 HHJ720886:HHK720889 HRF720886:HRG720889 IBB720886:IBC720889 IKX720886:IKY720889 IUT720886:IUU720889 JEP720886:JEQ720889 JOL720886:JOM720889 JYH720886:JYI720889 KID720886:KIE720889 KRZ720886:KSA720889 LBV720886:LBW720889 LLR720886:LLS720889 LVN720886:LVO720889 MFJ720886:MFK720889 MPF720886:MPG720889 MZB720886:MZC720889 NIX720886:NIY720889 NST720886:NSU720889 OCP720886:OCQ720889 OML720886:OMM720889 OWH720886:OWI720889 PGD720886:PGE720889 PPZ720886:PQA720889 PZV720886:PZW720889 QJR720886:QJS720889 QTN720886:QTO720889 RDJ720886:RDK720889 RNF720886:RNG720889 RXB720886:RXC720889 SGX720886:SGY720889 SQT720886:SQU720889 TAP720886:TAQ720889 TKL720886:TKM720889 TUH720886:TUI720889 UED720886:UEE720889 UNZ720886:UOA720889 UXV720886:UXW720889 VHR720886:VHS720889 VRN720886:VRO720889 WBJ720886:WBK720889 WLF720886:WLG720889 WVB720886:WVC720889 IP786422:IQ786425 SL786422:SM786425 ACH786422:ACI786425 AMD786422:AME786425 AVZ786422:AWA786425 BFV786422:BFW786425 BPR786422:BPS786425 BZN786422:BZO786425 CJJ786422:CJK786425 CTF786422:CTG786425 DDB786422:DDC786425 DMX786422:DMY786425 DWT786422:DWU786425 EGP786422:EGQ786425 EQL786422:EQM786425 FAH786422:FAI786425 FKD786422:FKE786425 FTZ786422:FUA786425 GDV786422:GDW786425 GNR786422:GNS786425 GXN786422:GXO786425 HHJ786422:HHK786425 HRF786422:HRG786425 IBB786422:IBC786425 IKX786422:IKY786425 IUT786422:IUU786425 JEP786422:JEQ786425 JOL786422:JOM786425 JYH786422:JYI786425 KID786422:KIE786425 KRZ786422:KSA786425 LBV786422:LBW786425 LLR786422:LLS786425 LVN786422:LVO786425 MFJ786422:MFK786425 MPF786422:MPG786425 MZB786422:MZC786425 NIX786422:NIY786425 NST786422:NSU786425 OCP786422:OCQ786425 OML786422:OMM786425 OWH786422:OWI786425 PGD786422:PGE786425 PPZ786422:PQA786425 PZV786422:PZW786425 QJR786422:QJS786425 QTN786422:QTO786425 RDJ786422:RDK786425 RNF786422:RNG786425 RXB786422:RXC786425 SGX786422:SGY786425 SQT786422:SQU786425 TAP786422:TAQ786425 TKL786422:TKM786425 TUH786422:TUI786425 UED786422:UEE786425 UNZ786422:UOA786425 UXV786422:UXW786425 VHR786422:VHS786425 VRN786422:VRO786425 WBJ786422:WBK786425 WLF786422:WLG786425 WVB786422:WVC786425 IP851958:IQ851961 SL851958:SM851961 ACH851958:ACI851961 AMD851958:AME851961 AVZ851958:AWA851961 BFV851958:BFW851961 BPR851958:BPS851961 BZN851958:BZO851961 CJJ851958:CJK851961 CTF851958:CTG851961 DDB851958:DDC851961 DMX851958:DMY851961 DWT851958:DWU851961 EGP851958:EGQ851961 EQL851958:EQM851961 FAH851958:FAI851961 FKD851958:FKE851961 FTZ851958:FUA851961 GDV851958:GDW851961 GNR851958:GNS851961 GXN851958:GXO851961 HHJ851958:HHK851961 HRF851958:HRG851961 IBB851958:IBC851961 IKX851958:IKY851961 IUT851958:IUU851961 JEP851958:JEQ851961 JOL851958:JOM851961 JYH851958:JYI851961 KID851958:KIE851961 KRZ851958:KSA851961 LBV851958:LBW851961 LLR851958:LLS851961 LVN851958:LVO851961 MFJ851958:MFK851961 MPF851958:MPG851961 MZB851958:MZC851961 NIX851958:NIY851961 NST851958:NSU851961 OCP851958:OCQ851961 OML851958:OMM851961 OWH851958:OWI851961 PGD851958:PGE851961 PPZ851958:PQA851961 PZV851958:PZW851961 QJR851958:QJS851961 QTN851958:QTO851961 RDJ851958:RDK851961 RNF851958:RNG851961 RXB851958:RXC851961 SGX851958:SGY851961 SQT851958:SQU851961 TAP851958:TAQ851961 TKL851958:TKM851961 TUH851958:TUI851961 UED851958:UEE851961 UNZ851958:UOA851961 UXV851958:UXW851961 VHR851958:VHS851961 VRN851958:VRO851961 WBJ851958:WBK851961 WLF851958:WLG851961 WVB851958:WVC851961 IP917494:IQ917497 SL917494:SM917497 ACH917494:ACI917497 AMD917494:AME917497 AVZ917494:AWA917497 BFV917494:BFW917497 BPR917494:BPS917497 BZN917494:BZO917497 CJJ917494:CJK917497 CTF917494:CTG917497 DDB917494:DDC917497 DMX917494:DMY917497 DWT917494:DWU917497 EGP917494:EGQ917497 EQL917494:EQM917497 FAH917494:FAI917497 FKD917494:FKE917497 FTZ917494:FUA917497 GDV917494:GDW917497 GNR917494:GNS917497 GXN917494:GXO917497 HHJ917494:HHK917497 HRF917494:HRG917497 IBB917494:IBC917497 IKX917494:IKY917497 IUT917494:IUU917497 JEP917494:JEQ917497 JOL917494:JOM917497 JYH917494:JYI917497 KID917494:KIE917497 KRZ917494:KSA917497 LBV917494:LBW917497 LLR917494:LLS917497 LVN917494:LVO917497 MFJ917494:MFK917497 MPF917494:MPG917497 MZB917494:MZC917497 NIX917494:NIY917497 NST917494:NSU917497 OCP917494:OCQ917497 OML917494:OMM917497 OWH917494:OWI917497 PGD917494:PGE917497 PPZ917494:PQA917497 PZV917494:PZW917497 QJR917494:QJS917497 QTN917494:QTO917497 RDJ917494:RDK917497 RNF917494:RNG917497 RXB917494:RXC917497 SGX917494:SGY917497 SQT917494:SQU917497 TAP917494:TAQ917497 TKL917494:TKM917497 TUH917494:TUI917497 UED917494:UEE917497 UNZ917494:UOA917497 UXV917494:UXW917497 VHR917494:VHS917497 VRN917494:VRO917497 WBJ917494:WBK917497 WLF917494:WLG917497 WVB917494:WVC917497 IP983030:IQ983033 SL983030:SM983033 ACH983030:ACI983033 AMD983030:AME983033 AVZ983030:AWA983033 BFV983030:BFW983033 BPR983030:BPS983033 BZN983030:BZO983033 CJJ983030:CJK983033 CTF983030:CTG983033 DDB983030:DDC983033 DMX983030:DMY983033 DWT983030:DWU983033 EGP983030:EGQ983033 EQL983030:EQM983033 FAH983030:FAI983033 FKD983030:FKE983033 FTZ983030:FUA983033 GDV983030:GDW983033 GNR983030:GNS983033 GXN983030:GXO983033 HHJ983030:HHK983033 HRF983030:HRG983033 IBB983030:IBC983033 IKX983030:IKY983033 IUT983030:IUU983033 JEP983030:JEQ983033 JOL983030:JOM983033 JYH983030:JYI983033 KID983030:KIE983033 KRZ983030:KSA983033 LBV983030:LBW983033 LLR983030:LLS983033 LVN983030:LVO983033 MFJ983030:MFK983033 MPF983030:MPG983033 MZB983030:MZC983033 NIX983030:NIY983033 NST983030:NSU983033 OCP983030:OCQ983033 OML983030:OMM983033 OWH983030:OWI983033 PGD983030:PGE983033 PPZ983030:PQA983033 PZV983030:PZW983033 QJR983030:QJS983033 QTN983030:QTO983033 RDJ983030:RDK983033 RNF983030:RNG983033 RXB983030:RXC983033 SGX983030:SGY983033 SQT983030:SQU983033 TAP983030:TAQ983033 TKL983030:TKM983033 TUH983030:TUI983033 UED983030:UEE983033 UNZ983030:UOA983033 UXV983030:UXW983033 VHR983030:VHS983033">
      <formula1>"YES,NO"</formula1>
    </dataValidation>
  </dataValidations>
  <printOptions horizontalCentered="1"/>
  <pageMargins left="0" right="0" top="0" bottom="0" header="0" footer="0"/>
  <pageSetup paperSize="9" scale="85" orientation="landscape" blackAndWhite="1" verticalDpi="300" r:id="rId1"/>
  <headerFooter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T14"/>
  <sheetViews>
    <sheetView view="pageBreakPreview" zoomScaleNormal="115" zoomScaleSheetLayoutView="100" workbookViewId="0">
      <selection activeCell="L7" sqref="L7:L8"/>
    </sheetView>
  </sheetViews>
  <sheetFormatPr defaultRowHeight="15" x14ac:dyDescent="0.25"/>
  <cols>
    <col min="1" max="1" width="8.5703125" style="361" customWidth="1"/>
    <col min="2" max="2" width="40.7109375" style="361" customWidth="1"/>
    <col min="3" max="3" width="5.28515625" style="349" bestFit="1" customWidth="1"/>
    <col min="4" max="4" width="15.7109375" style="349" customWidth="1"/>
    <col min="5" max="5" width="14.85546875" style="349" bestFit="1" customWidth="1"/>
    <col min="6" max="6" width="15.7109375" style="349" bestFit="1" customWidth="1"/>
    <col min="7" max="7" width="18.85546875" style="349" customWidth="1"/>
    <col min="8" max="8" width="18.85546875" style="349" bestFit="1" customWidth="1"/>
    <col min="9" max="20" width="9.140625" style="349"/>
    <col min="21" max="21" width="12.28515625" style="349" bestFit="1" customWidth="1"/>
    <col min="22" max="22" width="9.140625" style="349"/>
    <col min="23" max="23" width="10.7109375" style="349" bestFit="1" customWidth="1"/>
    <col min="24" max="42" width="9.140625" style="349"/>
    <col min="43" max="43" width="14.85546875" style="349" bestFit="1" customWidth="1"/>
    <col min="44" max="44" width="15.7109375" style="349" bestFit="1" customWidth="1"/>
    <col min="45" max="224" width="9.140625" style="349"/>
    <col min="225" max="263" width="2.42578125" style="349" customWidth="1"/>
    <col min="264" max="264" width="3.42578125" style="349" bestFit="1" customWidth="1"/>
    <col min="265" max="480" width="9.140625" style="349"/>
    <col min="481" max="519" width="2.42578125" style="349" customWidth="1"/>
    <col min="520" max="520" width="3.42578125" style="349" bestFit="1" customWidth="1"/>
    <col min="521" max="736" width="9.140625" style="349"/>
    <col min="737" max="775" width="2.42578125" style="349" customWidth="1"/>
    <col min="776" max="776" width="3.42578125" style="349" bestFit="1" customWidth="1"/>
    <col min="777" max="992" width="9.140625" style="349"/>
    <col min="993" max="1031" width="2.42578125" style="349" customWidth="1"/>
    <col min="1032" max="1032" width="3.42578125" style="349" bestFit="1" customWidth="1"/>
    <col min="1033" max="1248" width="9.140625" style="349"/>
    <col min="1249" max="1287" width="2.42578125" style="349" customWidth="1"/>
    <col min="1288" max="1288" width="3.42578125" style="349" bestFit="1" customWidth="1"/>
    <col min="1289" max="1504" width="9.140625" style="349"/>
    <col min="1505" max="1543" width="2.42578125" style="349" customWidth="1"/>
    <col min="1544" max="1544" width="3.42578125" style="349" bestFit="1" customWidth="1"/>
    <col min="1545" max="1760" width="9.140625" style="349"/>
    <col min="1761" max="1799" width="2.42578125" style="349" customWidth="1"/>
    <col min="1800" max="1800" width="3.42578125" style="349" bestFit="1" customWidth="1"/>
    <col min="1801" max="2016" width="9.140625" style="349"/>
    <col min="2017" max="2055" width="2.42578125" style="349" customWidth="1"/>
    <col min="2056" max="2056" width="3.42578125" style="349" bestFit="1" customWidth="1"/>
    <col min="2057" max="2272" width="9.140625" style="349"/>
    <col min="2273" max="2311" width="2.42578125" style="349" customWidth="1"/>
    <col min="2312" max="2312" width="3.42578125" style="349" bestFit="1" customWidth="1"/>
    <col min="2313" max="2528" width="9.140625" style="349"/>
    <col min="2529" max="2567" width="2.42578125" style="349" customWidth="1"/>
    <col min="2568" max="2568" width="3.42578125" style="349" bestFit="1" customWidth="1"/>
    <col min="2569" max="2784" width="9.140625" style="349"/>
    <col min="2785" max="2823" width="2.42578125" style="349" customWidth="1"/>
    <col min="2824" max="2824" width="3.42578125" style="349" bestFit="1" customWidth="1"/>
    <col min="2825" max="3040" width="9.140625" style="349"/>
    <col min="3041" max="3079" width="2.42578125" style="349" customWidth="1"/>
    <col min="3080" max="3080" width="3.42578125" style="349" bestFit="1" customWidth="1"/>
    <col min="3081" max="3296" width="9.140625" style="349"/>
    <col min="3297" max="3335" width="2.42578125" style="349" customWidth="1"/>
    <col min="3336" max="3336" width="3.42578125" style="349" bestFit="1" customWidth="1"/>
    <col min="3337" max="3552" width="9.140625" style="349"/>
    <col min="3553" max="3591" width="2.42578125" style="349" customWidth="1"/>
    <col min="3592" max="3592" width="3.42578125" style="349" bestFit="1" customWidth="1"/>
    <col min="3593" max="3808" width="9.140625" style="349"/>
    <col min="3809" max="3847" width="2.42578125" style="349" customWidth="1"/>
    <col min="3848" max="3848" width="3.42578125" style="349" bestFit="1" customWidth="1"/>
    <col min="3849" max="4064" width="9.140625" style="349"/>
    <col min="4065" max="4103" width="2.42578125" style="349" customWidth="1"/>
    <col min="4104" max="4104" width="3.42578125" style="349" bestFit="1" customWidth="1"/>
    <col min="4105" max="4320" width="9.140625" style="349"/>
    <col min="4321" max="4359" width="2.42578125" style="349" customWidth="1"/>
    <col min="4360" max="4360" width="3.42578125" style="349" bestFit="1" customWidth="1"/>
    <col min="4361" max="4576" width="9.140625" style="349"/>
    <col min="4577" max="4615" width="2.42578125" style="349" customWidth="1"/>
    <col min="4616" max="4616" width="3.42578125" style="349" bestFit="1" customWidth="1"/>
    <col min="4617" max="4832" width="9.140625" style="349"/>
    <col min="4833" max="4871" width="2.42578125" style="349" customWidth="1"/>
    <col min="4872" max="4872" width="3.42578125" style="349" bestFit="1" customWidth="1"/>
    <col min="4873" max="5088" width="9.140625" style="349"/>
    <col min="5089" max="5127" width="2.42578125" style="349" customWidth="1"/>
    <col min="5128" max="5128" width="3.42578125" style="349" bestFit="1" customWidth="1"/>
    <col min="5129" max="5344" width="9.140625" style="349"/>
    <col min="5345" max="5383" width="2.42578125" style="349" customWidth="1"/>
    <col min="5384" max="5384" width="3.42578125" style="349" bestFit="1" customWidth="1"/>
    <col min="5385" max="5600" width="9.140625" style="349"/>
    <col min="5601" max="5639" width="2.42578125" style="349" customWidth="1"/>
    <col min="5640" max="5640" width="3.42578125" style="349" bestFit="1" customWidth="1"/>
    <col min="5641" max="5856" width="9.140625" style="349"/>
    <col min="5857" max="5895" width="2.42578125" style="349" customWidth="1"/>
    <col min="5896" max="5896" width="3.42578125" style="349" bestFit="1" customWidth="1"/>
    <col min="5897" max="6112" width="9.140625" style="349"/>
    <col min="6113" max="6151" width="2.42578125" style="349" customWidth="1"/>
    <col min="6152" max="6152" width="3.42578125" style="349" bestFit="1" customWidth="1"/>
    <col min="6153" max="6368" width="9.140625" style="349"/>
    <col min="6369" max="6407" width="2.42578125" style="349" customWidth="1"/>
    <col min="6408" max="6408" width="3.42578125" style="349" bestFit="1" customWidth="1"/>
    <col min="6409" max="6624" width="9.140625" style="349"/>
    <col min="6625" max="6663" width="2.42578125" style="349" customWidth="1"/>
    <col min="6664" max="6664" width="3.42578125" style="349" bestFit="1" customWidth="1"/>
    <col min="6665" max="6880" width="9.140625" style="349"/>
    <col min="6881" max="6919" width="2.42578125" style="349" customWidth="1"/>
    <col min="6920" max="6920" width="3.42578125" style="349" bestFit="1" customWidth="1"/>
    <col min="6921" max="7136" width="9.140625" style="349"/>
    <col min="7137" max="7175" width="2.42578125" style="349" customWidth="1"/>
    <col min="7176" max="7176" width="3.42578125" style="349" bestFit="1" customWidth="1"/>
    <col min="7177" max="7392" width="9.140625" style="349"/>
    <col min="7393" max="7431" width="2.42578125" style="349" customWidth="1"/>
    <col min="7432" max="7432" width="3.42578125" style="349" bestFit="1" customWidth="1"/>
    <col min="7433" max="7648" width="9.140625" style="349"/>
    <col min="7649" max="7687" width="2.42578125" style="349" customWidth="1"/>
    <col min="7688" max="7688" width="3.42578125" style="349" bestFit="1" customWidth="1"/>
    <col min="7689" max="7904" width="9.140625" style="349"/>
    <col min="7905" max="7943" width="2.42578125" style="349" customWidth="1"/>
    <col min="7944" max="7944" width="3.42578125" style="349" bestFit="1" customWidth="1"/>
    <col min="7945" max="8160" width="9.140625" style="349"/>
    <col min="8161" max="8199" width="2.42578125" style="349" customWidth="1"/>
    <col min="8200" max="8200" width="3.42578125" style="349" bestFit="1" customWidth="1"/>
    <col min="8201" max="8416" width="9.140625" style="349"/>
    <col min="8417" max="8455" width="2.42578125" style="349" customWidth="1"/>
    <col min="8456" max="8456" width="3.42578125" style="349" bestFit="1" customWidth="1"/>
    <col min="8457" max="8672" width="9.140625" style="349"/>
    <col min="8673" max="8711" width="2.42578125" style="349" customWidth="1"/>
    <col min="8712" max="8712" width="3.42578125" style="349" bestFit="1" customWidth="1"/>
    <col min="8713" max="8928" width="9.140625" style="349"/>
    <col min="8929" max="8967" width="2.42578125" style="349" customWidth="1"/>
    <col min="8968" max="8968" width="3.42578125" style="349" bestFit="1" customWidth="1"/>
    <col min="8969" max="9184" width="9.140625" style="349"/>
    <col min="9185" max="9223" width="2.42578125" style="349" customWidth="1"/>
    <col min="9224" max="9224" width="3.42578125" style="349" bestFit="1" customWidth="1"/>
    <col min="9225" max="9440" width="9.140625" style="349"/>
    <col min="9441" max="9479" width="2.42578125" style="349" customWidth="1"/>
    <col min="9480" max="9480" width="3.42578125" style="349" bestFit="1" customWidth="1"/>
    <col min="9481" max="9696" width="9.140625" style="349"/>
    <col min="9697" max="9735" width="2.42578125" style="349" customWidth="1"/>
    <col min="9736" max="9736" width="3.42578125" style="349" bestFit="1" customWidth="1"/>
    <col min="9737" max="9952" width="9.140625" style="349"/>
    <col min="9953" max="9991" width="2.42578125" style="349" customWidth="1"/>
    <col min="9992" max="9992" width="3.42578125" style="349" bestFit="1" customWidth="1"/>
    <col min="9993" max="10208" width="9.140625" style="349"/>
    <col min="10209" max="10247" width="2.42578125" style="349" customWidth="1"/>
    <col min="10248" max="10248" width="3.42578125" style="349" bestFit="1" customWidth="1"/>
    <col min="10249" max="10464" width="9.140625" style="349"/>
    <col min="10465" max="10503" width="2.42578125" style="349" customWidth="1"/>
    <col min="10504" max="10504" width="3.42578125" style="349" bestFit="1" customWidth="1"/>
    <col min="10505" max="10720" width="9.140625" style="349"/>
    <col min="10721" max="10759" width="2.42578125" style="349" customWidth="1"/>
    <col min="10760" max="10760" width="3.42578125" style="349" bestFit="1" customWidth="1"/>
    <col min="10761" max="10976" width="9.140625" style="349"/>
    <col min="10977" max="11015" width="2.42578125" style="349" customWidth="1"/>
    <col min="11016" max="11016" width="3.42578125" style="349" bestFit="1" customWidth="1"/>
    <col min="11017" max="11232" width="9.140625" style="349"/>
    <col min="11233" max="11271" width="2.42578125" style="349" customWidth="1"/>
    <col min="11272" max="11272" width="3.42578125" style="349" bestFit="1" customWidth="1"/>
    <col min="11273" max="11488" width="9.140625" style="349"/>
    <col min="11489" max="11527" width="2.42578125" style="349" customWidth="1"/>
    <col min="11528" max="11528" width="3.42578125" style="349" bestFit="1" customWidth="1"/>
    <col min="11529" max="11744" width="9.140625" style="349"/>
    <col min="11745" max="11783" width="2.42578125" style="349" customWidth="1"/>
    <col min="11784" max="11784" width="3.42578125" style="349" bestFit="1" customWidth="1"/>
    <col min="11785" max="12000" width="9.140625" style="349"/>
    <col min="12001" max="12039" width="2.42578125" style="349" customWidth="1"/>
    <col min="12040" max="12040" width="3.42578125" style="349" bestFit="1" customWidth="1"/>
    <col min="12041" max="12256" width="9.140625" style="349"/>
    <col min="12257" max="12295" width="2.42578125" style="349" customWidth="1"/>
    <col min="12296" max="12296" width="3.42578125" style="349" bestFit="1" customWidth="1"/>
    <col min="12297" max="12512" width="9.140625" style="349"/>
    <col min="12513" max="12551" width="2.42578125" style="349" customWidth="1"/>
    <col min="12552" max="12552" width="3.42578125" style="349" bestFit="1" customWidth="1"/>
    <col min="12553" max="12768" width="9.140625" style="349"/>
    <col min="12769" max="12807" width="2.42578125" style="349" customWidth="1"/>
    <col min="12808" max="12808" width="3.42578125" style="349" bestFit="1" customWidth="1"/>
    <col min="12809" max="13024" width="9.140625" style="349"/>
    <col min="13025" max="13063" width="2.42578125" style="349" customWidth="1"/>
    <col min="13064" max="13064" width="3.42578125" style="349" bestFit="1" customWidth="1"/>
    <col min="13065" max="13280" width="9.140625" style="349"/>
    <col min="13281" max="13319" width="2.42578125" style="349" customWidth="1"/>
    <col min="13320" max="13320" width="3.42578125" style="349" bestFit="1" customWidth="1"/>
    <col min="13321" max="13536" width="9.140625" style="349"/>
    <col min="13537" max="13575" width="2.42578125" style="349" customWidth="1"/>
    <col min="13576" max="13576" width="3.42578125" style="349" bestFit="1" customWidth="1"/>
    <col min="13577" max="13792" width="9.140625" style="349"/>
    <col min="13793" max="13831" width="2.42578125" style="349" customWidth="1"/>
    <col min="13832" max="13832" width="3.42578125" style="349" bestFit="1" customWidth="1"/>
    <col min="13833" max="14048" width="9.140625" style="349"/>
    <col min="14049" max="14087" width="2.42578125" style="349" customWidth="1"/>
    <col min="14088" max="14088" width="3.42578125" style="349" bestFit="1" customWidth="1"/>
    <col min="14089" max="14304" width="9.140625" style="349"/>
    <col min="14305" max="14343" width="2.42578125" style="349" customWidth="1"/>
    <col min="14344" max="14344" width="3.42578125" style="349" bestFit="1" customWidth="1"/>
    <col min="14345" max="14560" width="9.140625" style="349"/>
    <col min="14561" max="14599" width="2.42578125" style="349" customWidth="1"/>
    <col min="14600" max="14600" width="3.42578125" style="349" bestFit="1" customWidth="1"/>
    <col min="14601" max="14816" width="9.140625" style="349"/>
    <col min="14817" max="14855" width="2.42578125" style="349" customWidth="1"/>
    <col min="14856" max="14856" width="3.42578125" style="349" bestFit="1" customWidth="1"/>
    <col min="14857" max="15072" width="9.140625" style="349"/>
    <col min="15073" max="15111" width="2.42578125" style="349" customWidth="1"/>
    <col min="15112" max="15112" width="3.42578125" style="349" bestFit="1" customWidth="1"/>
    <col min="15113" max="15328" width="9.140625" style="349"/>
    <col min="15329" max="15367" width="2.42578125" style="349" customWidth="1"/>
    <col min="15368" max="15368" width="3.42578125" style="349" bestFit="1" customWidth="1"/>
    <col min="15369" max="15584" width="9.140625" style="349"/>
    <col min="15585" max="15623" width="2.42578125" style="349" customWidth="1"/>
    <col min="15624" max="15624" width="3.42578125" style="349" bestFit="1" customWidth="1"/>
    <col min="15625" max="15840" width="9.140625" style="349"/>
    <col min="15841" max="15879" width="2.42578125" style="349" customWidth="1"/>
    <col min="15880" max="15880" width="3.42578125" style="349" bestFit="1" customWidth="1"/>
    <col min="15881" max="16096" width="9.140625" style="349"/>
    <col min="16097" max="16135" width="2.42578125" style="349" customWidth="1"/>
    <col min="16136" max="16136" width="3.42578125" style="349" bestFit="1" customWidth="1"/>
    <col min="16137" max="16384" width="9.140625" style="349"/>
  </cols>
  <sheetData>
    <row r="1" spans="1:46" s="318" customFormat="1" ht="15.75" thickBot="1" x14ac:dyDescent="0.3">
      <c r="A1" s="312" t="s">
        <v>467</v>
      </c>
      <c r="B1" s="313"/>
      <c r="C1" s="314"/>
      <c r="D1" s="314"/>
      <c r="E1" s="314"/>
      <c r="F1" s="316"/>
      <c r="G1" s="314"/>
      <c r="H1" s="317"/>
      <c r="J1" s="319"/>
      <c r="K1" s="320"/>
      <c r="L1" s="320"/>
      <c r="AO1" s="321"/>
      <c r="AP1" s="322"/>
      <c r="AQ1" s="314"/>
      <c r="AR1" s="316"/>
    </row>
    <row r="2" spans="1:46" s="318" customFormat="1" ht="15.75" thickBot="1" x14ac:dyDescent="0.3">
      <c r="A2" s="312" t="s">
        <v>468</v>
      </c>
      <c r="B2" s="313"/>
      <c r="C2" s="314"/>
      <c r="D2" s="314"/>
      <c r="E2" s="314"/>
      <c r="F2" s="316"/>
      <c r="G2" s="314"/>
      <c r="H2" s="317"/>
      <c r="J2" s="319"/>
      <c r="K2" s="320"/>
      <c r="L2" s="320"/>
      <c r="AO2" s="321"/>
      <c r="AP2" s="322"/>
      <c r="AQ2" s="314"/>
      <c r="AR2" s="316"/>
    </row>
    <row r="3" spans="1:46" s="318" customFormat="1" ht="15.75" thickBot="1" x14ac:dyDescent="0.3">
      <c r="A3" s="312" t="s">
        <v>469</v>
      </c>
      <c r="B3" s="313"/>
      <c r="C3" s="314"/>
      <c r="D3" s="314"/>
      <c r="E3" s="314"/>
      <c r="F3" s="316"/>
      <c r="G3" s="314"/>
      <c r="H3" s="317"/>
      <c r="J3" s="319"/>
      <c r="K3" s="320"/>
      <c r="L3" s="320"/>
      <c r="AO3" s="321"/>
      <c r="AP3" s="322"/>
      <c r="AQ3" s="314"/>
      <c r="AR3" s="316"/>
    </row>
    <row r="4" spans="1:46" s="318" customFormat="1" ht="15.75" thickBot="1" x14ac:dyDescent="0.3">
      <c r="A4" s="312" t="s">
        <v>470</v>
      </c>
      <c r="B4" s="313"/>
      <c r="C4" s="314"/>
      <c r="D4" s="314"/>
      <c r="E4" s="314"/>
      <c r="F4" s="316"/>
      <c r="G4" s="314"/>
      <c r="H4" s="317"/>
      <c r="J4" s="319"/>
      <c r="K4" s="320"/>
      <c r="L4" s="320"/>
      <c r="AO4" s="321"/>
      <c r="AP4" s="322"/>
      <c r="AQ4" s="314"/>
      <c r="AR4" s="316"/>
    </row>
    <row r="5" spans="1:46" s="318" customFormat="1" ht="15.75" thickBot="1" x14ac:dyDescent="0.3">
      <c r="A5" s="312" t="s">
        <v>471</v>
      </c>
      <c r="B5" s="313"/>
      <c r="C5" s="314"/>
      <c r="D5" s="314"/>
      <c r="E5" s="314"/>
      <c r="F5" s="316"/>
      <c r="G5" s="314"/>
      <c r="H5" s="317"/>
      <c r="J5" s="319"/>
      <c r="K5" s="320"/>
      <c r="L5" s="320"/>
      <c r="AO5" s="321"/>
      <c r="AP5" s="322"/>
      <c r="AQ5" s="314"/>
      <c r="AR5" s="316"/>
    </row>
    <row r="6" spans="1:46" ht="15.75" thickBot="1" x14ac:dyDescent="0.3">
      <c r="A6" s="347" t="s">
        <v>326</v>
      </c>
      <c r="B6" s="373"/>
      <c r="C6" s="352"/>
      <c r="D6" s="352"/>
      <c r="E6" s="352"/>
      <c r="F6" s="352"/>
      <c r="G6" s="352"/>
      <c r="H6" s="352"/>
      <c r="I6" s="353" t="s">
        <v>405</v>
      </c>
      <c r="J6" s="353"/>
      <c r="K6" s="353"/>
      <c r="L6" s="353"/>
      <c r="M6" s="353"/>
      <c r="N6" s="353" t="s">
        <v>406</v>
      </c>
      <c r="O6" s="353"/>
      <c r="P6" s="353"/>
      <c r="Q6" s="353"/>
      <c r="R6" s="353"/>
      <c r="S6" s="353" t="s">
        <v>407</v>
      </c>
      <c r="T6" s="353"/>
      <c r="U6" s="353"/>
      <c r="V6" s="353"/>
      <c r="W6" s="353"/>
      <c r="AQ6" s="352"/>
      <c r="AR6" s="352"/>
    </row>
    <row r="7" spans="1:46" ht="120" x14ac:dyDescent="0.25">
      <c r="A7" s="354" t="s">
        <v>295</v>
      </c>
      <c r="B7" s="356" t="s">
        <v>296</v>
      </c>
      <c r="C7" s="356" t="s">
        <v>302</v>
      </c>
      <c r="D7" s="356"/>
      <c r="E7" s="449" t="s">
        <v>538</v>
      </c>
      <c r="F7" s="450" t="s">
        <v>539</v>
      </c>
      <c r="G7" s="451" t="s">
        <v>540</v>
      </c>
      <c r="H7" s="452" t="s">
        <v>541</v>
      </c>
      <c r="I7" s="353" t="s">
        <v>408</v>
      </c>
      <c r="J7" s="353" t="s">
        <v>409</v>
      </c>
      <c r="K7" s="353" t="s">
        <v>410</v>
      </c>
      <c r="L7" s="353" t="s">
        <v>418</v>
      </c>
      <c r="M7" s="353" t="s">
        <v>414</v>
      </c>
      <c r="N7" s="353" t="s">
        <v>408</v>
      </c>
      <c r="O7" s="353" t="s">
        <v>409</v>
      </c>
      <c r="P7" s="353" t="s">
        <v>410</v>
      </c>
      <c r="Q7" s="353" t="s">
        <v>418</v>
      </c>
      <c r="R7" s="353" t="s">
        <v>414</v>
      </c>
      <c r="S7" s="353" t="s">
        <v>408</v>
      </c>
      <c r="T7" s="353" t="s">
        <v>409</v>
      </c>
      <c r="U7" s="353" t="s">
        <v>410</v>
      </c>
      <c r="V7" s="353" t="s">
        <v>418</v>
      </c>
      <c r="W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210" x14ac:dyDescent="0.25">
      <c r="A8" s="401" t="s">
        <v>327</v>
      </c>
      <c r="B8" s="381" t="s">
        <v>512</v>
      </c>
      <c r="C8" s="363">
        <v>1</v>
      </c>
      <c r="D8" s="363"/>
      <c r="E8" s="453" t="str">
        <f>IF(AND(AO8="IRR",SUM(AH8:AJ8)&gt;0),AP8,IF(AND(AO8="IRR",AQ8&lt;&gt;""),AQ8*'[5]Basic INFO'!$E$127,IF(AO8="IRR",AS8,"")))</f>
        <v/>
      </c>
      <c r="F8" s="454">
        <f>IF(AND(AO8="EUR",SUM(AH8:AJ8)&gt;0),AP8,IF(AND(AO8="EUR",AR8&lt;&gt;""),AR8*'[5]Basic INFO'!$C$138,IF(AO8="EUR",AT8,"")))</f>
        <v>534220.40816326533</v>
      </c>
      <c r="G8" s="455" t="str">
        <f t="shared" ref="G8" si="0">IF(AO8="IRR",C8*E8,"")</f>
        <v/>
      </c>
      <c r="H8" s="456">
        <f t="shared" ref="H8" si="1">IF(AO8="EUR",C8*F8,"")</f>
        <v>534220.40816326533</v>
      </c>
      <c r="I8" s="485" t="s">
        <v>430</v>
      </c>
      <c r="J8" s="436"/>
      <c r="K8" s="436"/>
      <c r="L8" s="436"/>
      <c r="M8" s="436" t="s">
        <v>433</v>
      </c>
      <c r="N8" s="436" t="s">
        <v>431</v>
      </c>
      <c r="O8" s="436"/>
      <c r="P8" s="436"/>
      <c r="Q8" s="436"/>
      <c r="R8" s="436" t="s">
        <v>433</v>
      </c>
      <c r="S8" s="436" t="s">
        <v>432</v>
      </c>
      <c r="T8" s="436"/>
      <c r="U8" s="437">
        <v>534220.40816326533</v>
      </c>
      <c r="V8" s="436"/>
      <c r="W8" s="438">
        <v>45796</v>
      </c>
      <c r="AH8" s="441">
        <f>IF(B8="","",COUNT(J8,O8,T8,Y8,AD8))</f>
        <v>0</v>
      </c>
      <c r="AI8" s="442">
        <f>IF(B8="","",COUNT(K8,P8,U8,Z8,AE8))</f>
        <v>1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534220.40816326533</v>
      </c>
      <c r="AM8" s="442" t="str">
        <f>IF(AND(AJ8&lt;&gt;"",AJ8&gt;0),AVERAGE(L8,Q8,V8,AA8,AF8)/'[5]Basic INFO'!$C$103,"")</f>
        <v/>
      </c>
      <c r="AN8" s="442">
        <f>IF(SUM(AH8:AJ8)&lt;&gt;0,AVERAGE(AK8:AM8),"")</f>
        <v>534220.40816326533</v>
      </c>
      <c r="AO8" s="349" t="s">
        <v>526</v>
      </c>
      <c r="AP8" s="444">
        <f>IF(B8="","",IF(SUM(AH8:AJ8)=0,"",IF(AO8="IRR",AN8*('[5]Basic INFO'!$C$101*'[5]Basic INFO'!$C$103),IF(AO8="EUR",AN8,AP8))))</f>
        <v>534220.40816326533</v>
      </c>
      <c r="AQ8" s="364"/>
      <c r="AR8" s="364">
        <v>180000</v>
      </c>
      <c r="AS8" s="447"/>
      <c r="AT8" s="448"/>
    </row>
    <row r="9" spans="1:46" ht="120" x14ac:dyDescent="0.25">
      <c r="A9" s="401" t="s">
        <v>376</v>
      </c>
      <c r="B9" s="381" t="s">
        <v>513</v>
      </c>
      <c r="C9" s="363">
        <v>1</v>
      </c>
      <c r="D9" s="363"/>
      <c r="E9" s="453">
        <f>IF(AND(AO9="IRR",SUM(AH9:AJ9)&gt;0),AP9,IF(AND(AO9="IRR",AQ9&lt;&gt;""),AQ9*'[5]Basic INFO'!$E$127,IF(AO9="IRR",AS9,"")))</f>
        <v>16259615384.615383</v>
      </c>
      <c r="F9" s="454" t="str">
        <f>IF(AND(AO9="EUR",SUM(AH9:AJ9)&gt;0),AP9,IF(AND(AO9="EUR",AR9&lt;&gt;""),AR9*'[5]Basic INFO'!$C$138,IF(AO9="EUR",AT9,"")))</f>
        <v/>
      </c>
      <c r="G9" s="455">
        <f t="shared" ref="G9" si="2">IF(AO9="IRR",C9*E9,"")</f>
        <v>16259615384.615383</v>
      </c>
      <c r="H9" s="456" t="str">
        <f t="shared" ref="H9" si="3">IF(AO9="EUR",C9*F9,"")</f>
        <v/>
      </c>
      <c r="I9" s="485" t="s">
        <v>430</v>
      </c>
      <c r="J9" s="436"/>
      <c r="K9" s="436"/>
      <c r="L9" s="436"/>
      <c r="M9" s="436" t="s">
        <v>433</v>
      </c>
      <c r="N9" s="436" t="s">
        <v>431</v>
      </c>
      <c r="O9" s="436"/>
      <c r="P9" s="436"/>
      <c r="Q9" s="436"/>
      <c r="R9" s="436" t="s">
        <v>433</v>
      </c>
      <c r="S9" s="436" t="s">
        <v>432</v>
      </c>
      <c r="T9" s="436"/>
      <c r="U9" s="437"/>
      <c r="V9" s="436"/>
      <c r="W9" s="438" t="s">
        <v>438</v>
      </c>
      <c r="AH9" s="441">
        <f t="shared" ref="AH9" si="4">IF(B9="","",COUNT(J9,O9,T9,Y9,AD9))</f>
        <v>0</v>
      </c>
      <c r="AI9" s="442">
        <f t="shared" ref="AI9" si="5">IF(B9="","",COUNT(K9,P9,U9,Z9,AE9))</f>
        <v>0</v>
      </c>
      <c r="AJ9" s="442">
        <f t="shared" ref="AJ9" si="6">IF(B9="","",COUNT(L9,Q9,V9,AA9,AF9))</f>
        <v>0</v>
      </c>
      <c r="AK9" s="442" t="str">
        <f>IF(AND(AH9&lt;&gt;"",AH9&gt;0),AVERAGE(J9,O9,T9,Y9,AD9)/('[5]Basic INFO'!$C$101*'[5]Basic INFO'!$C$103),"")</f>
        <v/>
      </c>
      <c r="AL9" s="442" t="str">
        <f t="shared" ref="AL9" si="7">IF(AND(AI9&lt;&gt;"",AI9&gt;0),AVERAGE(K9,P9,U9,Z9,AE9),"")</f>
        <v/>
      </c>
      <c r="AM9" s="442" t="str">
        <f>IF(AND(AJ9&lt;&gt;"",AJ9&gt;0),AVERAGE(L9,Q9,V9,AA9,AF9)/'[5]Basic INFO'!$C$103,"")</f>
        <v/>
      </c>
      <c r="AN9" s="442" t="str">
        <f t="shared" ref="AN9" si="8">IF(SUM(AH9:AJ9)&lt;&gt;0,AVERAGE(AK9:AM9),"")</f>
        <v/>
      </c>
      <c r="AO9" s="349" t="s">
        <v>525</v>
      </c>
      <c r="AP9" s="444" t="str">
        <f>IF(B9="","",IF(SUM(AH9:AJ9)=0,"",IF(AO9="IRR",AN9*('[5]Basic INFO'!$C$101*'[5]Basic INFO'!$C$103),IF(AO9="EUR",AN9,AP9))))</f>
        <v/>
      </c>
      <c r="AQ9" s="364">
        <v>1000000000</v>
      </c>
      <c r="AR9" s="364"/>
      <c r="AS9" s="447"/>
      <c r="AT9" s="448"/>
    </row>
    <row r="10" spans="1:46" ht="30" x14ac:dyDescent="0.25">
      <c r="A10" s="457"/>
      <c r="B10" s="458" t="s">
        <v>542</v>
      </c>
      <c r="C10" s="457"/>
      <c r="D10" s="457"/>
      <c r="E10" s="459"/>
      <c r="F10" s="460"/>
      <c r="G10" s="461">
        <f>SUM(G8:G9)</f>
        <v>16259615384.615383</v>
      </c>
      <c r="H10" s="462">
        <f>SUM(H8:H9)</f>
        <v>534220.40816326533</v>
      </c>
      <c r="AQ10" s="378" t="s">
        <v>297</v>
      </c>
      <c r="AR10" s="378" t="s">
        <v>298</v>
      </c>
    </row>
    <row r="11" spans="1:46" x14ac:dyDescent="0.25">
      <c r="A11" s="463"/>
      <c r="B11" s="464" t="s">
        <v>543</v>
      </c>
      <c r="C11" s="463"/>
      <c r="D11" s="463"/>
      <c r="E11"/>
      <c r="F11"/>
      <c r="G11" s="465">
        <v>1.18</v>
      </c>
      <c r="H11" s="465">
        <v>1.18</v>
      </c>
      <c r="AQ11" s="379"/>
      <c r="AR11" s="379"/>
    </row>
    <row r="12" spans="1:46" x14ac:dyDescent="0.25">
      <c r="A12" s="463"/>
      <c r="B12" s="464" t="s">
        <v>544</v>
      </c>
      <c r="C12" s="463"/>
      <c r="D12" s="463"/>
      <c r="E12"/>
      <c r="F12"/>
      <c r="G12" s="466">
        <v>0.1</v>
      </c>
      <c r="H12" s="466">
        <v>0.1</v>
      </c>
      <c r="AQ12" s="367"/>
      <c r="AR12" s="367"/>
    </row>
    <row r="13" spans="1:46" x14ac:dyDescent="0.25">
      <c r="A13" s="463"/>
      <c r="B13" s="467" t="s">
        <v>545</v>
      </c>
      <c r="C13" s="463"/>
      <c r="D13" s="463"/>
      <c r="E13"/>
      <c r="F13"/>
      <c r="G13" s="468">
        <f>ROUND((G10*G11*(1+G12))/1000000,0)*1000000</f>
        <v>21105000000</v>
      </c>
      <c r="H13" s="469">
        <f>ROUND(H10*H11*(1+H12)/1000,0)*1000</f>
        <v>693000</v>
      </c>
      <c r="AQ13" s="367"/>
      <c r="AR13" s="367"/>
    </row>
    <row r="14" spans="1:46" x14ac:dyDescent="0.25">
      <c r="G14" s="461">
        <f>ROUND(SUMIF(AP:AP,"&gt;0",G:G)*G11*(1+G12)/1000000,0)*1000000</f>
        <v>0</v>
      </c>
      <c r="H14" s="462">
        <f>ROUND(SUMIF(AP:AP,"&gt;0",H:H)*H11*(1+H12)/1000,0)*1000</f>
        <v>693000</v>
      </c>
    </row>
  </sheetData>
  <dataValidations count="1">
    <dataValidation type="list" allowBlank="1" showInputMessage="1" showErrorMessage="1" sqref="WBJ983033:WBK983036 JA65529:JB65532 SW65529:SX65532 ACS65529:ACT65532 AMO65529:AMP65532 AWK65529:AWL65532 BGG65529:BGH65532 BQC65529:BQD65532 BZY65529:BZZ65532 CJU65529:CJV65532 CTQ65529:CTR65532 DDM65529:DDN65532 DNI65529:DNJ65532 DXE65529:DXF65532 EHA65529:EHB65532 EQW65529:EQX65532 FAS65529:FAT65532 FKO65529:FKP65532 FUK65529:FUL65532 GEG65529:GEH65532 GOC65529:GOD65532 GXY65529:GXZ65532 HHU65529:HHV65532 HRQ65529:HRR65532 IBM65529:IBN65532 ILI65529:ILJ65532 IVE65529:IVF65532 JFA65529:JFB65532 JOW65529:JOX65532 JYS65529:JYT65532 KIO65529:KIP65532 KSK65529:KSL65532 LCG65529:LCH65532 LMC65529:LMD65532 LVY65529:LVZ65532 MFU65529:MFV65532 MPQ65529:MPR65532 MZM65529:MZN65532 NJI65529:NJJ65532 NTE65529:NTF65532 ODA65529:ODB65532 OMW65529:OMX65532 OWS65529:OWT65532 PGO65529:PGP65532 PQK65529:PQL65532 QAG65529:QAH65532 QKC65529:QKD65532 QTY65529:QTZ65532 RDU65529:RDV65532 RNQ65529:RNR65532 RXM65529:RXN65532 SHI65529:SHJ65532 SRE65529:SRF65532 TBA65529:TBB65532 TKW65529:TKX65532 TUS65529:TUT65532 UEO65529:UEP65532 UOK65529:UOL65532 UYG65529:UYH65532 VIC65529:VID65532 VRY65529:VRZ65532 WBU65529:WBV65532 WLQ65529:WLR65532 WVM65529:WVN65532 JA131065:JB131068 SW131065:SX131068 ACS131065:ACT131068 AMO131065:AMP131068 AWK131065:AWL131068 BGG131065:BGH131068 BQC131065:BQD131068 BZY131065:BZZ131068 CJU131065:CJV131068 CTQ131065:CTR131068 DDM131065:DDN131068 DNI131065:DNJ131068 DXE131065:DXF131068 EHA131065:EHB131068 EQW131065:EQX131068 FAS131065:FAT131068 FKO131065:FKP131068 FUK131065:FUL131068 GEG131065:GEH131068 GOC131065:GOD131068 GXY131065:GXZ131068 HHU131065:HHV131068 HRQ131065:HRR131068 IBM131065:IBN131068 ILI131065:ILJ131068 IVE131065:IVF131068 JFA131065:JFB131068 JOW131065:JOX131068 JYS131065:JYT131068 KIO131065:KIP131068 KSK131065:KSL131068 LCG131065:LCH131068 LMC131065:LMD131068 LVY131065:LVZ131068 MFU131065:MFV131068 MPQ131065:MPR131068 MZM131065:MZN131068 NJI131065:NJJ131068 NTE131065:NTF131068 ODA131065:ODB131068 OMW131065:OMX131068 OWS131065:OWT131068 PGO131065:PGP131068 PQK131065:PQL131068 QAG131065:QAH131068 QKC131065:QKD131068 QTY131065:QTZ131068 RDU131065:RDV131068 RNQ131065:RNR131068 RXM131065:RXN131068 SHI131065:SHJ131068 SRE131065:SRF131068 TBA131065:TBB131068 TKW131065:TKX131068 TUS131065:TUT131068 UEO131065:UEP131068 UOK131065:UOL131068 UYG131065:UYH131068 VIC131065:VID131068 VRY131065:VRZ131068 WBU131065:WBV131068 WLQ131065:WLR131068 WVM131065:WVN131068 JA196601:JB196604 SW196601:SX196604 ACS196601:ACT196604 AMO196601:AMP196604 AWK196601:AWL196604 BGG196601:BGH196604 BQC196601:BQD196604 BZY196601:BZZ196604 CJU196601:CJV196604 CTQ196601:CTR196604 DDM196601:DDN196604 DNI196601:DNJ196604 DXE196601:DXF196604 EHA196601:EHB196604 EQW196601:EQX196604 FAS196601:FAT196604 FKO196601:FKP196604 FUK196601:FUL196604 GEG196601:GEH196604 GOC196601:GOD196604 GXY196601:GXZ196604 HHU196601:HHV196604 HRQ196601:HRR196604 IBM196601:IBN196604 ILI196601:ILJ196604 IVE196601:IVF196604 JFA196601:JFB196604 JOW196601:JOX196604 JYS196601:JYT196604 KIO196601:KIP196604 KSK196601:KSL196604 LCG196601:LCH196604 LMC196601:LMD196604 LVY196601:LVZ196604 MFU196601:MFV196604 MPQ196601:MPR196604 MZM196601:MZN196604 NJI196601:NJJ196604 NTE196601:NTF196604 ODA196601:ODB196604 OMW196601:OMX196604 OWS196601:OWT196604 PGO196601:PGP196604 PQK196601:PQL196604 QAG196601:QAH196604 QKC196601:QKD196604 QTY196601:QTZ196604 RDU196601:RDV196604 RNQ196601:RNR196604 RXM196601:RXN196604 SHI196601:SHJ196604 SRE196601:SRF196604 TBA196601:TBB196604 TKW196601:TKX196604 TUS196601:TUT196604 UEO196601:UEP196604 UOK196601:UOL196604 UYG196601:UYH196604 VIC196601:VID196604 VRY196601:VRZ196604 WBU196601:WBV196604 WLQ196601:WLR196604 WVM196601:WVN196604 JA262137:JB262140 SW262137:SX262140 ACS262137:ACT262140 AMO262137:AMP262140 AWK262137:AWL262140 BGG262137:BGH262140 BQC262137:BQD262140 BZY262137:BZZ262140 CJU262137:CJV262140 CTQ262137:CTR262140 DDM262137:DDN262140 DNI262137:DNJ262140 DXE262137:DXF262140 EHA262137:EHB262140 EQW262137:EQX262140 FAS262137:FAT262140 FKO262137:FKP262140 FUK262137:FUL262140 GEG262137:GEH262140 GOC262137:GOD262140 GXY262137:GXZ262140 HHU262137:HHV262140 HRQ262137:HRR262140 IBM262137:IBN262140 ILI262137:ILJ262140 IVE262137:IVF262140 JFA262137:JFB262140 JOW262137:JOX262140 JYS262137:JYT262140 KIO262137:KIP262140 KSK262137:KSL262140 LCG262137:LCH262140 LMC262137:LMD262140 LVY262137:LVZ262140 MFU262137:MFV262140 MPQ262137:MPR262140 MZM262137:MZN262140 NJI262137:NJJ262140 NTE262137:NTF262140 ODA262137:ODB262140 OMW262137:OMX262140 OWS262137:OWT262140 PGO262137:PGP262140 PQK262137:PQL262140 QAG262137:QAH262140 QKC262137:QKD262140 QTY262137:QTZ262140 RDU262137:RDV262140 RNQ262137:RNR262140 RXM262137:RXN262140 SHI262137:SHJ262140 SRE262137:SRF262140 TBA262137:TBB262140 TKW262137:TKX262140 TUS262137:TUT262140 UEO262137:UEP262140 UOK262137:UOL262140 UYG262137:UYH262140 VIC262137:VID262140 VRY262137:VRZ262140 WBU262137:WBV262140 WLQ262137:WLR262140 WVM262137:WVN262140 JA327673:JB327676 SW327673:SX327676 ACS327673:ACT327676 AMO327673:AMP327676 AWK327673:AWL327676 BGG327673:BGH327676 BQC327673:BQD327676 BZY327673:BZZ327676 CJU327673:CJV327676 CTQ327673:CTR327676 DDM327673:DDN327676 DNI327673:DNJ327676 DXE327673:DXF327676 EHA327673:EHB327676 EQW327673:EQX327676 FAS327673:FAT327676 FKO327673:FKP327676 FUK327673:FUL327676 GEG327673:GEH327676 GOC327673:GOD327676 GXY327673:GXZ327676 HHU327673:HHV327676 HRQ327673:HRR327676 IBM327673:IBN327676 ILI327673:ILJ327676 IVE327673:IVF327676 JFA327673:JFB327676 JOW327673:JOX327676 JYS327673:JYT327676 KIO327673:KIP327676 KSK327673:KSL327676 LCG327673:LCH327676 LMC327673:LMD327676 LVY327673:LVZ327676 MFU327673:MFV327676 MPQ327673:MPR327676 MZM327673:MZN327676 NJI327673:NJJ327676 NTE327673:NTF327676 ODA327673:ODB327676 OMW327673:OMX327676 OWS327673:OWT327676 PGO327673:PGP327676 PQK327673:PQL327676 QAG327673:QAH327676 QKC327673:QKD327676 QTY327673:QTZ327676 RDU327673:RDV327676 RNQ327673:RNR327676 RXM327673:RXN327676 SHI327673:SHJ327676 SRE327673:SRF327676 TBA327673:TBB327676 TKW327673:TKX327676 TUS327673:TUT327676 UEO327673:UEP327676 UOK327673:UOL327676 UYG327673:UYH327676 VIC327673:VID327676 VRY327673:VRZ327676 WBU327673:WBV327676 WLQ327673:WLR327676 WVM327673:WVN327676 JA393209:JB393212 SW393209:SX393212 ACS393209:ACT393212 AMO393209:AMP393212 AWK393209:AWL393212 BGG393209:BGH393212 BQC393209:BQD393212 BZY393209:BZZ393212 CJU393209:CJV393212 CTQ393209:CTR393212 DDM393209:DDN393212 DNI393209:DNJ393212 DXE393209:DXF393212 EHA393209:EHB393212 EQW393209:EQX393212 FAS393209:FAT393212 FKO393209:FKP393212 FUK393209:FUL393212 GEG393209:GEH393212 GOC393209:GOD393212 GXY393209:GXZ393212 HHU393209:HHV393212 HRQ393209:HRR393212 IBM393209:IBN393212 ILI393209:ILJ393212 IVE393209:IVF393212 JFA393209:JFB393212 JOW393209:JOX393212 JYS393209:JYT393212 KIO393209:KIP393212 KSK393209:KSL393212 LCG393209:LCH393212 LMC393209:LMD393212 LVY393209:LVZ393212 MFU393209:MFV393212 MPQ393209:MPR393212 MZM393209:MZN393212 NJI393209:NJJ393212 NTE393209:NTF393212 ODA393209:ODB393212 OMW393209:OMX393212 OWS393209:OWT393212 PGO393209:PGP393212 PQK393209:PQL393212 QAG393209:QAH393212 QKC393209:QKD393212 QTY393209:QTZ393212 RDU393209:RDV393212 RNQ393209:RNR393212 RXM393209:RXN393212 SHI393209:SHJ393212 SRE393209:SRF393212 TBA393209:TBB393212 TKW393209:TKX393212 TUS393209:TUT393212 UEO393209:UEP393212 UOK393209:UOL393212 UYG393209:UYH393212 VIC393209:VID393212 VRY393209:VRZ393212 WBU393209:WBV393212 WLQ393209:WLR393212 WVM393209:WVN393212 JA458745:JB458748 SW458745:SX458748 ACS458745:ACT458748 AMO458745:AMP458748 AWK458745:AWL458748 BGG458745:BGH458748 BQC458745:BQD458748 BZY458745:BZZ458748 CJU458745:CJV458748 CTQ458745:CTR458748 DDM458745:DDN458748 DNI458745:DNJ458748 DXE458745:DXF458748 EHA458745:EHB458748 EQW458745:EQX458748 FAS458745:FAT458748 FKO458745:FKP458748 FUK458745:FUL458748 GEG458745:GEH458748 GOC458745:GOD458748 GXY458745:GXZ458748 HHU458745:HHV458748 HRQ458745:HRR458748 IBM458745:IBN458748 ILI458745:ILJ458748 IVE458745:IVF458748 JFA458745:JFB458748 JOW458745:JOX458748 JYS458745:JYT458748 KIO458745:KIP458748 KSK458745:KSL458748 LCG458745:LCH458748 LMC458745:LMD458748 LVY458745:LVZ458748 MFU458745:MFV458748 MPQ458745:MPR458748 MZM458745:MZN458748 NJI458745:NJJ458748 NTE458745:NTF458748 ODA458745:ODB458748 OMW458745:OMX458748 OWS458745:OWT458748 PGO458745:PGP458748 PQK458745:PQL458748 QAG458745:QAH458748 QKC458745:QKD458748 QTY458745:QTZ458748 RDU458745:RDV458748 RNQ458745:RNR458748 RXM458745:RXN458748 SHI458745:SHJ458748 SRE458745:SRF458748 TBA458745:TBB458748 TKW458745:TKX458748 TUS458745:TUT458748 UEO458745:UEP458748 UOK458745:UOL458748 UYG458745:UYH458748 VIC458745:VID458748 VRY458745:VRZ458748 WBU458745:WBV458748 WLQ458745:WLR458748 WVM458745:WVN458748 JA524281:JB524284 SW524281:SX524284 ACS524281:ACT524284 AMO524281:AMP524284 AWK524281:AWL524284 BGG524281:BGH524284 BQC524281:BQD524284 BZY524281:BZZ524284 CJU524281:CJV524284 CTQ524281:CTR524284 DDM524281:DDN524284 DNI524281:DNJ524284 DXE524281:DXF524284 EHA524281:EHB524284 EQW524281:EQX524284 FAS524281:FAT524284 FKO524281:FKP524284 FUK524281:FUL524284 GEG524281:GEH524284 GOC524281:GOD524284 GXY524281:GXZ524284 HHU524281:HHV524284 HRQ524281:HRR524284 IBM524281:IBN524284 ILI524281:ILJ524284 IVE524281:IVF524284 JFA524281:JFB524284 JOW524281:JOX524284 JYS524281:JYT524284 KIO524281:KIP524284 KSK524281:KSL524284 LCG524281:LCH524284 LMC524281:LMD524284 LVY524281:LVZ524284 MFU524281:MFV524284 MPQ524281:MPR524284 MZM524281:MZN524284 NJI524281:NJJ524284 NTE524281:NTF524284 ODA524281:ODB524284 OMW524281:OMX524284 OWS524281:OWT524284 PGO524281:PGP524284 PQK524281:PQL524284 QAG524281:QAH524284 QKC524281:QKD524284 QTY524281:QTZ524284 RDU524281:RDV524284 RNQ524281:RNR524284 RXM524281:RXN524284 SHI524281:SHJ524284 SRE524281:SRF524284 TBA524281:TBB524284 TKW524281:TKX524284 TUS524281:TUT524284 UEO524281:UEP524284 UOK524281:UOL524284 UYG524281:UYH524284 VIC524281:VID524284 VRY524281:VRZ524284 WBU524281:WBV524284 WLQ524281:WLR524284 WVM524281:WVN524284 JA589817:JB589820 SW589817:SX589820 ACS589817:ACT589820 AMO589817:AMP589820 AWK589817:AWL589820 BGG589817:BGH589820 BQC589817:BQD589820 BZY589817:BZZ589820 CJU589817:CJV589820 CTQ589817:CTR589820 DDM589817:DDN589820 DNI589817:DNJ589820 DXE589817:DXF589820 EHA589817:EHB589820 EQW589817:EQX589820 FAS589817:FAT589820 FKO589817:FKP589820 FUK589817:FUL589820 GEG589817:GEH589820 GOC589817:GOD589820 GXY589817:GXZ589820 HHU589817:HHV589820 HRQ589817:HRR589820 IBM589817:IBN589820 ILI589817:ILJ589820 IVE589817:IVF589820 JFA589817:JFB589820 JOW589817:JOX589820 JYS589817:JYT589820 KIO589817:KIP589820 KSK589817:KSL589820 LCG589817:LCH589820 LMC589817:LMD589820 LVY589817:LVZ589820 MFU589817:MFV589820 MPQ589817:MPR589820 MZM589817:MZN589820 NJI589817:NJJ589820 NTE589817:NTF589820 ODA589817:ODB589820 OMW589817:OMX589820 OWS589817:OWT589820 PGO589817:PGP589820 PQK589817:PQL589820 QAG589817:QAH589820 QKC589817:QKD589820 QTY589817:QTZ589820 RDU589817:RDV589820 RNQ589817:RNR589820 RXM589817:RXN589820 SHI589817:SHJ589820 SRE589817:SRF589820 TBA589817:TBB589820 TKW589817:TKX589820 TUS589817:TUT589820 UEO589817:UEP589820 UOK589817:UOL589820 UYG589817:UYH589820 VIC589817:VID589820 VRY589817:VRZ589820 WBU589817:WBV589820 WLQ589817:WLR589820 WVM589817:WVN589820 JA655353:JB655356 SW655353:SX655356 ACS655353:ACT655356 AMO655353:AMP655356 AWK655353:AWL655356 BGG655353:BGH655356 BQC655353:BQD655356 BZY655353:BZZ655356 CJU655353:CJV655356 CTQ655353:CTR655356 DDM655353:DDN655356 DNI655353:DNJ655356 DXE655353:DXF655356 EHA655353:EHB655356 EQW655353:EQX655356 FAS655353:FAT655356 FKO655353:FKP655356 FUK655353:FUL655356 GEG655353:GEH655356 GOC655353:GOD655356 GXY655353:GXZ655356 HHU655353:HHV655356 HRQ655353:HRR655356 IBM655353:IBN655356 ILI655353:ILJ655356 IVE655353:IVF655356 JFA655353:JFB655356 JOW655353:JOX655356 JYS655353:JYT655356 KIO655353:KIP655356 KSK655353:KSL655356 LCG655353:LCH655356 LMC655353:LMD655356 LVY655353:LVZ655356 MFU655353:MFV655356 MPQ655353:MPR655356 MZM655353:MZN655356 NJI655353:NJJ655356 NTE655353:NTF655356 ODA655353:ODB655356 OMW655353:OMX655356 OWS655353:OWT655356 PGO655353:PGP655356 PQK655353:PQL655356 QAG655353:QAH655356 QKC655353:QKD655356 QTY655353:QTZ655356 RDU655353:RDV655356 RNQ655353:RNR655356 RXM655353:RXN655356 SHI655353:SHJ655356 SRE655353:SRF655356 TBA655353:TBB655356 TKW655353:TKX655356 TUS655353:TUT655356 UEO655353:UEP655356 UOK655353:UOL655356 UYG655353:UYH655356 VIC655353:VID655356 VRY655353:VRZ655356 WBU655353:WBV655356 WLQ655353:WLR655356 WVM655353:WVN655356 JA720889:JB720892 SW720889:SX720892 ACS720889:ACT720892 AMO720889:AMP720892 AWK720889:AWL720892 BGG720889:BGH720892 BQC720889:BQD720892 BZY720889:BZZ720892 CJU720889:CJV720892 CTQ720889:CTR720892 DDM720889:DDN720892 DNI720889:DNJ720892 DXE720889:DXF720892 EHA720889:EHB720892 EQW720889:EQX720892 FAS720889:FAT720892 FKO720889:FKP720892 FUK720889:FUL720892 GEG720889:GEH720892 GOC720889:GOD720892 GXY720889:GXZ720892 HHU720889:HHV720892 HRQ720889:HRR720892 IBM720889:IBN720892 ILI720889:ILJ720892 IVE720889:IVF720892 JFA720889:JFB720892 JOW720889:JOX720892 JYS720889:JYT720892 KIO720889:KIP720892 KSK720889:KSL720892 LCG720889:LCH720892 LMC720889:LMD720892 LVY720889:LVZ720892 MFU720889:MFV720892 MPQ720889:MPR720892 MZM720889:MZN720892 NJI720889:NJJ720892 NTE720889:NTF720892 ODA720889:ODB720892 OMW720889:OMX720892 OWS720889:OWT720892 PGO720889:PGP720892 PQK720889:PQL720892 QAG720889:QAH720892 QKC720889:QKD720892 QTY720889:QTZ720892 RDU720889:RDV720892 RNQ720889:RNR720892 RXM720889:RXN720892 SHI720889:SHJ720892 SRE720889:SRF720892 TBA720889:TBB720892 TKW720889:TKX720892 TUS720889:TUT720892 UEO720889:UEP720892 UOK720889:UOL720892 UYG720889:UYH720892 VIC720889:VID720892 VRY720889:VRZ720892 WBU720889:WBV720892 WLQ720889:WLR720892 WVM720889:WVN720892 JA786425:JB786428 SW786425:SX786428 ACS786425:ACT786428 AMO786425:AMP786428 AWK786425:AWL786428 BGG786425:BGH786428 BQC786425:BQD786428 BZY786425:BZZ786428 CJU786425:CJV786428 CTQ786425:CTR786428 DDM786425:DDN786428 DNI786425:DNJ786428 DXE786425:DXF786428 EHA786425:EHB786428 EQW786425:EQX786428 FAS786425:FAT786428 FKO786425:FKP786428 FUK786425:FUL786428 GEG786425:GEH786428 GOC786425:GOD786428 GXY786425:GXZ786428 HHU786425:HHV786428 HRQ786425:HRR786428 IBM786425:IBN786428 ILI786425:ILJ786428 IVE786425:IVF786428 JFA786425:JFB786428 JOW786425:JOX786428 JYS786425:JYT786428 KIO786425:KIP786428 KSK786425:KSL786428 LCG786425:LCH786428 LMC786425:LMD786428 LVY786425:LVZ786428 MFU786425:MFV786428 MPQ786425:MPR786428 MZM786425:MZN786428 NJI786425:NJJ786428 NTE786425:NTF786428 ODA786425:ODB786428 OMW786425:OMX786428 OWS786425:OWT786428 PGO786425:PGP786428 PQK786425:PQL786428 QAG786425:QAH786428 QKC786425:QKD786428 QTY786425:QTZ786428 RDU786425:RDV786428 RNQ786425:RNR786428 RXM786425:RXN786428 SHI786425:SHJ786428 SRE786425:SRF786428 TBA786425:TBB786428 TKW786425:TKX786428 TUS786425:TUT786428 UEO786425:UEP786428 UOK786425:UOL786428 UYG786425:UYH786428 VIC786425:VID786428 VRY786425:VRZ786428 WBU786425:WBV786428 WLQ786425:WLR786428 WVM786425:WVN786428 JA851961:JB851964 SW851961:SX851964 ACS851961:ACT851964 AMO851961:AMP851964 AWK851961:AWL851964 BGG851961:BGH851964 BQC851961:BQD851964 BZY851961:BZZ851964 CJU851961:CJV851964 CTQ851961:CTR851964 DDM851961:DDN851964 DNI851961:DNJ851964 DXE851961:DXF851964 EHA851961:EHB851964 EQW851961:EQX851964 FAS851961:FAT851964 FKO851961:FKP851964 FUK851961:FUL851964 GEG851961:GEH851964 GOC851961:GOD851964 GXY851961:GXZ851964 HHU851961:HHV851964 HRQ851961:HRR851964 IBM851961:IBN851964 ILI851961:ILJ851964 IVE851961:IVF851964 JFA851961:JFB851964 JOW851961:JOX851964 JYS851961:JYT851964 KIO851961:KIP851964 KSK851961:KSL851964 LCG851961:LCH851964 LMC851961:LMD851964 LVY851961:LVZ851964 MFU851961:MFV851964 MPQ851961:MPR851964 MZM851961:MZN851964 NJI851961:NJJ851964 NTE851961:NTF851964 ODA851961:ODB851964 OMW851961:OMX851964 OWS851961:OWT851964 PGO851961:PGP851964 PQK851961:PQL851964 QAG851961:QAH851964 QKC851961:QKD851964 QTY851961:QTZ851964 RDU851961:RDV851964 RNQ851961:RNR851964 RXM851961:RXN851964 SHI851961:SHJ851964 SRE851961:SRF851964 TBA851961:TBB851964 TKW851961:TKX851964 TUS851961:TUT851964 UEO851961:UEP851964 UOK851961:UOL851964 UYG851961:UYH851964 VIC851961:VID851964 VRY851961:VRZ851964 WBU851961:WBV851964 WLQ851961:WLR851964 WVM851961:WVN851964 JA917497:JB917500 SW917497:SX917500 ACS917497:ACT917500 AMO917497:AMP917500 AWK917497:AWL917500 BGG917497:BGH917500 BQC917497:BQD917500 BZY917497:BZZ917500 CJU917497:CJV917500 CTQ917497:CTR917500 DDM917497:DDN917500 DNI917497:DNJ917500 DXE917497:DXF917500 EHA917497:EHB917500 EQW917497:EQX917500 FAS917497:FAT917500 FKO917497:FKP917500 FUK917497:FUL917500 GEG917497:GEH917500 GOC917497:GOD917500 GXY917497:GXZ917500 HHU917497:HHV917500 HRQ917497:HRR917500 IBM917497:IBN917500 ILI917497:ILJ917500 IVE917497:IVF917500 JFA917497:JFB917500 JOW917497:JOX917500 JYS917497:JYT917500 KIO917497:KIP917500 KSK917497:KSL917500 LCG917497:LCH917500 LMC917497:LMD917500 LVY917497:LVZ917500 MFU917497:MFV917500 MPQ917497:MPR917500 MZM917497:MZN917500 NJI917497:NJJ917500 NTE917497:NTF917500 ODA917497:ODB917500 OMW917497:OMX917500 OWS917497:OWT917500 PGO917497:PGP917500 PQK917497:PQL917500 QAG917497:QAH917500 QKC917497:QKD917500 QTY917497:QTZ917500 RDU917497:RDV917500 RNQ917497:RNR917500 RXM917497:RXN917500 SHI917497:SHJ917500 SRE917497:SRF917500 TBA917497:TBB917500 TKW917497:TKX917500 TUS917497:TUT917500 UEO917497:UEP917500 UOK917497:UOL917500 UYG917497:UYH917500 VIC917497:VID917500 VRY917497:VRZ917500 WBU917497:WBV917500 WLQ917497:WLR917500 WVM917497:WVN917500 JA983033:JB983036 SW983033:SX983036 ACS983033:ACT983036 AMO983033:AMP983036 AWK983033:AWL983036 BGG983033:BGH983036 BQC983033:BQD983036 BZY983033:BZZ983036 CJU983033:CJV983036 CTQ983033:CTR983036 DDM983033:DDN983036 DNI983033:DNJ983036 DXE983033:DXF983036 EHA983033:EHB983036 EQW983033:EQX983036 FAS983033:FAT983036 FKO983033:FKP983036 FUK983033:FUL983036 GEG983033:GEH983036 GOC983033:GOD983036 GXY983033:GXZ983036 HHU983033:HHV983036 HRQ983033:HRR983036 IBM983033:IBN983036 ILI983033:ILJ983036 IVE983033:IVF983036 JFA983033:JFB983036 JOW983033:JOX983036 JYS983033:JYT983036 KIO983033:KIP983036 KSK983033:KSL983036 LCG983033:LCH983036 LMC983033:LMD983036 LVY983033:LVZ983036 MFU983033:MFV983036 MPQ983033:MPR983036 MZM983033:MZN983036 NJI983033:NJJ983036 NTE983033:NTF983036 ODA983033:ODB983036 OMW983033:OMX983036 OWS983033:OWT983036 PGO983033:PGP983036 PQK983033:PQL983036 QAG983033:QAH983036 QKC983033:QKD983036 QTY983033:QTZ983036 RDU983033:RDV983036 RNQ983033:RNR983036 RXM983033:RXN983036 SHI983033:SHJ983036 SRE983033:SRF983036 TBA983033:TBB983036 TKW983033:TKX983036 TUS983033:TUT983036 UEO983033:UEP983036 UOK983033:UOL983036 UYG983033:UYH983036 VIC983033:VID983036 VRY983033:VRZ983036 WBU983033:WBV983036 WLQ983033:WLR983036 WVM983033:WVN983036 WLF983033:WLG983036 IE65529:IF65532 SA65529:SB65532 ABW65529:ABX65532 ALS65529:ALT65532 AVO65529:AVP65532 BFK65529:BFL65532 BPG65529:BPH65532 BZC65529:BZD65532 CIY65529:CIZ65532 CSU65529:CSV65532 DCQ65529:DCR65532 DMM65529:DMN65532 DWI65529:DWJ65532 EGE65529:EGF65532 EQA65529:EQB65532 EZW65529:EZX65532 FJS65529:FJT65532 FTO65529:FTP65532 GDK65529:GDL65532 GNG65529:GNH65532 GXC65529:GXD65532 HGY65529:HGZ65532 HQU65529:HQV65532 IAQ65529:IAR65532 IKM65529:IKN65532 IUI65529:IUJ65532 JEE65529:JEF65532 JOA65529:JOB65532 JXW65529:JXX65532 KHS65529:KHT65532 KRO65529:KRP65532 LBK65529:LBL65532 LLG65529:LLH65532 LVC65529:LVD65532 MEY65529:MEZ65532 MOU65529:MOV65532 MYQ65529:MYR65532 NIM65529:NIN65532 NSI65529:NSJ65532 OCE65529:OCF65532 OMA65529:OMB65532 OVW65529:OVX65532 PFS65529:PFT65532 PPO65529:PPP65532 PZK65529:PZL65532 QJG65529:QJH65532 QTC65529:QTD65532 RCY65529:RCZ65532 RMU65529:RMV65532 RWQ65529:RWR65532 SGM65529:SGN65532 SQI65529:SQJ65532 TAE65529:TAF65532 TKA65529:TKB65532 TTW65529:TTX65532 UDS65529:UDT65532 UNO65529:UNP65532 UXK65529:UXL65532 VHG65529:VHH65532 VRC65529:VRD65532 WAY65529:WAZ65532 WKU65529:WKV65532 WUQ65529:WUR65532 IE131065:IF131068 SA131065:SB131068 ABW131065:ABX131068 ALS131065:ALT131068 AVO131065:AVP131068 BFK131065:BFL131068 BPG131065:BPH131068 BZC131065:BZD131068 CIY131065:CIZ131068 CSU131065:CSV131068 DCQ131065:DCR131068 DMM131065:DMN131068 DWI131065:DWJ131068 EGE131065:EGF131068 EQA131065:EQB131068 EZW131065:EZX131068 FJS131065:FJT131068 FTO131065:FTP131068 GDK131065:GDL131068 GNG131065:GNH131068 GXC131065:GXD131068 HGY131065:HGZ131068 HQU131065:HQV131068 IAQ131065:IAR131068 IKM131065:IKN131068 IUI131065:IUJ131068 JEE131065:JEF131068 JOA131065:JOB131068 JXW131065:JXX131068 KHS131065:KHT131068 KRO131065:KRP131068 LBK131065:LBL131068 LLG131065:LLH131068 LVC131065:LVD131068 MEY131065:MEZ131068 MOU131065:MOV131068 MYQ131065:MYR131068 NIM131065:NIN131068 NSI131065:NSJ131068 OCE131065:OCF131068 OMA131065:OMB131068 OVW131065:OVX131068 PFS131065:PFT131068 PPO131065:PPP131068 PZK131065:PZL131068 QJG131065:QJH131068 QTC131065:QTD131068 RCY131065:RCZ131068 RMU131065:RMV131068 RWQ131065:RWR131068 SGM131065:SGN131068 SQI131065:SQJ131068 TAE131065:TAF131068 TKA131065:TKB131068 TTW131065:TTX131068 UDS131065:UDT131068 UNO131065:UNP131068 UXK131065:UXL131068 VHG131065:VHH131068 VRC131065:VRD131068 WAY131065:WAZ131068 WKU131065:WKV131068 WUQ131065:WUR131068 IE196601:IF196604 SA196601:SB196604 ABW196601:ABX196604 ALS196601:ALT196604 AVO196601:AVP196604 BFK196601:BFL196604 BPG196601:BPH196604 BZC196601:BZD196604 CIY196601:CIZ196604 CSU196601:CSV196604 DCQ196601:DCR196604 DMM196601:DMN196604 DWI196601:DWJ196604 EGE196601:EGF196604 EQA196601:EQB196604 EZW196601:EZX196604 FJS196601:FJT196604 FTO196601:FTP196604 GDK196601:GDL196604 GNG196601:GNH196604 GXC196601:GXD196604 HGY196601:HGZ196604 HQU196601:HQV196604 IAQ196601:IAR196604 IKM196601:IKN196604 IUI196601:IUJ196604 JEE196601:JEF196604 JOA196601:JOB196604 JXW196601:JXX196604 KHS196601:KHT196604 KRO196601:KRP196604 LBK196601:LBL196604 LLG196601:LLH196604 LVC196601:LVD196604 MEY196601:MEZ196604 MOU196601:MOV196604 MYQ196601:MYR196604 NIM196601:NIN196604 NSI196601:NSJ196604 OCE196601:OCF196604 OMA196601:OMB196604 OVW196601:OVX196604 PFS196601:PFT196604 PPO196601:PPP196604 PZK196601:PZL196604 QJG196601:QJH196604 QTC196601:QTD196604 RCY196601:RCZ196604 RMU196601:RMV196604 RWQ196601:RWR196604 SGM196601:SGN196604 SQI196601:SQJ196604 TAE196601:TAF196604 TKA196601:TKB196604 TTW196601:TTX196604 UDS196601:UDT196604 UNO196601:UNP196604 UXK196601:UXL196604 VHG196601:VHH196604 VRC196601:VRD196604 WAY196601:WAZ196604 WKU196601:WKV196604 WUQ196601:WUR196604 IE262137:IF262140 SA262137:SB262140 ABW262137:ABX262140 ALS262137:ALT262140 AVO262137:AVP262140 BFK262137:BFL262140 BPG262137:BPH262140 BZC262137:BZD262140 CIY262137:CIZ262140 CSU262137:CSV262140 DCQ262137:DCR262140 DMM262137:DMN262140 DWI262137:DWJ262140 EGE262137:EGF262140 EQA262137:EQB262140 EZW262137:EZX262140 FJS262137:FJT262140 FTO262137:FTP262140 GDK262137:GDL262140 GNG262137:GNH262140 GXC262137:GXD262140 HGY262137:HGZ262140 HQU262137:HQV262140 IAQ262137:IAR262140 IKM262137:IKN262140 IUI262137:IUJ262140 JEE262137:JEF262140 JOA262137:JOB262140 JXW262137:JXX262140 KHS262137:KHT262140 KRO262137:KRP262140 LBK262137:LBL262140 LLG262137:LLH262140 LVC262137:LVD262140 MEY262137:MEZ262140 MOU262137:MOV262140 MYQ262137:MYR262140 NIM262137:NIN262140 NSI262137:NSJ262140 OCE262137:OCF262140 OMA262137:OMB262140 OVW262137:OVX262140 PFS262137:PFT262140 PPO262137:PPP262140 PZK262137:PZL262140 QJG262137:QJH262140 QTC262137:QTD262140 RCY262137:RCZ262140 RMU262137:RMV262140 RWQ262137:RWR262140 SGM262137:SGN262140 SQI262137:SQJ262140 TAE262137:TAF262140 TKA262137:TKB262140 TTW262137:TTX262140 UDS262137:UDT262140 UNO262137:UNP262140 UXK262137:UXL262140 VHG262137:VHH262140 VRC262137:VRD262140 WAY262137:WAZ262140 WKU262137:WKV262140 WUQ262137:WUR262140 IE327673:IF327676 SA327673:SB327676 ABW327673:ABX327676 ALS327673:ALT327676 AVO327673:AVP327676 BFK327673:BFL327676 BPG327673:BPH327676 BZC327673:BZD327676 CIY327673:CIZ327676 CSU327673:CSV327676 DCQ327673:DCR327676 DMM327673:DMN327676 DWI327673:DWJ327676 EGE327673:EGF327676 EQA327673:EQB327676 EZW327673:EZX327676 FJS327673:FJT327676 FTO327673:FTP327676 GDK327673:GDL327676 GNG327673:GNH327676 GXC327673:GXD327676 HGY327673:HGZ327676 HQU327673:HQV327676 IAQ327673:IAR327676 IKM327673:IKN327676 IUI327673:IUJ327676 JEE327673:JEF327676 JOA327673:JOB327676 JXW327673:JXX327676 KHS327673:KHT327676 KRO327673:KRP327676 LBK327673:LBL327676 LLG327673:LLH327676 LVC327673:LVD327676 MEY327673:MEZ327676 MOU327673:MOV327676 MYQ327673:MYR327676 NIM327673:NIN327676 NSI327673:NSJ327676 OCE327673:OCF327676 OMA327673:OMB327676 OVW327673:OVX327676 PFS327673:PFT327676 PPO327673:PPP327676 PZK327673:PZL327676 QJG327673:QJH327676 QTC327673:QTD327676 RCY327673:RCZ327676 RMU327673:RMV327676 RWQ327673:RWR327676 SGM327673:SGN327676 SQI327673:SQJ327676 TAE327673:TAF327676 TKA327673:TKB327676 TTW327673:TTX327676 UDS327673:UDT327676 UNO327673:UNP327676 UXK327673:UXL327676 VHG327673:VHH327676 VRC327673:VRD327676 WAY327673:WAZ327676 WKU327673:WKV327676 WUQ327673:WUR327676 IE393209:IF393212 SA393209:SB393212 ABW393209:ABX393212 ALS393209:ALT393212 AVO393209:AVP393212 BFK393209:BFL393212 BPG393209:BPH393212 BZC393209:BZD393212 CIY393209:CIZ393212 CSU393209:CSV393212 DCQ393209:DCR393212 DMM393209:DMN393212 DWI393209:DWJ393212 EGE393209:EGF393212 EQA393209:EQB393212 EZW393209:EZX393212 FJS393209:FJT393212 FTO393209:FTP393212 GDK393209:GDL393212 GNG393209:GNH393212 GXC393209:GXD393212 HGY393209:HGZ393212 HQU393209:HQV393212 IAQ393209:IAR393212 IKM393209:IKN393212 IUI393209:IUJ393212 JEE393209:JEF393212 JOA393209:JOB393212 JXW393209:JXX393212 KHS393209:KHT393212 KRO393209:KRP393212 LBK393209:LBL393212 LLG393209:LLH393212 LVC393209:LVD393212 MEY393209:MEZ393212 MOU393209:MOV393212 MYQ393209:MYR393212 NIM393209:NIN393212 NSI393209:NSJ393212 OCE393209:OCF393212 OMA393209:OMB393212 OVW393209:OVX393212 PFS393209:PFT393212 PPO393209:PPP393212 PZK393209:PZL393212 QJG393209:QJH393212 QTC393209:QTD393212 RCY393209:RCZ393212 RMU393209:RMV393212 RWQ393209:RWR393212 SGM393209:SGN393212 SQI393209:SQJ393212 TAE393209:TAF393212 TKA393209:TKB393212 TTW393209:TTX393212 UDS393209:UDT393212 UNO393209:UNP393212 UXK393209:UXL393212 VHG393209:VHH393212 VRC393209:VRD393212 WAY393209:WAZ393212 WKU393209:WKV393212 WUQ393209:WUR393212 IE458745:IF458748 SA458745:SB458748 ABW458745:ABX458748 ALS458745:ALT458748 AVO458745:AVP458748 BFK458745:BFL458748 BPG458745:BPH458748 BZC458745:BZD458748 CIY458745:CIZ458748 CSU458745:CSV458748 DCQ458745:DCR458748 DMM458745:DMN458748 DWI458745:DWJ458748 EGE458745:EGF458748 EQA458745:EQB458748 EZW458745:EZX458748 FJS458745:FJT458748 FTO458745:FTP458748 GDK458745:GDL458748 GNG458745:GNH458748 GXC458745:GXD458748 HGY458745:HGZ458748 HQU458745:HQV458748 IAQ458745:IAR458748 IKM458745:IKN458748 IUI458745:IUJ458748 JEE458745:JEF458748 JOA458745:JOB458748 JXW458745:JXX458748 KHS458745:KHT458748 KRO458745:KRP458748 LBK458745:LBL458748 LLG458745:LLH458748 LVC458745:LVD458748 MEY458745:MEZ458748 MOU458745:MOV458748 MYQ458745:MYR458748 NIM458745:NIN458748 NSI458745:NSJ458748 OCE458745:OCF458748 OMA458745:OMB458748 OVW458745:OVX458748 PFS458745:PFT458748 PPO458745:PPP458748 PZK458745:PZL458748 QJG458745:QJH458748 QTC458745:QTD458748 RCY458745:RCZ458748 RMU458745:RMV458748 RWQ458745:RWR458748 SGM458745:SGN458748 SQI458745:SQJ458748 TAE458745:TAF458748 TKA458745:TKB458748 TTW458745:TTX458748 UDS458745:UDT458748 UNO458745:UNP458748 UXK458745:UXL458748 VHG458745:VHH458748 VRC458745:VRD458748 WAY458745:WAZ458748 WKU458745:WKV458748 WUQ458745:WUR458748 IE524281:IF524284 SA524281:SB524284 ABW524281:ABX524284 ALS524281:ALT524284 AVO524281:AVP524284 BFK524281:BFL524284 BPG524281:BPH524284 BZC524281:BZD524284 CIY524281:CIZ524284 CSU524281:CSV524284 DCQ524281:DCR524284 DMM524281:DMN524284 DWI524281:DWJ524284 EGE524281:EGF524284 EQA524281:EQB524284 EZW524281:EZX524284 FJS524281:FJT524284 FTO524281:FTP524284 GDK524281:GDL524284 GNG524281:GNH524284 GXC524281:GXD524284 HGY524281:HGZ524284 HQU524281:HQV524284 IAQ524281:IAR524284 IKM524281:IKN524284 IUI524281:IUJ524284 JEE524281:JEF524284 JOA524281:JOB524284 JXW524281:JXX524284 KHS524281:KHT524284 KRO524281:KRP524284 LBK524281:LBL524284 LLG524281:LLH524284 LVC524281:LVD524284 MEY524281:MEZ524284 MOU524281:MOV524284 MYQ524281:MYR524284 NIM524281:NIN524284 NSI524281:NSJ524284 OCE524281:OCF524284 OMA524281:OMB524284 OVW524281:OVX524284 PFS524281:PFT524284 PPO524281:PPP524284 PZK524281:PZL524284 QJG524281:QJH524284 QTC524281:QTD524284 RCY524281:RCZ524284 RMU524281:RMV524284 RWQ524281:RWR524284 SGM524281:SGN524284 SQI524281:SQJ524284 TAE524281:TAF524284 TKA524281:TKB524284 TTW524281:TTX524284 UDS524281:UDT524284 UNO524281:UNP524284 UXK524281:UXL524284 VHG524281:VHH524284 VRC524281:VRD524284 WAY524281:WAZ524284 WKU524281:WKV524284 WUQ524281:WUR524284 IE589817:IF589820 SA589817:SB589820 ABW589817:ABX589820 ALS589817:ALT589820 AVO589817:AVP589820 BFK589817:BFL589820 BPG589817:BPH589820 BZC589817:BZD589820 CIY589817:CIZ589820 CSU589817:CSV589820 DCQ589817:DCR589820 DMM589817:DMN589820 DWI589817:DWJ589820 EGE589817:EGF589820 EQA589817:EQB589820 EZW589817:EZX589820 FJS589817:FJT589820 FTO589817:FTP589820 GDK589817:GDL589820 GNG589817:GNH589820 GXC589817:GXD589820 HGY589817:HGZ589820 HQU589817:HQV589820 IAQ589817:IAR589820 IKM589817:IKN589820 IUI589817:IUJ589820 JEE589817:JEF589820 JOA589817:JOB589820 JXW589817:JXX589820 KHS589817:KHT589820 KRO589817:KRP589820 LBK589817:LBL589820 LLG589817:LLH589820 LVC589817:LVD589820 MEY589817:MEZ589820 MOU589817:MOV589820 MYQ589817:MYR589820 NIM589817:NIN589820 NSI589817:NSJ589820 OCE589817:OCF589820 OMA589817:OMB589820 OVW589817:OVX589820 PFS589817:PFT589820 PPO589817:PPP589820 PZK589817:PZL589820 QJG589817:QJH589820 QTC589817:QTD589820 RCY589817:RCZ589820 RMU589817:RMV589820 RWQ589817:RWR589820 SGM589817:SGN589820 SQI589817:SQJ589820 TAE589817:TAF589820 TKA589817:TKB589820 TTW589817:TTX589820 UDS589817:UDT589820 UNO589817:UNP589820 UXK589817:UXL589820 VHG589817:VHH589820 VRC589817:VRD589820 WAY589817:WAZ589820 WKU589817:WKV589820 WUQ589817:WUR589820 IE655353:IF655356 SA655353:SB655356 ABW655353:ABX655356 ALS655353:ALT655356 AVO655353:AVP655356 BFK655353:BFL655356 BPG655353:BPH655356 BZC655353:BZD655356 CIY655353:CIZ655356 CSU655353:CSV655356 DCQ655353:DCR655356 DMM655353:DMN655356 DWI655353:DWJ655356 EGE655353:EGF655356 EQA655353:EQB655356 EZW655353:EZX655356 FJS655353:FJT655356 FTO655353:FTP655356 GDK655353:GDL655356 GNG655353:GNH655356 GXC655353:GXD655356 HGY655353:HGZ655356 HQU655353:HQV655356 IAQ655353:IAR655356 IKM655353:IKN655356 IUI655353:IUJ655356 JEE655353:JEF655356 JOA655353:JOB655356 JXW655353:JXX655356 KHS655353:KHT655356 KRO655353:KRP655356 LBK655353:LBL655356 LLG655353:LLH655356 LVC655353:LVD655356 MEY655353:MEZ655356 MOU655353:MOV655356 MYQ655353:MYR655356 NIM655353:NIN655356 NSI655353:NSJ655356 OCE655353:OCF655356 OMA655353:OMB655356 OVW655353:OVX655356 PFS655353:PFT655356 PPO655353:PPP655356 PZK655353:PZL655356 QJG655353:QJH655356 QTC655353:QTD655356 RCY655353:RCZ655356 RMU655353:RMV655356 RWQ655353:RWR655356 SGM655353:SGN655356 SQI655353:SQJ655356 TAE655353:TAF655356 TKA655353:TKB655356 TTW655353:TTX655356 UDS655353:UDT655356 UNO655353:UNP655356 UXK655353:UXL655356 VHG655353:VHH655356 VRC655353:VRD655356 WAY655353:WAZ655356 WKU655353:WKV655356 WUQ655353:WUR655356 IE720889:IF720892 SA720889:SB720892 ABW720889:ABX720892 ALS720889:ALT720892 AVO720889:AVP720892 BFK720889:BFL720892 BPG720889:BPH720892 BZC720889:BZD720892 CIY720889:CIZ720892 CSU720889:CSV720892 DCQ720889:DCR720892 DMM720889:DMN720892 DWI720889:DWJ720892 EGE720889:EGF720892 EQA720889:EQB720892 EZW720889:EZX720892 FJS720889:FJT720892 FTO720889:FTP720892 GDK720889:GDL720892 GNG720889:GNH720892 GXC720889:GXD720892 HGY720889:HGZ720892 HQU720889:HQV720892 IAQ720889:IAR720892 IKM720889:IKN720892 IUI720889:IUJ720892 JEE720889:JEF720892 JOA720889:JOB720892 JXW720889:JXX720892 KHS720889:KHT720892 KRO720889:KRP720892 LBK720889:LBL720892 LLG720889:LLH720892 LVC720889:LVD720892 MEY720889:MEZ720892 MOU720889:MOV720892 MYQ720889:MYR720892 NIM720889:NIN720892 NSI720889:NSJ720892 OCE720889:OCF720892 OMA720889:OMB720892 OVW720889:OVX720892 PFS720889:PFT720892 PPO720889:PPP720892 PZK720889:PZL720892 QJG720889:QJH720892 QTC720889:QTD720892 RCY720889:RCZ720892 RMU720889:RMV720892 RWQ720889:RWR720892 SGM720889:SGN720892 SQI720889:SQJ720892 TAE720889:TAF720892 TKA720889:TKB720892 TTW720889:TTX720892 UDS720889:UDT720892 UNO720889:UNP720892 UXK720889:UXL720892 VHG720889:VHH720892 VRC720889:VRD720892 WAY720889:WAZ720892 WKU720889:WKV720892 WUQ720889:WUR720892 IE786425:IF786428 SA786425:SB786428 ABW786425:ABX786428 ALS786425:ALT786428 AVO786425:AVP786428 BFK786425:BFL786428 BPG786425:BPH786428 BZC786425:BZD786428 CIY786425:CIZ786428 CSU786425:CSV786428 DCQ786425:DCR786428 DMM786425:DMN786428 DWI786425:DWJ786428 EGE786425:EGF786428 EQA786425:EQB786428 EZW786425:EZX786428 FJS786425:FJT786428 FTO786425:FTP786428 GDK786425:GDL786428 GNG786425:GNH786428 GXC786425:GXD786428 HGY786425:HGZ786428 HQU786425:HQV786428 IAQ786425:IAR786428 IKM786425:IKN786428 IUI786425:IUJ786428 JEE786425:JEF786428 JOA786425:JOB786428 JXW786425:JXX786428 KHS786425:KHT786428 KRO786425:KRP786428 LBK786425:LBL786428 LLG786425:LLH786428 LVC786425:LVD786428 MEY786425:MEZ786428 MOU786425:MOV786428 MYQ786425:MYR786428 NIM786425:NIN786428 NSI786425:NSJ786428 OCE786425:OCF786428 OMA786425:OMB786428 OVW786425:OVX786428 PFS786425:PFT786428 PPO786425:PPP786428 PZK786425:PZL786428 QJG786425:QJH786428 QTC786425:QTD786428 RCY786425:RCZ786428 RMU786425:RMV786428 RWQ786425:RWR786428 SGM786425:SGN786428 SQI786425:SQJ786428 TAE786425:TAF786428 TKA786425:TKB786428 TTW786425:TTX786428 UDS786425:UDT786428 UNO786425:UNP786428 UXK786425:UXL786428 VHG786425:VHH786428 VRC786425:VRD786428 WAY786425:WAZ786428 WKU786425:WKV786428 WUQ786425:WUR786428 IE851961:IF851964 SA851961:SB851964 ABW851961:ABX851964 ALS851961:ALT851964 AVO851961:AVP851964 BFK851961:BFL851964 BPG851961:BPH851964 BZC851961:BZD851964 CIY851961:CIZ851964 CSU851961:CSV851964 DCQ851961:DCR851964 DMM851961:DMN851964 DWI851961:DWJ851964 EGE851961:EGF851964 EQA851961:EQB851964 EZW851961:EZX851964 FJS851961:FJT851964 FTO851961:FTP851964 GDK851961:GDL851964 GNG851961:GNH851964 GXC851961:GXD851964 HGY851961:HGZ851964 HQU851961:HQV851964 IAQ851961:IAR851964 IKM851961:IKN851964 IUI851961:IUJ851964 JEE851961:JEF851964 JOA851961:JOB851964 JXW851961:JXX851964 KHS851961:KHT851964 KRO851961:KRP851964 LBK851961:LBL851964 LLG851961:LLH851964 LVC851961:LVD851964 MEY851961:MEZ851964 MOU851961:MOV851964 MYQ851961:MYR851964 NIM851961:NIN851964 NSI851961:NSJ851964 OCE851961:OCF851964 OMA851961:OMB851964 OVW851961:OVX851964 PFS851961:PFT851964 PPO851961:PPP851964 PZK851961:PZL851964 QJG851961:QJH851964 QTC851961:QTD851964 RCY851961:RCZ851964 RMU851961:RMV851964 RWQ851961:RWR851964 SGM851961:SGN851964 SQI851961:SQJ851964 TAE851961:TAF851964 TKA851961:TKB851964 TTW851961:TTX851964 UDS851961:UDT851964 UNO851961:UNP851964 UXK851961:UXL851964 VHG851961:VHH851964 VRC851961:VRD851964 WAY851961:WAZ851964 WKU851961:WKV851964 WUQ851961:WUR851964 IE917497:IF917500 SA917497:SB917500 ABW917497:ABX917500 ALS917497:ALT917500 AVO917497:AVP917500 BFK917497:BFL917500 BPG917497:BPH917500 BZC917497:BZD917500 CIY917497:CIZ917500 CSU917497:CSV917500 DCQ917497:DCR917500 DMM917497:DMN917500 DWI917497:DWJ917500 EGE917497:EGF917500 EQA917497:EQB917500 EZW917497:EZX917500 FJS917497:FJT917500 FTO917497:FTP917500 GDK917497:GDL917500 GNG917497:GNH917500 GXC917497:GXD917500 HGY917497:HGZ917500 HQU917497:HQV917500 IAQ917497:IAR917500 IKM917497:IKN917500 IUI917497:IUJ917500 JEE917497:JEF917500 JOA917497:JOB917500 JXW917497:JXX917500 KHS917497:KHT917500 KRO917497:KRP917500 LBK917497:LBL917500 LLG917497:LLH917500 LVC917497:LVD917500 MEY917497:MEZ917500 MOU917497:MOV917500 MYQ917497:MYR917500 NIM917497:NIN917500 NSI917497:NSJ917500 OCE917497:OCF917500 OMA917497:OMB917500 OVW917497:OVX917500 PFS917497:PFT917500 PPO917497:PPP917500 PZK917497:PZL917500 QJG917497:QJH917500 QTC917497:QTD917500 RCY917497:RCZ917500 RMU917497:RMV917500 RWQ917497:RWR917500 SGM917497:SGN917500 SQI917497:SQJ917500 TAE917497:TAF917500 TKA917497:TKB917500 TTW917497:TTX917500 UDS917497:UDT917500 UNO917497:UNP917500 UXK917497:UXL917500 VHG917497:VHH917500 VRC917497:VRD917500 WAY917497:WAZ917500 WKU917497:WKV917500 WUQ917497:WUR917500 IE983033:IF983036 SA983033:SB983036 ABW983033:ABX983036 ALS983033:ALT983036 AVO983033:AVP983036 BFK983033:BFL983036 BPG983033:BPH983036 BZC983033:BZD983036 CIY983033:CIZ983036 CSU983033:CSV983036 DCQ983033:DCR983036 DMM983033:DMN983036 DWI983033:DWJ983036 EGE983033:EGF983036 EQA983033:EQB983036 EZW983033:EZX983036 FJS983033:FJT983036 FTO983033:FTP983036 GDK983033:GDL983036 GNG983033:GNH983036 GXC983033:GXD983036 HGY983033:HGZ983036 HQU983033:HQV983036 IAQ983033:IAR983036 IKM983033:IKN983036 IUI983033:IUJ983036 JEE983033:JEF983036 JOA983033:JOB983036 JXW983033:JXX983036 KHS983033:KHT983036 KRO983033:KRP983036 LBK983033:LBL983036 LLG983033:LLH983036 LVC983033:LVD983036 MEY983033:MEZ983036 MOU983033:MOV983036 MYQ983033:MYR983036 NIM983033:NIN983036 NSI983033:NSJ983036 OCE983033:OCF983036 OMA983033:OMB983036 OVW983033:OVX983036 PFS983033:PFT983036 PPO983033:PPP983036 PZK983033:PZL983036 QJG983033:QJH983036 QTC983033:QTD983036 RCY983033:RCZ983036 RMU983033:RMV983036 RWQ983033:RWR983036 SGM983033:SGN983036 SQI983033:SQJ983036 TAE983033:TAF983036 TKA983033:TKB983036 TTW983033:TTX983036 UDS983033:UDT983036 UNO983033:UNP983036 UXK983033:UXL983036 VHG983033:VHH983036 VRC983033:VRD983036 WAY983033:WAZ983036 WKU983033:WKV983036 WUQ983033:WUR983036 WVB983033:WVC983036 VRN983033:VRO983036 IP65529:IQ65532 SL65529:SM65532 ACH65529:ACI65532 AMD65529:AME65532 AVZ65529:AWA65532 BFV65529:BFW65532 BPR65529:BPS65532 BZN65529:BZO65532 CJJ65529:CJK65532 CTF65529:CTG65532 DDB65529:DDC65532 DMX65529:DMY65532 DWT65529:DWU65532 EGP65529:EGQ65532 EQL65529:EQM65532 FAH65529:FAI65532 FKD65529:FKE65532 FTZ65529:FUA65532 GDV65529:GDW65532 GNR65529:GNS65532 GXN65529:GXO65532 HHJ65529:HHK65532 HRF65529:HRG65532 IBB65529:IBC65532 IKX65529:IKY65532 IUT65529:IUU65532 JEP65529:JEQ65532 JOL65529:JOM65532 JYH65529:JYI65532 KID65529:KIE65532 KRZ65529:KSA65532 LBV65529:LBW65532 LLR65529:LLS65532 LVN65529:LVO65532 MFJ65529:MFK65532 MPF65529:MPG65532 MZB65529:MZC65532 NIX65529:NIY65532 NST65529:NSU65532 OCP65529:OCQ65532 OML65529:OMM65532 OWH65529:OWI65532 PGD65529:PGE65532 PPZ65529:PQA65532 PZV65529:PZW65532 QJR65529:QJS65532 QTN65529:QTO65532 RDJ65529:RDK65532 RNF65529:RNG65532 RXB65529:RXC65532 SGX65529:SGY65532 SQT65529:SQU65532 TAP65529:TAQ65532 TKL65529:TKM65532 TUH65529:TUI65532 UED65529:UEE65532 UNZ65529:UOA65532 UXV65529:UXW65532 VHR65529:VHS65532 VRN65529:VRO65532 WBJ65529:WBK65532 WLF65529:WLG65532 WVB65529:WVC65532 IP131065:IQ131068 SL131065:SM131068 ACH131065:ACI131068 AMD131065:AME131068 AVZ131065:AWA131068 BFV131065:BFW131068 BPR131065:BPS131068 BZN131065:BZO131068 CJJ131065:CJK131068 CTF131065:CTG131068 DDB131065:DDC131068 DMX131065:DMY131068 DWT131065:DWU131068 EGP131065:EGQ131068 EQL131065:EQM131068 FAH131065:FAI131068 FKD131065:FKE131068 FTZ131065:FUA131068 GDV131065:GDW131068 GNR131065:GNS131068 GXN131065:GXO131068 HHJ131065:HHK131068 HRF131065:HRG131068 IBB131065:IBC131068 IKX131065:IKY131068 IUT131065:IUU131068 JEP131065:JEQ131068 JOL131065:JOM131068 JYH131065:JYI131068 KID131065:KIE131068 KRZ131065:KSA131068 LBV131065:LBW131068 LLR131065:LLS131068 LVN131065:LVO131068 MFJ131065:MFK131068 MPF131065:MPG131068 MZB131065:MZC131068 NIX131065:NIY131068 NST131065:NSU131068 OCP131065:OCQ131068 OML131065:OMM131068 OWH131065:OWI131068 PGD131065:PGE131068 PPZ131065:PQA131068 PZV131065:PZW131068 QJR131065:QJS131068 QTN131065:QTO131068 RDJ131065:RDK131068 RNF131065:RNG131068 RXB131065:RXC131068 SGX131065:SGY131068 SQT131065:SQU131068 TAP131065:TAQ131068 TKL131065:TKM131068 TUH131065:TUI131068 UED131065:UEE131068 UNZ131065:UOA131068 UXV131065:UXW131068 VHR131065:VHS131068 VRN131065:VRO131068 WBJ131065:WBK131068 WLF131065:WLG131068 WVB131065:WVC131068 IP196601:IQ196604 SL196601:SM196604 ACH196601:ACI196604 AMD196601:AME196604 AVZ196601:AWA196604 BFV196601:BFW196604 BPR196601:BPS196604 BZN196601:BZO196604 CJJ196601:CJK196604 CTF196601:CTG196604 DDB196601:DDC196604 DMX196601:DMY196604 DWT196601:DWU196604 EGP196601:EGQ196604 EQL196601:EQM196604 FAH196601:FAI196604 FKD196601:FKE196604 FTZ196601:FUA196604 GDV196601:GDW196604 GNR196601:GNS196604 GXN196601:GXO196604 HHJ196601:HHK196604 HRF196601:HRG196604 IBB196601:IBC196604 IKX196601:IKY196604 IUT196601:IUU196604 JEP196601:JEQ196604 JOL196601:JOM196604 JYH196601:JYI196604 KID196601:KIE196604 KRZ196601:KSA196604 LBV196601:LBW196604 LLR196601:LLS196604 LVN196601:LVO196604 MFJ196601:MFK196604 MPF196601:MPG196604 MZB196601:MZC196604 NIX196601:NIY196604 NST196601:NSU196604 OCP196601:OCQ196604 OML196601:OMM196604 OWH196601:OWI196604 PGD196601:PGE196604 PPZ196601:PQA196604 PZV196601:PZW196604 QJR196601:QJS196604 QTN196601:QTO196604 RDJ196601:RDK196604 RNF196601:RNG196604 RXB196601:RXC196604 SGX196601:SGY196604 SQT196601:SQU196604 TAP196601:TAQ196604 TKL196601:TKM196604 TUH196601:TUI196604 UED196601:UEE196604 UNZ196601:UOA196604 UXV196601:UXW196604 VHR196601:VHS196604 VRN196601:VRO196604 WBJ196601:WBK196604 WLF196601:WLG196604 WVB196601:WVC196604 IP262137:IQ262140 SL262137:SM262140 ACH262137:ACI262140 AMD262137:AME262140 AVZ262137:AWA262140 BFV262137:BFW262140 BPR262137:BPS262140 BZN262137:BZO262140 CJJ262137:CJK262140 CTF262137:CTG262140 DDB262137:DDC262140 DMX262137:DMY262140 DWT262137:DWU262140 EGP262137:EGQ262140 EQL262137:EQM262140 FAH262137:FAI262140 FKD262137:FKE262140 FTZ262137:FUA262140 GDV262137:GDW262140 GNR262137:GNS262140 GXN262137:GXO262140 HHJ262137:HHK262140 HRF262137:HRG262140 IBB262137:IBC262140 IKX262137:IKY262140 IUT262137:IUU262140 JEP262137:JEQ262140 JOL262137:JOM262140 JYH262137:JYI262140 KID262137:KIE262140 KRZ262137:KSA262140 LBV262137:LBW262140 LLR262137:LLS262140 LVN262137:LVO262140 MFJ262137:MFK262140 MPF262137:MPG262140 MZB262137:MZC262140 NIX262137:NIY262140 NST262137:NSU262140 OCP262137:OCQ262140 OML262137:OMM262140 OWH262137:OWI262140 PGD262137:PGE262140 PPZ262137:PQA262140 PZV262137:PZW262140 QJR262137:QJS262140 QTN262137:QTO262140 RDJ262137:RDK262140 RNF262137:RNG262140 RXB262137:RXC262140 SGX262137:SGY262140 SQT262137:SQU262140 TAP262137:TAQ262140 TKL262137:TKM262140 TUH262137:TUI262140 UED262137:UEE262140 UNZ262137:UOA262140 UXV262137:UXW262140 VHR262137:VHS262140 VRN262137:VRO262140 WBJ262137:WBK262140 WLF262137:WLG262140 WVB262137:WVC262140 IP327673:IQ327676 SL327673:SM327676 ACH327673:ACI327676 AMD327673:AME327676 AVZ327673:AWA327676 BFV327673:BFW327676 BPR327673:BPS327676 BZN327673:BZO327676 CJJ327673:CJK327676 CTF327673:CTG327676 DDB327673:DDC327676 DMX327673:DMY327676 DWT327673:DWU327676 EGP327673:EGQ327676 EQL327673:EQM327676 FAH327673:FAI327676 FKD327673:FKE327676 FTZ327673:FUA327676 GDV327673:GDW327676 GNR327673:GNS327676 GXN327673:GXO327676 HHJ327673:HHK327676 HRF327673:HRG327676 IBB327673:IBC327676 IKX327673:IKY327676 IUT327673:IUU327676 JEP327673:JEQ327676 JOL327673:JOM327676 JYH327673:JYI327676 KID327673:KIE327676 KRZ327673:KSA327676 LBV327673:LBW327676 LLR327673:LLS327676 LVN327673:LVO327676 MFJ327673:MFK327676 MPF327673:MPG327676 MZB327673:MZC327676 NIX327673:NIY327676 NST327673:NSU327676 OCP327673:OCQ327676 OML327673:OMM327676 OWH327673:OWI327676 PGD327673:PGE327676 PPZ327673:PQA327676 PZV327673:PZW327676 QJR327673:QJS327676 QTN327673:QTO327676 RDJ327673:RDK327676 RNF327673:RNG327676 RXB327673:RXC327676 SGX327673:SGY327676 SQT327673:SQU327676 TAP327673:TAQ327676 TKL327673:TKM327676 TUH327673:TUI327676 UED327673:UEE327676 UNZ327673:UOA327676 UXV327673:UXW327676 VHR327673:VHS327676 VRN327673:VRO327676 WBJ327673:WBK327676 WLF327673:WLG327676 WVB327673:WVC327676 IP393209:IQ393212 SL393209:SM393212 ACH393209:ACI393212 AMD393209:AME393212 AVZ393209:AWA393212 BFV393209:BFW393212 BPR393209:BPS393212 BZN393209:BZO393212 CJJ393209:CJK393212 CTF393209:CTG393212 DDB393209:DDC393212 DMX393209:DMY393212 DWT393209:DWU393212 EGP393209:EGQ393212 EQL393209:EQM393212 FAH393209:FAI393212 FKD393209:FKE393212 FTZ393209:FUA393212 GDV393209:GDW393212 GNR393209:GNS393212 GXN393209:GXO393212 HHJ393209:HHK393212 HRF393209:HRG393212 IBB393209:IBC393212 IKX393209:IKY393212 IUT393209:IUU393212 JEP393209:JEQ393212 JOL393209:JOM393212 JYH393209:JYI393212 KID393209:KIE393212 KRZ393209:KSA393212 LBV393209:LBW393212 LLR393209:LLS393212 LVN393209:LVO393212 MFJ393209:MFK393212 MPF393209:MPG393212 MZB393209:MZC393212 NIX393209:NIY393212 NST393209:NSU393212 OCP393209:OCQ393212 OML393209:OMM393212 OWH393209:OWI393212 PGD393209:PGE393212 PPZ393209:PQA393212 PZV393209:PZW393212 QJR393209:QJS393212 QTN393209:QTO393212 RDJ393209:RDK393212 RNF393209:RNG393212 RXB393209:RXC393212 SGX393209:SGY393212 SQT393209:SQU393212 TAP393209:TAQ393212 TKL393209:TKM393212 TUH393209:TUI393212 UED393209:UEE393212 UNZ393209:UOA393212 UXV393209:UXW393212 VHR393209:VHS393212 VRN393209:VRO393212 WBJ393209:WBK393212 WLF393209:WLG393212 WVB393209:WVC393212 IP458745:IQ458748 SL458745:SM458748 ACH458745:ACI458748 AMD458745:AME458748 AVZ458745:AWA458748 BFV458745:BFW458748 BPR458745:BPS458748 BZN458745:BZO458748 CJJ458745:CJK458748 CTF458745:CTG458748 DDB458745:DDC458748 DMX458745:DMY458748 DWT458745:DWU458748 EGP458745:EGQ458748 EQL458745:EQM458748 FAH458745:FAI458748 FKD458745:FKE458748 FTZ458745:FUA458748 GDV458745:GDW458748 GNR458745:GNS458748 GXN458745:GXO458748 HHJ458745:HHK458748 HRF458745:HRG458748 IBB458745:IBC458748 IKX458745:IKY458748 IUT458745:IUU458748 JEP458745:JEQ458748 JOL458745:JOM458748 JYH458745:JYI458748 KID458745:KIE458748 KRZ458745:KSA458748 LBV458745:LBW458748 LLR458745:LLS458748 LVN458745:LVO458748 MFJ458745:MFK458748 MPF458745:MPG458748 MZB458745:MZC458748 NIX458745:NIY458748 NST458745:NSU458748 OCP458745:OCQ458748 OML458745:OMM458748 OWH458745:OWI458748 PGD458745:PGE458748 PPZ458745:PQA458748 PZV458745:PZW458748 QJR458745:QJS458748 QTN458745:QTO458748 RDJ458745:RDK458748 RNF458745:RNG458748 RXB458745:RXC458748 SGX458745:SGY458748 SQT458745:SQU458748 TAP458745:TAQ458748 TKL458745:TKM458748 TUH458745:TUI458748 UED458745:UEE458748 UNZ458745:UOA458748 UXV458745:UXW458748 VHR458745:VHS458748 VRN458745:VRO458748 WBJ458745:WBK458748 WLF458745:WLG458748 WVB458745:WVC458748 IP524281:IQ524284 SL524281:SM524284 ACH524281:ACI524284 AMD524281:AME524284 AVZ524281:AWA524284 BFV524281:BFW524284 BPR524281:BPS524284 BZN524281:BZO524284 CJJ524281:CJK524284 CTF524281:CTG524284 DDB524281:DDC524284 DMX524281:DMY524284 DWT524281:DWU524284 EGP524281:EGQ524284 EQL524281:EQM524284 FAH524281:FAI524284 FKD524281:FKE524284 FTZ524281:FUA524284 GDV524281:GDW524284 GNR524281:GNS524284 GXN524281:GXO524284 HHJ524281:HHK524284 HRF524281:HRG524284 IBB524281:IBC524284 IKX524281:IKY524284 IUT524281:IUU524284 JEP524281:JEQ524284 JOL524281:JOM524284 JYH524281:JYI524284 KID524281:KIE524284 KRZ524281:KSA524284 LBV524281:LBW524284 LLR524281:LLS524284 LVN524281:LVO524284 MFJ524281:MFK524284 MPF524281:MPG524284 MZB524281:MZC524284 NIX524281:NIY524284 NST524281:NSU524284 OCP524281:OCQ524284 OML524281:OMM524284 OWH524281:OWI524284 PGD524281:PGE524284 PPZ524281:PQA524284 PZV524281:PZW524284 QJR524281:QJS524284 QTN524281:QTO524284 RDJ524281:RDK524284 RNF524281:RNG524284 RXB524281:RXC524284 SGX524281:SGY524284 SQT524281:SQU524284 TAP524281:TAQ524284 TKL524281:TKM524284 TUH524281:TUI524284 UED524281:UEE524284 UNZ524281:UOA524284 UXV524281:UXW524284 VHR524281:VHS524284 VRN524281:VRO524284 WBJ524281:WBK524284 WLF524281:WLG524284 WVB524281:WVC524284 IP589817:IQ589820 SL589817:SM589820 ACH589817:ACI589820 AMD589817:AME589820 AVZ589817:AWA589820 BFV589817:BFW589820 BPR589817:BPS589820 BZN589817:BZO589820 CJJ589817:CJK589820 CTF589817:CTG589820 DDB589817:DDC589820 DMX589817:DMY589820 DWT589817:DWU589820 EGP589817:EGQ589820 EQL589817:EQM589820 FAH589817:FAI589820 FKD589817:FKE589820 FTZ589817:FUA589820 GDV589817:GDW589820 GNR589817:GNS589820 GXN589817:GXO589820 HHJ589817:HHK589820 HRF589817:HRG589820 IBB589817:IBC589820 IKX589817:IKY589820 IUT589817:IUU589820 JEP589817:JEQ589820 JOL589817:JOM589820 JYH589817:JYI589820 KID589817:KIE589820 KRZ589817:KSA589820 LBV589817:LBW589820 LLR589817:LLS589820 LVN589817:LVO589820 MFJ589817:MFK589820 MPF589817:MPG589820 MZB589817:MZC589820 NIX589817:NIY589820 NST589817:NSU589820 OCP589817:OCQ589820 OML589817:OMM589820 OWH589817:OWI589820 PGD589817:PGE589820 PPZ589817:PQA589820 PZV589817:PZW589820 QJR589817:QJS589820 QTN589817:QTO589820 RDJ589817:RDK589820 RNF589817:RNG589820 RXB589817:RXC589820 SGX589817:SGY589820 SQT589817:SQU589820 TAP589817:TAQ589820 TKL589817:TKM589820 TUH589817:TUI589820 UED589817:UEE589820 UNZ589817:UOA589820 UXV589817:UXW589820 VHR589817:VHS589820 VRN589817:VRO589820 WBJ589817:WBK589820 WLF589817:WLG589820 WVB589817:WVC589820 IP655353:IQ655356 SL655353:SM655356 ACH655353:ACI655356 AMD655353:AME655356 AVZ655353:AWA655356 BFV655353:BFW655356 BPR655353:BPS655356 BZN655353:BZO655356 CJJ655353:CJK655356 CTF655353:CTG655356 DDB655353:DDC655356 DMX655353:DMY655356 DWT655353:DWU655356 EGP655353:EGQ655356 EQL655353:EQM655356 FAH655353:FAI655356 FKD655353:FKE655356 FTZ655353:FUA655356 GDV655353:GDW655356 GNR655353:GNS655356 GXN655353:GXO655356 HHJ655353:HHK655356 HRF655353:HRG655356 IBB655353:IBC655356 IKX655353:IKY655356 IUT655353:IUU655356 JEP655353:JEQ655356 JOL655353:JOM655356 JYH655353:JYI655356 KID655353:KIE655356 KRZ655353:KSA655356 LBV655353:LBW655356 LLR655353:LLS655356 LVN655353:LVO655356 MFJ655353:MFK655356 MPF655353:MPG655356 MZB655353:MZC655356 NIX655353:NIY655356 NST655353:NSU655356 OCP655353:OCQ655356 OML655353:OMM655356 OWH655353:OWI655356 PGD655353:PGE655356 PPZ655353:PQA655356 PZV655353:PZW655356 QJR655353:QJS655356 QTN655353:QTO655356 RDJ655353:RDK655356 RNF655353:RNG655356 RXB655353:RXC655356 SGX655353:SGY655356 SQT655353:SQU655356 TAP655353:TAQ655356 TKL655353:TKM655356 TUH655353:TUI655356 UED655353:UEE655356 UNZ655353:UOA655356 UXV655353:UXW655356 VHR655353:VHS655356 VRN655353:VRO655356 WBJ655353:WBK655356 WLF655353:WLG655356 WVB655353:WVC655356 IP720889:IQ720892 SL720889:SM720892 ACH720889:ACI720892 AMD720889:AME720892 AVZ720889:AWA720892 BFV720889:BFW720892 BPR720889:BPS720892 BZN720889:BZO720892 CJJ720889:CJK720892 CTF720889:CTG720892 DDB720889:DDC720892 DMX720889:DMY720892 DWT720889:DWU720892 EGP720889:EGQ720892 EQL720889:EQM720892 FAH720889:FAI720892 FKD720889:FKE720892 FTZ720889:FUA720892 GDV720889:GDW720892 GNR720889:GNS720892 GXN720889:GXO720892 HHJ720889:HHK720892 HRF720889:HRG720892 IBB720889:IBC720892 IKX720889:IKY720892 IUT720889:IUU720892 JEP720889:JEQ720892 JOL720889:JOM720892 JYH720889:JYI720892 KID720889:KIE720892 KRZ720889:KSA720892 LBV720889:LBW720892 LLR720889:LLS720892 LVN720889:LVO720892 MFJ720889:MFK720892 MPF720889:MPG720892 MZB720889:MZC720892 NIX720889:NIY720892 NST720889:NSU720892 OCP720889:OCQ720892 OML720889:OMM720892 OWH720889:OWI720892 PGD720889:PGE720892 PPZ720889:PQA720892 PZV720889:PZW720892 QJR720889:QJS720892 QTN720889:QTO720892 RDJ720889:RDK720892 RNF720889:RNG720892 RXB720889:RXC720892 SGX720889:SGY720892 SQT720889:SQU720892 TAP720889:TAQ720892 TKL720889:TKM720892 TUH720889:TUI720892 UED720889:UEE720892 UNZ720889:UOA720892 UXV720889:UXW720892 VHR720889:VHS720892 VRN720889:VRO720892 WBJ720889:WBK720892 WLF720889:WLG720892 WVB720889:WVC720892 IP786425:IQ786428 SL786425:SM786428 ACH786425:ACI786428 AMD786425:AME786428 AVZ786425:AWA786428 BFV786425:BFW786428 BPR786425:BPS786428 BZN786425:BZO786428 CJJ786425:CJK786428 CTF786425:CTG786428 DDB786425:DDC786428 DMX786425:DMY786428 DWT786425:DWU786428 EGP786425:EGQ786428 EQL786425:EQM786428 FAH786425:FAI786428 FKD786425:FKE786428 FTZ786425:FUA786428 GDV786425:GDW786428 GNR786425:GNS786428 GXN786425:GXO786428 HHJ786425:HHK786428 HRF786425:HRG786428 IBB786425:IBC786428 IKX786425:IKY786428 IUT786425:IUU786428 JEP786425:JEQ786428 JOL786425:JOM786428 JYH786425:JYI786428 KID786425:KIE786428 KRZ786425:KSA786428 LBV786425:LBW786428 LLR786425:LLS786428 LVN786425:LVO786428 MFJ786425:MFK786428 MPF786425:MPG786428 MZB786425:MZC786428 NIX786425:NIY786428 NST786425:NSU786428 OCP786425:OCQ786428 OML786425:OMM786428 OWH786425:OWI786428 PGD786425:PGE786428 PPZ786425:PQA786428 PZV786425:PZW786428 QJR786425:QJS786428 QTN786425:QTO786428 RDJ786425:RDK786428 RNF786425:RNG786428 RXB786425:RXC786428 SGX786425:SGY786428 SQT786425:SQU786428 TAP786425:TAQ786428 TKL786425:TKM786428 TUH786425:TUI786428 UED786425:UEE786428 UNZ786425:UOA786428 UXV786425:UXW786428 VHR786425:VHS786428 VRN786425:VRO786428 WBJ786425:WBK786428 WLF786425:WLG786428 WVB786425:WVC786428 IP851961:IQ851964 SL851961:SM851964 ACH851961:ACI851964 AMD851961:AME851964 AVZ851961:AWA851964 BFV851961:BFW851964 BPR851961:BPS851964 BZN851961:BZO851964 CJJ851961:CJK851964 CTF851961:CTG851964 DDB851961:DDC851964 DMX851961:DMY851964 DWT851961:DWU851964 EGP851961:EGQ851964 EQL851961:EQM851964 FAH851961:FAI851964 FKD851961:FKE851964 FTZ851961:FUA851964 GDV851961:GDW851964 GNR851961:GNS851964 GXN851961:GXO851964 HHJ851961:HHK851964 HRF851961:HRG851964 IBB851961:IBC851964 IKX851961:IKY851964 IUT851961:IUU851964 JEP851961:JEQ851964 JOL851961:JOM851964 JYH851961:JYI851964 KID851961:KIE851964 KRZ851961:KSA851964 LBV851961:LBW851964 LLR851961:LLS851964 LVN851961:LVO851964 MFJ851961:MFK851964 MPF851961:MPG851964 MZB851961:MZC851964 NIX851961:NIY851964 NST851961:NSU851964 OCP851961:OCQ851964 OML851961:OMM851964 OWH851961:OWI851964 PGD851961:PGE851964 PPZ851961:PQA851964 PZV851961:PZW851964 QJR851961:QJS851964 QTN851961:QTO851964 RDJ851961:RDK851964 RNF851961:RNG851964 RXB851961:RXC851964 SGX851961:SGY851964 SQT851961:SQU851964 TAP851961:TAQ851964 TKL851961:TKM851964 TUH851961:TUI851964 UED851961:UEE851964 UNZ851961:UOA851964 UXV851961:UXW851964 VHR851961:VHS851964 VRN851961:VRO851964 WBJ851961:WBK851964 WLF851961:WLG851964 WVB851961:WVC851964 IP917497:IQ917500 SL917497:SM917500 ACH917497:ACI917500 AMD917497:AME917500 AVZ917497:AWA917500 BFV917497:BFW917500 BPR917497:BPS917500 BZN917497:BZO917500 CJJ917497:CJK917500 CTF917497:CTG917500 DDB917497:DDC917500 DMX917497:DMY917500 DWT917497:DWU917500 EGP917497:EGQ917500 EQL917497:EQM917500 FAH917497:FAI917500 FKD917497:FKE917500 FTZ917497:FUA917500 GDV917497:GDW917500 GNR917497:GNS917500 GXN917497:GXO917500 HHJ917497:HHK917500 HRF917497:HRG917500 IBB917497:IBC917500 IKX917497:IKY917500 IUT917497:IUU917500 JEP917497:JEQ917500 JOL917497:JOM917500 JYH917497:JYI917500 KID917497:KIE917500 KRZ917497:KSA917500 LBV917497:LBW917500 LLR917497:LLS917500 LVN917497:LVO917500 MFJ917497:MFK917500 MPF917497:MPG917500 MZB917497:MZC917500 NIX917497:NIY917500 NST917497:NSU917500 OCP917497:OCQ917500 OML917497:OMM917500 OWH917497:OWI917500 PGD917497:PGE917500 PPZ917497:PQA917500 PZV917497:PZW917500 QJR917497:QJS917500 QTN917497:QTO917500 RDJ917497:RDK917500 RNF917497:RNG917500 RXB917497:RXC917500 SGX917497:SGY917500 SQT917497:SQU917500 TAP917497:TAQ917500 TKL917497:TKM917500 TUH917497:TUI917500 UED917497:UEE917500 UNZ917497:UOA917500 UXV917497:UXW917500 VHR917497:VHS917500 VRN917497:VRO917500 WBJ917497:WBK917500 WLF917497:WLG917500 WVB917497:WVC917500 IP983033:IQ983036 SL983033:SM983036 ACH983033:ACI983036 AMD983033:AME983036 AVZ983033:AWA983036 BFV983033:BFW983036 BPR983033:BPS983036 BZN983033:BZO983036 CJJ983033:CJK983036 CTF983033:CTG983036 DDB983033:DDC983036 DMX983033:DMY983036 DWT983033:DWU983036 EGP983033:EGQ983036 EQL983033:EQM983036 FAH983033:FAI983036 FKD983033:FKE983036 FTZ983033:FUA983036 GDV983033:GDW983036 GNR983033:GNS983036 GXN983033:GXO983036 HHJ983033:HHK983036 HRF983033:HRG983036 IBB983033:IBC983036 IKX983033:IKY983036 IUT983033:IUU983036 JEP983033:JEQ983036 JOL983033:JOM983036 JYH983033:JYI983036 KID983033:KIE983036 KRZ983033:KSA983036 LBV983033:LBW983036 LLR983033:LLS983036 LVN983033:LVO983036 MFJ983033:MFK983036 MPF983033:MPG983036 MZB983033:MZC983036 NIX983033:NIY983036 NST983033:NSU983036 OCP983033:OCQ983036 OML983033:OMM983036 OWH983033:OWI983036 PGD983033:PGE983036 PPZ983033:PQA983036 PZV983033:PZW983036 QJR983033:QJS983036 QTN983033:QTO983036 RDJ983033:RDK983036 RNF983033:RNG983036 RXB983033:RXC983036 SGX983033:SGY983036 SQT983033:SQU983036 TAP983033:TAQ983036 TKL983033:TKM983036 TUH983033:TUI983036 UED983033:UEE983036 UNZ983033:UOA983036 UXV983033:UXW983036 VHR983033:VHS983036">
      <formula1>"YES,NO"</formula1>
    </dataValidation>
  </dataValidations>
  <printOptions horizontalCentered="1" verticalCentered="1"/>
  <pageMargins left="0" right="0" top="0" bottom="0" header="0" footer="0"/>
  <pageSetup paperSize="9" scale="90" orientation="landscape" blackAndWhite="1" verticalDpi="300" r:id="rId1"/>
  <headerFooter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T13"/>
  <sheetViews>
    <sheetView view="pageBreakPreview" zoomScale="115" zoomScaleNormal="115" zoomScaleSheetLayoutView="115" workbookViewId="0">
      <selection activeCell="L7" sqref="L7:L8"/>
    </sheetView>
  </sheetViews>
  <sheetFormatPr defaultRowHeight="11.25" x14ac:dyDescent="0.2"/>
  <cols>
    <col min="1" max="1" width="9" style="8" customWidth="1"/>
    <col min="2" max="2" width="40.7109375" style="8" customWidth="1"/>
    <col min="3" max="3" width="5.140625" style="8" bestFit="1" customWidth="1"/>
    <col min="4" max="4" width="5.140625" style="8" customWidth="1"/>
    <col min="5" max="5" width="16.140625" style="8" bestFit="1" customWidth="1"/>
    <col min="6" max="6" width="15.5703125" style="8" bestFit="1" customWidth="1"/>
    <col min="7" max="7" width="21.140625" style="8" customWidth="1"/>
    <col min="8" max="8" width="11.42578125" style="8" bestFit="1" customWidth="1"/>
    <col min="9" max="9" width="8.85546875" style="8" bestFit="1" customWidth="1"/>
    <col min="10" max="11" width="7.7109375" style="8" bestFit="1" customWidth="1"/>
    <col min="12" max="12" width="8.5703125" style="8" bestFit="1" customWidth="1"/>
    <col min="13" max="13" width="9.140625" style="8"/>
    <col min="14" max="15" width="7.7109375" style="8" bestFit="1" customWidth="1"/>
    <col min="16" max="16" width="8.5703125" style="8" bestFit="1" customWidth="1"/>
    <col min="17" max="17" width="8.7109375" style="8" bestFit="1" customWidth="1"/>
    <col min="18" max="19" width="7.7109375" style="8" bestFit="1" customWidth="1"/>
    <col min="20" max="20" width="8.5703125" style="8" bestFit="1" customWidth="1"/>
    <col min="21" max="37" width="9.140625" style="8"/>
    <col min="38" max="38" width="9.5703125" style="8" bestFit="1" customWidth="1"/>
    <col min="39" max="39" width="9.140625" style="8"/>
    <col min="40" max="40" width="9.5703125" style="8" bestFit="1" customWidth="1"/>
    <col min="41" max="41" width="9.140625" style="8"/>
    <col min="42" max="42" width="20.28515625" style="8" bestFit="1" customWidth="1"/>
    <col min="43" max="43" width="14.7109375" style="8" bestFit="1" customWidth="1"/>
    <col min="44" max="44" width="15.5703125" style="8" bestFit="1" customWidth="1"/>
    <col min="45" max="224" width="9.140625" style="8"/>
    <col min="225" max="263" width="2.42578125" style="8" customWidth="1"/>
    <col min="264" max="264" width="3.42578125" style="8" bestFit="1" customWidth="1"/>
    <col min="265" max="480" width="9.140625" style="8"/>
    <col min="481" max="519" width="2.42578125" style="8" customWidth="1"/>
    <col min="520" max="520" width="3.42578125" style="8" bestFit="1" customWidth="1"/>
    <col min="521" max="736" width="9.140625" style="8"/>
    <col min="737" max="775" width="2.42578125" style="8" customWidth="1"/>
    <col min="776" max="776" width="3.42578125" style="8" bestFit="1" customWidth="1"/>
    <col min="777" max="992" width="9.140625" style="8"/>
    <col min="993" max="1031" width="2.42578125" style="8" customWidth="1"/>
    <col min="1032" max="1032" width="3.42578125" style="8" bestFit="1" customWidth="1"/>
    <col min="1033" max="1248" width="9.140625" style="8"/>
    <col min="1249" max="1287" width="2.42578125" style="8" customWidth="1"/>
    <col min="1288" max="1288" width="3.42578125" style="8" bestFit="1" customWidth="1"/>
    <col min="1289" max="1504" width="9.140625" style="8"/>
    <col min="1505" max="1543" width="2.42578125" style="8" customWidth="1"/>
    <col min="1544" max="1544" width="3.42578125" style="8" bestFit="1" customWidth="1"/>
    <col min="1545" max="1760" width="9.140625" style="8"/>
    <col min="1761" max="1799" width="2.42578125" style="8" customWidth="1"/>
    <col min="1800" max="1800" width="3.42578125" style="8" bestFit="1" customWidth="1"/>
    <col min="1801" max="2016" width="9.140625" style="8"/>
    <col min="2017" max="2055" width="2.42578125" style="8" customWidth="1"/>
    <col min="2056" max="2056" width="3.42578125" style="8" bestFit="1" customWidth="1"/>
    <col min="2057" max="2272" width="9.140625" style="8"/>
    <col min="2273" max="2311" width="2.42578125" style="8" customWidth="1"/>
    <col min="2312" max="2312" width="3.42578125" style="8" bestFit="1" customWidth="1"/>
    <col min="2313" max="2528" width="9.140625" style="8"/>
    <col min="2529" max="2567" width="2.42578125" style="8" customWidth="1"/>
    <col min="2568" max="2568" width="3.42578125" style="8" bestFit="1" customWidth="1"/>
    <col min="2569" max="2784" width="9.140625" style="8"/>
    <col min="2785" max="2823" width="2.42578125" style="8" customWidth="1"/>
    <col min="2824" max="2824" width="3.42578125" style="8" bestFit="1" customWidth="1"/>
    <col min="2825" max="3040" width="9.140625" style="8"/>
    <col min="3041" max="3079" width="2.42578125" style="8" customWidth="1"/>
    <col min="3080" max="3080" width="3.42578125" style="8" bestFit="1" customWidth="1"/>
    <col min="3081" max="3296" width="9.140625" style="8"/>
    <col min="3297" max="3335" width="2.42578125" style="8" customWidth="1"/>
    <col min="3336" max="3336" width="3.42578125" style="8" bestFit="1" customWidth="1"/>
    <col min="3337" max="3552" width="9.140625" style="8"/>
    <col min="3553" max="3591" width="2.42578125" style="8" customWidth="1"/>
    <col min="3592" max="3592" width="3.42578125" style="8" bestFit="1" customWidth="1"/>
    <col min="3593" max="3808" width="9.140625" style="8"/>
    <col min="3809" max="3847" width="2.42578125" style="8" customWidth="1"/>
    <col min="3848" max="3848" width="3.42578125" style="8" bestFit="1" customWidth="1"/>
    <col min="3849" max="4064" width="9.140625" style="8"/>
    <col min="4065" max="4103" width="2.42578125" style="8" customWidth="1"/>
    <col min="4104" max="4104" width="3.42578125" style="8" bestFit="1" customWidth="1"/>
    <col min="4105" max="4320" width="9.140625" style="8"/>
    <col min="4321" max="4359" width="2.42578125" style="8" customWidth="1"/>
    <col min="4360" max="4360" width="3.42578125" style="8" bestFit="1" customWidth="1"/>
    <col min="4361" max="4576" width="9.140625" style="8"/>
    <col min="4577" max="4615" width="2.42578125" style="8" customWidth="1"/>
    <col min="4616" max="4616" width="3.42578125" style="8" bestFit="1" customWidth="1"/>
    <col min="4617" max="4832" width="9.140625" style="8"/>
    <col min="4833" max="4871" width="2.42578125" style="8" customWidth="1"/>
    <col min="4872" max="4872" width="3.42578125" style="8" bestFit="1" customWidth="1"/>
    <col min="4873" max="5088" width="9.140625" style="8"/>
    <col min="5089" max="5127" width="2.42578125" style="8" customWidth="1"/>
    <col min="5128" max="5128" width="3.42578125" style="8" bestFit="1" customWidth="1"/>
    <col min="5129" max="5344" width="9.140625" style="8"/>
    <col min="5345" max="5383" width="2.42578125" style="8" customWidth="1"/>
    <col min="5384" max="5384" width="3.42578125" style="8" bestFit="1" customWidth="1"/>
    <col min="5385" max="5600" width="9.140625" style="8"/>
    <col min="5601" max="5639" width="2.42578125" style="8" customWidth="1"/>
    <col min="5640" max="5640" width="3.42578125" style="8" bestFit="1" customWidth="1"/>
    <col min="5641" max="5856" width="9.140625" style="8"/>
    <col min="5857" max="5895" width="2.42578125" style="8" customWidth="1"/>
    <col min="5896" max="5896" width="3.42578125" style="8" bestFit="1" customWidth="1"/>
    <col min="5897" max="6112" width="9.140625" style="8"/>
    <col min="6113" max="6151" width="2.42578125" style="8" customWidth="1"/>
    <col min="6152" max="6152" width="3.42578125" style="8" bestFit="1" customWidth="1"/>
    <col min="6153" max="6368" width="9.140625" style="8"/>
    <col min="6369" max="6407" width="2.42578125" style="8" customWidth="1"/>
    <col min="6408" max="6408" width="3.42578125" style="8" bestFit="1" customWidth="1"/>
    <col min="6409" max="6624" width="9.140625" style="8"/>
    <col min="6625" max="6663" width="2.42578125" style="8" customWidth="1"/>
    <col min="6664" max="6664" width="3.42578125" style="8" bestFit="1" customWidth="1"/>
    <col min="6665" max="6880" width="9.140625" style="8"/>
    <col min="6881" max="6919" width="2.42578125" style="8" customWidth="1"/>
    <col min="6920" max="6920" width="3.42578125" style="8" bestFit="1" customWidth="1"/>
    <col min="6921" max="7136" width="9.140625" style="8"/>
    <col min="7137" max="7175" width="2.42578125" style="8" customWidth="1"/>
    <col min="7176" max="7176" width="3.42578125" style="8" bestFit="1" customWidth="1"/>
    <col min="7177" max="7392" width="9.140625" style="8"/>
    <col min="7393" max="7431" width="2.42578125" style="8" customWidth="1"/>
    <col min="7432" max="7432" width="3.42578125" style="8" bestFit="1" customWidth="1"/>
    <col min="7433" max="7648" width="9.140625" style="8"/>
    <col min="7649" max="7687" width="2.42578125" style="8" customWidth="1"/>
    <col min="7688" max="7688" width="3.42578125" style="8" bestFit="1" customWidth="1"/>
    <col min="7689" max="7904" width="9.140625" style="8"/>
    <col min="7905" max="7943" width="2.42578125" style="8" customWidth="1"/>
    <col min="7944" max="7944" width="3.42578125" style="8" bestFit="1" customWidth="1"/>
    <col min="7945" max="8160" width="9.140625" style="8"/>
    <col min="8161" max="8199" width="2.42578125" style="8" customWidth="1"/>
    <col min="8200" max="8200" width="3.42578125" style="8" bestFit="1" customWidth="1"/>
    <col min="8201" max="8416" width="9.140625" style="8"/>
    <col min="8417" max="8455" width="2.42578125" style="8" customWidth="1"/>
    <col min="8456" max="8456" width="3.42578125" style="8" bestFit="1" customWidth="1"/>
    <col min="8457" max="8672" width="9.140625" style="8"/>
    <col min="8673" max="8711" width="2.42578125" style="8" customWidth="1"/>
    <col min="8712" max="8712" width="3.42578125" style="8" bestFit="1" customWidth="1"/>
    <col min="8713" max="8928" width="9.140625" style="8"/>
    <col min="8929" max="8967" width="2.42578125" style="8" customWidth="1"/>
    <col min="8968" max="8968" width="3.42578125" style="8" bestFit="1" customWidth="1"/>
    <col min="8969" max="9184" width="9.140625" style="8"/>
    <col min="9185" max="9223" width="2.42578125" style="8" customWidth="1"/>
    <col min="9224" max="9224" width="3.42578125" style="8" bestFit="1" customWidth="1"/>
    <col min="9225" max="9440" width="9.140625" style="8"/>
    <col min="9441" max="9479" width="2.42578125" style="8" customWidth="1"/>
    <col min="9480" max="9480" width="3.42578125" style="8" bestFit="1" customWidth="1"/>
    <col min="9481" max="9696" width="9.140625" style="8"/>
    <col min="9697" max="9735" width="2.42578125" style="8" customWidth="1"/>
    <col min="9736" max="9736" width="3.42578125" style="8" bestFit="1" customWidth="1"/>
    <col min="9737" max="9952" width="9.140625" style="8"/>
    <col min="9953" max="9991" width="2.42578125" style="8" customWidth="1"/>
    <col min="9992" max="9992" width="3.42578125" style="8" bestFit="1" customWidth="1"/>
    <col min="9993" max="10208" width="9.140625" style="8"/>
    <col min="10209" max="10247" width="2.42578125" style="8" customWidth="1"/>
    <col min="10248" max="10248" width="3.42578125" style="8" bestFit="1" customWidth="1"/>
    <col min="10249" max="10464" width="9.140625" style="8"/>
    <col min="10465" max="10503" width="2.42578125" style="8" customWidth="1"/>
    <col min="10504" max="10504" width="3.42578125" style="8" bestFit="1" customWidth="1"/>
    <col min="10505" max="10720" width="9.140625" style="8"/>
    <col min="10721" max="10759" width="2.42578125" style="8" customWidth="1"/>
    <col min="10760" max="10760" width="3.42578125" style="8" bestFit="1" customWidth="1"/>
    <col min="10761" max="10976" width="9.140625" style="8"/>
    <col min="10977" max="11015" width="2.42578125" style="8" customWidth="1"/>
    <col min="11016" max="11016" width="3.42578125" style="8" bestFit="1" customWidth="1"/>
    <col min="11017" max="11232" width="9.140625" style="8"/>
    <col min="11233" max="11271" width="2.42578125" style="8" customWidth="1"/>
    <col min="11272" max="11272" width="3.42578125" style="8" bestFit="1" customWidth="1"/>
    <col min="11273" max="11488" width="9.140625" style="8"/>
    <col min="11489" max="11527" width="2.42578125" style="8" customWidth="1"/>
    <col min="11528" max="11528" width="3.42578125" style="8" bestFit="1" customWidth="1"/>
    <col min="11529" max="11744" width="9.140625" style="8"/>
    <col min="11745" max="11783" width="2.42578125" style="8" customWidth="1"/>
    <col min="11784" max="11784" width="3.42578125" style="8" bestFit="1" customWidth="1"/>
    <col min="11785" max="12000" width="9.140625" style="8"/>
    <col min="12001" max="12039" width="2.42578125" style="8" customWidth="1"/>
    <col min="12040" max="12040" width="3.42578125" style="8" bestFit="1" customWidth="1"/>
    <col min="12041" max="12256" width="9.140625" style="8"/>
    <col min="12257" max="12295" width="2.42578125" style="8" customWidth="1"/>
    <col min="12296" max="12296" width="3.42578125" style="8" bestFit="1" customWidth="1"/>
    <col min="12297" max="12512" width="9.140625" style="8"/>
    <col min="12513" max="12551" width="2.42578125" style="8" customWidth="1"/>
    <col min="12552" max="12552" width="3.42578125" style="8" bestFit="1" customWidth="1"/>
    <col min="12553" max="12768" width="9.140625" style="8"/>
    <col min="12769" max="12807" width="2.42578125" style="8" customWidth="1"/>
    <col min="12808" max="12808" width="3.42578125" style="8" bestFit="1" customWidth="1"/>
    <col min="12809" max="13024" width="9.140625" style="8"/>
    <col min="13025" max="13063" width="2.42578125" style="8" customWidth="1"/>
    <col min="13064" max="13064" width="3.42578125" style="8" bestFit="1" customWidth="1"/>
    <col min="13065" max="13280" width="9.140625" style="8"/>
    <col min="13281" max="13319" width="2.42578125" style="8" customWidth="1"/>
    <col min="13320" max="13320" width="3.42578125" style="8" bestFit="1" customWidth="1"/>
    <col min="13321" max="13536" width="9.140625" style="8"/>
    <col min="13537" max="13575" width="2.42578125" style="8" customWidth="1"/>
    <col min="13576" max="13576" width="3.42578125" style="8" bestFit="1" customWidth="1"/>
    <col min="13577" max="13792" width="9.140625" style="8"/>
    <col min="13793" max="13831" width="2.42578125" style="8" customWidth="1"/>
    <col min="13832" max="13832" width="3.42578125" style="8" bestFit="1" customWidth="1"/>
    <col min="13833" max="14048" width="9.140625" style="8"/>
    <col min="14049" max="14087" width="2.42578125" style="8" customWidth="1"/>
    <col min="14088" max="14088" width="3.42578125" style="8" bestFit="1" customWidth="1"/>
    <col min="14089" max="14304" width="9.140625" style="8"/>
    <col min="14305" max="14343" width="2.42578125" style="8" customWidth="1"/>
    <col min="14344" max="14344" width="3.42578125" style="8" bestFit="1" customWidth="1"/>
    <col min="14345" max="14560" width="9.140625" style="8"/>
    <col min="14561" max="14599" width="2.42578125" style="8" customWidth="1"/>
    <col min="14600" max="14600" width="3.42578125" style="8" bestFit="1" customWidth="1"/>
    <col min="14601" max="14816" width="9.140625" style="8"/>
    <col min="14817" max="14855" width="2.42578125" style="8" customWidth="1"/>
    <col min="14856" max="14856" width="3.42578125" style="8" bestFit="1" customWidth="1"/>
    <col min="14857" max="15072" width="9.140625" style="8"/>
    <col min="15073" max="15111" width="2.42578125" style="8" customWidth="1"/>
    <col min="15112" max="15112" width="3.42578125" style="8" bestFit="1" customWidth="1"/>
    <col min="15113" max="15328" width="9.140625" style="8"/>
    <col min="15329" max="15367" width="2.42578125" style="8" customWidth="1"/>
    <col min="15368" max="15368" width="3.42578125" style="8" bestFit="1" customWidth="1"/>
    <col min="15369" max="15584" width="9.140625" style="8"/>
    <col min="15585" max="15623" width="2.42578125" style="8" customWidth="1"/>
    <col min="15624" max="15624" width="3.42578125" style="8" bestFit="1" customWidth="1"/>
    <col min="15625" max="15840" width="9.140625" style="8"/>
    <col min="15841" max="15879" width="2.42578125" style="8" customWidth="1"/>
    <col min="15880" max="15880" width="3.42578125" style="8" bestFit="1" customWidth="1"/>
    <col min="15881" max="16096" width="9.140625" style="8"/>
    <col min="16097" max="16135" width="2.42578125" style="8" customWidth="1"/>
    <col min="16136" max="16136" width="3.42578125" style="8" bestFit="1" customWidth="1"/>
    <col min="16137" max="16384" width="9.140625" style="8"/>
  </cols>
  <sheetData>
    <row r="1" spans="1:46" s="318" customFormat="1" ht="15.75" thickBot="1" x14ac:dyDescent="0.3">
      <c r="A1" s="312" t="s">
        <v>467</v>
      </c>
      <c r="B1" s="313"/>
      <c r="C1" s="314"/>
      <c r="D1" s="314"/>
      <c r="E1" s="314"/>
      <c r="F1" s="316"/>
      <c r="G1" s="314"/>
      <c r="H1" s="317"/>
      <c r="J1" s="319"/>
      <c r="K1" s="320"/>
      <c r="L1" s="320"/>
      <c r="AO1" s="321"/>
      <c r="AP1" s="322"/>
      <c r="AQ1" s="314"/>
      <c r="AR1" s="316"/>
    </row>
    <row r="2" spans="1:46" s="318" customFormat="1" ht="15.75" thickBot="1" x14ac:dyDescent="0.3">
      <c r="A2" s="312" t="s">
        <v>468</v>
      </c>
      <c r="B2" s="313"/>
      <c r="C2" s="314"/>
      <c r="D2" s="314"/>
      <c r="E2" s="314"/>
      <c r="F2" s="316"/>
      <c r="G2" s="314"/>
      <c r="H2" s="317"/>
      <c r="J2" s="319"/>
      <c r="K2" s="320"/>
      <c r="L2" s="320"/>
      <c r="AO2" s="321"/>
      <c r="AP2" s="322"/>
      <c r="AQ2" s="314"/>
      <c r="AR2" s="316"/>
    </row>
    <row r="3" spans="1:46" s="318" customFormat="1" ht="15.75" thickBot="1" x14ac:dyDescent="0.3">
      <c r="A3" s="312" t="s">
        <v>469</v>
      </c>
      <c r="B3" s="313"/>
      <c r="C3" s="314"/>
      <c r="D3" s="314"/>
      <c r="E3" s="314"/>
      <c r="F3" s="316"/>
      <c r="G3" s="314"/>
      <c r="H3" s="317"/>
      <c r="J3" s="319"/>
      <c r="K3" s="320"/>
      <c r="L3" s="320"/>
      <c r="AO3" s="321"/>
      <c r="AP3" s="322"/>
      <c r="AQ3" s="314"/>
      <c r="AR3" s="316"/>
    </row>
    <row r="4" spans="1:46" s="318" customFormat="1" ht="15.75" thickBot="1" x14ac:dyDescent="0.3">
      <c r="A4" s="312" t="s">
        <v>470</v>
      </c>
      <c r="B4" s="313"/>
      <c r="C4" s="314"/>
      <c r="D4" s="314"/>
      <c r="E4" s="314"/>
      <c r="F4" s="316"/>
      <c r="G4" s="314"/>
      <c r="H4" s="317"/>
      <c r="J4" s="319"/>
      <c r="K4" s="320"/>
      <c r="L4" s="320"/>
      <c r="AO4" s="321"/>
      <c r="AP4" s="322"/>
      <c r="AQ4" s="314"/>
      <c r="AR4" s="316"/>
    </row>
    <row r="5" spans="1:46" s="318" customFormat="1" ht="15.75" thickBot="1" x14ac:dyDescent="0.3">
      <c r="A5" s="312" t="s">
        <v>471</v>
      </c>
      <c r="B5" s="313"/>
      <c r="C5" s="314"/>
      <c r="D5" s="314"/>
      <c r="E5" s="314"/>
      <c r="F5" s="316"/>
      <c r="G5" s="314"/>
      <c r="H5" s="317"/>
      <c r="J5" s="319"/>
      <c r="K5" s="320"/>
      <c r="L5" s="320"/>
      <c r="AO5" s="321"/>
      <c r="AP5" s="322"/>
      <c r="AQ5" s="314"/>
      <c r="AR5" s="316"/>
    </row>
    <row r="6" spans="1:46" ht="15.75" customHeight="1" thickBot="1" x14ac:dyDescent="0.25">
      <c r="A6" s="330" t="s">
        <v>324</v>
      </c>
      <c r="B6" s="33"/>
      <c r="C6" s="33"/>
      <c r="D6" s="33"/>
      <c r="E6" s="33"/>
      <c r="F6" s="33"/>
      <c r="G6" s="33"/>
      <c r="H6" s="33"/>
      <c r="I6" s="641" t="s">
        <v>405</v>
      </c>
      <c r="J6" s="642"/>
      <c r="K6" s="642"/>
      <c r="L6" s="642"/>
      <c r="M6" s="643"/>
      <c r="N6" s="641" t="s">
        <v>406</v>
      </c>
      <c r="O6" s="642"/>
      <c r="P6" s="642"/>
      <c r="Q6" s="642"/>
      <c r="R6" s="643"/>
      <c r="S6" s="644" t="s">
        <v>407</v>
      </c>
      <c r="T6" s="645"/>
      <c r="U6" s="645"/>
      <c r="V6" s="645"/>
      <c r="W6" s="645"/>
      <c r="AQ6" s="33"/>
      <c r="AR6" s="33"/>
    </row>
    <row r="7" spans="1:46" ht="105" x14ac:dyDescent="0.25">
      <c r="A7" s="477" t="s">
        <v>295</v>
      </c>
      <c r="B7" s="505" t="s">
        <v>296</v>
      </c>
      <c r="C7" s="478" t="s">
        <v>302</v>
      </c>
      <c r="D7" s="506"/>
      <c r="E7" s="493" t="s">
        <v>538</v>
      </c>
      <c r="F7" s="494" t="s">
        <v>539</v>
      </c>
      <c r="G7" s="493" t="s">
        <v>540</v>
      </c>
      <c r="H7" s="493" t="s">
        <v>541</v>
      </c>
      <c r="I7" s="333" t="s">
        <v>408</v>
      </c>
      <c r="J7" s="333" t="s">
        <v>409</v>
      </c>
      <c r="K7" s="333" t="s">
        <v>410</v>
      </c>
      <c r="L7" s="353" t="s">
        <v>418</v>
      </c>
      <c r="M7" s="333" t="s">
        <v>414</v>
      </c>
      <c r="N7" s="333" t="s">
        <v>408</v>
      </c>
      <c r="O7" s="333" t="s">
        <v>409</v>
      </c>
      <c r="P7" s="333" t="s">
        <v>410</v>
      </c>
      <c r="Q7" s="353" t="s">
        <v>418</v>
      </c>
      <c r="R7" s="333" t="s">
        <v>414</v>
      </c>
      <c r="S7" s="333" t="s">
        <v>408</v>
      </c>
      <c r="T7" s="333" t="s">
        <v>409</v>
      </c>
      <c r="U7" s="333" t="s">
        <v>410</v>
      </c>
      <c r="V7" s="353" t="s">
        <v>418</v>
      </c>
      <c r="W7" s="33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31" t="s">
        <v>299</v>
      </c>
      <c r="AR7" s="332" t="s">
        <v>386</v>
      </c>
      <c r="AS7" s="445" t="s">
        <v>536</v>
      </c>
      <c r="AT7" s="446" t="s">
        <v>537</v>
      </c>
    </row>
    <row r="8" spans="1:46" ht="135" x14ac:dyDescent="0.2">
      <c r="A8" s="480" t="s">
        <v>377</v>
      </c>
      <c r="B8" s="501" t="s">
        <v>514</v>
      </c>
      <c r="C8" s="502">
        <v>1</v>
      </c>
      <c r="D8" s="507"/>
      <c r="E8" s="453">
        <f>IF(AND(AO8="IRR",SUM(AH8:AJ8)&gt;0),AP8,IF(AND(AO8="IRR",AQ8&lt;&gt;""),AQ8*'[5]Basic INFO'!$E$127,IF(AO8="IRR",AS8,"")))</f>
        <v>126196586999.99998</v>
      </c>
      <c r="F8" s="454" t="str">
        <f>IF(AND(AO8="EUR",SUM(AH8:AJ8)&gt;0),AP8,IF(AND(AO8="EUR",AR8&lt;&gt;""),AR8*'[5]Basic INFO'!$C$138,IF(AO8="EUR",AT8,"")))</f>
        <v/>
      </c>
      <c r="G8" s="455">
        <f>IF(AO8="IRR",C8*E8,"")</f>
        <v>126196586999.99998</v>
      </c>
      <c r="H8" s="498" t="str">
        <f>IF(AO8="EUR",C8*F8,"")</f>
        <v/>
      </c>
      <c r="I8" s="510" t="s">
        <v>411</v>
      </c>
      <c r="J8" s="511" t="s">
        <v>44</v>
      </c>
      <c r="K8" s="511">
        <v>181500</v>
      </c>
      <c r="L8" s="436"/>
      <c r="M8" s="512">
        <v>45697</v>
      </c>
      <c r="N8" s="510" t="s">
        <v>412</v>
      </c>
      <c r="O8" s="511" t="s">
        <v>44</v>
      </c>
      <c r="P8" s="511" t="s">
        <v>44</v>
      </c>
      <c r="Q8" s="436"/>
      <c r="R8" s="513" t="s">
        <v>433</v>
      </c>
      <c r="S8" s="510" t="s">
        <v>413</v>
      </c>
      <c r="T8" s="511" t="s">
        <v>44</v>
      </c>
      <c r="U8" s="511" t="s">
        <v>44</v>
      </c>
      <c r="V8" s="436"/>
      <c r="W8" s="513" t="s">
        <v>433</v>
      </c>
      <c r="AH8" s="441">
        <f>IF(B8="","",COUNT(J8,O8,T8,Y8,AD8))</f>
        <v>0</v>
      </c>
      <c r="AI8" s="442">
        <f>IF(B8="","",COUNT(K8,P8,U8,Z8,AE8))</f>
        <v>1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181500</v>
      </c>
      <c r="AM8" s="442" t="str">
        <f>IF(AND(AJ8&lt;&gt;"",AJ8&gt;0),AVERAGE(L8,Q8,V8,AA8,AF8)/'[5]Basic INFO'!$C$103,"")</f>
        <v/>
      </c>
      <c r="AN8" s="442">
        <f>IF(SUM(AH8:AJ8)&lt;&gt;0,AVERAGE(AK8:AM8),"")</f>
        <v>181500</v>
      </c>
      <c r="AO8" s="8" t="s">
        <v>525</v>
      </c>
      <c r="AP8" s="444">
        <f>IF(B8="","",IF(SUM(AH8:AJ8)=0,"",IF(AO8="IRR",AN8*('[5]Basic INFO'!$C$101*'[5]Basic INFO'!$C$103),IF(AO8="EUR",AN8,AP8))))</f>
        <v>126196586999.99998</v>
      </c>
      <c r="AQ8" s="326">
        <v>3000000000</v>
      </c>
      <c r="AR8" s="326"/>
      <c r="AS8" s="447"/>
      <c r="AT8" s="448"/>
    </row>
    <row r="9" spans="1:46" ht="15" x14ac:dyDescent="0.25">
      <c r="A9" s="457"/>
      <c r="B9" s="458" t="s">
        <v>542</v>
      </c>
      <c r="C9" s="457"/>
      <c r="D9" s="457"/>
      <c r="E9" s="459"/>
      <c r="F9" s="460"/>
      <c r="G9" s="461">
        <f>SUM(G8)</f>
        <v>126196586999.99998</v>
      </c>
      <c r="H9" s="462">
        <f>SUM(H8)</f>
        <v>0</v>
      </c>
      <c r="AQ9" s="377" t="s">
        <v>297</v>
      </c>
      <c r="AR9" s="377" t="s">
        <v>298</v>
      </c>
    </row>
    <row r="10" spans="1:46" ht="15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  <c r="AQ10" s="329"/>
      <c r="AR10" s="329"/>
    </row>
    <row r="11" spans="1:46" ht="15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  <c r="AQ11" s="345"/>
      <c r="AR11" s="345"/>
    </row>
    <row r="12" spans="1:46" ht="15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163803000000</v>
      </c>
      <c r="H12" s="469">
        <f>ROUND(H9*H10*(1+H11)/1000,0)*1000</f>
        <v>0</v>
      </c>
      <c r="AQ12" s="304"/>
      <c r="AR12" s="304"/>
    </row>
    <row r="13" spans="1:46" ht="12" x14ac:dyDescent="0.2">
      <c r="G13" s="461">
        <f>ROUND(SUMIF(AP:AP,"&gt;0",G:G)*G10*(1+G11)/1000000,0)*1000000</f>
        <v>163803000000</v>
      </c>
      <c r="H13" s="462">
        <f>ROUND(SUMIF(AP:AP,"&gt;0",H:H)*H10*(1+H11)/1000,0)*1000</f>
        <v>0</v>
      </c>
    </row>
  </sheetData>
  <mergeCells count="3">
    <mergeCell ref="I6:M6"/>
    <mergeCell ref="N6:R6"/>
    <mergeCell ref="S6:W6"/>
  </mergeCells>
  <dataValidations disablePrompts="1" count="1">
    <dataValidation type="list" allowBlank="1" showInputMessage="1" showErrorMessage="1" sqref="WBJ983032:WBK983035 JA65528:JB65531 SW65528:SX65531 ACS65528:ACT65531 AMO65528:AMP65531 AWK65528:AWL65531 BGG65528:BGH65531 BQC65528:BQD65531 BZY65528:BZZ65531 CJU65528:CJV65531 CTQ65528:CTR65531 DDM65528:DDN65531 DNI65528:DNJ65531 DXE65528:DXF65531 EHA65528:EHB65531 EQW65528:EQX65531 FAS65528:FAT65531 FKO65528:FKP65531 FUK65528:FUL65531 GEG65528:GEH65531 GOC65528:GOD65531 GXY65528:GXZ65531 HHU65528:HHV65531 HRQ65528:HRR65531 IBM65528:IBN65531 ILI65528:ILJ65531 IVE65528:IVF65531 JFA65528:JFB65531 JOW65528:JOX65531 JYS65528:JYT65531 KIO65528:KIP65531 KSK65528:KSL65531 LCG65528:LCH65531 LMC65528:LMD65531 LVY65528:LVZ65531 MFU65528:MFV65531 MPQ65528:MPR65531 MZM65528:MZN65531 NJI65528:NJJ65531 NTE65528:NTF65531 ODA65528:ODB65531 OMW65528:OMX65531 OWS65528:OWT65531 PGO65528:PGP65531 PQK65528:PQL65531 QAG65528:QAH65531 QKC65528:QKD65531 QTY65528:QTZ65531 RDU65528:RDV65531 RNQ65528:RNR65531 RXM65528:RXN65531 SHI65528:SHJ65531 SRE65528:SRF65531 TBA65528:TBB65531 TKW65528:TKX65531 TUS65528:TUT65531 UEO65528:UEP65531 UOK65528:UOL65531 UYG65528:UYH65531 VIC65528:VID65531 VRY65528:VRZ65531 WBU65528:WBV65531 WLQ65528:WLR65531 WVM65528:WVN65531 JA131064:JB131067 SW131064:SX131067 ACS131064:ACT131067 AMO131064:AMP131067 AWK131064:AWL131067 BGG131064:BGH131067 BQC131064:BQD131067 BZY131064:BZZ131067 CJU131064:CJV131067 CTQ131064:CTR131067 DDM131064:DDN131067 DNI131064:DNJ131067 DXE131064:DXF131067 EHA131064:EHB131067 EQW131064:EQX131067 FAS131064:FAT131067 FKO131064:FKP131067 FUK131064:FUL131067 GEG131064:GEH131067 GOC131064:GOD131067 GXY131064:GXZ131067 HHU131064:HHV131067 HRQ131064:HRR131067 IBM131064:IBN131067 ILI131064:ILJ131067 IVE131064:IVF131067 JFA131064:JFB131067 JOW131064:JOX131067 JYS131064:JYT131067 KIO131064:KIP131067 KSK131064:KSL131067 LCG131064:LCH131067 LMC131064:LMD131067 LVY131064:LVZ131067 MFU131064:MFV131067 MPQ131064:MPR131067 MZM131064:MZN131067 NJI131064:NJJ131067 NTE131064:NTF131067 ODA131064:ODB131067 OMW131064:OMX131067 OWS131064:OWT131067 PGO131064:PGP131067 PQK131064:PQL131067 QAG131064:QAH131067 QKC131064:QKD131067 QTY131064:QTZ131067 RDU131064:RDV131067 RNQ131064:RNR131067 RXM131064:RXN131067 SHI131064:SHJ131067 SRE131064:SRF131067 TBA131064:TBB131067 TKW131064:TKX131067 TUS131064:TUT131067 UEO131064:UEP131067 UOK131064:UOL131067 UYG131064:UYH131067 VIC131064:VID131067 VRY131064:VRZ131067 WBU131064:WBV131067 WLQ131064:WLR131067 WVM131064:WVN131067 JA196600:JB196603 SW196600:SX196603 ACS196600:ACT196603 AMO196600:AMP196603 AWK196600:AWL196603 BGG196600:BGH196603 BQC196600:BQD196603 BZY196600:BZZ196603 CJU196600:CJV196603 CTQ196600:CTR196603 DDM196600:DDN196603 DNI196600:DNJ196603 DXE196600:DXF196603 EHA196600:EHB196603 EQW196600:EQX196603 FAS196600:FAT196603 FKO196600:FKP196603 FUK196600:FUL196603 GEG196600:GEH196603 GOC196600:GOD196603 GXY196600:GXZ196603 HHU196600:HHV196603 HRQ196600:HRR196603 IBM196600:IBN196603 ILI196600:ILJ196603 IVE196600:IVF196603 JFA196600:JFB196603 JOW196600:JOX196603 JYS196600:JYT196603 KIO196600:KIP196603 KSK196600:KSL196603 LCG196600:LCH196603 LMC196600:LMD196603 LVY196600:LVZ196603 MFU196600:MFV196603 MPQ196600:MPR196603 MZM196600:MZN196603 NJI196600:NJJ196603 NTE196600:NTF196603 ODA196600:ODB196603 OMW196600:OMX196603 OWS196600:OWT196603 PGO196600:PGP196603 PQK196600:PQL196603 QAG196600:QAH196603 QKC196600:QKD196603 QTY196600:QTZ196603 RDU196600:RDV196603 RNQ196600:RNR196603 RXM196600:RXN196603 SHI196600:SHJ196603 SRE196600:SRF196603 TBA196600:TBB196603 TKW196600:TKX196603 TUS196600:TUT196603 UEO196600:UEP196603 UOK196600:UOL196603 UYG196600:UYH196603 VIC196600:VID196603 VRY196600:VRZ196603 WBU196600:WBV196603 WLQ196600:WLR196603 WVM196600:WVN196603 JA262136:JB262139 SW262136:SX262139 ACS262136:ACT262139 AMO262136:AMP262139 AWK262136:AWL262139 BGG262136:BGH262139 BQC262136:BQD262139 BZY262136:BZZ262139 CJU262136:CJV262139 CTQ262136:CTR262139 DDM262136:DDN262139 DNI262136:DNJ262139 DXE262136:DXF262139 EHA262136:EHB262139 EQW262136:EQX262139 FAS262136:FAT262139 FKO262136:FKP262139 FUK262136:FUL262139 GEG262136:GEH262139 GOC262136:GOD262139 GXY262136:GXZ262139 HHU262136:HHV262139 HRQ262136:HRR262139 IBM262136:IBN262139 ILI262136:ILJ262139 IVE262136:IVF262139 JFA262136:JFB262139 JOW262136:JOX262139 JYS262136:JYT262139 KIO262136:KIP262139 KSK262136:KSL262139 LCG262136:LCH262139 LMC262136:LMD262139 LVY262136:LVZ262139 MFU262136:MFV262139 MPQ262136:MPR262139 MZM262136:MZN262139 NJI262136:NJJ262139 NTE262136:NTF262139 ODA262136:ODB262139 OMW262136:OMX262139 OWS262136:OWT262139 PGO262136:PGP262139 PQK262136:PQL262139 QAG262136:QAH262139 QKC262136:QKD262139 QTY262136:QTZ262139 RDU262136:RDV262139 RNQ262136:RNR262139 RXM262136:RXN262139 SHI262136:SHJ262139 SRE262136:SRF262139 TBA262136:TBB262139 TKW262136:TKX262139 TUS262136:TUT262139 UEO262136:UEP262139 UOK262136:UOL262139 UYG262136:UYH262139 VIC262136:VID262139 VRY262136:VRZ262139 WBU262136:WBV262139 WLQ262136:WLR262139 WVM262136:WVN262139 JA327672:JB327675 SW327672:SX327675 ACS327672:ACT327675 AMO327672:AMP327675 AWK327672:AWL327675 BGG327672:BGH327675 BQC327672:BQD327675 BZY327672:BZZ327675 CJU327672:CJV327675 CTQ327672:CTR327675 DDM327672:DDN327675 DNI327672:DNJ327675 DXE327672:DXF327675 EHA327672:EHB327675 EQW327672:EQX327675 FAS327672:FAT327675 FKO327672:FKP327675 FUK327672:FUL327675 GEG327672:GEH327675 GOC327672:GOD327675 GXY327672:GXZ327675 HHU327672:HHV327675 HRQ327672:HRR327675 IBM327672:IBN327675 ILI327672:ILJ327675 IVE327672:IVF327675 JFA327672:JFB327675 JOW327672:JOX327675 JYS327672:JYT327675 KIO327672:KIP327675 KSK327672:KSL327675 LCG327672:LCH327675 LMC327672:LMD327675 LVY327672:LVZ327675 MFU327672:MFV327675 MPQ327672:MPR327675 MZM327672:MZN327675 NJI327672:NJJ327675 NTE327672:NTF327675 ODA327672:ODB327675 OMW327672:OMX327675 OWS327672:OWT327675 PGO327672:PGP327675 PQK327672:PQL327675 QAG327672:QAH327675 QKC327672:QKD327675 QTY327672:QTZ327675 RDU327672:RDV327675 RNQ327672:RNR327675 RXM327672:RXN327675 SHI327672:SHJ327675 SRE327672:SRF327675 TBA327672:TBB327675 TKW327672:TKX327675 TUS327672:TUT327675 UEO327672:UEP327675 UOK327672:UOL327675 UYG327672:UYH327675 VIC327672:VID327675 VRY327672:VRZ327675 WBU327672:WBV327675 WLQ327672:WLR327675 WVM327672:WVN327675 JA393208:JB393211 SW393208:SX393211 ACS393208:ACT393211 AMO393208:AMP393211 AWK393208:AWL393211 BGG393208:BGH393211 BQC393208:BQD393211 BZY393208:BZZ393211 CJU393208:CJV393211 CTQ393208:CTR393211 DDM393208:DDN393211 DNI393208:DNJ393211 DXE393208:DXF393211 EHA393208:EHB393211 EQW393208:EQX393211 FAS393208:FAT393211 FKO393208:FKP393211 FUK393208:FUL393211 GEG393208:GEH393211 GOC393208:GOD393211 GXY393208:GXZ393211 HHU393208:HHV393211 HRQ393208:HRR393211 IBM393208:IBN393211 ILI393208:ILJ393211 IVE393208:IVF393211 JFA393208:JFB393211 JOW393208:JOX393211 JYS393208:JYT393211 KIO393208:KIP393211 KSK393208:KSL393211 LCG393208:LCH393211 LMC393208:LMD393211 LVY393208:LVZ393211 MFU393208:MFV393211 MPQ393208:MPR393211 MZM393208:MZN393211 NJI393208:NJJ393211 NTE393208:NTF393211 ODA393208:ODB393211 OMW393208:OMX393211 OWS393208:OWT393211 PGO393208:PGP393211 PQK393208:PQL393211 QAG393208:QAH393211 QKC393208:QKD393211 QTY393208:QTZ393211 RDU393208:RDV393211 RNQ393208:RNR393211 RXM393208:RXN393211 SHI393208:SHJ393211 SRE393208:SRF393211 TBA393208:TBB393211 TKW393208:TKX393211 TUS393208:TUT393211 UEO393208:UEP393211 UOK393208:UOL393211 UYG393208:UYH393211 VIC393208:VID393211 VRY393208:VRZ393211 WBU393208:WBV393211 WLQ393208:WLR393211 WVM393208:WVN393211 JA458744:JB458747 SW458744:SX458747 ACS458744:ACT458747 AMO458744:AMP458747 AWK458744:AWL458747 BGG458744:BGH458747 BQC458744:BQD458747 BZY458744:BZZ458747 CJU458744:CJV458747 CTQ458744:CTR458747 DDM458744:DDN458747 DNI458744:DNJ458747 DXE458744:DXF458747 EHA458744:EHB458747 EQW458744:EQX458747 FAS458744:FAT458747 FKO458744:FKP458747 FUK458744:FUL458747 GEG458744:GEH458747 GOC458744:GOD458747 GXY458744:GXZ458747 HHU458744:HHV458747 HRQ458744:HRR458747 IBM458744:IBN458747 ILI458744:ILJ458747 IVE458744:IVF458747 JFA458744:JFB458747 JOW458744:JOX458747 JYS458744:JYT458747 KIO458744:KIP458747 KSK458744:KSL458747 LCG458744:LCH458747 LMC458744:LMD458747 LVY458744:LVZ458747 MFU458744:MFV458747 MPQ458744:MPR458747 MZM458744:MZN458747 NJI458744:NJJ458747 NTE458744:NTF458747 ODA458744:ODB458747 OMW458744:OMX458747 OWS458744:OWT458747 PGO458744:PGP458747 PQK458744:PQL458747 QAG458744:QAH458747 QKC458744:QKD458747 QTY458744:QTZ458747 RDU458744:RDV458747 RNQ458744:RNR458747 RXM458744:RXN458747 SHI458744:SHJ458747 SRE458744:SRF458747 TBA458744:TBB458747 TKW458744:TKX458747 TUS458744:TUT458747 UEO458744:UEP458747 UOK458744:UOL458747 UYG458744:UYH458747 VIC458744:VID458747 VRY458744:VRZ458747 WBU458744:WBV458747 WLQ458744:WLR458747 WVM458744:WVN458747 JA524280:JB524283 SW524280:SX524283 ACS524280:ACT524283 AMO524280:AMP524283 AWK524280:AWL524283 BGG524280:BGH524283 BQC524280:BQD524283 BZY524280:BZZ524283 CJU524280:CJV524283 CTQ524280:CTR524283 DDM524280:DDN524283 DNI524280:DNJ524283 DXE524280:DXF524283 EHA524280:EHB524283 EQW524280:EQX524283 FAS524280:FAT524283 FKO524280:FKP524283 FUK524280:FUL524283 GEG524280:GEH524283 GOC524280:GOD524283 GXY524280:GXZ524283 HHU524280:HHV524283 HRQ524280:HRR524283 IBM524280:IBN524283 ILI524280:ILJ524283 IVE524280:IVF524283 JFA524280:JFB524283 JOW524280:JOX524283 JYS524280:JYT524283 KIO524280:KIP524283 KSK524280:KSL524283 LCG524280:LCH524283 LMC524280:LMD524283 LVY524280:LVZ524283 MFU524280:MFV524283 MPQ524280:MPR524283 MZM524280:MZN524283 NJI524280:NJJ524283 NTE524280:NTF524283 ODA524280:ODB524283 OMW524280:OMX524283 OWS524280:OWT524283 PGO524280:PGP524283 PQK524280:PQL524283 QAG524280:QAH524283 QKC524280:QKD524283 QTY524280:QTZ524283 RDU524280:RDV524283 RNQ524280:RNR524283 RXM524280:RXN524283 SHI524280:SHJ524283 SRE524280:SRF524283 TBA524280:TBB524283 TKW524280:TKX524283 TUS524280:TUT524283 UEO524280:UEP524283 UOK524280:UOL524283 UYG524280:UYH524283 VIC524280:VID524283 VRY524280:VRZ524283 WBU524280:WBV524283 WLQ524280:WLR524283 WVM524280:WVN524283 JA589816:JB589819 SW589816:SX589819 ACS589816:ACT589819 AMO589816:AMP589819 AWK589816:AWL589819 BGG589816:BGH589819 BQC589816:BQD589819 BZY589816:BZZ589819 CJU589816:CJV589819 CTQ589816:CTR589819 DDM589816:DDN589819 DNI589816:DNJ589819 DXE589816:DXF589819 EHA589816:EHB589819 EQW589816:EQX589819 FAS589816:FAT589819 FKO589816:FKP589819 FUK589816:FUL589819 GEG589816:GEH589819 GOC589816:GOD589819 GXY589816:GXZ589819 HHU589816:HHV589819 HRQ589816:HRR589819 IBM589816:IBN589819 ILI589816:ILJ589819 IVE589816:IVF589819 JFA589816:JFB589819 JOW589816:JOX589819 JYS589816:JYT589819 KIO589816:KIP589819 KSK589816:KSL589819 LCG589816:LCH589819 LMC589816:LMD589819 LVY589816:LVZ589819 MFU589816:MFV589819 MPQ589816:MPR589819 MZM589816:MZN589819 NJI589816:NJJ589819 NTE589816:NTF589819 ODA589816:ODB589819 OMW589816:OMX589819 OWS589816:OWT589819 PGO589816:PGP589819 PQK589816:PQL589819 QAG589816:QAH589819 QKC589816:QKD589819 QTY589816:QTZ589819 RDU589816:RDV589819 RNQ589816:RNR589819 RXM589816:RXN589819 SHI589816:SHJ589819 SRE589816:SRF589819 TBA589816:TBB589819 TKW589816:TKX589819 TUS589816:TUT589819 UEO589816:UEP589819 UOK589816:UOL589819 UYG589816:UYH589819 VIC589816:VID589819 VRY589816:VRZ589819 WBU589816:WBV589819 WLQ589816:WLR589819 WVM589816:WVN589819 JA655352:JB655355 SW655352:SX655355 ACS655352:ACT655355 AMO655352:AMP655355 AWK655352:AWL655355 BGG655352:BGH655355 BQC655352:BQD655355 BZY655352:BZZ655355 CJU655352:CJV655355 CTQ655352:CTR655355 DDM655352:DDN655355 DNI655352:DNJ655355 DXE655352:DXF655355 EHA655352:EHB655355 EQW655352:EQX655355 FAS655352:FAT655355 FKO655352:FKP655355 FUK655352:FUL655355 GEG655352:GEH655355 GOC655352:GOD655355 GXY655352:GXZ655355 HHU655352:HHV655355 HRQ655352:HRR655355 IBM655352:IBN655355 ILI655352:ILJ655355 IVE655352:IVF655355 JFA655352:JFB655355 JOW655352:JOX655355 JYS655352:JYT655355 KIO655352:KIP655355 KSK655352:KSL655355 LCG655352:LCH655355 LMC655352:LMD655355 LVY655352:LVZ655355 MFU655352:MFV655355 MPQ655352:MPR655355 MZM655352:MZN655355 NJI655352:NJJ655355 NTE655352:NTF655355 ODA655352:ODB655355 OMW655352:OMX655355 OWS655352:OWT655355 PGO655352:PGP655355 PQK655352:PQL655355 QAG655352:QAH655355 QKC655352:QKD655355 QTY655352:QTZ655355 RDU655352:RDV655355 RNQ655352:RNR655355 RXM655352:RXN655355 SHI655352:SHJ655355 SRE655352:SRF655355 TBA655352:TBB655355 TKW655352:TKX655355 TUS655352:TUT655355 UEO655352:UEP655355 UOK655352:UOL655355 UYG655352:UYH655355 VIC655352:VID655355 VRY655352:VRZ655355 WBU655352:WBV655355 WLQ655352:WLR655355 WVM655352:WVN655355 JA720888:JB720891 SW720888:SX720891 ACS720888:ACT720891 AMO720888:AMP720891 AWK720888:AWL720891 BGG720888:BGH720891 BQC720888:BQD720891 BZY720888:BZZ720891 CJU720888:CJV720891 CTQ720888:CTR720891 DDM720888:DDN720891 DNI720888:DNJ720891 DXE720888:DXF720891 EHA720888:EHB720891 EQW720888:EQX720891 FAS720888:FAT720891 FKO720888:FKP720891 FUK720888:FUL720891 GEG720888:GEH720891 GOC720888:GOD720891 GXY720888:GXZ720891 HHU720888:HHV720891 HRQ720888:HRR720891 IBM720888:IBN720891 ILI720888:ILJ720891 IVE720888:IVF720891 JFA720888:JFB720891 JOW720888:JOX720891 JYS720888:JYT720891 KIO720888:KIP720891 KSK720888:KSL720891 LCG720888:LCH720891 LMC720888:LMD720891 LVY720888:LVZ720891 MFU720888:MFV720891 MPQ720888:MPR720891 MZM720888:MZN720891 NJI720888:NJJ720891 NTE720888:NTF720891 ODA720888:ODB720891 OMW720888:OMX720891 OWS720888:OWT720891 PGO720888:PGP720891 PQK720888:PQL720891 QAG720888:QAH720891 QKC720888:QKD720891 QTY720888:QTZ720891 RDU720888:RDV720891 RNQ720888:RNR720891 RXM720888:RXN720891 SHI720888:SHJ720891 SRE720888:SRF720891 TBA720888:TBB720891 TKW720888:TKX720891 TUS720888:TUT720891 UEO720888:UEP720891 UOK720888:UOL720891 UYG720888:UYH720891 VIC720888:VID720891 VRY720888:VRZ720891 WBU720888:WBV720891 WLQ720888:WLR720891 WVM720888:WVN720891 JA786424:JB786427 SW786424:SX786427 ACS786424:ACT786427 AMO786424:AMP786427 AWK786424:AWL786427 BGG786424:BGH786427 BQC786424:BQD786427 BZY786424:BZZ786427 CJU786424:CJV786427 CTQ786424:CTR786427 DDM786424:DDN786427 DNI786424:DNJ786427 DXE786424:DXF786427 EHA786424:EHB786427 EQW786424:EQX786427 FAS786424:FAT786427 FKO786424:FKP786427 FUK786424:FUL786427 GEG786424:GEH786427 GOC786424:GOD786427 GXY786424:GXZ786427 HHU786424:HHV786427 HRQ786424:HRR786427 IBM786424:IBN786427 ILI786424:ILJ786427 IVE786424:IVF786427 JFA786424:JFB786427 JOW786424:JOX786427 JYS786424:JYT786427 KIO786424:KIP786427 KSK786424:KSL786427 LCG786424:LCH786427 LMC786424:LMD786427 LVY786424:LVZ786427 MFU786424:MFV786427 MPQ786424:MPR786427 MZM786424:MZN786427 NJI786424:NJJ786427 NTE786424:NTF786427 ODA786424:ODB786427 OMW786424:OMX786427 OWS786424:OWT786427 PGO786424:PGP786427 PQK786424:PQL786427 QAG786424:QAH786427 QKC786424:QKD786427 QTY786424:QTZ786427 RDU786424:RDV786427 RNQ786424:RNR786427 RXM786424:RXN786427 SHI786424:SHJ786427 SRE786424:SRF786427 TBA786424:TBB786427 TKW786424:TKX786427 TUS786424:TUT786427 UEO786424:UEP786427 UOK786424:UOL786427 UYG786424:UYH786427 VIC786424:VID786427 VRY786424:VRZ786427 WBU786424:WBV786427 WLQ786424:WLR786427 WVM786424:WVN786427 JA851960:JB851963 SW851960:SX851963 ACS851960:ACT851963 AMO851960:AMP851963 AWK851960:AWL851963 BGG851960:BGH851963 BQC851960:BQD851963 BZY851960:BZZ851963 CJU851960:CJV851963 CTQ851960:CTR851963 DDM851960:DDN851963 DNI851960:DNJ851963 DXE851960:DXF851963 EHA851960:EHB851963 EQW851960:EQX851963 FAS851960:FAT851963 FKO851960:FKP851963 FUK851960:FUL851963 GEG851960:GEH851963 GOC851960:GOD851963 GXY851960:GXZ851963 HHU851960:HHV851963 HRQ851960:HRR851963 IBM851960:IBN851963 ILI851960:ILJ851963 IVE851960:IVF851963 JFA851960:JFB851963 JOW851960:JOX851963 JYS851960:JYT851963 KIO851960:KIP851963 KSK851960:KSL851963 LCG851960:LCH851963 LMC851960:LMD851963 LVY851960:LVZ851963 MFU851960:MFV851963 MPQ851960:MPR851963 MZM851960:MZN851963 NJI851960:NJJ851963 NTE851960:NTF851963 ODA851960:ODB851963 OMW851960:OMX851963 OWS851960:OWT851963 PGO851960:PGP851963 PQK851960:PQL851963 QAG851960:QAH851963 QKC851960:QKD851963 QTY851960:QTZ851963 RDU851960:RDV851963 RNQ851960:RNR851963 RXM851960:RXN851963 SHI851960:SHJ851963 SRE851960:SRF851963 TBA851960:TBB851963 TKW851960:TKX851963 TUS851960:TUT851963 UEO851960:UEP851963 UOK851960:UOL851963 UYG851960:UYH851963 VIC851960:VID851963 VRY851960:VRZ851963 WBU851960:WBV851963 WLQ851960:WLR851963 WVM851960:WVN851963 JA917496:JB917499 SW917496:SX917499 ACS917496:ACT917499 AMO917496:AMP917499 AWK917496:AWL917499 BGG917496:BGH917499 BQC917496:BQD917499 BZY917496:BZZ917499 CJU917496:CJV917499 CTQ917496:CTR917499 DDM917496:DDN917499 DNI917496:DNJ917499 DXE917496:DXF917499 EHA917496:EHB917499 EQW917496:EQX917499 FAS917496:FAT917499 FKO917496:FKP917499 FUK917496:FUL917499 GEG917496:GEH917499 GOC917496:GOD917499 GXY917496:GXZ917499 HHU917496:HHV917499 HRQ917496:HRR917499 IBM917496:IBN917499 ILI917496:ILJ917499 IVE917496:IVF917499 JFA917496:JFB917499 JOW917496:JOX917499 JYS917496:JYT917499 KIO917496:KIP917499 KSK917496:KSL917499 LCG917496:LCH917499 LMC917496:LMD917499 LVY917496:LVZ917499 MFU917496:MFV917499 MPQ917496:MPR917499 MZM917496:MZN917499 NJI917496:NJJ917499 NTE917496:NTF917499 ODA917496:ODB917499 OMW917496:OMX917499 OWS917496:OWT917499 PGO917496:PGP917499 PQK917496:PQL917499 QAG917496:QAH917499 QKC917496:QKD917499 QTY917496:QTZ917499 RDU917496:RDV917499 RNQ917496:RNR917499 RXM917496:RXN917499 SHI917496:SHJ917499 SRE917496:SRF917499 TBA917496:TBB917499 TKW917496:TKX917499 TUS917496:TUT917499 UEO917496:UEP917499 UOK917496:UOL917499 UYG917496:UYH917499 VIC917496:VID917499 VRY917496:VRZ917499 WBU917496:WBV917499 WLQ917496:WLR917499 WVM917496:WVN917499 JA983032:JB983035 SW983032:SX983035 ACS983032:ACT983035 AMO983032:AMP983035 AWK983032:AWL983035 BGG983032:BGH983035 BQC983032:BQD983035 BZY983032:BZZ983035 CJU983032:CJV983035 CTQ983032:CTR983035 DDM983032:DDN983035 DNI983032:DNJ983035 DXE983032:DXF983035 EHA983032:EHB983035 EQW983032:EQX983035 FAS983032:FAT983035 FKO983032:FKP983035 FUK983032:FUL983035 GEG983032:GEH983035 GOC983032:GOD983035 GXY983032:GXZ983035 HHU983032:HHV983035 HRQ983032:HRR983035 IBM983032:IBN983035 ILI983032:ILJ983035 IVE983032:IVF983035 JFA983032:JFB983035 JOW983032:JOX983035 JYS983032:JYT983035 KIO983032:KIP983035 KSK983032:KSL983035 LCG983032:LCH983035 LMC983032:LMD983035 LVY983032:LVZ983035 MFU983032:MFV983035 MPQ983032:MPR983035 MZM983032:MZN983035 NJI983032:NJJ983035 NTE983032:NTF983035 ODA983032:ODB983035 OMW983032:OMX983035 OWS983032:OWT983035 PGO983032:PGP983035 PQK983032:PQL983035 QAG983032:QAH983035 QKC983032:QKD983035 QTY983032:QTZ983035 RDU983032:RDV983035 RNQ983032:RNR983035 RXM983032:RXN983035 SHI983032:SHJ983035 SRE983032:SRF983035 TBA983032:TBB983035 TKW983032:TKX983035 TUS983032:TUT983035 UEO983032:UEP983035 UOK983032:UOL983035 UYG983032:UYH983035 VIC983032:VID983035 VRY983032:VRZ983035 WBU983032:WBV983035 WLQ983032:WLR983035 WVM983032:WVN983035 WLF983032:WLG983035 IE65528:IF65531 SA65528:SB65531 ABW65528:ABX65531 ALS65528:ALT65531 AVO65528:AVP65531 BFK65528:BFL65531 BPG65528:BPH65531 BZC65528:BZD65531 CIY65528:CIZ65531 CSU65528:CSV65531 DCQ65528:DCR65531 DMM65528:DMN65531 DWI65528:DWJ65531 EGE65528:EGF65531 EQA65528:EQB65531 EZW65528:EZX65531 FJS65528:FJT65531 FTO65528:FTP65531 GDK65528:GDL65531 GNG65528:GNH65531 GXC65528:GXD65531 HGY65528:HGZ65531 HQU65528:HQV65531 IAQ65528:IAR65531 IKM65528:IKN65531 IUI65528:IUJ65531 JEE65528:JEF65531 JOA65528:JOB65531 JXW65528:JXX65531 KHS65528:KHT65531 KRO65528:KRP65531 LBK65528:LBL65531 LLG65528:LLH65531 LVC65528:LVD65531 MEY65528:MEZ65531 MOU65528:MOV65531 MYQ65528:MYR65531 NIM65528:NIN65531 NSI65528:NSJ65531 OCE65528:OCF65531 OMA65528:OMB65531 OVW65528:OVX65531 PFS65528:PFT65531 PPO65528:PPP65531 PZK65528:PZL65531 QJG65528:QJH65531 QTC65528:QTD65531 RCY65528:RCZ65531 RMU65528:RMV65531 RWQ65528:RWR65531 SGM65528:SGN65531 SQI65528:SQJ65531 TAE65528:TAF65531 TKA65528:TKB65531 TTW65528:TTX65531 UDS65528:UDT65531 UNO65528:UNP65531 UXK65528:UXL65531 VHG65528:VHH65531 VRC65528:VRD65531 WAY65528:WAZ65531 WKU65528:WKV65531 WUQ65528:WUR65531 IE131064:IF131067 SA131064:SB131067 ABW131064:ABX131067 ALS131064:ALT131067 AVO131064:AVP131067 BFK131064:BFL131067 BPG131064:BPH131067 BZC131064:BZD131067 CIY131064:CIZ131067 CSU131064:CSV131067 DCQ131064:DCR131067 DMM131064:DMN131067 DWI131064:DWJ131067 EGE131064:EGF131067 EQA131064:EQB131067 EZW131064:EZX131067 FJS131064:FJT131067 FTO131064:FTP131067 GDK131064:GDL131067 GNG131064:GNH131067 GXC131064:GXD131067 HGY131064:HGZ131067 HQU131064:HQV131067 IAQ131064:IAR131067 IKM131064:IKN131067 IUI131064:IUJ131067 JEE131064:JEF131067 JOA131064:JOB131067 JXW131064:JXX131067 KHS131064:KHT131067 KRO131064:KRP131067 LBK131064:LBL131067 LLG131064:LLH131067 LVC131064:LVD131067 MEY131064:MEZ131067 MOU131064:MOV131067 MYQ131064:MYR131067 NIM131064:NIN131067 NSI131064:NSJ131067 OCE131064:OCF131067 OMA131064:OMB131067 OVW131064:OVX131067 PFS131064:PFT131067 PPO131064:PPP131067 PZK131064:PZL131067 QJG131064:QJH131067 QTC131064:QTD131067 RCY131064:RCZ131067 RMU131064:RMV131067 RWQ131064:RWR131067 SGM131064:SGN131067 SQI131064:SQJ131067 TAE131064:TAF131067 TKA131064:TKB131067 TTW131064:TTX131067 UDS131064:UDT131067 UNO131064:UNP131067 UXK131064:UXL131067 VHG131064:VHH131067 VRC131064:VRD131067 WAY131064:WAZ131067 WKU131064:WKV131067 WUQ131064:WUR131067 IE196600:IF196603 SA196600:SB196603 ABW196600:ABX196603 ALS196600:ALT196603 AVO196600:AVP196603 BFK196600:BFL196603 BPG196600:BPH196603 BZC196600:BZD196603 CIY196600:CIZ196603 CSU196600:CSV196603 DCQ196600:DCR196603 DMM196600:DMN196603 DWI196600:DWJ196603 EGE196600:EGF196603 EQA196600:EQB196603 EZW196600:EZX196603 FJS196600:FJT196603 FTO196600:FTP196603 GDK196600:GDL196603 GNG196600:GNH196603 GXC196600:GXD196603 HGY196600:HGZ196603 HQU196600:HQV196603 IAQ196600:IAR196603 IKM196600:IKN196603 IUI196600:IUJ196603 JEE196600:JEF196603 JOA196600:JOB196603 JXW196600:JXX196603 KHS196600:KHT196603 KRO196600:KRP196603 LBK196600:LBL196603 LLG196600:LLH196603 LVC196600:LVD196603 MEY196600:MEZ196603 MOU196600:MOV196603 MYQ196600:MYR196603 NIM196600:NIN196603 NSI196600:NSJ196603 OCE196600:OCF196603 OMA196600:OMB196603 OVW196600:OVX196603 PFS196600:PFT196603 PPO196600:PPP196603 PZK196600:PZL196603 QJG196600:QJH196603 QTC196600:QTD196603 RCY196600:RCZ196603 RMU196600:RMV196603 RWQ196600:RWR196603 SGM196600:SGN196603 SQI196600:SQJ196603 TAE196600:TAF196603 TKA196600:TKB196603 TTW196600:TTX196603 UDS196600:UDT196603 UNO196600:UNP196603 UXK196600:UXL196603 VHG196600:VHH196603 VRC196600:VRD196603 WAY196600:WAZ196603 WKU196600:WKV196603 WUQ196600:WUR196603 IE262136:IF262139 SA262136:SB262139 ABW262136:ABX262139 ALS262136:ALT262139 AVO262136:AVP262139 BFK262136:BFL262139 BPG262136:BPH262139 BZC262136:BZD262139 CIY262136:CIZ262139 CSU262136:CSV262139 DCQ262136:DCR262139 DMM262136:DMN262139 DWI262136:DWJ262139 EGE262136:EGF262139 EQA262136:EQB262139 EZW262136:EZX262139 FJS262136:FJT262139 FTO262136:FTP262139 GDK262136:GDL262139 GNG262136:GNH262139 GXC262136:GXD262139 HGY262136:HGZ262139 HQU262136:HQV262139 IAQ262136:IAR262139 IKM262136:IKN262139 IUI262136:IUJ262139 JEE262136:JEF262139 JOA262136:JOB262139 JXW262136:JXX262139 KHS262136:KHT262139 KRO262136:KRP262139 LBK262136:LBL262139 LLG262136:LLH262139 LVC262136:LVD262139 MEY262136:MEZ262139 MOU262136:MOV262139 MYQ262136:MYR262139 NIM262136:NIN262139 NSI262136:NSJ262139 OCE262136:OCF262139 OMA262136:OMB262139 OVW262136:OVX262139 PFS262136:PFT262139 PPO262136:PPP262139 PZK262136:PZL262139 QJG262136:QJH262139 QTC262136:QTD262139 RCY262136:RCZ262139 RMU262136:RMV262139 RWQ262136:RWR262139 SGM262136:SGN262139 SQI262136:SQJ262139 TAE262136:TAF262139 TKA262136:TKB262139 TTW262136:TTX262139 UDS262136:UDT262139 UNO262136:UNP262139 UXK262136:UXL262139 VHG262136:VHH262139 VRC262136:VRD262139 WAY262136:WAZ262139 WKU262136:WKV262139 WUQ262136:WUR262139 IE327672:IF327675 SA327672:SB327675 ABW327672:ABX327675 ALS327672:ALT327675 AVO327672:AVP327675 BFK327672:BFL327675 BPG327672:BPH327675 BZC327672:BZD327675 CIY327672:CIZ327675 CSU327672:CSV327675 DCQ327672:DCR327675 DMM327672:DMN327675 DWI327672:DWJ327675 EGE327672:EGF327675 EQA327672:EQB327675 EZW327672:EZX327675 FJS327672:FJT327675 FTO327672:FTP327675 GDK327672:GDL327675 GNG327672:GNH327675 GXC327672:GXD327675 HGY327672:HGZ327675 HQU327672:HQV327675 IAQ327672:IAR327675 IKM327672:IKN327675 IUI327672:IUJ327675 JEE327672:JEF327675 JOA327672:JOB327675 JXW327672:JXX327675 KHS327672:KHT327675 KRO327672:KRP327675 LBK327672:LBL327675 LLG327672:LLH327675 LVC327672:LVD327675 MEY327672:MEZ327675 MOU327672:MOV327675 MYQ327672:MYR327675 NIM327672:NIN327675 NSI327672:NSJ327675 OCE327672:OCF327675 OMA327672:OMB327675 OVW327672:OVX327675 PFS327672:PFT327675 PPO327672:PPP327675 PZK327672:PZL327675 QJG327672:QJH327675 QTC327672:QTD327675 RCY327672:RCZ327675 RMU327672:RMV327675 RWQ327672:RWR327675 SGM327672:SGN327675 SQI327672:SQJ327675 TAE327672:TAF327675 TKA327672:TKB327675 TTW327672:TTX327675 UDS327672:UDT327675 UNO327672:UNP327675 UXK327672:UXL327675 VHG327672:VHH327675 VRC327672:VRD327675 WAY327672:WAZ327675 WKU327672:WKV327675 WUQ327672:WUR327675 IE393208:IF393211 SA393208:SB393211 ABW393208:ABX393211 ALS393208:ALT393211 AVO393208:AVP393211 BFK393208:BFL393211 BPG393208:BPH393211 BZC393208:BZD393211 CIY393208:CIZ393211 CSU393208:CSV393211 DCQ393208:DCR393211 DMM393208:DMN393211 DWI393208:DWJ393211 EGE393208:EGF393211 EQA393208:EQB393211 EZW393208:EZX393211 FJS393208:FJT393211 FTO393208:FTP393211 GDK393208:GDL393211 GNG393208:GNH393211 GXC393208:GXD393211 HGY393208:HGZ393211 HQU393208:HQV393211 IAQ393208:IAR393211 IKM393208:IKN393211 IUI393208:IUJ393211 JEE393208:JEF393211 JOA393208:JOB393211 JXW393208:JXX393211 KHS393208:KHT393211 KRO393208:KRP393211 LBK393208:LBL393211 LLG393208:LLH393211 LVC393208:LVD393211 MEY393208:MEZ393211 MOU393208:MOV393211 MYQ393208:MYR393211 NIM393208:NIN393211 NSI393208:NSJ393211 OCE393208:OCF393211 OMA393208:OMB393211 OVW393208:OVX393211 PFS393208:PFT393211 PPO393208:PPP393211 PZK393208:PZL393211 QJG393208:QJH393211 QTC393208:QTD393211 RCY393208:RCZ393211 RMU393208:RMV393211 RWQ393208:RWR393211 SGM393208:SGN393211 SQI393208:SQJ393211 TAE393208:TAF393211 TKA393208:TKB393211 TTW393208:TTX393211 UDS393208:UDT393211 UNO393208:UNP393211 UXK393208:UXL393211 VHG393208:VHH393211 VRC393208:VRD393211 WAY393208:WAZ393211 WKU393208:WKV393211 WUQ393208:WUR393211 IE458744:IF458747 SA458744:SB458747 ABW458744:ABX458747 ALS458744:ALT458747 AVO458744:AVP458747 BFK458744:BFL458747 BPG458744:BPH458747 BZC458744:BZD458747 CIY458744:CIZ458747 CSU458744:CSV458747 DCQ458744:DCR458747 DMM458744:DMN458747 DWI458744:DWJ458747 EGE458744:EGF458747 EQA458744:EQB458747 EZW458744:EZX458747 FJS458744:FJT458747 FTO458744:FTP458747 GDK458744:GDL458747 GNG458744:GNH458747 GXC458744:GXD458747 HGY458744:HGZ458747 HQU458744:HQV458747 IAQ458744:IAR458747 IKM458744:IKN458747 IUI458744:IUJ458747 JEE458744:JEF458747 JOA458744:JOB458747 JXW458744:JXX458747 KHS458744:KHT458747 KRO458744:KRP458747 LBK458744:LBL458747 LLG458744:LLH458747 LVC458744:LVD458747 MEY458744:MEZ458747 MOU458744:MOV458747 MYQ458744:MYR458747 NIM458744:NIN458747 NSI458744:NSJ458747 OCE458744:OCF458747 OMA458744:OMB458747 OVW458744:OVX458747 PFS458744:PFT458747 PPO458744:PPP458747 PZK458744:PZL458747 QJG458744:QJH458747 QTC458744:QTD458747 RCY458744:RCZ458747 RMU458744:RMV458747 RWQ458744:RWR458747 SGM458744:SGN458747 SQI458744:SQJ458747 TAE458744:TAF458747 TKA458744:TKB458747 TTW458744:TTX458747 UDS458744:UDT458747 UNO458744:UNP458747 UXK458744:UXL458747 VHG458744:VHH458747 VRC458744:VRD458747 WAY458744:WAZ458747 WKU458744:WKV458747 WUQ458744:WUR458747 IE524280:IF524283 SA524280:SB524283 ABW524280:ABX524283 ALS524280:ALT524283 AVO524280:AVP524283 BFK524280:BFL524283 BPG524280:BPH524283 BZC524280:BZD524283 CIY524280:CIZ524283 CSU524280:CSV524283 DCQ524280:DCR524283 DMM524280:DMN524283 DWI524280:DWJ524283 EGE524280:EGF524283 EQA524280:EQB524283 EZW524280:EZX524283 FJS524280:FJT524283 FTO524280:FTP524283 GDK524280:GDL524283 GNG524280:GNH524283 GXC524280:GXD524283 HGY524280:HGZ524283 HQU524280:HQV524283 IAQ524280:IAR524283 IKM524280:IKN524283 IUI524280:IUJ524283 JEE524280:JEF524283 JOA524280:JOB524283 JXW524280:JXX524283 KHS524280:KHT524283 KRO524280:KRP524283 LBK524280:LBL524283 LLG524280:LLH524283 LVC524280:LVD524283 MEY524280:MEZ524283 MOU524280:MOV524283 MYQ524280:MYR524283 NIM524280:NIN524283 NSI524280:NSJ524283 OCE524280:OCF524283 OMA524280:OMB524283 OVW524280:OVX524283 PFS524280:PFT524283 PPO524280:PPP524283 PZK524280:PZL524283 QJG524280:QJH524283 QTC524280:QTD524283 RCY524280:RCZ524283 RMU524280:RMV524283 RWQ524280:RWR524283 SGM524280:SGN524283 SQI524280:SQJ524283 TAE524280:TAF524283 TKA524280:TKB524283 TTW524280:TTX524283 UDS524280:UDT524283 UNO524280:UNP524283 UXK524280:UXL524283 VHG524280:VHH524283 VRC524280:VRD524283 WAY524280:WAZ524283 WKU524280:WKV524283 WUQ524280:WUR524283 IE589816:IF589819 SA589816:SB589819 ABW589816:ABX589819 ALS589816:ALT589819 AVO589816:AVP589819 BFK589816:BFL589819 BPG589816:BPH589819 BZC589816:BZD589819 CIY589816:CIZ589819 CSU589816:CSV589819 DCQ589816:DCR589819 DMM589816:DMN589819 DWI589816:DWJ589819 EGE589816:EGF589819 EQA589816:EQB589819 EZW589816:EZX589819 FJS589816:FJT589819 FTO589816:FTP589819 GDK589816:GDL589819 GNG589816:GNH589819 GXC589816:GXD589819 HGY589816:HGZ589819 HQU589816:HQV589819 IAQ589816:IAR589819 IKM589816:IKN589819 IUI589816:IUJ589819 JEE589816:JEF589819 JOA589816:JOB589819 JXW589816:JXX589819 KHS589816:KHT589819 KRO589816:KRP589819 LBK589816:LBL589819 LLG589816:LLH589819 LVC589816:LVD589819 MEY589816:MEZ589819 MOU589816:MOV589819 MYQ589816:MYR589819 NIM589816:NIN589819 NSI589816:NSJ589819 OCE589816:OCF589819 OMA589816:OMB589819 OVW589816:OVX589819 PFS589816:PFT589819 PPO589816:PPP589819 PZK589816:PZL589819 QJG589816:QJH589819 QTC589816:QTD589819 RCY589816:RCZ589819 RMU589816:RMV589819 RWQ589816:RWR589819 SGM589816:SGN589819 SQI589816:SQJ589819 TAE589816:TAF589819 TKA589816:TKB589819 TTW589816:TTX589819 UDS589816:UDT589819 UNO589816:UNP589819 UXK589816:UXL589819 VHG589816:VHH589819 VRC589816:VRD589819 WAY589816:WAZ589819 WKU589816:WKV589819 WUQ589816:WUR589819 IE655352:IF655355 SA655352:SB655355 ABW655352:ABX655355 ALS655352:ALT655355 AVO655352:AVP655355 BFK655352:BFL655355 BPG655352:BPH655355 BZC655352:BZD655355 CIY655352:CIZ655355 CSU655352:CSV655355 DCQ655352:DCR655355 DMM655352:DMN655355 DWI655352:DWJ655355 EGE655352:EGF655355 EQA655352:EQB655355 EZW655352:EZX655355 FJS655352:FJT655355 FTO655352:FTP655355 GDK655352:GDL655355 GNG655352:GNH655355 GXC655352:GXD655355 HGY655352:HGZ655355 HQU655352:HQV655355 IAQ655352:IAR655355 IKM655352:IKN655355 IUI655352:IUJ655355 JEE655352:JEF655355 JOA655352:JOB655355 JXW655352:JXX655355 KHS655352:KHT655355 KRO655352:KRP655355 LBK655352:LBL655355 LLG655352:LLH655355 LVC655352:LVD655355 MEY655352:MEZ655355 MOU655352:MOV655355 MYQ655352:MYR655355 NIM655352:NIN655355 NSI655352:NSJ655355 OCE655352:OCF655355 OMA655352:OMB655355 OVW655352:OVX655355 PFS655352:PFT655355 PPO655352:PPP655355 PZK655352:PZL655355 QJG655352:QJH655355 QTC655352:QTD655355 RCY655352:RCZ655355 RMU655352:RMV655355 RWQ655352:RWR655355 SGM655352:SGN655355 SQI655352:SQJ655355 TAE655352:TAF655355 TKA655352:TKB655355 TTW655352:TTX655355 UDS655352:UDT655355 UNO655352:UNP655355 UXK655352:UXL655355 VHG655352:VHH655355 VRC655352:VRD655355 WAY655352:WAZ655355 WKU655352:WKV655355 WUQ655352:WUR655355 IE720888:IF720891 SA720888:SB720891 ABW720888:ABX720891 ALS720888:ALT720891 AVO720888:AVP720891 BFK720888:BFL720891 BPG720888:BPH720891 BZC720888:BZD720891 CIY720888:CIZ720891 CSU720888:CSV720891 DCQ720888:DCR720891 DMM720888:DMN720891 DWI720888:DWJ720891 EGE720888:EGF720891 EQA720888:EQB720891 EZW720888:EZX720891 FJS720888:FJT720891 FTO720888:FTP720891 GDK720888:GDL720891 GNG720888:GNH720891 GXC720888:GXD720891 HGY720888:HGZ720891 HQU720888:HQV720891 IAQ720888:IAR720891 IKM720888:IKN720891 IUI720888:IUJ720891 JEE720888:JEF720891 JOA720888:JOB720891 JXW720888:JXX720891 KHS720888:KHT720891 KRO720888:KRP720891 LBK720888:LBL720891 LLG720888:LLH720891 LVC720888:LVD720891 MEY720888:MEZ720891 MOU720888:MOV720891 MYQ720888:MYR720891 NIM720888:NIN720891 NSI720888:NSJ720891 OCE720888:OCF720891 OMA720888:OMB720891 OVW720888:OVX720891 PFS720888:PFT720891 PPO720888:PPP720891 PZK720888:PZL720891 QJG720888:QJH720891 QTC720888:QTD720891 RCY720888:RCZ720891 RMU720888:RMV720891 RWQ720888:RWR720891 SGM720888:SGN720891 SQI720888:SQJ720891 TAE720888:TAF720891 TKA720888:TKB720891 TTW720888:TTX720891 UDS720888:UDT720891 UNO720888:UNP720891 UXK720888:UXL720891 VHG720888:VHH720891 VRC720888:VRD720891 WAY720888:WAZ720891 WKU720888:WKV720891 WUQ720888:WUR720891 IE786424:IF786427 SA786424:SB786427 ABW786424:ABX786427 ALS786424:ALT786427 AVO786424:AVP786427 BFK786424:BFL786427 BPG786424:BPH786427 BZC786424:BZD786427 CIY786424:CIZ786427 CSU786424:CSV786427 DCQ786424:DCR786427 DMM786424:DMN786427 DWI786424:DWJ786427 EGE786424:EGF786427 EQA786424:EQB786427 EZW786424:EZX786427 FJS786424:FJT786427 FTO786424:FTP786427 GDK786424:GDL786427 GNG786424:GNH786427 GXC786424:GXD786427 HGY786424:HGZ786427 HQU786424:HQV786427 IAQ786424:IAR786427 IKM786424:IKN786427 IUI786424:IUJ786427 JEE786424:JEF786427 JOA786424:JOB786427 JXW786424:JXX786427 KHS786424:KHT786427 KRO786424:KRP786427 LBK786424:LBL786427 LLG786424:LLH786427 LVC786424:LVD786427 MEY786424:MEZ786427 MOU786424:MOV786427 MYQ786424:MYR786427 NIM786424:NIN786427 NSI786424:NSJ786427 OCE786424:OCF786427 OMA786424:OMB786427 OVW786424:OVX786427 PFS786424:PFT786427 PPO786424:PPP786427 PZK786424:PZL786427 QJG786424:QJH786427 QTC786424:QTD786427 RCY786424:RCZ786427 RMU786424:RMV786427 RWQ786424:RWR786427 SGM786424:SGN786427 SQI786424:SQJ786427 TAE786424:TAF786427 TKA786424:TKB786427 TTW786424:TTX786427 UDS786424:UDT786427 UNO786424:UNP786427 UXK786424:UXL786427 VHG786424:VHH786427 VRC786424:VRD786427 WAY786424:WAZ786427 WKU786424:WKV786427 WUQ786424:WUR786427 IE851960:IF851963 SA851960:SB851963 ABW851960:ABX851963 ALS851960:ALT851963 AVO851960:AVP851963 BFK851960:BFL851963 BPG851960:BPH851963 BZC851960:BZD851963 CIY851960:CIZ851963 CSU851960:CSV851963 DCQ851960:DCR851963 DMM851960:DMN851963 DWI851960:DWJ851963 EGE851960:EGF851963 EQA851960:EQB851963 EZW851960:EZX851963 FJS851960:FJT851963 FTO851960:FTP851963 GDK851960:GDL851963 GNG851960:GNH851963 GXC851960:GXD851963 HGY851960:HGZ851963 HQU851960:HQV851963 IAQ851960:IAR851963 IKM851960:IKN851963 IUI851960:IUJ851963 JEE851960:JEF851963 JOA851960:JOB851963 JXW851960:JXX851963 KHS851960:KHT851963 KRO851960:KRP851963 LBK851960:LBL851963 LLG851960:LLH851963 LVC851960:LVD851963 MEY851960:MEZ851963 MOU851960:MOV851963 MYQ851960:MYR851963 NIM851960:NIN851963 NSI851960:NSJ851963 OCE851960:OCF851963 OMA851960:OMB851963 OVW851960:OVX851963 PFS851960:PFT851963 PPO851960:PPP851963 PZK851960:PZL851963 QJG851960:QJH851963 QTC851960:QTD851963 RCY851960:RCZ851963 RMU851960:RMV851963 RWQ851960:RWR851963 SGM851960:SGN851963 SQI851960:SQJ851963 TAE851960:TAF851963 TKA851960:TKB851963 TTW851960:TTX851963 UDS851960:UDT851963 UNO851960:UNP851963 UXK851960:UXL851963 VHG851960:VHH851963 VRC851960:VRD851963 WAY851960:WAZ851963 WKU851960:WKV851963 WUQ851960:WUR851963 IE917496:IF917499 SA917496:SB917499 ABW917496:ABX917499 ALS917496:ALT917499 AVO917496:AVP917499 BFK917496:BFL917499 BPG917496:BPH917499 BZC917496:BZD917499 CIY917496:CIZ917499 CSU917496:CSV917499 DCQ917496:DCR917499 DMM917496:DMN917499 DWI917496:DWJ917499 EGE917496:EGF917499 EQA917496:EQB917499 EZW917496:EZX917499 FJS917496:FJT917499 FTO917496:FTP917499 GDK917496:GDL917499 GNG917496:GNH917499 GXC917496:GXD917499 HGY917496:HGZ917499 HQU917496:HQV917499 IAQ917496:IAR917499 IKM917496:IKN917499 IUI917496:IUJ917499 JEE917496:JEF917499 JOA917496:JOB917499 JXW917496:JXX917499 KHS917496:KHT917499 KRO917496:KRP917499 LBK917496:LBL917499 LLG917496:LLH917499 LVC917496:LVD917499 MEY917496:MEZ917499 MOU917496:MOV917499 MYQ917496:MYR917499 NIM917496:NIN917499 NSI917496:NSJ917499 OCE917496:OCF917499 OMA917496:OMB917499 OVW917496:OVX917499 PFS917496:PFT917499 PPO917496:PPP917499 PZK917496:PZL917499 QJG917496:QJH917499 QTC917496:QTD917499 RCY917496:RCZ917499 RMU917496:RMV917499 RWQ917496:RWR917499 SGM917496:SGN917499 SQI917496:SQJ917499 TAE917496:TAF917499 TKA917496:TKB917499 TTW917496:TTX917499 UDS917496:UDT917499 UNO917496:UNP917499 UXK917496:UXL917499 VHG917496:VHH917499 VRC917496:VRD917499 WAY917496:WAZ917499 WKU917496:WKV917499 WUQ917496:WUR917499 IE983032:IF983035 SA983032:SB983035 ABW983032:ABX983035 ALS983032:ALT983035 AVO983032:AVP983035 BFK983032:BFL983035 BPG983032:BPH983035 BZC983032:BZD983035 CIY983032:CIZ983035 CSU983032:CSV983035 DCQ983032:DCR983035 DMM983032:DMN983035 DWI983032:DWJ983035 EGE983032:EGF983035 EQA983032:EQB983035 EZW983032:EZX983035 FJS983032:FJT983035 FTO983032:FTP983035 GDK983032:GDL983035 GNG983032:GNH983035 GXC983032:GXD983035 HGY983032:HGZ983035 HQU983032:HQV983035 IAQ983032:IAR983035 IKM983032:IKN983035 IUI983032:IUJ983035 JEE983032:JEF983035 JOA983032:JOB983035 JXW983032:JXX983035 KHS983032:KHT983035 KRO983032:KRP983035 LBK983032:LBL983035 LLG983032:LLH983035 LVC983032:LVD983035 MEY983032:MEZ983035 MOU983032:MOV983035 MYQ983032:MYR983035 NIM983032:NIN983035 NSI983032:NSJ983035 OCE983032:OCF983035 OMA983032:OMB983035 OVW983032:OVX983035 PFS983032:PFT983035 PPO983032:PPP983035 PZK983032:PZL983035 QJG983032:QJH983035 QTC983032:QTD983035 RCY983032:RCZ983035 RMU983032:RMV983035 RWQ983032:RWR983035 SGM983032:SGN983035 SQI983032:SQJ983035 TAE983032:TAF983035 TKA983032:TKB983035 TTW983032:TTX983035 UDS983032:UDT983035 UNO983032:UNP983035 UXK983032:UXL983035 VHG983032:VHH983035 VRC983032:VRD983035 WAY983032:WAZ983035 WKU983032:WKV983035 WUQ983032:WUR983035 WVB983032:WVC983035 VRN983032:VRO983035 IP65528:IQ65531 SL65528:SM65531 ACH65528:ACI65531 AMD65528:AME65531 AVZ65528:AWA65531 BFV65528:BFW65531 BPR65528:BPS65531 BZN65528:BZO65531 CJJ65528:CJK65531 CTF65528:CTG65531 DDB65528:DDC65531 DMX65528:DMY65531 DWT65528:DWU65531 EGP65528:EGQ65531 EQL65528:EQM65531 FAH65528:FAI65531 FKD65528:FKE65531 FTZ65528:FUA65531 GDV65528:GDW65531 GNR65528:GNS65531 GXN65528:GXO65531 HHJ65528:HHK65531 HRF65528:HRG65531 IBB65528:IBC65531 IKX65528:IKY65531 IUT65528:IUU65531 JEP65528:JEQ65531 JOL65528:JOM65531 JYH65528:JYI65531 KID65528:KIE65531 KRZ65528:KSA65531 LBV65528:LBW65531 LLR65528:LLS65531 LVN65528:LVO65531 MFJ65528:MFK65531 MPF65528:MPG65531 MZB65528:MZC65531 NIX65528:NIY65531 NST65528:NSU65531 OCP65528:OCQ65531 OML65528:OMM65531 OWH65528:OWI65531 PGD65528:PGE65531 PPZ65528:PQA65531 PZV65528:PZW65531 QJR65528:QJS65531 QTN65528:QTO65531 RDJ65528:RDK65531 RNF65528:RNG65531 RXB65528:RXC65531 SGX65528:SGY65531 SQT65528:SQU65531 TAP65528:TAQ65531 TKL65528:TKM65531 TUH65528:TUI65531 UED65528:UEE65531 UNZ65528:UOA65531 UXV65528:UXW65531 VHR65528:VHS65531 VRN65528:VRO65531 WBJ65528:WBK65531 WLF65528:WLG65531 WVB65528:WVC65531 IP131064:IQ131067 SL131064:SM131067 ACH131064:ACI131067 AMD131064:AME131067 AVZ131064:AWA131067 BFV131064:BFW131067 BPR131064:BPS131067 BZN131064:BZO131067 CJJ131064:CJK131067 CTF131064:CTG131067 DDB131064:DDC131067 DMX131064:DMY131067 DWT131064:DWU131067 EGP131064:EGQ131067 EQL131064:EQM131067 FAH131064:FAI131067 FKD131064:FKE131067 FTZ131064:FUA131067 GDV131064:GDW131067 GNR131064:GNS131067 GXN131064:GXO131067 HHJ131064:HHK131067 HRF131064:HRG131067 IBB131064:IBC131067 IKX131064:IKY131067 IUT131064:IUU131067 JEP131064:JEQ131067 JOL131064:JOM131067 JYH131064:JYI131067 KID131064:KIE131067 KRZ131064:KSA131067 LBV131064:LBW131067 LLR131064:LLS131067 LVN131064:LVO131067 MFJ131064:MFK131067 MPF131064:MPG131067 MZB131064:MZC131067 NIX131064:NIY131067 NST131064:NSU131067 OCP131064:OCQ131067 OML131064:OMM131067 OWH131064:OWI131067 PGD131064:PGE131067 PPZ131064:PQA131067 PZV131064:PZW131067 QJR131064:QJS131067 QTN131064:QTO131067 RDJ131064:RDK131067 RNF131064:RNG131067 RXB131064:RXC131067 SGX131064:SGY131067 SQT131064:SQU131067 TAP131064:TAQ131067 TKL131064:TKM131067 TUH131064:TUI131067 UED131064:UEE131067 UNZ131064:UOA131067 UXV131064:UXW131067 VHR131064:VHS131067 VRN131064:VRO131067 WBJ131064:WBK131067 WLF131064:WLG131067 WVB131064:WVC131067 IP196600:IQ196603 SL196600:SM196603 ACH196600:ACI196603 AMD196600:AME196603 AVZ196600:AWA196603 BFV196600:BFW196603 BPR196600:BPS196603 BZN196600:BZO196603 CJJ196600:CJK196603 CTF196600:CTG196603 DDB196600:DDC196603 DMX196600:DMY196603 DWT196600:DWU196603 EGP196600:EGQ196603 EQL196600:EQM196603 FAH196600:FAI196603 FKD196600:FKE196603 FTZ196600:FUA196603 GDV196600:GDW196603 GNR196600:GNS196603 GXN196600:GXO196603 HHJ196600:HHK196603 HRF196600:HRG196603 IBB196600:IBC196603 IKX196600:IKY196603 IUT196600:IUU196603 JEP196600:JEQ196603 JOL196600:JOM196603 JYH196600:JYI196603 KID196600:KIE196603 KRZ196600:KSA196603 LBV196600:LBW196603 LLR196600:LLS196603 LVN196600:LVO196603 MFJ196600:MFK196603 MPF196600:MPG196603 MZB196600:MZC196603 NIX196600:NIY196603 NST196600:NSU196603 OCP196600:OCQ196603 OML196600:OMM196603 OWH196600:OWI196603 PGD196600:PGE196603 PPZ196600:PQA196603 PZV196600:PZW196603 QJR196600:QJS196603 QTN196600:QTO196603 RDJ196600:RDK196603 RNF196600:RNG196603 RXB196600:RXC196603 SGX196600:SGY196603 SQT196600:SQU196603 TAP196600:TAQ196603 TKL196600:TKM196603 TUH196600:TUI196603 UED196600:UEE196603 UNZ196600:UOA196603 UXV196600:UXW196603 VHR196600:VHS196603 VRN196600:VRO196603 WBJ196600:WBK196603 WLF196600:WLG196603 WVB196600:WVC196603 IP262136:IQ262139 SL262136:SM262139 ACH262136:ACI262139 AMD262136:AME262139 AVZ262136:AWA262139 BFV262136:BFW262139 BPR262136:BPS262139 BZN262136:BZO262139 CJJ262136:CJK262139 CTF262136:CTG262139 DDB262136:DDC262139 DMX262136:DMY262139 DWT262136:DWU262139 EGP262136:EGQ262139 EQL262136:EQM262139 FAH262136:FAI262139 FKD262136:FKE262139 FTZ262136:FUA262139 GDV262136:GDW262139 GNR262136:GNS262139 GXN262136:GXO262139 HHJ262136:HHK262139 HRF262136:HRG262139 IBB262136:IBC262139 IKX262136:IKY262139 IUT262136:IUU262139 JEP262136:JEQ262139 JOL262136:JOM262139 JYH262136:JYI262139 KID262136:KIE262139 KRZ262136:KSA262139 LBV262136:LBW262139 LLR262136:LLS262139 LVN262136:LVO262139 MFJ262136:MFK262139 MPF262136:MPG262139 MZB262136:MZC262139 NIX262136:NIY262139 NST262136:NSU262139 OCP262136:OCQ262139 OML262136:OMM262139 OWH262136:OWI262139 PGD262136:PGE262139 PPZ262136:PQA262139 PZV262136:PZW262139 QJR262136:QJS262139 QTN262136:QTO262139 RDJ262136:RDK262139 RNF262136:RNG262139 RXB262136:RXC262139 SGX262136:SGY262139 SQT262136:SQU262139 TAP262136:TAQ262139 TKL262136:TKM262139 TUH262136:TUI262139 UED262136:UEE262139 UNZ262136:UOA262139 UXV262136:UXW262139 VHR262136:VHS262139 VRN262136:VRO262139 WBJ262136:WBK262139 WLF262136:WLG262139 WVB262136:WVC262139 IP327672:IQ327675 SL327672:SM327675 ACH327672:ACI327675 AMD327672:AME327675 AVZ327672:AWA327675 BFV327672:BFW327675 BPR327672:BPS327675 BZN327672:BZO327675 CJJ327672:CJK327675 CTF327672:CTG327675 DDB327672:DDC327675 DMX327672:DMY327675 DWT327672:DWU327675 EGP327672:EGQ327675 EQL327672:EQM327675 FAH327672:FAI327675 FKD327672:FKE327675 FTZ327672:FUA327675 GDV327672:GDW327675 GNR327672:GNS327675 GXN327672:GXO327675 HHJ327672:HHK327675 HRF327672:HRG327675 IBB327672:IBC327675 IKX327672:IKY327675 IUT327672:IUU327675 JEP327672:JEQ327675 JOL327672:JOM327675 JYH327672:JYI327675 KID327672:KIE327675 KRZ327672:KSA327675 LBV327672:LBW327675 LLR327672:LLS327675 LVN327672:LVO327675 MFJ327672:MFK327675 MPF327672:MPG327675 MZB327672:MZC327675 NIX327672:NIY327675 NST327672:NSU327675 OCP327672:OCQ327675 OML327672:OMM327675 OWH327672:OWI327675 PGD327672:PGE327675 PPZ327672:PQA327675 PZV327672:PZW327675 QJR327672:QJS327675 QTN327672:QTO327675 RDJ327672:RDK327675 RNF327672:RNG327675 RXB327672:RXC327675 SGX327672:SGY327675 SQT327672:SQU327675 TAP327672:TAQ327675 TKL327672:TKM327675 TUH327672:TUI327675 UED327672:UEE327675 UNZ327672:UOA327675 UXV327672:UXW327675 VHR327672:VHS327675 VRN327672:VRO327675 WBJ327672:WBK327675 WLF327672:WLG327675 WVB327672:WVC327675 IP393208:IQ393211 SL393208:SM393211 ACH393208:ACI393211 AMD393208:AME393211 AVZ393208:AWA393211 BFV393208:BFW393211 BPR393208:BPS393211 BZN393208:BZO393211 CJJ393208:CJK393211 CTF393208:CTG393211 DDB393208:DDC393211 DMX393208:DMY393211 DWT393208:DWU393211 EGP393208:EGQ393211 EQL393208:EQM393211 FAH393208:FAI393211 FKD393208:FKE393211 FTZ393208:FUA393211 GDV393208:GDW393211 GNR393208:GNS393211 GXN393208:GXO393211 HHJ393208:HHK393211 HRF393208:HRG393211 IBB393208:IBC393211 IKX393208:IKY393211 IUT393208:IUU393211 JEP393208:JEQ393211 JOL393208:JOM393211 JYH393208:JYI393211 KID393208:KIE393211 KRZ393208:KSA393211 LBV393208:LBW393211 LLR393208:LLS393211 LVN393208:LVO393211 MFJ393208:MFK393211 MPF393208:MPG393211 MZB393208:MZC393211 NIX393208:NIY393211 NST393208:NSU393211 OCP393208:OCQ393211 OML393208:OMM393211 OWH393208:OWI393211 PGD393208:PGE393211 PPZ393208:PQA393211 PZV393208:PZW393211 QJR393208:QJS393211 QTN393208:QTO393211 RDJ393208:RDK393211 RNF393208:RNG393211 RXB393208:RXC393211 SGX393208:SGY393211 SQT393208:SQU393211 TAP393208:TAQ393211 TKL393208:TKM393211 TUH393208:TUI393211 UED393208:UEE393211 UNZ393208:UOA393211 UXV393208:UXW393211 VHR393208:VHS393211 VRN393208:VRO393211 WBJ393208:WBK393211 WLF393208:WLG393211 WVB393208:WVC393211 IP458744:IQ458747 SL458744:SM458747 ACH458744:ACI458747 AMD458744:AME458747 AVZ458744:AWA458747 BFV458744:BFW458747 BPR458744:BPS458747 BZN458744:BZO458747 CJJ458744:CJK458747 CTF458744:CTG458747 DDB458744:DDC458747 DMX458744:DMY458747 DWT458744:DWU458747 EGP458744:EGQ458747 EQL458744:EQM458747 FAH458744:FAI458747 FKD458744:FKE458747 FTZ458744:FUA458747 GDV458744:GDW458747 GNR458744:GNS458747 GXN458744:GXO458747 HHJ458744:HHK458747 HRF458744:HRG458747 IBB458744:IBC458747 IKX458744:IKY458747 IUT458744:IUU458747 JEP458744:JEQ458747 JOL458744:JOM458747 JYH458744:JYI458747 KID458744:KIE458747 KRZ458744:KSA458747 LBV458744:LBW458747 LLR458744:LLS458747 LVN458744:LVO458747 MFJ458744:MFK458747 MPF458744:MPG458747 MZB458744:MZC458747 NIX458744:NIY458747 NST458744:NSU458747 OCP458744:OCQ458747 OML458744:OMM458747 OWH458744:OWI458747 PGD458744:PGE458747 PPZ458744:PQA458747 PZV458744:PZW458747 QJR458744:QJS458747 QTN458744:QTO458747 RDJ458744:RDK458747 RNF458744:RNG458747 RXB458744:RXC458747 SGX458744:SGY458747 SQT458744:SQU458747 TAP458744:TAQ458747 TKL458744:TKM458747 TUH458744:TUI458747 UED458744:UEE458747 UNZ458744:UOA458747 UXV458744:UXW458747 VHR458744:VHS458747 VRN458744:VRO458747 WBJ458744:WBK458747 WLF458744:WLG458747 WVB458744:WVC458747 IP524280:IQ524283 SL524280:SM524283 ACH524280:ACI524283 AMD524280:AME524283 AVZ524280:AWA524283 BFV524280:BFW524283 BPR524280:BPS524283 BZN524280:BZO524283 CJJ524280:CJK524283 CTF524280:CTG524283 DDB524280:DDC524283 DMX524280:DMY524283 DWT524280:DWU524283 EGP524280:EGQ524283 EQL524280:EQM524283 FAH524280:FAI524283 FKD524280:FKE524283 FTZ524280:FUA524283 GDV524280:GDW524283 GNR524280:GNS524283 GXN524280:GXO524283 HHJ524280:HHK524283 HRF524280:HRG524283 IBB524280:IBC524283 IKX524280:IKY524283 IUT524280:IUU524283 JEP524280:JEQ524283 JOL524280:JOM524283 JYH524280:JYI524283 KID524280:KIE524283 KRZ524280:KSA524283 LBV524280:LBW524283 LLR524280:LLS524283 LVN524280:LVO524283 MFJ524280:MFK524283 MPF524280:MPG524283 MZB524280:MZC524283 NIX524280:NIY524283 NST524280:NSU524283 OCP524280:OCQ524283 OML524280:OMM524283 OWH524280:OWI524283 PGD524280:PGE524283 PPZ524280:PQA524283 PZV524280:PZW524283 QJR524280:QJS524283 QTN524280:QTO524283 RDJ524280:RDK524283 RNF524280:RNG524283 RXB524280:RXC524283 SGX524280:SGY524283 SQT524280:SQU524283 TAP524280:TAQ524283 TKL524280:TKM524283 TUH524280:TUI524283 UED524280:UEE524283 UNZ524280:UOA524283 UXV524280:UXW524283 VHR524280:VHS524283 VRN524280:VRO524283 WBJ524280:WBK524283 WLF524280:WLG524283 WVB524280:WVC524283 IP589816:IQ589819 SL589816:SM589819 ACH589816:ACI589819 AMD589816:AME589819 AVZ589816:AWA589819 BFV589816:BFW589819 BPR589816:BPS589819 BZN589816:BZO589819 CJJ589816:CJK589819 CTF589816:CTG589819 DDB589816:DDC589819 DMX589816:DMY589819 DWT589816:DWU589819 EGP589816:EGQ589819 EQL589816:EQM589819 FAH589816:FAI589819 FKD589816:FKE589819 FTZ589816:FUA589819 GDV589816:GDW589819 GNR589816:GNS589819 GXN589816:GXO589819 HHJ589816:HHK589819 HRF589816:HRG589819 IBB589816:IBC589819 IKX589816:IKY589819 IUT589816:IUU589819 JEP589816:JEQ589819 JOL589816:JOM589819 JYH589816:JYI589819 KID589816:KIE589819 KRZ589816:KSA589819 LBV589816:LBW589819 LLR589816:LLS589819 LVN589816:LVO589819 MFJ589816:MFK589819 MPF589816:MPG589819 MZB589816:MZC589819 NIX589816:NIY589819 NST589816:NSU589819 OCP589816:OCQ589819 OML589816:OMM589819 OWH589816:OWI589819 PGD589816:PGE589819 PPZ589816:PQA589819 PZV589816:PZW589819 QJR589816:QJS589819 QTN589816:QTO589819 RDJ589816:RDK589819 RNF589816:RNG589819 RXB589816:RXC589819 SGX589816:SGY589819 SQT589816:SQU589819 TAP589816:TAQ589819 TKL589816:TKM589819 TUH589816:TUI589819 UED589816:UEE589819 UNZ589816:UOA589819 UXV589816:UXW589819 VHR589816:VHS589819 VRN589816:VRO589819 WBJ589816:WBK589819 WLF589816:WLG589819 WVB589816:WVC589819 IP655352:IQ655355 SL655352:SM655355 ACH655352:ACI655355 AMD655352:AME655355 AVZ655352:AWA655355 BFV655352:BFW655355 BPR655352:BPS655355 BZN655352:BZO655355 CJJ655352:CJK655355 CTF655352:CTG655355 DDB655352:DDC655355 DMX655352:DMY655355 DWT655352:DWU655355 EGP655352:EGQ655355 EQL655352:EQM655355 FAH655352:FAI655355 FKD655352:FKE655355 FTZ655352:FUA655355 GDV655352:GDW655355 GNR655352:GNS655355 GXN655352:GXO655355 HHJ655352:HHK655355 HRF655352:HRG655355 IBB655352:IBC655355 IKX655352:IKY655355 IUT655352:IUU655355 JEP655352:JEQ655355 JOL655352:JOM655355 JYH655352:JYI655355 KID655352:KIE655355 KRZ655352:KSA655355 LBV655352:LBW655355 LLR655352:LLS655355 LVN655352:LVO655355 MFJ655352:MFK655355 MPF655352:MPG655355 MZB655352:MZC655355 NIX655352:NIY655355 NST655352:NSU655355 OCP655352:OCQ655355 OML655352:OMM655355 OWH655352:OWI655355 PGD655352:PGE655355 PPZ655352:PQA655355 PZV655352:PZW655355 QJR655352:QJS655355 QTN655352:QTO655355 RDJ655352:RDK655355 RNF655352:RNG655355 RXB655352:RXC655355 SGX655352:SGY655355 SQT655352:SQU655355 TAP655352:TAQ655355 TKL655352:TKM655355 TUH655352:TUI655355 UED655352:UEE655355 UNZ655352:UOA655355 UXV655352:UXW655355 VHR655352:VHS655355 VRN655352:VRO655355 WBJ655352:WBK655355 WLF655352:WLG655355 WVB655352:WVC655355 IP720888:IQ720891 SL720888:SM720891 ACH720888:ACI720891 AMD720888:AME720891 AVZ720888:AWA720891 BFV720888:BFW720891 BPR720888:BPS720891 BZN720888:BZO720891 CJJ720888:CJK720891 CTF720888:CTG720891 DDB720888:DDC720891 DMX720888:DMY720891 DWT720888:DWU720891 EGP720888:EGQ720891 EQL720888:EQM720891 FAH720888:FAI720891 FKD720888:FKE720891 FTZ720888:FUA720891 GDV720888:GDW720891 GNR720888:GNS720891 GXN720888:GXO720891 HHJ720888:HHK720891 HRF720888:HRG720891 IBB720888:IBC720891 IKX720888:IKY720891 IUT720888:IUU720891 JEP720888:JEQ720891 JOL720888:JOM720891 JYH720888:JYI720891 KID720888:KIE720891 KRZ720888:KSA720891 LBV720888:LBW720891 LLR720888:LLS720891 LVN720888:LVO720891 MFJ720888:MFK720891 MPF720888:MPG720891 MZB720888:MZC720891 NIX720888:NIY720891 NST720888:NSU720891 OCP720888:OCQ720891 OML720888:OMM720891 OWH720888:OWI720891 PGD720888:PGE720891 PPZ720888:PQA720891 PZV720888:PZW720891 QJR720888:QJS720891 QTN720888:QTO720891 RDJ720888:RDK720891 RNF720888:RNG720891 RXB720888:RXC720891 SGX720888:SGY720891 SQT720888:SQU720891 TAP720888:TAQ720891 TKL720888:TKM720891 TUH720888:TUI720891 UED720888:UEE720891 UNZ720888:UOA720891 UXV720888:UXW720891 VHR720888:VHS720891 VRN720888:VRO720891 WBJ720888:WBK720891 WLF720888:WLG720891 WVB720888:WVC720891 IP786424:IQ786427 SL786424:SM786427 ACH786424:ACI786427 AMD786424:AME786427 AVZ786424:AWA786427 BFV786424:BFW786427 BPR786424:BPS786427 BZN786424:BZO786427 CJJ786424:CJK786427 CTF786424:CTG786427 DDB786424:DDC786427 DMX786424:DMY786427 DWT786424:DWU786427 EGP786424:EGQ786427 EQL786424:EQM786427 FAH786424:FAI786427 FKD786424:FKE786427 FTZ786424:FUA786427 GDV786424:GDW786427 GNR786424:GNS786427 GXN786424:GXO786427 HHJ786424:HHK786427 HRF786424:HRG786427 IBB786424:IBC786427 IKX786424:IKY786427 IUT786424:IUU786427 JEP786424:JEQ786427 JOL786424:JOM786427 JYH786424:JYI786427 KID786424:KIE786427 KRZ786424:KSA786427 LBV786424:LBW786427 LLR786424:LLS786427 LVN786424:LVO786427 MFJ786424:MFK786427 MPF786424:MPG786427 MZB786424:MZC786427 NIX786424:NIY786427 NST786424:NSU786427 OCP786424:OCQ786427 OML786424:OMM786427 OWH786424:OWI786427 PGD786424:PGE786427 PPZ786424:PQA786427 PZV786424:PZW786427 QJR786424:QJS786427 QTN786424:QTO786427 RDJ786424:RDK786427 RNF786424:RNG786427 RXB786424:RXC786427 SGX786424:SGY786427 SQT786424:SQU786427 TAP786424:TAQ786427 TKL786424:TKM786427 TUH786424:TUI786427 UED786424:UEE786427 UNZ786424:UOA786427 UXV786424:UXW786427 VHR786424:VHS786427 VRN786424:VRO786427 WBJ786424:WBK786427 WLF786424:WLG786427 WVB786424:WVC786427 IP851960:IQ851963 SL851960:SM851963 ACH851960:ACI851963 AMD851960:AME851963 AVZ851960:AWA851963 BFV851960:BFW851963 BPR851960:BPS851963 BZN851960:BZO851963 CJJ851960:CJK851963 CTF851960:CTG851963 DDB851960:DDC851963 DMX851960:DMY851963 DWT851960:DWU851963 EGP851960:EGQ851963 EQL851960:EQM851963 FAH851960:FAI851963 FKD851960:FKE851963 FTZ851960:FUA851963 GDV851960:GDW851963 GNR851960:GNS851963 GXN851960:GXO851963 HHJ851960:HHK851963 HRF851960:HRG851963 IBB851960:IBC851963 IKX851960:IKY851963 IUT851960:IUU851963 JEP851960:JEQ851963 JOL851960:JOM851963 JYH851960:JYI851963 KID851960:KIE851963 KRZ851960:KSA851963 LBV851960:LBW851963 LLR851960:LLS851963 LVN851960:LVO851963 MFJ851960:MFK851963 MPF851960:MPG851963 MZB851960:MZC851963 NIX851960:NIY851963 NST851960:NSU851963 OCP851960:OCQ851963 OML851960:OMM851963 OWH851960:OWI851963 PGD851960:PGE851963 PPZ851960:PQA851963 PZV851960:PZW851963 QJR851960:QJS851963 QTN851960:QTO851963 RDJ851960:RDK851963 RNF851960:RNG851963 RXB851960:RXC851963 SGX851960:SGY851963 SQT851960:SQU851963 TAP851960:TAQ851963 TKL851960:TKM851963 TUH851960:TUI851963 UED851960:UEE851963 UNZ851960:UOA851963 UXV851960:UXW851963 VHR851960:VHS851963 VRN851960:VRO851963 WBJ851960:WBK851963 WLF851960:WLG851963 WVB851960:WVC851963 IP917496:IQ917499 SL917496:SM917499 ACH917496:ACI917499 AMD917496:AME917499 AVZ917496:AWA917499 BFV917496:BFW917499 BPR917496:BPS917499 BZN917496:BZO917499 CJJ917496:CJK917499 CTF917496:CTG917499 DDB917496:DDC917499 DMX917496:DMY917499 DWT917496:DWU917499 EGP917496:EGQ917499 EQL917496:EQM917499 FAH917496:FAI917499 FKD917496:FKE917499 FTZ917496:FUA917499 GDV917496:GDW917499 GNR917496:GNS917499 GXN917496:GXO917499 HHJ917496:HHK917499 HRF917496:HRG917499 IBB917496:IBC917499 IKX917496:IKY917499 IUT917496:IUU917499 JEP917496:JEQ917499 JOL917496:JOM917499 JYH917496:JYI917499 KID917496:KIE917499 KRZ917496:KSA917499 LBV917496:LBW917499 LLR917496:LLS917499 LVN917496:LVO917499 MFJ917496:MFK917499 MPF917496:MPG917499 MZB917496:MZC917499 NIX917496:NIY917499 NST917496:NSU917499 OCP917496:OCQ917499 OML917496:OMM917499 OWH917496:OWI917499 PGD917496:PGE917499 PPZ917496:PQA917499 PZV917496:PZW917499 QJR917496:QJS917499 QTN917496:QTO917499 RDJ917496:RDK917499 RNF917496:RNG917499 RXB917496:RXC917499 SGX917496:SGY917499 SQT917496:SQU917499 TAP917496:TAQ917499 TKL917496:TKM917499 TUH917496:TUI917499 UED917496:UEE917499 UNZ917496:UOA917499 UXV917496:UXW917499 VHR917496:VHS917499 VRN917496:VRO917499 WBJ917496:WBK917499 WLF917496:WLG917499 WVB917496:WVC917499 IP983032:IQ983035 SL983032:SM983035 ACH983032:ACI983035 AMD983032:AME983035 AVZ983032:AWA983035 BFV983032:BFW983035 BPR983032:BPS983035 BZN983032:BZO983035 CJJ983032:CJK983035 CTF983032:CTG983035 DDB983032:DDC983035 DMX983032:DMY983035 DWT983032:DWU983035 EGP983032:EGQ983035 EQL983032:EQM983035 FAH983032:FAI983035 FKD983032:FKE983035 FTZ983032:FUA983035 GDV983032:GDW983035 GNR983032:GNS983035 GXN983032:GXO983035 HHJ983032:HHK983035 HRF983032:HRG983035 IBB983032:IBC983035 IKX983032:IKY983035 IUT983032:IUU983035 JEP983032:JEQ983035 JOL983032:JOM983035 JYH983032:JYI983035 KID983032:KIE983035 KRZ983032:KSA983035 LBV983032:LBW983035 LLR983032:LLS983035 LVN983032:LVO983035 MFJ983032:MFK983035 MPF983032:MPG983035 MZB983032:MZC983035 NIX983032:NIY983035 NST983032:NSU983035 OCP983032:OCQ983035 OML983032:OMM983035 OWH983032:OWI983035 PGD983032:PGE983035 PPZ983032:PQA983035 PZV983032:PZW983035 QJR983032:QJS983035 QTN983032:QTO983035 RDJ983032:RDK983035 RNF983032:RNG983035 RXB983032:RXC983035 SGX983032:SGY983035 SQT983032:SQU983035 TAP983032:TAQ983035 TKL983032:TKM983035 TUH983032:TUI983035 UED983032:UEE983035 UNZ983032:UOA983035 UXV983032:UXW983035 VHR983032:VHS983035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blackAndWhite="1" verticalDpi="300" r:id="rId1"/>
  <headerFooter>
    <oddFooter>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T13"/>
  <sheetViews>
    <sheetView view="pageBreakPreview" zoomScale="115" zoomScaleNormal="115" zoomScaleSheetLayoutView="115" workbookViewId="0">
      <selection activeCell="A8" sqref="A8"/>
    </sheetView>
  </sheetViews>
  <sheetFormatPr defaultRowHeight="11.25" x14ac:dyDescent="0.2"/>
  <cols>
    <col min="1" max="1" width="8.140625" style="8" customWidth="1"/>
    <col min="2" max="2" width="40.7109375" style="8" customWidth="1"/>
    <col min="3" max="3" width="5.28515625" style="8" bestFit="1" customWidth="1"/>
    <col min="4" max="4" width="5.28515625" style="8" customWidth="1"/>
    <col min="5" max="5" width="15" style="8" bestFit="1" customWidth="1"/>
    <col min="6" max="6" width="15.5703125" style="8" bestFit="1" customWidth="1"/>
    <col min="7" max="7" width="20" style="8" bestFit="1" customWidth="1"/>
    <col min="8" max="8" width="17" style="8" bestFit="1" customWidth="1"/>
    <col min="9" max="9" width="8.85546875" style="8" bestFit="1" customWidth="1"/>
    <col min="10" max="10" width="7.7109375" style="8" bestFit="1" customWidth="1"/>
    <col min="11" max="11" width="8.28515625" style="8" bestFit="1" customWidth="1"/>
    <col min="12" max="13" width="9.5703125" style="8" bestFit="1" customWidth="1"/>
    <col min="14" max="15" width="7.7109375" style="8" bestFit="1" customWidth="1"/>
    <col min="16" max="16" width="8.5703125" style="8" bestFit="1" customWidth="1"/>
    <col min="17" max="17" width="8.7109375" style="8" bestFit="1" customWidth="1"/>
    <col min="18" max="19" width="7.7109375" style="8" bestFit="1" customWidth="1"/>
    <col min="20" max="20" width="8.5703125" style="8" bestFit="1" customWidth="1"/>
    <col min="21" max="37" width="9.140625" style="8"/>
    <col min="38" max="38" width="9.5703125" style="8" bestFit="1" customWidth="1"/>
    <col min="39" max="39" width="9.140625" style="8"/>
    <col min="40" max="40" width="9.5703125" style="8" bestFit="1" customWidth="1"/>
    <col min="41" max="41" width="9.140625" style="8"/>
    <col min="42" max="42" width="19" style="8" bestFit="1" customWidth="1"/>
    <col min="43" max="43" width="15" style="8" bestFit="1" customWidth="1"/>
    <col min="44" max="44" width="15.5703125" style="8" bestFit="1" customWidth="1"/>
    <col min="45" max="224" width="9.140625" style="8"/>
    <col min="225" max="263" width="2.42578125" style="8" customWidth="1"/>
    <col min="264" max="264" width="3.42578125" style="8" bestFit="1" customWidth="1"/>
    <col min="265" max="480" width="9.140625" style="8"/>
    <col min="481" max="519" width="2.42578125" style="8" customWidth="1"/>
    <col min="520" max="520" width="3.42578125" style="8" bestFit="1" customWidth="1"/>
    <col min="521" max="736" width="9.140625" style="8"/>
    <col min="737" max="775" width="2.42578125" style="8" customWidth="1"/>
    <col min="776" max="776" width="3.42578125" style="8" bestFit="1" customWidth="1"/>
    <col min="777" max="992" width="9.140625" style="8"/>
    <col min="993" max="1031" width="2.42578125" style="8" customWidth="1"/>
    <col min="1032" max="1032" width="3.42578125" style="8" bestFit="1" customWidth="1"/>
    <col min="1033" max="1248" width="9.140625" style="8"/>
    <col min="1249" max="1287" width="2.42578125" style="8" customWidth="1"/>
    <col min="1288" max="1288" width="3.42578125" style="8" bestFit="1" customWidth="1"/>
    <col min="1289" max="1504" width="9.140625" style="8"/>
    <col min="1505" max="1543" width="2.42578125" style="8" customWidth="1"/>
    <col min="1544" max="1544" width="3.42578125" style="8" bestFit="1" customWidth="1"/>
    <col min="1545" max="1760" width="9.140625" style="8"/>
    <col min="1761" max="1799" width="2.42578125" style="8" customWidth="1"/>
    <col min="1800" max="1800" width="3.42578125" style="8" bestFit="1" customWidth="1"/>
    <col min="1801" max="2016" width="9.140625" style="8"/>
    <col min="2017" max="2055" width="2.42578125" style="8" customWidth="1"/>
    <col min="2056" max="2056" width="3.42578125" style="8" bestFit="1" customWidth="1"/>
    <col min="2057" max="2272" width="9.140625" style="8"/>
    <col min="2273" max="2311" width="2.42578125" style="8" customWidth="1"/>
    <col min="2312" max="2312" width="3.42578125" style="8" bestFit="1" customWidth="1"/>
    <col min="2313" max="2528" width="9.140625" style="8"/>
    <col min="2529" max="2567" width="2.42578125" style="8" customWidth="1"/>
    <col min="2568" max="2568" width="3.42578125" style="8" bestFit="1" customWidth="1"/>
    <col min="2569" max="2784" width="9.140625" style="8"/>
    <col min="2785" max="2823" width="2.42578125" style="8" customWidth="1"/>
    <col min="2824" max="2824" width="3.42578125" style="8" bestFit="1" customWidth="1"/>
    <col min="2825" max="3040" width="9.140625" style="8"/>
    <col min="3041" max="3079" width="2.42578125" style="8" customWidth="1"/>
    <col min="3080" max="3080" width="3.42578125" style="8" bestFit="1" customWidth="1"/>
    <col min="3081" max="3296" width="9.140625" style="8"/>
    <col min="3297" max="3335" width="2.42578125" style="8" customWidth="1"/>
    <col min="3336" max="3336" width="3.42578125" style="8" bestFit="1" customWidth="1"/>
    <col min="3337" max="3552" width="9.140625" style="8"/>
    <col min="3553" max="3591" width="2.42578125" style="8" customWidth="1"/>
    <col min="3592" max="3592" width="3.42578125" style="8" bestFit="1" customWidth="1"/>
    <col min="3593" max="3808" width="9.140625" style="8"/>
    <col min="3809" max="3847" width="2.42578125" style="8" customWidth="1"/>
    <col min="3848" max="3848" width="3.42578125" style="8" bestFit="1" customWidth="1"/>
    <col min="3849" max="4064" width="9.140625" style="8"/>
    <col min="4065" max="4103" width="2.42578125" style="8" customWidth="1"/>
    <col min="4104" max="4104" width="3.42578125" style="8" bestFit="1" customWidth="1"/>
    <col min="4105" max="4320" width="9.140625" style="8"/>
    <col min="4321" max="4359" width="2.42578125" style="8" customWidth="1"/>
    <col min="4360" max="4360" width="3.42578125" style="8" bestFit="1" customWidth="1"/>
    <col min="4361" max="4576" width="9.140625" style="8"/>
    <col min="4577" max="4615" width="2.42578125" style="8" customWidth="1"/>
    <col min="4616" max="4616" width="3.42578125" style="8" bestFit="1" customWidth="1"/>
    <col min="4617" max="4832" width="9.140625" style="8"/>
    <col min="4833" max="4871" width="2.42578125" style="8" customWidth="1"/>
    <col min="4872" max="4872" width="3.42578125" style="8" bestFit="1" customWidth="1"/>
    <col min="4873" max="5088" width="9.140625" style="8"/>
    <col min="5089" max="5127" width="2.42578125" style="8" customWidth="1"/>
    <col min="5128" max="5128" width="3.42578125" style="8" bestFit="1" customWidth="1"/>
    <col min="5129" max="5344" width="9.140625" style="8"/>
    <col min="5345" max="5383" width="2.42578125" style="8" customWidth="1"/>
    <col min="5384" max="5384" width="3.42578125" style="8" bestFit="1" customWidth="1"/>
    <col min="5385" max="5600" width="9.140625" style="8"/>
    <col min="5601" max="5639" width="2.42578125" style="8" customWidth="1"/>
    <col min="5640" max="5640" width="3.42578125" style="8" bestFit="1" customWidth="1"/>
    <col min="5641" max="5856" width="9.140625" style="8"/>
    <col min="5857" max="5895" width="2.42578125" style="8" customWidth="1"/>
    <col min="5896" max="5896" width="3.42578125" style="8" bestFit="1" customWidth="1"/>
    <col min="5897" max="6112" width="9.140625" style="8"/>
    <col min="6113" max="6151" width="2.42578125" style="8" customWidth="1"/>
    <col min="6152" max="6152" width="3.42578125" style="8" bestFit="1" customWidth="1"/>
    <col min="6153" max="6368" width="9.140625" style="8"/>
    <col min="6369" max="6407" width="2.42578125" style="8" customWidth="1"/>
    <col min="6408" max="6408" width="3.42578125" style="8" bestFit="1" customWidth="1"/>
    <col min="6409" max="6624" width="9.140625" style="8"/>
    <col min="6625" max="6663" width="2.42578125" style="8" customWidth="1"/>
    <col min="6664" max="6664" width="3.42578125" style="8" bestFit="1" customWidth="1"/>
    <col min="6665" max="6880" width="9.140625" style="8"/>
    <col min="6881" max="6919" width="2.42578125" style="8" customWidth="1"/>
    <col min="6920" max="6920" width="3.42578125" style="8" bestFit="1" customWidth="1"/>
    <col min="6921" max="7136" width="9.140625" style="8"/>
    <col min="7137" max="7175" width="2.42578125" style="8" customWidth="1"/>
    <col min="7176" max="7176" width="3.42578125" style="8" bestFit="1" customWidth="1"/>
    <col min="7177" max="7392" width="9.140625" style="8"/>
    <col min="7393" max="7431" width="2.42578125" style="8" customWidth="1"/>
    <col min="7432" max="7432" width="3.42578125" style="8" bestFit="1" customWidth="1"/>
    <col min="7433" max="7648" width="9.140625" style="8"/>
    <col min="7649" max="7687" width="2.42578125" style="8" customWidth="1"/>
    <col min="7688" max="7688" width="3.42578125" style="8" bestFit="1" customWidth="1"/>
    <col min="7689" max="7904" width="9.140625" style="8"/>
    <col min="7905" max="7943" width="2.42578125" style="8" customWidth="1"/>
    <col min="7944" max="7944" width="3.42578125" style="8" bestFit="1" customWidth="1"/>
    <col min="7945" max="8160" width="9.140625" style="8"/>
    <col min="8161" max="8199" width="2.42578125" style="8" customWidth="1"/>
    <col min="8200" max="8200" width="3.42578125" style="8" bestFit="1" customWidth="1"/>
    <col min="8201" max="8416" width="9.140625" style="8"/>
    <col min="8417" max="8455" width="2.42578125" style="8" customWidth="1"/>
    <col min="8456" max="8456" width="3.42578125" style="8" bestFit="1" customWidth="1"/>
    <col min="8457" max="8672" width="9.140625" style="8"/>
    <col min="8673" max="8711" width="2.42578125" style="8" customWidth="1"/>
    <col min="8712" max="8712" width="3.42578125" style="8" bestFit="1" customWidth="1"/>
    <col min="8713" max="8928" width="9.140625" style="8"/>
    <col min="8929" max="8967" width="2.42578125" style="8" customWidth="1"/>
    <col min="8968" max="8968" width="3.42578125" style="8" bestFit="1" customWidth="1"/>
    <col min="8969" max="9184" width="9.140625" style="8"/>
    <col min="9185" max="9223" width="2.42578125" style="8" customWidth="1"/>
    <col min="9224" max="9224" width="3.42578125" style="8" bestFit="1" customWidth="1"/>
    <col min="9225" max="9440" width="9.140625" style="8"/>
    <col min="9441" max="9479" width="2.42578125" style="8" customWidth="1"/>
    <col min="9480" max="9480" width="3.42578125" style="8" bestFit="1" customWidth="1"/>
    <col min="9481" max="9696" width="9.140625" style="8"/>
    <col min="9697" max="9735" width="2.42578125" style="8" customWidth="1"/>
    <col min="9736" max="9736" width="3.42578125" style="8" bestFit="1" customWidth="1"/>
    <col min="9737" max="9952" width="9.140625" style="8"/>
    <col min="9953" max="9991" width="2.42578125" style="8" customWidth="1"/>
    <col min="9992" max="9992" width="3.42578125" style="8" bestFit="1" customWidth="1"/>
    <col min="9993" max="10208" width="9.140625" style="8"/>
    <col min="10209" max="10247" width="2.42578125" style="8" customWidth="1"/>
    <col min="10248" max="10248" width="3.42578125" style="8" bestFit="1" customWidth="1"/>
    <col min="10249" max="10464" width="9.140625" style="8"/>
    <col min="10465" max="10503" width="2.42578125" style="8" customWidth="1"/>
    <col min="10504" max="10504" width="3.42578125" style="8" bestFit="1" customWidth="1"/>
    <col min="10505" max="10720" width="9.140625" style="8"/>
    <col min="10721" max="10759" width="2.42578125" style="8" customWidth="1"/>
    <col min="10760" max="10760" width="3.42578125" style="8" bestFit="1" customWidth="1"/>
    <col min="10761" max="10976" width="9.140625" style="8"/>
    <col min="10977" max="11015" width="2.42578125" style="8" customWidth="1"/>
    <col min="11016" max="11016" width="3.42578125" style="8" bestFit="1" customWidth="1"/>
    <col min="11017" max="11232" width="9.140625" style="8"/>
    <col min="11233" max="11271" width="2.42578125" style="8" customWidth="1"/>
    <col min="11272" max="11272" width="3.42578125" style="8" bestFit="1" customWidth="1"/>
    <col min="11273" max="11488" width="9.140625" style="8"/>
    <col min="11489" max="11527" width="2.42578125" style="8" customWidth="1"/>
    <col min="11528" max="11528" width="3.42578125" style="8" bestFit="1" customWidth="1"/>
    <col min="11529" max="11744" width="9.140625" style="8"/>
    <col min="11745" max="11783" width="2.42578125" style="8" customWidth="1"/>
    <col min="11784" max="11784" width="3.42578125" style="8" bestFit="1" customWidth="1"/>
    <col min="11785" max="12000" width="9.140625" style="8"/>
    <col min="12001" max="12039" width="2.42578125" style="8" customWidth="1"/>
    <col min="12040" max="12040" width="3.42578125" style="8" bestFit="1" customWidth="1"/>
    <col min="12041" max="12256" width="9.140625" style="8"/>
    <col min="12257" max="12295" width="2.42578125" style="8" customWidth="1"/>
    <col min="12296" max="12296" width="3.42578125" style="8" bestFit="1" customWidth="1"/>
    <col min="12297" max="12512" width="9.140625" style="8"/>
    <col min="12513" max="12551" width="2.42578125" style="8" customWidth="1"/>
    <col min="12552" max="12552" width="3.42578125" style="8" bestFit="1" customWidth="1"/>
    <col min="12553" max="12768" width="9.140625" style="8"/>
    <col min="12769" max="12807" width="2.42578125" style="8" customWidth="1"/>
    <col min="12808" max="12808" width="3.42578125" style="8" bestFit="1" customWidth="1"/>
    <col min="12809" max="13024" width="9.140625" style="8"/>
    <col min="13025" max="13063" width="2.42578125" style="8" customWidth="1"/>
    <col min="13064" max="13064" width="3.42578125" style="8" bestFit="1" customWidth="1"/>
    <col min="13065" max="13280" width="9.140625" style="8"/>
    <col min="13281" max="13319" width="2.42578125" style="8" customWidth="1"/>
    <col min="13320" max="13320" width="3.42578125" style="8" bestFit="1" customWidth="1"/>
    <col min="13321" max="13536" width="9.140625" style="8"/>
    <col min="13537" max="13575" width="2.42578125" style="8" customWidth="1"/>
    <col min="13576" max="13576" width="3.42578125" style="8" bestFit="1" customWidth="1"/>
    <col min="13577" max="13792" width="9.140625" style="8"/>
    <col min="13793" max="13831" width="2.42578125" style="8" customWidth="1"/>
    <col min="13832" max="13832" width="3.42578125" style="8" bestFit="1" customWidth="1"/>
    <col min="13833" max="14048" width="9.140625" style="8"/>
    <col min="14049" max="14087" width="2.42578125" style="8" customWidth="1"/>
    <col min="14088" max="14088" width="3.42578125" style="8" bestFit="1" customWidth="1"/>
    <col min="14089" max="14304" width="9.140625" style="8"/>
    <col min="14305" max="14343" width="2.42578125" style="8" customWidth="1"/>
    <col min="14344" max="14344" width="3.42578125" style="8" bestFit="1" customWidth="1"/>
    <col min="14345" max="14560" width="9.140625" style="8"/>
    <col min="14561" max="14599" width="2.42578125" style="8" customWidth="1"/>
    <col min="14600" max="14600" width="3.42578125" style="8" bestFit="1" customWidth="1"/>
    <col min="14601" max="14816" width="9.140625" style="8"/>
    <col min="14817" max="14855" width="2.42578125" style="8" customWidth="1"/>
    <col min="14856" max="14856" width="3.42578125" style="8" bestFit="1" customWidth="1"/>
    <col min="14857" max="15072" width="9.140625" style="8"/>
    <col min="15073" max="15111" width="2.42578125" style="8" customWidth="1"/>
    <col min="15112" max="15112" width="3.42578125" style="8" bestFit="1" customWidth="1"/>
    <col min="15113" max="15328" width="9.140625" style="8"/>
    <col min="15329" max="15367" width="2.42578125" style="8" customWidth="1"/>
    <col min="15368" max="15368" width="3.42578125" style="8" bestFit="1" customWidth="1"/>
    <col min="15369" max="15584" width="9.140625" style="8"/>
    <col min="15585" max="15623" width="2.42578125" style="8" customWidth="1"/>
    <col min="15624" max="15624" width="3.42578125" style="8" bestFit="1" customWidth="1"/>
    <col min="15625" max="15840" width="9.140625" style="8"/>
    <col min="15841" max="15879" width="2.42578125" style="8" customWidth="1"/>
    <col min="15880" max="15880" width="3.42578125" style="8" bestFit="1" customWidth="1"/>
    <col min="15881" max="16096" width="9.140625" style="8"/>
    <col min="16097" max="16135" width="2.42578125" style="8" customWidth="1"/>
    <col min="16136" max="16136" width="3.42578125" style="8" bestFit="1" customWidth="1"/>
    <col min="16137" max="16384" width="9.140625" style="8"/>
  </cols>
  <sheetData>
    <row r="1" spans="1:46" s="318" customFormat="1" ht="15.75" thickBot="1" x14ac:dyDescent="0.3">
      <c r="A1" s="312" t="s">
        <v>467</v>
      </c>
      <c r="B1" s="313"/>
      <c r="C1" s="314"/>
      <c r="D1" s="314"/>
      <c r="E1" s="314"/>
      <c r="F1" s="316"/>
      <c r="G1" s="314"/>
      <c r="H1" s="317"/>
      <c r="J1" s="319"/>
      <c r="K1" s="320"/>
      <c r="L1" s="320"/>
      <c r="AO1" s="321"/>
      <c r="AP1" s="322"/>
      <c r="AQ1" s="314"/>
      <c r="AR1" s="316"/>
    </row>
    <row r="2" spans="1:46" s="318" customFormat="1" ht="15.75" thickBot="1" x14ac:dyDescent="0.3">
      <c r="A2" s="312" t="s">
        <v>468</v>
      </c>
      <c r="B2" s="313"/>
      <c r="C2" s="314"/>
      <c r="D2" s="314"/>
      <c r="E2" s="314"/>
      <c r="F2" s="316"/>
      <c r="G2" s="314"/>
      <c r="H2" s="317"/>
      <c r="J2" s="319"/>
      <c r="K2" s="320"/>
      <c r="L2" s="320"/>
      <c r="AO2" s="321"/>
      <c r="AP2" s="322"/>
      <c r="AQ2" s="314"/>
      <c r="AR2" s="316"/>
    </row>
    <row r="3" spans="1:46" s="318" customFormat="1" ht="15.75" thickBot="1" x14ac:dyDescent="0.3">
      <c r="A3" s="312" t="s">
        <v>469</v>
      </c>
      <c r="B3" s="313"/>
      <c r="C3" s="314"/>
      <c r="D3" s="314"/>
      <c r="E3" s="314"/>
      <c r="F3" s="316"/>
      <c r="G3" s="314"/>
      <c r="H3" s="317"/>
      <c r="J3" s="319"/>
      <c r="K3" s="320"/>
      <c r="L3" s="320"/>
      <c r="AO3" s="321"/>
      <c r="AP3" s="322"/>
      <c r="AQ3" s="314"/>
      <c r="AR3" s="316"/>
    </row>
    <row r="4" spans="1:46" s="318" customFormat="1" ht="15.75" thickBot="1" x14ac:dyDescent="0.3">
      <c r="A4" s="312" t="s">
        <v>470</v>
      </c>
      <c r="B4" s="313"/>
      <c r="C4" s="314"/>
      <c r="D4" s="314"/>
      <c r="E4" s="314"/>
      <c r="F4" s="316"/>
      <c r="G4" s="314"/>
      <c r="H4" s="317"/>
      <c r="J4" s="319"/>
      <c r="K4" s="320"/>
      <c r="L4" s="320"/>
      <c r="AO4" s="321"/>
      <c r="AP4" s="322"/>
      <c r="AQ4" s="314"/>
      <c r="AR4" s="316"/>
    </row>
    <row r="5" spans="1:46" s="318" customFormat="1" ht="15.75" thickBot="1" x14ac:dyDescent="0.3">
      <c r="A5" s="312" t="s">
        <v>471</v>
      </c>
      <c r="B5" s="313"/>
      <c r="C5" s="314"/>
      <c r="D5" s="314"/>
      <c r="E5" s="314"/>
      <c r="F5" s="316"/>
      <c r="G5" s="314"/>
      <c r="H5" s="317"/>
      <c r="J5" s="319"/>
      <c r="K5" s="320"/>
      <c r="L5" s="320"/>
      <c r="AO5" s="321"/>
      <c r="AP5" s="322"/>
      <c r="AQ5" s="314"/>
      <c r="AR5" s="316"/>
    </row>
    <row r="6" spans="1:46" ht="30.75" customHeight="1" thickBot="1" x14ac:dyDescent="0.3">
      <c r="A6" s="347" t="s">
        <v>389</v>
      </c>
      <c r="B6" s="352"/>
      <c r="C6" s="352"/>
      <c r="D6" s="352"/>
      <c r="E6" s="352"/>
      <c r="F6" s="352"/>
      <c r="G6" s="352"/>
      <c r="H6" s="352"/>
      <c r="I6" s="634" t="s">
        <v>405</v>
      </c>
      <c r="J6" s="634"/>
      <c r="K6" s="634"/>
      <c r="L6" s="634"/>
      <c r="M6" s="634"/>
      <c r="N6" s="634" t="s">
        <v>406</v>
      </c>
      <c r="O6" s="634"/>
      <c r="P6" s="634"/>
      <c r="Q6" s="634"/>
      <c r="R6" s="634"/>
      <c r="S6" s="634" t="s">
        <v>407</v>
      </c>
      <c r="T6" s="634"/>
      <c r="U6" s="634"/>
      <c r="V6" s="634"/>
      <c r="W6" s="634"/>
      <c r="AQ6" s="352"/>
      <c r="AR6" s="352"/>
    </row>
    <row r="7" spans="1:46" ht="105" x14ac:dyDescent="0.25">
      <c r="A7" s="491" t="s">
        <v>295</v>
      </c>
      <c r="B7" s="505" t="s">
        <v>296</v>
      </c>
      <c r="C7" s="478" t="s">
        <v>302</v>
      </c>
      <c r="D7" s="478"/>
      <c r="E7" s="493" t="s">
        <v>538</v>
      </c>
      <c r="F7" s="494" t="s">
        <v>539</v>
      </c>
      <c r="G7" s="493" t="s">
        <v>540</v>
      </c>
      <c r="H7" s="514" t="s">
        <v>541</v>
      </c>
      <c r="I7" s="353" t="s">
        <v>408</v>
      </c>
      <c r="J7" s="353" t="s">
        <v>409</v>
      </c>
      <c r="K7" s="353" t="s">
        <v>410</v>
      </c>
      <c r="L7" s="353" t="s">
        <v>418</v>
      </c>
      <c r="M7" s="353" t="s">
        <v>414</v>
      </c>
      <c r="N7" s="353" t="s">
        <v>408</v>
      </c>
      <c r="O7" s="353" t="s">
        <v>409</v>
      </c>
      <c r="P7" s="353" t="s">
        <v>410</v>
      </c>
      <c r="Q7" s="353" t="s">
        <v>418</v>
      </c>
      <c r="R7" s="353" t="s">
        <v>414</v>
      </c>
      <c r="S7" s="353" t="s">
        <v>408</v>
      </c>
      <c r="T7" s="353" t="s">
        <v>409</v>
      </c>
      <c r="U7" s="353" t="s">
        <v>410</v>
      </c>
      <c r="V7" s="353" t="s">
        <v>418</v>
      </c>
      <c r="W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90" x14ac:dyDescent="0.2">
      <c r="A8" s="480" t="s">
        <v>390</v>
      </c>
      <c r="B8" s="501" t="s">
        <v>515</v>
      </c>
      <c r="C8" s="502">
        <v>1</v>
      </c>
      <c r="D8" s="502"/>
      <c r="E8" s="453">
        <f>IF(AND(AO8="IRR",SUM(AH8:AJ8)&gt;0),AP8,IF(AND(AO8="IRR",AQ8&lt;&gt;""),AQ8*'[5]Basic INFO'!$E$127,IF(AO8="IRR",AS8,"")))</f>
        <v>73006289999.999985</v>
      </c>
      <c r="F8" s="454" t="str">
        <f>IF(AND(AO8="EUR",SUM(AH8:AJ8)&gt;0),AP8,IF(AND(AO8="EUR",AR8&lt;&gt;""),AR8*'[5]Basic INFO'!$C$138,IF(AO8="EUR",AT8,"")))</f>
        <v/>
      </c>
      <c r="G8" s="455">
        <f t="shared" ref="G8" si="0">IF(AO8="IRR",C8*E8,"")</f>
        <v>73006289999.999985</v>
      </c>
      <c r="H8" s="515" t="str">
        <f t="shared" ref="H8" si="1">IF(AO8="EUR",C8*F8,"")</f>
        <v/>
      </c>
      <c r="I8" s="516" t="s">
        <v>411</v>
      </c>
      <c r="J8" s="517" t="s">
        <v>44</v>
      </c>
      <c r="K8" s="517">
        <v>105000</v>
      </c>
      <c r="L8" s="436"/>
      <c r="M8" s="518">
        <v>45697</v>
      </c>
      <c r="N8" s="516" t="s">
        <v>412</v>
      </c>
      <c r="O8" s="517" t="s">
        <v>44</v>
      </c>
      <c r="P8" s="517" t="s">
        <v>44</v>
      </c>
      <c r="Q8" s="436"/>
      <c r="R8" s="519" t="s">
        <v>433</v>
      </c>
      <c r="S8" s="516" t="s">
        <v>413</v>
      </c>
      <c r="T8" s="517" t="s">
        <v>44</v>
      </c>
      <c r="U8" s="517" t="s">
        <v>44</v>
      </c>
      <c r="V8" s="436"/>
      <c r="W8" s="519" t="s">
        <v>433</v>
      </c>
      <c r="AH8" s="441">
        <f>IF(B8="","",COUNT(J8,O8,T8,Y8,AD8))</f>
        <v>0</v>
      </c>
      <c r="AI8" s="442">
        <f>IF(B8="","",COUNT(K8,P8,U8,Z8,AE8))</f>
        <v>1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105000</v>
      </c>
      <c r="AM8" s="442" t="str">
        <f>IF(AND(AJ8&lt;&gt;"",AJ8&gt;0),AVERAGE(L8,Q8,V8,AA8,AF8)/'[5]Basic INFO'!$C$103,"")</f>
        <v/>
      </c>
      <c r="AN8" s="442">
        <f>IF(SUM(AH8:AJ8)&lt;&gt;0,AVERAGE(AK8:AM8),"")</f>
        <v>105000</v>
      </c>
      <c r="AO8" s="8" t="s">
        <v>525</v>
      </c>
      <c r="AP8" s="444">
        <f>IF(B8="","",IF(SUM(AH8:AJ8)=0,"",IF(AO8="IRR",AN8*('[5]Basic INFO'!$C$101*'[5]Basic INFO'!$C$103),IF(AO8="EUR",AN8,AP8))))</f>
        <v>73006289999.999985</v>
      </c>
      <c r="AQ8" s="364">
        <v>2000000000</v>
      </c>
      <c r="AR8" s="364"/>
      <c r="AS8" s="447"/>
      <c r="AT8" s="448"/>
    </row>
    <row r="9" spans="1:46" ht="30" x14ac:dyDescent="0.25">
      <c r="A9" s="457"/>
      <c r="B9" s="458" t="s">
        <v>542</v>
      </c>
      <c r="C9" s="457"/>
      <c r="D9" s="457"/>
      <c r="E9" s="459"/>
      <c r="F9" s="460"/>
      <c r="G9" s="461">
        <f>SUM(G8)</f>
        <v>73006289999.999985</v>
      </c>
      <c r="H9" s="462">
        <f>SUM(H8)</f>
        <v>0</v>
      </c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AQ9" s="402" t="s">
        <v>297</v>
      </c>
      <c r="AR9" s="402" t="s">
        <v>298</v>
      </c>
    </row>
    <row r="10" spans="1:46" ht="15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  <c r="AQ10" s="329"/>
      <c r="AR10" s="329"/>
    </row>
    <row r="11" spans="1:46" ht="15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  <c r="AQ11" s="345"/>
      <c r="AR11" s="345"/>
    </row>
    <row r="12" spans="1:46" ht="15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94762000000</v>
      </c>
      <c r="H12" s="469">
        <f>ROUND(H9*H10*(1+H11)/1000,0)*1000</f>
        <v>0</v>
      </c>
      <c r="AQ12" s="345"/>
      <c r="AR12" s="345"/>
    </row>
    <row r="13" spans="1:46" ht="12" x14ac:dyDescent="0.2">
      <c r="G13" s="461">
        <f>ROUND(SUMIF(AP:AP,"&gt;0",G:G)*G10*(1+G11)/1000000,0)*1000000</f>
        <v>94762000000</v>
      </c>
      <c r="H13" s="462">
        <f>ROUND(SUMIF(AP:AP,"&gt;0",H:H)*H10*(1+H11)/1000,0)*1000</f>
        <v>0</v>
      </c>
    </row>
  </sheetData>
  <mergeCells count="3">
    <mergeCell ref="I6:M6"/>
    <mergeCell ref="N6:R6"/>
    <mergeCell ref="S6:W6"/>
  </mergeCells>
  <dataValidations disablePrompts="1" count="1">
    <dataValidation type="list" allowBlank="1" showInputMessage="1" showErrorMessage="1" sqref="WBJ983032:WBK983035 JA65528:JB65531 SW65528:SX65531 ACS65528:ACT65531 AMO65528:AMP65531 AWK65528:AWL65531 BGG65528:BGH65531 BQC65528:BQD65531 BZY65528:BZZ65531 CJU65528:CJV65531 CTQ65528:CTR65531 DDM65528:DDN65531 DNI65528:DNJ65531 DXE65528:DXF65531 EHA65528:EHB65531 EQW65528:EQX65531 FAS65528:FAT65531 FKO65528:FKP65531 FUK65528:FUL65531 GEG65528:GEH65531 GOC65528:GOD65531 GXY65528:GXZ65531 HHU65528:HHV65531 HRQ65528:HRR65531 IBM65528:IBN65531 ILI65528:ILJ65531 IVE65528:IVF65531 JFA65528:JFB65531 JOW65528:JOX65531 JYS65528:JYT65531 KIO65528:KIP65531 KSK65528:KSL65531 LCG65528:LCH65531 LMC65528:LMD65531 LVY65528:LVZ65531 MFU65528:MFV65531 MPQ65528:MPR65531 MZM65528:MZN65531 NJI65528:NJJ65531 NTE65528:NTF65531 ODA65528:ODB65531 OMW65528:OMX65531 OWS65528:OWT65531 PGO65528:PGP65531 PQK65528:PQL65531 QAG65528:QAH65531 QKC65528:QKD65531 QTY65528:QTZ65531 RDU65528:RDV65531 RNQ65528:RNR65531 RXM65528:RXN65531 SHI65528:SHJ65531 SRE65528:SRF65531 TBA65528:TBB65531 TKW65528:TKX65531 TUS65528:TUT65531 UEO65528:UEP65531 UOK65528:UOL65531 UYG65528:UYH65531 VIC65528:VID65531 VRY65528:VRZ65531 WBU65528:WBV65531 WLQ65528:WLR65531 WVM65528:WVN65531 JA131064:JB131067 SW131064:SX131067 ACS131064:ACT131067 AMO131064:AMP131067 AWK131064:AWL131067 BGG131064:BGH131067 BQC131064:BQD131067 BZY131064:BZZ131067 CJU131064:CJV131067 CTQ131064:CTR131067 DDM131064:DDN131067 DNI131064:DNJ131067 DXE131064:DXF131067 EHA131064:EHB131067 EQW131064:EQX131067 FAS131064:FAT131067 FKO131064:FKP131067 FUK131064:FUL131067 GEG131064:GEH131067 GOC131064:GOD131067 GXY131064:GXZ131067 HHU131064:HHV131067 HRQ131064:HRR131067 IBM131064:IBN131067 ILI131064:ILJ131067 IVE131064:IVF131067 JFA131064:JFB131067 JOW131064:JOX131067 JYS131064:JYT131067 KIO131064:KIP131067 KSK131064:KSL131067 LCG131064:LCH131067 LMC131064:LMD131067 LVY131064:LVZ131067 MFU131064:MFV131067 MPQ131064:MPR131067 MZM131064:MZN131067 NJI131064:NJJ131067 NTE131064:NTF131067 ODA131064:ODB131067 OMW131064:OMX131067 OWS131064:OWT131067 PGO131064:PGP131067 PQK131064:PQL131067 QAG131064:QAH131067 QKC131064:QKD131067 QTY131064:QTZ131067 RDU131064:RDV131067 RNQ131064:RNR131067 RXM131064:RXN131067 SHI131064:SHJ131067 SRE131064:SRF131067 TBA131064:TBB131067 TKW131064:TKX131067 TUS131064:TUT131067 UEO131064:UEP131067 UOK131064:UOL131067 UYG131064:UYH131067 VIC131064:VID131067 VRY131064:VRZ131067 WBU131064:WBV131067 WLQ131064:WLR131067 WVM131064:WVN131067 JA196600:JB196603 SW196600:SX196603 ACS196600:ACT196603 AMO196600:AMP196603 AWK196600:AWL196603 BGG196600:BGH196603 BQC196600:BQD196603 BZY196600:BZZ196603 CJU196600:CJV196603 CTQ196600:CTR196603 DDM196600:DDN196603 DNI196600:DNJ196603 DXE196600:DXF196603 EHA196600:EHB196603 EQW196600:EQX196603 FAS196600:FAT196603 FKO196600:FKP196603 FUK196600:FUL196603 GEG196600:GEH196603 GOC196600:GOD196603 GXY196600:GXZ196603 HHU196600:HHV196603 HRQ196600:HRR196603 IBM196600:IBN196603 ILI196600:ILJ196603 IVE196600:IVF196603 JFA196600:JFB196603 JOW196600:JOX196603 JYS196600:JYT196603 KIO196600:KIP196603 KSK196600:KSL196603 LCG196600:LCH196603 LMC196600:LMD196603 LVY196600:LVZ196603 MFU196600:MFV196603 MPQ196600:MPR196603 MZM196600:MZN196603 NJI196600:NJJ196603 NTE196600:NTF196603 ODA196600:ODB196603 OMW196600:OMX196603 OWS196600:OWT196603 PGO196600:PGP196603 PQK196600:PQL196603 QAG196600:QAH196603 QKC196600:QKD196603 QTY196600:QTZ196603 RDU196600:RDV196603 RNQ196600:RNR196603 RXM196600:RXN196603 SHI196600:SHJ196603 SRE196600:SRF196603 TBA196600:TBB196603 TKW196600:TKX196603 TUS196600:TUT196603 UEO196600:UEP196603 UOK196600:UOL196603 UYG196600:UYH196603 VIC196600:VID196603 VRY196600:VRZ196603 WBU196600:WBV196603 WLQ196600:WLR196603 WVM196600:WVN196603 JA262136:JB262139 SW262136:SX262139 ACS262136:ACT262139 AMO262136:AMP262139 AWK262136:AWL262139 BGG262136:BGH262139 BQC262136:BQD262139 BZY262136:BZZ262139 CJU262136:CJV262139 CTQ262136:CTR262139 DDM262136:DDN262139 DNI262136:DNJ262139 DXE262136:DXF262139 EHA262136:EHB262139 EQW262136:EQX262139 FAS262136:FAT262139 FKO262136:FKP262139 FUK262136:FUL262139 GEG262136:GEH262139 GOC262136:GOD262139 GXY262136:GXZ262139 HHU262136:HHV262139 HRQ262136:HRR262139 IBM262136:IBN262139 ILI262136:ILJ262139 IVE262136:IVF262139 JFA262136:JFB262139 JOW262136:JOX262139 JYS262136:JYT262139 KIO262136:KIP262139 KSK262136:KSL262139 LCG262136:LCH262139 LMC262136:LMD262139 LVY262136:LVZ262139 MFU262136:MFV262139 MPQ262136:MPR262139 MZM262136:MZN262139 NJI262136:NJJ262139 NTE262136:NTF262139 ODA262136:ODB262139 OMW262136:OMX262139 OWS262136:OWT262139 PGO262136:PGP262139 PQK262136:PQL262139 QAG262136:QAH262139 QKC262136:QKD262139 QTY262136:QTZ262139 RDU262136:RDV262139 RNQ262136:RNR262139 RXM262136:RXN262139 SHI262136:SHJ262139 SRE262136:SRF262139 TBA262136:TBB262139 TKW262136:TKX262139 TUS262136:TUT262139 UEO262136:UEP262139 UOK262136:UOL262139 UYG262136:UYH262139 VIC262136:VID262139 VRY262136:VRZ262139 WBU262136:WBV262139 WLQ262136:WLR262139 WVM262136:WVN262139 JA327672:JB327675 SW327672:SX327675 ACS327672:ACT327675 AMO327672:AMP327675 AWK327672:AWL327675 BGG327672:BGH327675 BQC327672:BQD327675 BZY327672:BZZ327675 CJU327672:CJV327675 CTQ327672:CTR327675 DDM327672:DDN327675 DNI327672:DNJ327675 DXE327672:DXF327675 EHA327672:EHB327675 EQW327672:EQX327675 FAS327672:FAT327675 FKO327672:FKP327675 FUK327672:FUL327675 GEG327672:GEH327675 GOC327672:GOD327675 GXY327672:GXZ327675 HHU327672:HHV327675 HRQ327672:HRR327675 IBM327672:IBN327675 ILI327672:ILJ327675 IVE327672:IVF327675 JFA327672:JFB327675 JOW327672:JOX327675 JYS327672:JYT327675 KIO327672:KIP327675 KSK327672:KSL327675 LCG327672:LCH327675 LMC327672:LMD327675 LVY327672:LVZ327675 MFU327672:MFV327675 MPQ327672:MPR327675 MZM327672:MZN327675 NJI327672:NJJ327675 NTE327672:NTF327675 ODA327672:ODB327675 OMW327672:OMX327675 OWS327672:OWT327675 PGO327672:PGP327675 PQK327672:PQL327675 QAG327672:QAH327675 QKC327672:QKD327675 QTY327672:QTZ327675 RDU327672:RDV327675 RNQ327672:RNR327675 RXM327672:RXN327675 SHI327672:SHJ327675 SRE327672:SRF327675 TBA327672:TBB327675 TKW327672:TKX327675 TUS327672:TUT327675 UEO327672:UEP327675 UOK327672:UOL327675 UYG327672:UYH327675 VIC327672:VID327675 VRY327672:VRZ327675 WBU327672:WBV327675 WLQ327672:WLR327675 WVM327672:WVN327675 JA393208:JB393211 SW393208:SX393211 ACS393208:ACT393211 AMO393208:AMP393211 AWK393208:AWL393211 BGG393208:BGH393211 BQC393208:BQD393211 BZY393208:BZZ393211 CJU393208:CJV393211 CTQ393208:CTR393211 DDM393208:DDN393211 DNI393208:DNJ393211 DXE393208:DXF393211 EHA393208:EHB393211 EQW393208:EQX393211 FAS393208:FAT393211 FKO393208:FKP393211 FUK393208:FUL393211 GEG393208:GEH393211 GOC393208:GOD393211 GXY393208:GXZ393211 HHU393208:HHV393211 HRQ393208:HRR393211 IBM393208:IBN393211 ILI393208:ILJ393211 IVE393208:IVF393211 JFA393208:JFB393211 JOW393208:JOX393211 JYS393208:JYT393211 KIO393208:KIP393211 KSK393208:KSL393211 LCG393208:LCH393211 LMC393208:LMD393211 LVY393208:LVZ393211 MFU393208:MFV393211 MPQ393208:MPR393211 MZM393208:MZN393211 NJI393208:NJJ393211 NTE393208:NTF393211 ODA393208:ODB393211 OMW393208:OMX393211 OWS393208:OWT393211 PGO393208:PGP393211 PQK393208:PQL393211 QAG393208:QAH393211 QKC393208:QKD393211 QTY393208:QTZ393211 RDU393208:RDV393211 RNQ393208:RNR393211 RXM393208:RXN393211 SHI393208:SHJ393211 SRE393208:SRF393211 TBA393208:TBB393211 TKW393208:TKX393211 TUS393208:TUT393211 UEO393208:UEP393211 UOK393208:UOL393211 UYG393208:UYH393211 VIC393208:VID393211 VRY393208:VRZ393211 WBU393208:WBV393211 WLQ393208:WLR393211 WVM393208:WVN393211 JA458744:JB458747 SW458744:SX458747 ACS458744:ACT458747 AMO458744:AMP458747 AWK458744:AWL458747 BGG458744:BGH458747 BQC458744:BQD458747 BZY458744:BZZ458747 CJU458744:CJV458747 CTQ458744:CTR458747 DDM458744:DDN458747 DNI458744:DNJ458747 DXE458744:DXF458747 EHA458744:EHB458747 EQW458744:EQX458747 FAS458744:FAT458747 FKO458744:FKP458747 FUK458744:FUL458747 GEG458744:GEH458747 GOC458744:GOD458747 GXY458744:GXZ458747 HHU458744:HHV458747 HRQ458744:HRR458747 IBM458744:IBN458747 ILI458744:ILJ458747 IVE458744:IVF458747 JFA458744:JFB458747 JOW458744:JOX458747 JYS458744:JYT458747 KIO458744:KIP458747 KSK458744:KSL458747 LCG458744:LCH458747 LMC458744:LMD458747 LVY458744:LVZ458747 MFU458744:MFV458747 MPQ458744:MPR458747 MZM458744:MZN458747 NJI458744:NJJ458747 NTE458744:NTF458747 ODA458744:ODB458747 OMW458744:OMX458747 OWS458744:OWT458747 PGO458744:PGP458747 PQK458744:PQL458747 QAG458744:QAH458747 QKC458744:QKD458747 QTY458744:QTZ458747 RDU458744:RDV458747 RNQ458744:RNR458747 RXM458744:RXN458747 SHI458744:SHJ458747 SRE458744:SRF458747 TBA458744:TBB458747 TKW458744:TKX458747 TUS458744:TUT458747 UEO458744:UEP458747 UOK458744:UOL458747 UYG458744:UYH458747 VIC458744:VID458747 VRY458744:VRZ458747 WBU458744:WBV458747 WLQ458744:WLR458747 WVM458744:WVN458747 JA524280:JB524283 SW524280:SX524283 ACS524280:ACT524283 AMO524280:AMP524283 AWK524280:AWL524283 BGG524280:BGH524283 BQC524280:BQD524283 BZY524280:BZZ524283 CJU524280:CJV524283 CTQ524280:CTR524283 DDM524280:DDN524283 DNI524280:DNJ524283 DXE524280:DXF524283 EHA524280:EHB524283 EQW524280:EQX524283 FAS524280:FAT524283 FKO524280:FKP524283 FUK524280:FUL524283 GEG524280:GEH524283 GOC524280:GOD524283 GXY524280:GXZ524283 HHU524280:HHV524283 HRQ524280:HRR524283 IBM524280:IBN524283 ILI524280:ILJ524283 IVE524280:IVF524283 JFA524280:JFB524283 JOW524280:JOX524283 JYS524280:JYT524283 KIO524280:KIP524283 KSK524280:KSL524283 LCG524280:LCH524283 LMC524280:LMD524283 LVY524280:LVZ524283 MFU524280:MFV524283 MPQ524280:MPR524283 MZM524280:MZN524283 NJI524280:NJJ524283 NTE524280:NTF524283 ODA524280:ODB524283 OMW524280:OMX524283 OWS524280:OWT524283 PGO524280:PGP524283 PQK524280:PQL524283 QAG524280:QAH524283 QKC524280:QKD524283 QTY524280:QTZ524283 RDU524280:RDV524283 RNQ524280:RNR524283 RXM524280:RXN524283 SHI524280:SHJ524283 SRE524280:SRF524283 TBA524280:TBB524283 TKW524280:TKX524283 TUS524280:TUT524283 UEO524280:UEP524283 UOK524280:UOL524283 UYG524280:UYH524283 VIC524280:VID524283 VRY524280:VRZ524283 WBU524280:WBV524283 WLQ524280:WLR524283 WVM524280:WVN524283 JA589816:JB589819 SW589816:SX589819 ACS589816:ACT589819 AMO589816:AMP589819 AWK589816:AWL589819 BGG589816:BGH589819 BQC589816:BQD589819 BZY589816:BZZ589819 CJU589816:CJV589819 CTQ589816:CTR589819 DDM589816:DDN589819 DNI589816:DNJ589819 DXE589816:DXF589819 EHA589816:EHB589819 EQW589816:EQX589819 FAS589816:FAT589819 FKO589816:FKP589819 FUK589816:FUL589819 GEG589816:GEH589819 GOC589816:GOD589819 GXY589816:GXZ589819 HHU589816:HHV589819 HRQ589816:HRR589819 IBM589816:IBN589819 ILI589816:ILJ589819 IVE589816:IVF589819 JFA589816:JFB589819 JOW589816:JOX589819 JYS589816:JYT589819 KIO589816:KIP589819 KSK589816:KSL589819 LCG589816:LCH589819 LMC589816:LMD589819 LVY589816:LVZ589819 MFU589816:MFV589819 MPQ589816:MPR589819 MZM589816:MZN589819 NJI589816:NJJ589819 NTE589816:NTF589819 ODA589816:ODB589819 OMW589816:OMX589819 OWS589816:OWT589819 PGO589816:PGP589819 PQK589816:PQL589819 QAG589816:QAH589819 QKC589816:QKD589819 QTY589816:QTZ589819 RDU589816:RDV589819 RNQ589816:RNR589819 RXM589816:RXN589819 SHI589816:SHJ589819 SRE589816:SRF589819 TBA589816:TBB589819 TKW589816:TKX589819 TUS589816:TUT589819 UEO589816:UEP589819 UOK589816:UOL589819 UYG589816:UYH589819 VIC589816:VID589819 VRY589816:VRZ589819 WBU589816:WBV589819 WLQ589816:WLR589819 WVM589816:WVN589819 JA655352:JB655355 SW655352:SX655355 ACS655352:ACT655355 AMO655352:AMP655355 AWK655352:AWL655355 BGG655352:BGH655355 BQC655352:BQD655355 BZY655352:BZZ655355 CJU655352:CJV655355 CTQ655352:CTR655355 DDM655352:DDN655355 DNI655352:DNJ655355 DXE655352:DXF655355 EHA655352:EHB655355 EQW655352:EQX655355 FAS655352:FAT655355 FKO655352:FKP655355 FUK655352:FUL655355 GEG655352:GEH655355 GOC655352:GOD655355 GXY655352:GXZ655355 HHU655352:HHV655355 HRQ655352:HRR655355 IBM655352:IBN655355 ILI655352:ILJ655355 IVE655352:IVF655355 JFA655352:JFB655355 JOW655352:JOX655355 JYS655352:JYT655355 KIO655352:KIP655355 KSK655352:KSL655355 LCG655352:LCH655355 LMC655352:LMD655355 LVY655352:LVZ655355 MFU655352:MFV655355 MPQ655352:MPR655355 MZM655352:MZN655355 NJI655352:NJJ655355 NTE655352:NTF655355 ODA655352:ODB655355 OMW655352:OMX655355 OWS655352:OWT655355 PGO655352:PGP655355 PQK655352:PQL655355 QAG655352:QAH655355 QKC655352:QKD655355 QTY655352:QTZ655355 RDU655352:RDV655355 RNQ655352:RNR655355 RXM655352:RXN655355 SHI655352:SHJ655355 SRE655352:SRF655355 TBA655352:TBB655355 TKW655352:TKX655355 TUS655352:TUT655355 UEO655352:UEP655355 UOK655352:UOL655355 UYG655352:UYH655355 VIC655352:VID655355 VRY655352:VRZ655355 WBU655352:WBV655355 WLQ655352:WLR655355 WVM655352:WVN655355 JA720888:JB720891 SW720888:SX720891 ACS720888:ACT720891 AMO720888:AMP720891 AWK720888:AWL720891 BGG720888:BGH720891 BQC720888:BQD720891 BZY720888:BZZ720891 CJU720888:CJV720891 CTQ720888:CTR720891 DDM720888:DDN720891 DNI720888:DNJ720891 DXE720888:DXF720891 EHA720888:EHB720891 EQW720888:EQX720891 FAS720888:FAT720891 FKO720888:FKP720891 FUK720888:FUL720891 GEG720888:GEH720891 GOC720888:GOD720891 GXY720888:GXZ720891 HHU720888:HHV720891 HRQ720888:HRR720891 IBM720888:IBN720891 ILI720888:ILJ720891 IVE720888:IVF720891 JFA720888:JFB720891 JOW720888:JOX720891 JYS720888:JYT720891 KIO720888:KIP720891 KSK720888:KSL720891 LCG720888:LCH720891 LMC720888:LMD720891 LVY720888:LVZ720891 MFU720888:MFV720891 MPQ720888:MPR720891 MZM720888:MZN720891 NJI720888:NJJ720891 NTE720888:NTF720891 ODA720888:ODB720891 OMW720888:OMX720891 OWS720888:OWT720891 PGO720888:PGP720891 PQK720888:PQL720891 QAG720888:QAH720891 QKC720888:QKD720891 QTY720888:QTZ720891 RDU720888:RDV720891 RNQ720888:RNR720891 RXM720888:RXN720891 SHI720888:SHJ720891 SRE720888:SRF720891 TBA720888:TBB720891 TKW720888:TKX720891 TUS720888:TUT720891 UEO720888:UEP720891 UOK720888:UOL720891 UYG720888:UYH720891 VIC720888:VID720891 VRY720888:VRZ720891 WBU720888:WBV720891 WLQ720888:WLR720891 WVM720888:WVN720891 JA786424:JB786427 SW786424:SX786427 ACS786424:ACT786427 AMO786424:AMP786427 AWK786424:AWL786427 BGG786424:BGH786427 BQC786424:BQD786427 BZY786424:BZZ786427 CJU786424:CJV786427 CTQ786424:CTR786427 DDM786424:DDN786427 DNI786424:DNJ786427 DXE786424:DXF786427 EHA786424:EHB786427 EQW786424:EQX786427 FAS786424:FAT786427 FKO786424:FKP786427 FUK786424:FUL786427 GEG786424:GEH786427 GOC786424:GOD786427 GXY786424:GXZ786427 HHU786424:HHV786427 HRQ786424:HRR786427 IBM786424:IBN786427 ILI786424:ILJ786427 IVE786424:IVF786427 JFA786424:JFB786427 JOW786424:JOX786427 JYS786424:JYT786427 KIO786424:KIP786427 KSK786424:KSL786427 LCG786424:LCH786427 LMC786424:LMD786427 LVY786424:LVZ786427 MFU786424:MFV786427 MPQ786424:MPR786427 MZM786424:MZN786427 NJI786424:NJJ786427 NTE786424:NTF786427 ODA786424:ODB786427 OMW786424:OMX786427 OWS786424:OWT786427 PGO786424:PGP786427 PQK786424:PQL786427 QAG786424:QAH786427 QKC786424:QKD786427 QTY786424:QTZ786427 RDU786424:RDV786427 RNQ786424:RNR786427 RXM786424:RXN786427 SHI786424:SHJ786427 SRE786424:SRF786427 TBA786424:TBB786427 TKW786424:TKX786427 TUS786424:TUT786427 UEO786424:UEP786427 UOK786424:UOL786427 UYG786424:UYH786427 VIC786424:VID786427 VRY786424:VRZ786427 WBU786424:WBV786427 WLQ786424:WLR786427 WVM786424:WVN786427 JA851960:JB851963 SW851960:SX851963 ACS851960:ACT851963 AMO851960:AMP851963 AWK851960:AWL851963 BGG851960:BGH851963 BQC851960:BQD851963 BZY851960:BZZ851963 CJU851960:CJV851963 CTQ851960:CTR851963 DDM851960:DDN851963 DNI851960:DNJ851963 DXE851960:DXF851963 EHA851960:EHB851963 EQW851960:EQX851963 FAS851960:FAT851963 FKO851960:FKP851963 FUK851960:FUL851963 GEG851960:GEH851963 GOC851960:GOD851963 GXY851960:GXZ851963 HHU851960:HHV851963 HRQ851960:HRR851963 IBM851960:IBN851963 ILI851960:ILJ851963 IVE851960:IVF851963 JFA851960:JFB851963 JOW851960:JOX851963 JYS851960:JYT851963 KIO851960:KIP851963 KSK851960:KSL851963 LCG851960:LCH851963 LMC851960:LMD851963 LVY851960:LVZ851963 MFU851960:MFV851963 MPQ851960:MPR851963 MZM851960:MZN851963 NJI851960:NJJ851963 NTE851960:NTF851963 ODA851960:ODB851963 OMW851960:OMX851963 OWS851960:OWT851963 PGO851960:PGP851963 PQK851960:PQL851963 QAG851960:QAH851963 QKC851960:QKD851963 QTY851960:QTZ851963 RDU851960:RDV851963 RNQ851960:RNR851963 RXM851960:RXN851963 SHI851960:SHJ851963 SRE851960:SRF851963 TBA851960:TBB851963 TKW851960:TKX851963 TUS851960:TUT851963 UEO851960:UEP851963 UOK851960:UOL851963 UYG851960:UYH851963 VIC851960:VID851963 VRY851960:VRZ851963 WBU851960:WBV851963 WLQ851960:WLR851963 WVM851960:WVN851963 JA917496:JB917499 SW917496:SX917499 ACS917496:ACT917499 AMO917496:AMP917499 AWK917496:AWL917499 BGG917496:BGH917499 BQC917496:BQD917499 BZY917496:BZZ917499 CJU917496:CJV917499 CTQ917496:CTR917499 DDM917496:DDN917499 DNI917496:DNJ917499 DXE917496:DXF917499 EHA917496:EHB917499 EQW917496:EQX917499 FAS917496:FAT917499 FKO917496:FKP917499 FUK917496:FUL917499 GEG917496:GEH917499 GOC917496:GOD917499 GXY917496:GXZ917499 HHU917496:HHV917499 HRQ917496:HRR917499 IBM917496:IBN917499 ILI917496:ILJ917499 IVE917496:IVF917499 JFA917496:JFB917499 JOW917496:JOX917499 JYS917496:JYT917499 KIO917496:KIP917499 KSK917496:KSL917499 LCG917496:LCH917499 LMC917496:LMD917499 LVY917496:LVZ917499 MFU917496:MFV917499 MPQ917496:MPR917499 MZM917496:MZN917499 NJI917496:NJJ917499 NTE917496:NTF917499 ODA917496:ODB917499 OMW917496:OMX917499 OWS917496:OWT917499 PGO917496:PGP917499 PQK917496:PQL917499 QAG917496:QAH917499 QKC917496:QKD917499 QTY917496:QTZ917499 RDU917496:RDV917499 RNQ917496:RNR917499 RXM917496:RXN917499 SHI917496:SHJ917499 SRE917496:SRF917499 TBA917496:TBB917499 TKW917496:TKX917499 TUS917496:TUT917499 UEO917496:UEP917499 UOK917496:UOL917499 UYG917496:UYH917499 VIC917496:VID917499 VRY917496:VRZ917499 WBU917496:WBV917499 WLQ917496:WLR917499 WVM917496:WVN917499 JA983032:JB983035 SW983032:SX983035 ACS983032:ACT983035 AMO983032:AMP983035 AWK983032:AWL983035 BGG983032:BGH983035 BQC983032:BQD983035 BZY983032:BZZ983035 CJU983032:CJV983035 CTQ983032:CTR983035 DDM983032:DDN983035 DNI983032:DNJ983035 DXE983032:DXF983035 EHA983032:EHB983035 EQW983032:EQX983035 FAS983032:FAT983035 FKO983032:FKP983035 FUK983032:FUL983035 GEG983032:GEH983035 GOC983032:GOD983035 GXY983032:GXZ983035 HHU983032:HHV983035 HRQ983032:HRR983035 IBM983032:IBN983035 ILI983032:ILJ983035 IVE983032:IVF983035 JFA983032:JFB983035 JOW983032:JOX983035 JYS983032:JYT983035 KIO983032:KIP983035 KSK983032:KSL983035 LCG983032:LCH983035 LMC983032:LMD983035 LVY983032:LVZ983035 MFU983032:MFV983035 MPQ983032:MPR983035 MZM983032:MZN983035 NJI983032:NJJ983035 NTE983032:NTF983035 ODA983032:ODB983035 OMW983032:OMX983035 OWS983032:OWT983035 PGO983032:PGP983035 PQK983032:PQL983035 QAG983032:QAH983035 QKC983032:QKD983035 QTY983032:QTZ983035 RDU983032:RDV983035 RNQ983032:RNR983035 RXM983032:RXN983035 SHI983032:SHJ983035 SRE983032:SRF983035 TBA983032:TBB983035 TKW983032:TKX983035 TUS983032:TUT983035 UEO983032:UEP983035 UOK983032:UOL983035 UYG983032:UYH983035 VIC983032:VID983035 VRY983032:VRZ983035 WBU983032:WBV983035 WLQ983032:WLR983035 WVM983032:WVN983035 WLF983032:WLG983035 IE65528:IF65531 SA65528:SB65531 ABW65528:ABX65531 ALS65528:ALT65531 AVO65528:AVP65531 BFK65528:BFL65531 BPG65528:BPH65531 BZC65528:BZD65531 CIY65528:CIZ65531 CSU65528:CSV65531 DCQ65528:DCR65531 DMM65528:DMN65531 DWI65528:DWJ65531 EGE65528:EGF65531 EQA65528:EQB65531 EZW65528:EZX65531 FJS65528:FJT65531 FTO65528:FTP65531 GDK65528:GDL65531 GNG65528:GNH65531 GXC65528:GXD65531 HGY65528:HGZ65531 HQU65528:HQV65531 IAQ65528:IAR65531 IKM65528:IKN65531 IUI65528:IUJ65531 JEE65528:JEF65531 JOA65528:JOB65531 JXW65528:JXX65531 KHS65528:KHT65531 KRO65528:KRP65531 LBK65528:LBL65531 LLG65528:LLH65531 LVC65528:LVD65531 MEY65528:MEZ65531 MOU65528:MOV65531 MYQ65528:MYR65531 NIM65528:NIN65531 NSI65528:NSJ65531 OCE65528:OCF65531 OMA65528:OMB65531 OVW65528:OVX65531 PFS65528:PFT65531 PPO65528:PPP65531 PZK65528:PZL65531 QJG65528:QJH65531 QTC65528:QTD65531 RCY65528:RCZ65531 RMU65528:RMV65531 RWQ65528:RWR65531 SGM65528:SGN65531 SQI65528:SQJ65531 TAE65528:TAF65531 TKA65528:TKB65531 TTW65528:TTX65531 UDS65528:UDT65531 UNO65528:UNP65531 UXK65528:UXL65531 VHG65528:VHH65531 VRC65528:VRD65531 WAY65528:WAZ65531 WKU65528:WKV65531 WUQ65528:WUR65531 IE131064:IF131067 SA131064:SB131067 ABW131064:ABX131067 ALS131064:ALT131067 AVO131064:AVP131067 BFK131064:BFL131067 BPG131064:BPH131067 BZC131064:BZD131067 CIY131064:CIZ131067 CSU131064:CSV131067 DCQ131064:DCR131067 DMM131064:DMN131067 DWI131064:DWJ131067 EGE131064:EGF131067 EQA131064:EQB131067 EZW131064:EZX131067 FJS131064:FJT131067 FTO131064:FTP131067 GDK131064:GDL131067 GNG131064:GNH131067 GXC131064:GXD131067 HGY131064:HGZ131067 HQU131064:HQV131067 IAQ131064:IAR131067 IKM131064:IKN131067 IUI131064:IUJ131067 JEE131064:JEF131067 JOA131064:JOB131067 JXW131064:JXX131067 KHS131064:KHT131067 KRO131064:KRP131067 LBK131064:LBL131067 LLG131064:LLH131067 LVC131064:LVD131067 MEY131064:MEZ131067 MOU131064:MOV131067 MYQ131064:MYR131067 NIM131064:NIN131067 NSI131064:NSJ131067 OCE131064:OCF131067 OMA131064:OMB131067 OVW131064:OVX131067 PFS131064:PFT131067 PPO131064:PPP131067 PZK131064:PZL131067 QJG131064:QJH131067 QTC131064:QTD131067 RCY131064:RCZ131067 RMU131064:RMV131067 RWQ131064:RWR131067 SGM131064:SGN131067 SQI131064:SQJ131067 TAE131064:TAF131067 TKA131064:TKB131067 TTW131064:TTX131067 UDS131064:UDT131067 UNO131064:UNP131067 UXK131064:UXL131067 VHG131064:VHH131067 VRC131064:VRD131067 WAY131064:WAZ131067 WKU131064:WKV131067 WUQ131064:WUR131067 IE196600:IF196603 SA196600:SB196603 ABW196600:ABX196603 ALS196600:ALT196603 AVO196600:AVP196603 BFK196600:BFL196603 BPG196600:BPH196603 BZC196600:BZD196603 CIY196600:CIZ196603 CSU196600:CSV196603 DCQ196600:DCR196603 DMM196600:DMN196603 DWI196600:DWJ196603 EGE196600:EGF196603 EQA196600:EQB196603 EZW196600:EZX196603 FJS196600:FJT196603 FTO196600:FTP196603 GDK196600:GDL196603 GNG196600:GNH196603 GXC196600:GXD196603 HGY196600:HGZ196603 HQU196600:HQV196603 IAQ196600:IAR196603 IKM196600:IKN196603 IUI196600:IUJ196603 JEE196600:JEF196603 JOA196600:JOB196603 JXW196600:JXX196603 KHS196600:KHT196603 KRO196600:KRP196603 LBK196600:LBL196603 LLG196600:LLH196603 LVC196600:LVD196603 MEY196600:MEZ196603 MOU196600:MOV196603 MYQ196600:MYR196603 NIM196600:NIN196603 NSI196600:NSJ196603 OCE196600:OCF196603 OMA196600:OMB196603 OVW196600:OVX196603 PFS196600:PFT196603 PPO196600:PPP196603 PZK196600:PZL196603 QJG196600:QJH196603 QTC196600:QTD196603 RCY196600:RCZ196603 RMU196600:RMV196603 RWQ196600:RWR196603 SGM196600:SGN196603 SQI196600:SQJ196603 TAE196600:TAF196603 TKA196600:TKB196603 TTW196600:TTX196603 UDS196600:UDT196603 UNO196600:UNP196603 UXK196600:UXL196603 VHG196600:VHH196603 VRC196600:VRD196603 WAY196600:WAZ196603 WKU196600:WKV196603 WUQ196600:WUR196603 IE262136:IF262139 SA262136:SB262139 ABW262136:ABX262139 ALS262136:ALT262139 AVO262136:AVP262139 BFK262136:BFL262139 BPG262136:BPH262139 BZC262136:BZD262139 CIY262136:CIZ262139 CSU262136:CSV262139 DCQ262136:DCR262139 DMM262136:DMN262139 DWI262136:DWJ262139 EGE262136:EGF262139 EQA262136:EQB262139 EZW262136:EZX262139 FJS262136:FJT262139 FTO262136:FTP262139 GDK262136:GDL262139 GNG262136:GNH262139 GXC262136:GXD262139 HGY262136:HGZ262139 HQU262136:HQV262139 IAQ262136:IAR262139 IKM262136:IKN262139 IUI262136:IUJ262139 JEE262136:JEF262139 JOA262136:JOB262139 JXW262136:JXX262139 KHS262136:KHT262139 KRO262136:KRP262139 LBK262136:LBL262139 LLG262136:LLH262139 LVC262136:LVD262139 MEY262136:MEZ262139 MOU262136:MOV262139 MYQ262136:MYR262139 NIM262136:NIN262139 NSI262136:NSJ262139 OCE262136:OCF262139 OMA262136:OMB262139 OVW262136:OVX262139 PFS262136:PFT262139 PPO262136:PPP262139 PZK262136:PZL262139 QJG262136:QJH262139 QTC262136:QTD262139 RCY262136:RCZ262139 RMU262136:RMV262139 RWQ262136:RWR262139 SGM262136:SGN262139 SQI262136:SQJ262139 TAE262136:TAF262139 TKA262136:TKB262139 TTW262136:TTX262139 UDS262136:UDT262139 UNO262136:UNP262139 UXK262136:UXL262139 VHG262136:VHH262139 VRC262136:VRD262139 WAY262136:WAZ262139 WKU262136:WKV262139 WUQ262136:WUR262139 IE327672:IF327675 SA327672:SB327675 ABW327672:ABX327675 ALS327672:ALT327675 AVO327672:AVP327675 BFK327672:BFL327675 BPG327672:BPH327675 BZC327672:BZD327675 CIY327672:CIZ327675 CSU327672:CSV327675 DCQ327672:DCR327675 DMM327672:DMN327675 DWI327672:DWJ327675 EGE327672:EGF327675 EQA327672:EQB327675 EZW327672:EZX327675 FJS327672:FJT327675 FTO327672:FTP327675 GDK327672:GDL327675 GNG327672:GNH327675 GXC327672:GXD327675 HGY327672:HGZ327675 HQU327672:HQV327675 IAQ327672:IAR327675 IKM327672:IKN327675 IUI327672:IUJ327675 JEE327672:JEF327675 JOA327672:JOB327675 JXW327672:JXX327675 KHS327672:KHT327675 KRO327672:KRP327675 LBK327672:LBL327675 LLG327672:LLH327675 LVC327672:LVD327675 MEY327672:MEZ327675 MOU327672:MOV327675 MYQ327672:MYR327675 NIM327672:NIN327675 NSI327672:NSJ327675 OCE327672:OCF327675 OMA327672:OMB327675 OVW327672:OVX327675 PFS327672:PFT327675 PPO327672:PPP327675 PZK327672:PZL327675 QJG327672:QJH327675 QTC327672:QTD327675 RCY327672:RCZ327675 RMU327672:RMV327675 RWQ327672:RWR327675 SGM327672:SGN327675 SQI327672:SQJ327675 TAE327672:TAF327675 TKA327672:TKB327675 TTW327672:TTX327675 UDS327672:UDT327675 UNO327672:UNP327675 UXK327672:UXL327675 VHG327672:VHH327675 VRC327672:VRD327675 WAY327672:WAZ327675 WKU327672:WKV327675 WUQ327672:WUR327675 IE393208:IF393211 SA393208:SB393211 ABW393208:ABX393211 ALS393208:ALT393211 AVO393208:AVP393211 BFK393208:BFL393211 BPG393208:BPH393211 BZC393208:BZD393211 CIY393208:CIZ393211 CSU393208:CSV393211 DCQ393208:DCR393211 DMM393208:DMN393211 DWI393208:DWJ393211 EGE393208:EGF393211 EQA393208:EQB393211 EZW393208:EZX393211 FJS393208:FJT393211 FTO393208:FTP393211 GDK393208:GDL393211 GNG393208:GNH393211 GXC393208:GXD393211 HGY393208:HGZ393211 HQU393208:HQV393211 IAQ393208:IAR393211 IKM393208:IKN393211 IUI393208:IUJ393211 JEE393208:JEF393211 JOA393208:JOB393211 JXW393208:JXX393211 KHS393208:KHT393211 KRO393208:KRP393211 LBK393208:LBL393211 LLG393208:LLH393211 LVC393208:LVD393211 MEY393208:MEZ393211 MOU393208:MOV393211 MYQ393208:MYR393211 NIM393208:NIN393211 NSI393208:NSJ393211 OCE393208:OCF393211 OMA393208:OMB393211 OVW393208:OVX393211 PFS393208:PFT393211 PPO393208:PPP393211 PZK393208:PZL393211 QJG393208:QJH393211 QTC393208:QTD393211 RCY393208:RCZ393211 RMU393208:RMV393211 RWQ393208:RWR393211 SGM393208:SGN393211 SQI393208:SQJ393211 TAE393208:TAF393211 TKA393208:TKB393211 TTW393208:TTX393211 UDS393208:UDT393211 UNO393208:UNP393211 UXK393208:UXL393211 VHG393208:VHH393211 VRC393208:VRD393211 WAY393208:WAZ393211 WKU393208:WKV393211 WUQ393208:WUR393211 IE458744:IF458747 SA458744:SB458747 ABW458744:ABX458747 ALS458744:ALT458747 AVO458744:AVP458747 BFK458744:BFL458747 BPG458744:BPH458747 BZC458744:BZD458747 CIY458744:CIZ458747 CSU458744:CSV458747 DCQ458744:DCR458747 DMM458744:DMN458747 DWI458744:DWJ458747 EGE458744:EGF458747 EQA458744:EQB458747 EZW458744:EZX458747 FJS458744:FJT458747 FTO458744:FTP458747 GDK458744:GDL458747 GNG458744:GNH458747 GXC458744:GXD458747 HGY458744:HGZ458747 HQU458744:HQV458747 IAQ458744:IAR458747 IKM458744:IKN458747 IUI458744:IUJ458747 JEE458744:JEF458747 JOA458744:JOB458747 JXW458744:JXX458747 KHS458744:KHT458747 KRO458744:KRP458747 LBK458744:LBL458747 LLG458744:LLH458747 LVC458744:LVD458747 MEY458744:MEZ458747 MOU458744:MOV458747 MYQ458744:MYR458747 NIM458744:NIN458747 NSI458744:NSJ458747 OCE458744:OCF458747 OMA458744:OMB458747 OVW458744:OVX458747 PFS458744:PFT458747 PPO458744:PPP458747 PZK458744:PZL458747 QJG458744:QJH458747 QTC458744:QTD458747 RCY458744:RCZ458747 RMU458744:RMV458747 RWQ458744:RWR458747 SGM458744:SGN458747 SQI458744:SQJ458747 TAE458744:TAF458747 TKA458744:TKB458747 TTW458744:TTX458747 UDS458744:UDT458747 UNO458744:UNP458747 UXK458744:UXL458747 VHG458744:VHH458747 VRC458744:VRD458747 WAY458744:WAZ458747 WKU458744:WKV458747 WUQ458744:WUR458747 IE524280:IF524283 SA524280:SB524283 ABW524280:ABX524283 ALS524280:ALT524283 AVO524280:AVP524283 BFK524280:BFL524283 BPG524280:BPH524283 BZC524280:BZD524283 CIY524280:CIZ524283 CSU524280:CSV524283 DCQ524280:DCR524283 DMM524280:DMN524283 DWI524280:DWJ524283 EGE524280:EGF524283 EQA524280:EQB524283 EZW524280:EZX524283 FJS524280:FJT524283 FTO524280:FTP524283 GDK524280:GDL524283 GNG524280:GNH524283 GXC524280:GXD524283 HGY524280:HGZ524283 HQU524280:HQV524283 IAQ524280:IAR524283 IKM524280:IKN524283 IUI524280:IUJ524283 JEE524280:JEF524283 JOA524280:JOB524283 JXW524280:JXX524283 KHS524280:KHT524283 KRO524280:KRP524283 LBK524280:LBL524283 LLG524280:LLH524283 LVC524280:LVD524283 MEY524280:MEZ524283 MOU524280:MOV524283 MYQ524280:MYR524283 NIM524280:NIN524283 NSI524280:NSJ524283 OCE524280:OCF524283 OMA524280:OMB524283 OVW524280:OVX524283 PFS524280:PFT524283 PPO524280:PPP524283 PZK524280:PZL524283 QJG524280:QJH524283 QTC524280:QTD524283 RCY524280:RCZ524283 RMU524280:RMV524283 RWQ524280:RWR524283 SGM524280:SGN524283 SQI524280:SQJ524283 TAE524280:TAF524283 TKA524280:TKB524283 TTW524280:TTX524283 UDS524280:UDT524283 UNO524280:UNP524283 UXK524280:UXL524283 VHG524280:VHH524283 VRC524280:VRD524283 WAY524280:WAZ524283 WKU524280:WKV524283 WUQ524280:WUR524283 IE589816:IF589819 SA589816:SB589819 ABW589816:ABX589819 ALS589816:ALT589819 AVO589816:AVP589819 BFK589816:BFL589819 BPG589816:BPH589819 BZC589816:BZD589819 CIY589816:CIZ589819 CSU589816:CSV589819 DCQ589816:DCR589819 DMM589816:DMN589819 DWI589816:DWJ589819 EGE589816:EGF589819 EQA589816:EQB589819 EZW589816:EZX589819 FJS589816:FJT589819 FTO589816:FTP589819 GDK589816:GDL589819 GNG589816:GNH589819 GXC589816:GXD589819 HGY589816:HGZ589819 HQU589816:HQV589819 IAQ589816:IAR589819 IKM589816:IKN589819 IUI589816:IUJ589819 JEE589816:JEF589819 JOA589816:JOB589819 JXW589816:JXX589819 KHS589816:KHT589819 KRO589816:KRP589819 LBK589816:LBL589819 LLG589816:LLH589819 LVC589816:LVD589819 MEY589816:MEZ589819 MOU589816:MOV589819 MYQ589816:MYR589819 NIM589816:NIN589819 NSI589816:NSJ589819 OCE589816:OCF589819 OMA589816:OMB589819 OVW589816:OVX589819 PFS589816:PFT589819 PPO589816:PPP589819 PZK589816:PZL589819 QJG589816:QJH589819 QTC589816:QTD589819 RCY589816:RCZ589819 RMU589816:RMV589819 RWQ589816:RWR589819 SGM589816:SGN589819 SQI589816:SQJ589819 TAE589816:TAF589819 TKA589816:TKB589819 TTW589816:TTX589819 UDS589816:UDT589819 UNO589816:UNP589819 UXK589816:UXL589819 VHG589816:VHH589819 VRC589816:VRD589819 WAY589816:WAZ589819 WKU589816:WKV589819 WUQ589816:WUR589819 IE655352:IF655355 SA655352:SB655355 ABW655352:ABX655355 ALS655352:ALT655355 AVO655352:AVP655355 BFK655352:BFL655355 BPG655352:BPH655355 BZC655352:BZD655355 CIY655352:CIZ655355 CSU655352:CSV655355 DCQ655352:DCR655355 DMM655352:DMN655355 DWI655352:DWJ655355 EGE655352:EGF655355 EQA655352:EQB655355 EZW655352:EZX655355 FJS655352:FJT655355 FTO655352:FTP655355 GDK655352:GDL655355 GNG655352:GNH655355 GXC655352:GXD655355 HGY655352:HGZ655355 HQU655352:HQV655355 IAQ655352:IAR655355 IKM655352:IKN655355 IUI655352:IUJ655355 JEE655352:JEF655355 JOA655352:JOB655355 JXW655352:JXX655355 KHS655352:KHT655355 KRO655352:KRP655355 LBK655352:LBL655355 LLG655352:LLH655355 LVC655352:LVD655355 MEY655352:MEZ655355 MOU655352:MOV655355 MYQ655352:MYR655355 NIM655352:NIN655355 NSI655352:NSJ655355 OCE655352:OCF655355 OMA655352:OMB655355 OVW655352:OVX655355 PFS655352:PFT655355 PPO655352:PPP655355 PZK655352:PZL655355 QJG655352:QJH655355 QTC655352:QTD655355 RCY655352:RCZ655355 RMU655352:RMV655355 RWQ655352:RWR655355 SGM655352:SGN655355 SQI655352:SQJ655355 TAE655352:TAF655355 TKA655352:TKB655355 TTW655352:TTX655355 UDS655352:UDT655355 UNO655352:UNP655355 UXK655352:UXL655355 VHG655352:VHH655355 VRC655352:VRD655355 WAY655352:WAZ655355 WKU655352:WKV655355 WUQ655352:WUR655355 IE720888:IF720891 SA720888:SB720891 ABW720888:ABX720891 ALS720888:ALT720891 AVO720888:AVP720891 BFK720888:BFL720891 BPG720888:BPH720891 BZC720888:BZD720891 CIY720888:CIZ720891 CSU720888:CSV720891 DCQ720888:DCR720891 DMM720888:DMN720891 DWI720888:DWJ720891 EGE720888:EGF720891 EQA720888:EQB720891 EZW720888:EZX720891 FJS720888:FJT720891 FTO720888:FTP720891 GDK720888:GDL720891 GNG720888:GNH720891 GXC720888:GXD720891 HGY720888:HGZ720891 HQU720888:HQV720891 IAQ720888:IAR720891 IKM720888:IKN720891 IUI720888:IUJ720891 JEE720888:JEF720891 JOA720888:JOB720891 JXW720888:JXX720891 KHS720888:KHT720891 KRO720888:KRP720891 LBK720888:LBL720891 LLG720888:LLH720891 LVC720888:LVD720891 MEY720888:MEZ720891 MOU720888:MOV720891 MYQ720888:MYR720891 NIM720888:NIN720891 NSI720888:NSJ720891 OCE720888:OCF720891 OMA720888:OMB720891 OVW720888:OVX720891 PFS720888:PFT720891 PPO720888:PPP720891 PZK720888:PZL720891 QJG720888:QJH720891 QTC720888:QTD720891 RCY720888:RCZ720891 RMU720888:RMV720891 RWQ720888:RWR720891 SGM720888:SGN720891 SQI720888:SQJ720891 TAE720888:TAF720891 TKA720888:TKB720891 TTW720888:TTX720891 UDS720888:UDT720891 UNO720888:UNP720891 UXK720888:UXL720891 VHG720888:VHH720891 VRC720888:VRD720891 WAY720888:WAZ720891 WKU720888:WKV720891 WUQ720888:WUR720891 IE786424:IF786427 SA786424:SB786427 ABW786424:ABX786427 ALS786424:ALT786427 AVO786424:AVP786427 BFK786424:BFL786427 BPG786424:BPH786427 BZC786424:BZD786427 CIY786424:CIZ786427 CSU786424:CSV786427 DCQ786424:DCR786427 DMM786424:DMN786427 DWI786424:DWJ786427 EGE786424:EGF786427 EQA786424:EQB786427 EZW786424:EZX786427 FJS786424:FJT786427 FTO786424:FTP786427 GDK786424:GDL786427 GNG786424:GNH786427 GXC786424:GXD786427 HGY786424:HGZ786427 HQU786424:HQV786427 IAQ786424:IAR786427 IKM786424:IKN786427 IUI786424:IUJ786427 JEE786424:JEF786427 JOA786424:JOB786427 JXW786424:JXX786427 KHS786424:KHT786427 KRO786424:KRP786427 LBK786424:LBL786427 LLG786424:LLH786427 LVC786424:LVD786427 MEY786424:MEZ786427 MOU786424:MOV786427 MYQ786424:MYR786427 NIM786424:NIN786427 NSI786424:NSJ786427 OCE786424:OCF786427 OMA786424:OMB786427 OVW786424:OVX786427 PFS786424:PFT786427 PPO786424:PPP786427 PZK786424:PZL786427 QJG786424:QJH786427 QTC786424:QTD786427 RCY786424:RCZ786427 RMU786424:RMV786427 RWQ786424:RWR786427 SGM786424:SGN786427 SQI786424:SQJ786427 TAE786424:TAF786427 TKA786424:TKB786427 TTW786424:TTX786427 UDS786424:UDT786427 UNO786424:UNP786427 UXK786424:UXL786427 VHG786424:VHH786427 VRC786424:VRD786427 WAY786424:WAZ786427 WKU786424:WKV786427 WUQ786424:WUR786427 IE851960:IF851963 SA851960:SB851963 ABW851960:ABX851963 ALS851960:ALT851963 AVO851960:AVP851963 BFK851960:BFL851963 BPG851960:BPH851963 BZC851960:BZD851963 CIY851960:CIZ851963 CSU851960:CSV851963 DCQ851960:DCR851963 DMM851960:DMN851963 DWI851960:DWJ851963 EGE851960:EGF851963 EQA851960:EQB851963 EZW851960:EZX851963 FJS851960:FJT851963 FTO851960:FTP851963 GDK851960:GDL851963 GNG851960:GNH851963 GXC851960:GXD851963 HGY851960:HGZ851963 HQU851960:HQV851963 IAQ851960:IAR851963 IKM851960:IKN851963 IUI851960:IUJ851963 JEE851960:JEF851963 JOA851960:JOB851963 JXW851960:JXX851963 KHS851960:KHT851963 KRO851960:KRP851963 LBK851960:LBL851963 LLG851960:LLH851963 LVC851960:LVD851963 MEY851960:MEZ851963 MOU851960:MOV851963 MYQ851960:MYR851963 NIM851960:NIN851963 NSI851960:NSJ851963 OCE851960:OCF851963 OMA851960:OMB851963 OVW851960:OVX851963 PFS851960:PFT851963 PPO851960:PPP851963 PZK851960:PZL851963 QJG851960:QJH851963 QTC851960:QTD851963 RCY851960:RCZ851963 RMU851960:RMV851963 RWQ851960:RWR851963 SGM851960:SGN851963 SQI851960:SQJ851963 TAE851960:TAF851963 TKA851960:TKB851963 TTW851960:TTX851963 UDS851960:UDT851963 UNO851960:UNP851963 UXK851960:UXL851963 VHG851960:VHH851963 VRC851960:VRD851963 WAY851960:WAZ851963 WKU851960:WKV851963 WUQ851960:WUR851963 IE917496:IF917499 SA917496:SB917499 ABW917496:ABX917499 ALS917496:ALT917499 AVO917496:AVP917499 BFK917496:BFL917499 BPG917496:BPH917499 BZC917496:BZD917499 CIY917496:CIZ917499 CSU917496:CSV917499 DCQ917496:DCR917499 DMM917496:DMN917499 DWI917496:DWJ917499 EGE917496:EGF917499 EQA917496:EQB917499 EZW917496:EZX917499 FJS917496:FJT917499 FTO917496:FTP917499 GDK917496:GDL917499 GNG917496:GNH917499 GXC917496:GXD917499 HGY917496:HGZ917499 HQU917496:HQV917499 IAQ917496:IAR917499 IKM917496:IKN917499 IUI917496:IUJ917499 JEE917496:JEF917499 JOA917496:JOB917499 JXW917496:JXX917499 KHS917496:KHT917499 KRO917496:KRP917499 LBK917496:LBL917499 LLG917496:LLH917499 LVC917496:LVD917499 MEY917496:MEZ917499 MOU917496:MOV917499 MYQ917496:MYR917499 NIM917496:NIN917499 NSI917496:NSJ917499 OCE917496:OCF917499 OMA917496:OMB917499 OVW917496:OVX917499 PFS917496:PFT917499 PPO917496:PPP917499 PZK917496:PZL917499 QJG917496:QJH917499 QTC917496:QTD917499 RCY917496:RCZ917499 RMU917496:RMV917499 RWQ917496:RWR917499 SGM917496:SGN917499 SQI917496:SQJ917499 TAE917496:TAF917499 TKA917496:TKB917499 TTW917496:TTX917499 UDS917496:UDT917499 UNO917496:UNP917499 UXK917496:UXL917499 VHG917496:VHH917499 VRC917496:VRD917499 WAY917496:WAZ917499 WKU917496:WKV917499 WUQ917496:WUR917499 IE983032:IF983035 SA983032:SB983035 ABW983032:ABX983035 ALS983032:ALT983035 AVO983032:AVP983035 BFK983032:BFL983035 BPG983032:BPH983035 BZC983032:BZD983035 CIY983032:CIZ983035 CSU983032:CSV983035 DCQ983032:DCR983035 DMM983032:DMN983035 DWI983032:DWJ983035 EGE983032:EGF983035 EQA983032:EQB983035 EZW983032:EZX983035 FJS983032:FJT983035 FTO983032:FTP983035 GDK983032:GDL983035 GNG983032:GNH983035 GXC983032:GXD983035 HGY983032:HGZ983035 HQU983032:HQV983035 IAQ983032:IAR983035 IKM983032:IKN983035 IUI983032:IUJ983035 JEE983032:JEF983035 JOA983032:JOB983035 JXW983032:JXX983035 KHS983032:KHT983035 KRO983032:KRP983035 LBK983032:LBL983035 LLG983032:LLH983035 LVC983032:LVD983035 MEY983032:MEZ983035 MOU983032:MOV983035 MYQ983032:MYR983035 NIM983032:NIN983035 NSI983032:NSJ983035 OCE983032:OCF983035 OMA983032:OMB983035 OVW983032:OVX983035 PFS983032:PFT983035 PPO983032:PPP983035 PZK983032:PZL983035 QJG983032:QJH983035 QTC983032:QTD983035 RCY983032:RCZ983035 RMU983032:RMV983035 RWQ983032:RWR983035 SGM983032:SGN983035 SQI983032:SQJ983035 TAE983032:TAF983035 TKA983032:TKB983035 TTW983032:TTX983035 UDS983032:UDT983035 UNO983032:UNP983035 UXK983032:UXL983035 VHG983032:VHH983035 VRC983032:VRD983035 WAY983032:WAZ983035 WKU983032:WKV983035 WUQ983032:WUR983035 WVB983032:WVC983035 VRN983032:VRO983035 IP65528:IQ65531 SL65528:SM65531 ACH65528:ACI65531 AMD65528:AME65531 AVZ65528:AWA65531 BFV65528:BFW65531 BPR65528:BPS65531 BZN65528:BZO65531 CJJ65528:CJK65531 CTF65528:CTG65531 DDB65528:DDC65531 DMX65528:DMY65531 DWT65528:DWU65531 EGP65528:EGQ65531 EQL65528:EQM65531 FAH65528:FAI65531 FKD65528:FKE65531 FTZ65528:FUA65531 GDV65528:GDW65531 GNR65528:GNS65531 GXN65528:GXO65531 HHJ65528:HHK65531 HRF65528:HRG65531 IBB65528:IBC65531 IKX65528:IKY65531 IUT65528:IUU65531 JEP65528:JEQ65531 JOL65528:JOM65531 JYH65528:JYI65531 KID65528:KIE65531 KRZ65528:KSA65531 LBV65528:LBW65531 LLR65528:LLS65531 LVN65528:LVO65531 MFJ65528:MFK65531 MPF65528:MPG65531 MZB65528:MZC65531 NIX65528:NIY65531 NST65528:NSU65531 OCP65528:OCQ65531 OML65528:OMM65531 OWH65528:OWI65531 PGD65528:PGE65531 PPZ65528:PQA65531 PZV65528:PZW65531 QJR65528:QJS65531 QTN65528:QTO65531 RDJ65528:RDK65531 RNF65528:RNG65531 RXB65528:RXC65531 SGX65528:SGY65531 SQT65528:SQU65531 TAP65528:TAQ65531 TKL65528:TKM65531 TUH65528:TUI65531 UED65528:UEE65531 UNZ65528:UOA65531 UXV65528:UXW65531 VHR65528:VHS65531 VRN65528:VRO65531 WBJ65528:WBK65531 WLF65528:WLG65531 WVB65528:WVC65531 IP131064:IQ131067 SL131064:SM131067 ACH131064:ACI131067 AMD131064:AME131067 AVZ131064:AWA131067 BFV131064:BFW131067 BPR131064:BPS131067 BZN131064:BZO131067 CJJ131064:CJK131067 CTF131064:CTG131067 DDB131064:DDC131067 DMX131064:DMY131067 DWT131064:DWU131067 EGP131064:EGQ131067 EQL131064:EQM131067 FAH131064:FAI131067 FKD131064:FKE131067 FTZ131064:FUA131067 GDV131064:GDW131067 GNR131064:GNS131067 GXN131064:GXO131067 HHJ131064:HHK131067 HRF131064:HRG131067 IBB131064:IBC131067 IKX131064:IKY131067 IUT131064:IUU131067 JEP131064:JEQ131067 JOL131064:JOM131067 JYH131064:JYI131067 KID131064:KIE131067 KRZ131064:KSA131067 LBV131064:LBW131067 LLR131064:LLS131067 LVN131064:LVO131067 MFJ131064:MFK131067 MPF131064:MPG131067 MZB131064:MZC131067 NIX131064:NIY131067 NST131064:NSU131067 OCP131064:OCQ131067 OML131064:OMM131067 OWH131064:OWI131067 PGD131064:PGE131067 PPZ131064:PQA131067 PZV131064:PZW131067 QJR131064:QJS131067 QTN131064:QTO131067 RDJ131064:RDK131067 RNF131064:RNG131067 RXB131064:RXC131067 SGX131064:SGY131067 SQT131064:SQU131067 TAP131064:TAQ131067 TKL131064:TKM131067 TUH131064:TUI131067 UED131064:UEE131067 UNZ131064:UOA131067 UXV131064:UXW131067 VHR131064:VHS131067 VRN131064:VRO131067 WBJ131064:WBK131067 WLF131064:WLG131067 WVB131064:WVC131067 IP196600:IQ196603 SL196600:SM196603 ACH196600:ACI196603 AMD196600:AME196603 AVZ196600:AWA196603 BFV196600:BFW196603 BPR196600:BPS196603 BZN196600:BZO196603 CJJ196600:CJK196603 CTF196600:CTG196603 DDB196600:DDC196603 DMX196600:DMY196603 DWT196600:DWU196603 EGP196600:EGQ196603 EQL196600:EQM196603 FAH196600:FAI196603 FKD196600:FKE196603 FTZ196600:FUA196603 GDV196600:GDW196603 GNR196600:GNS196603 GXN196600:GXO196603 HHJ196600:HHK196603 HRF196600:HRG196603 IBB196600:IBC196603 IKX196600:IKY196603 IUT196600:IUU196603 JEP196600:JEQ196603 JOL196600:JOM196603 JYH196600:JYI196603 KID196600:KIE196603 KRZ196600:KSA196603 LBV196600:LBW196603 LLR196600:LLS196603 LVN196600:LVO196603 MFJ196600:MFK196603 MPF196600:MPG196603 MZB196600:MZC196603 NIX196600:NIY196603 NST196600:NSU196603 OCP196600:OCQ196603 OML196600:OMM196603 OWH196600:OWI196603 PGD196600:PGE196603 PPZ196600:PQA196603 PZV196600:PZW196603 QJR196600:QJS196603 QTN196600:QTO196603 RDJ196600:RDK196603 RNF196600:RNG196603 RXB196600:RXC196603 SGX196600:SGY196603 SQT196600:SQU196603 TAP196600:TAQ196603 TKL196600:TKM196603 TUH196600:TUI196603 UED196600:UEE196603 UNZ196600:UOA196603 UXV196600:UXW196603 VHR196600:VHS196603 VRN196600:VRO196603 WBJ196600:WBK196603 WLF196600:WLG196603 WVB196600:WVC196603 IP262136:IQ262139 SL262136:SM262139 ACH262136:ACI262139 AMD262136:AME262139 AVZ262136:AWA262139 BFV262136:BFW262139 BPR262136:BPS262139 BZN262136:BZO262139 CJJ262136:CJK262139 CTF262136:CTG262139 DDB262136:DDC262139 DMX262136:DMY262139 DWT262136:DWU262139 EGP262136:EGQ262139 EQL262136:EQM262139 FAH262136:FAI262139 FKD262136:FKE262139 FTZ262136:FUA262139 GDV262136:GDW262139 GNR262136:GNS262139 GXN262136:GXO262139 HHJ262136:HHK262139 HRF262136:HRG262139 IBB262136:IBC262139 IKX262136:IKY262139 IUT262136:IUU262139 JEP262136:JEQ262139 JOL262136:JOM262139 JYH262136:JYI262139 KID262136:KIE262139 KRZ262136:KSA262139 LBV262136:LBW262139 LLR262136:LLS262139 LVN262136:LVO262139 MFJ262136:MFK262139 MPF262136:MPG262139 MZB262136:MZC262139 NIX262136:NIY262139 NST262136:NSU262139 OCP262136:OCQ262139 OML262136:OMM262139 OWH262136:OWI262139 PGD262136:PGE262139 PPZ262136:PQA262139 PZV262136:PZW262139 QJR262136:QJS262139 QTN262136:QTO262139 RDJ262136:RDK262139 RNF262136:RNG262139 RXB262136:RXC262139 SGX262136:SGY262139 SQT262136:SQU262139 TAP262136:TAQ262139 TKL262136:TKM262139 TUH262136:TUI262139 UED262136:UEE262139 UNZ262136:UOA262139 UXV262136:UXW262139 VHR262136:VHS262139 VRN262136:VRO262139 WBJ262136:WBK262139 WLF262136:WLG262139 WVB262136:WVC262139 IP327672:IQ327675 SL327672:SM327675 ACH327672:ACI327675 AMD327672:AME327675 AVZ327672:AWA327675 BFV327672:BFW327675 BPR327672:BPS327675 BZN327672:BZO327675 CJJ327672:CJK327675 CTF327672:CTG327675 DDB327672:DDC327675 DMX327672:DMY327675 DWT327672:DWU327675 EGP327672:EGQ327675 EQL327672:EQM327675 FAH327672:FAI327675 FKD327672:FKE327675 FTZ327672:FUA327675 GDV327672:GDW327675 GNR327672:GNS327675 GXN327672:GXO327675 HHJ327672:HHK327675 HRF327672:HRG327675 IBB327672:IBC327675 IKX327672:IKY327675 IUT327672:IUU327675 JEP327672:JEQ327675 JOL327672:JOM327675 JYH327672:JYI327675 KID327672:KIE327675 KRZ327672:KSA327675 LBV327672:LBW327675 LLR327672:LLS327675 LVN327672:LVO327675 MFJ327672:MFK327675 MPF327672:MPG327675 MZB327672:MZC327675 NIX327672:NIY327675 NST327672:NSU327675 OCP327672:OCQ327675 OML327672:OMM327675 OWH327672:OWI327675 PGD327672:PGE327675 PPZ327672:PQA327675 PZV327672:PZW327675 QJR327672:QJS327675 QTN327672:QTO327675 RDJ327672:RDK327675 RNF327672:RNG327675 RXB327672:RXC327675 SGX327672:SGY327675 SQT327672:SQU327675 TAP327672:TAQ327675 TKL327672:TKM327675 TUH327672:TUI327675 UED327672:UEE327675 UNZ327672:UOA327675 UXV327672:UXW327675 VHR327672:VHS327675 VRN327672:VRO327675 WBJ327672:WBK327675 WLF327672:WLG327675 WVB327672:WVC327675 IP393208:IQ393211 SL393208:SM393211 ACH393208:ACI393211 AMD393208:AME393211 AVZ393208:AWA393211 BFV393208:BFW393211 BPR393208:BPS393211 BZN393208:BZO393211 CJJ393208:CJK393211 CTF393208:CTG393211 DDB393208:DDC393211 DMX393208:DMY393211 DWT393208:DWU393211 EGP393208:EGQ393211 EQL393208:EQM393211 FAH393208:FAI393211 FKD393208:FKE393211 FTZ393208:FUA393211 GDV393208:GDW393211 GNR393208:GNS393211 GXN393208:GXO393211 HHJ393208:HHK393211 HRF393208:HRG393211 IBB393208:IBC393211 IKX393208:IKY393211 IUT393208:IUU393211 JEP393208:JEQ393211 JOL393208:JOM393211 JYH393208:JYI393211 KID393208:KIE393211 KRZ393208:KSA393211 LBV393208:LBW393211 LLR393208:LLS393211 LVN393208:LVO393211 MFJ393208:MFK393211 MPF393208:MPG393211 MZB393208:MZC393211 NIX393208:NIY393211 NST393208:NSU393211 OCP393208:OCQ393211 OML393208:OMM393211 OWH393208:OWI393211 PGD393208:PGE393211 PPZ393208:PQA393211 PZV393208:PZW393211 QJR393208:QJS393211 QTN393208:QTO393211 RDJ393208:RDK393211 RNF393208:RNG393211 RXB393208:RXC393211 SGX393208:SGY393211 SQT393208:SQU393211 TAP393208:TAQ393211 TKL393208:TKM393211 TUH393208:TUI393211 UED393208:UEE393211 UNZ393208:UOA393211 UXV393208:UXW393211 VHR393208:VHS393211 VRN393208:VRO393211 WBJ393208:WBK393211 WLF393208:WLG393211 WVB393208:WVC393211 IP458744:IQ458747 SL458744:SM458747 ACH458744:ACI458747 AMD458744:AME458747 AVZ458744:AWA458747 BFV458744:BFW458747 BPR458744:BPS458747 BZN458744:BZO458747 CJJ458744:CJK458747 CTF458744:CTG458747 DDB458744:DDC458747 DMX458744:DMY458747 DWT458744:DWU458747 EGP458744:EGQ458747 EQL458744:EQM458747 FAH458744:FAI458747 FKD458744:FKE458747 FTZ458744:FUA458747 GDV458744:GDW458747 GNR458744:GNS458747 GXN458744:GXO458747 HHJ458744:HHK458747 HRF458744:HRG458747 IBB458744:IBC458747 IKX458744:IKY458747 IUT458744:IUU458747 JEP458744:JEQ458747 JOL458744:JOM458747 JYH458744:JYI458747 KID458744:KIE458747 KRZ458744:KSA458747 LBV458744:LBW458747 LLR458744:LLS458747 LVN458744:LVO458747 MFJ458744:MFK458747 MPF458744:MPG458747 MZB458744:MZC458747 NIX458744:NIY458747 NST458744:NSU458747 OCP458744:OCQ458747 OML458744:OMM458747 OWH458744:OWI458747 PGD458744:PGE458747 PPZ458744:PQA458747 PZV458744:PZW458747 QJR458744:QJS458747 QTN458744:QTO458747 RDJ458744:RDK458747 RNF458744:RNG458747 RXB458744:RXC458747 SGX458744:SGY458747 SQT458744:SQU458747 TAP458744:TAQ458747 TKL458744:TKM458747 TUH458744:TUI458747 UED458744:UEE458747 UNZ458744:UOA458747 UXV458744:UXW458747 VHR458744:VHS458747 VRN458744:VRO458747 WBJ458744:WBK458747 WLF458744:WLG458747 WVB458744:WVC458747 IP524280:IQ524283 SL524280:SM524283 ACH524280:ACI524283 AMD524280:AME524283 AVZ524280:AWA524283 BFV524280:BFW524283 BPR524280:BPS524283 BZN524280:BZO524283 CJJ524280:CJK524283 CTF524280:CTG524283 DDB524280:DDC524283 DMX524280:DMY524283 DWT524280:DWU524283 EGP524280:EGQ524283 EQL524280:EQM524283 FAH524280:FAI524283 FKD524280:FKE524283 FTZ524280:FUA524283 GDV524280:GDW524283 GNR524280:GNS524283 GXN524280:GXO524283 HHJ524280:HHK524283 HRF524280:HRG524283 IBB524280:IBC524283 IKX524280:IKY524283 IUT524280:IUU524283 JEP524280:JEQ524283 JOL524280:JOM524283 JYH524280:JYI524283 KID524280:KIE524283 KRZ524280:KSA524283 LBV524280:LBW524283 LLR524280:LLS524283 LVN524280:LVO524283 MFJ524280:MFK524283 MPF524280:MPG524283 MZB524280:MZC524283 NIX524280:NIY524283 NST524280:NSU524283 OCP524280:OCQ524283 OML524280:OMM524283 OWH524280:OWI524283 PGD524280:PGE524283 PPZ524280:PQA524283 PZV524280:PZW524283 QJR524280:QJS524283 QTN524280:QTO524283 RDJ524280:RDK524283 RNF524280:RNG524283 RXB524280:RXC524283 SGX524280:SGY524283 SQT524280:SQU524283 TAP524280:TAQ524283 TKL524280:TKM524283 TUH524280:TUI524283 UED524280:UEE524283 UNZ524280:UOA524283 UXV524280:UXW524283 VHR524280:VHS524283 VRN524280:VRO524283 WBJ524280:WBK524283 WLF524280:WLG524283 WVB524280:WVC524283 IP589816:IQ589819 SL589816:SM589819 ACH589816:ACI589819 AMD589816:AME589819 AVZ589816:AWA589819 BFV589816:BFW589819 BPR589816:BPS589819 BZN589816:BZO589819 CJJ589816:CJK589819 CTF589816:CTG589819 DDB589816:DDC589819 DMX589816:DMY589819 DWT589816:DWU589819 EGP589816:EGQ589819 EQL589816:EQM589819 FAH589816:FAI589819 FKD589816:FKE589819 FTZ589816:FUA589819 GDV589816:GDW589819 GNR589816:GNS589819 GXN589816:GXO589819 HHJ589816:HHK589819 HRF589816:HRG589819 IBB589816:IBC589819 IKX589816:IKY589819 IUT589816:IUU589819 JEP589816:JEQ589819 JOL589816:JOM589819 JYH589816:JYI589819 KID589816:KIE589819 KRZ589816:KSA589819 LBV589816:LBW589819 LLR589816:LLS589819 LVN589816:LVO589819 MFJ589816:MFK589819 MPF589816:MPG589819 MZB589816:MZC589819 NIX589816:NIY589819 NST589816:NSU589819 OCP589816:OCQ589819 OML589816:OMM589819 OWH589816:OWI589819 PGD589816:PGE589819 PPZ589816:PQA589819 PZV589816:PZW589819 QJR589816:QJS589819 QTN589816:QTO589819 RDJ589816:RDK589819 RNF589816:RNG589819 RXB589816:RXC589819 SGX589816:SGY589819 SQT589816:SQU589819 TAP589816:TAQ589819 TKL589816:TKM589819 TUH589816:TUI589819 UED589816:UEE589819 UNZ589816:UOA589819 UXV589816:UXW589819 VHR589816:VHS589819 VRN589816:VRO589819 WBJ589816:WBK589819 WLF589816:WLG589819 WVB589816:WVC589819 IP655352:IQ655355 SL655352:SM655355 ACH655352:ACI655355 AMD655352:AME655355 AVZ655352:AWA655355 BFV655352:BFW655355 BPR655352:BPS655355 BZN655352:BZO655355 CJJ655352:CJK655355 CTF655352:CTG655355 DDB655352:DDC655355 DMX655352:DMY655355 DWT655352:DWU655355 EGP655352:EGQ655355 EQL655352:EQM655355 FAH655352:FAI655355 FKD655352:FKE655355 FTZ655352:FUA655355 GDV655352:GDW655355 GNR655352:GNS655355 GXN655352:GXO655355 HHJ655352:HHK655355 HRF655352:HRG655355 IBB655352:IBC655355 IKX655352:IKY655355 IUT655352:IUU655355 JEP655352:JEQ655355 JOL655352:JOM655355 JYH655352:JYI655355 KID655352:KIE655355 KRZ655352:KSA655355 LBV655352:LBW655355 LLR655352:LLS655355 LVN655352:LVO655355 MFJ655352:MFK655355 MPF655352:MPG655355 MZB655352:MZC655355 NIX655352:NIY655355 NST655352:NSU655355 OCP655352:OCQ655355 OML655352:OMM655355 OWH655352:OWI655355 PGD655352:PGE655355 PPZ655352:PQA655355 PZV655352:PZW655355 QJR655352:QJS655355 QTN655352:QTO655355 RDJ655352:RDK655355 RNF655352:RNG655355 RXB655352:RXC655355 SGX655352:SGY655355 SQT655352:SQU655355 TAP655352:TAQ655355 TKL655352:TKM655355 TUH655352:TUI655355 UED655352:UEE655355 UNZ655352:UOA655355 UXV655352:UXW655355 VHR655352:VHS655355 VRN655352:VRO655355 WBJ655352:WBK655355 WLF655352:WLG655355 WVB655352:WVC655355 IP720888:IQ720891 SL720888:SM720891 ACH720888:ACI720891 AMD720888:AME720891 AVZ720888:AWA720891 BFV720888:BFW720891 BPR720888:BPS720891 BZN720888:BZO720891 CJJ720888:CJK720891 CTF720888:CTG720891 DDB720888:DDC720891 DMX720888:DMY720891 DWT720888:DWU720891 EGP720888:EGQ720891 EQL720888:EQM720891 FAH720888:FAI720891 FKD720888:FKE720891 FTZ720888:FUA720891 GDV720888:GDW720891 GNR720888:GNS720891 GXN720888:GXO720891 HHJ720888:HHK720891 HRF720888:HRG720891 IBB720888:IBC720891 IKX720888:IKY720891 IUT720888:IUU720891 JEP720888:JEQ720891 JOL720888:JOM720891 JYH720888:JYI720891 KID720888:KIE720891 KRZ720888:KSA720891 LBV720888:LBW720891 LLR720888:LLS720891 LVN720888:LVO720891 MFJ720888:MFK720891 MPF720888:MPG720891 MZB720888:MZC720891 NIX720888:NIY720891 NST720888:NSU720891 OCP720888:OCQ720891 OML720888:OMM720891 OWH720888:OWI720891 PGD720888:PGE720891 PPZ720888:PQA720891 PZV720888:PZW720891 QJR720888:QJS720891 QTN720888:QTO720891 RDJ720888:RDK720891 RNF720888:RNG720891 RXB720888:RXC720891 SGX720888:SGY720891 SQT720888:SQU720891 TAP720888:TAQ720891 TKL720888:TKM720891 TUH720888:TUI720891 UED720888:UEE720891 UNZ720888:UOA720891 UXV720888:UXW720891 VHR720888:VHS720891 VRN720888:VRO720891 WBJ720888:WBK720891 WLF720888:WLG720891 WVB720888:WVC720891 IP786424:IQ786427 SL786424:SM786427 ACH786424:ACI786427 AMD786424:AME786427 AVZ786424:AWA786427 BFV786424:BFW786427 BPR786424:BPS786427 BZN786424:BZO786427 CJJ786424:CJK786427 CTF786424:CTG786427 DDB786424:DDC786427 DMX786424:DMY786427 DWT786424:DWU786427 EGP786424:EGQ786427 EQL786424:EQM786427 FAH786424:FAI786427 FKD786424:FKE786427 FTZ786424:FUA786427 GDV786424:GDW786427 GNR786424:GNS786427 GXN786424:GXO786427 HHJ786424:HHK786427 HRF786424:HRG786427 IBB786424:IBC786427 IKX786424:IKY786427 IUT786424:IUU786427 JEP786424:JEQ786427 JOL786424:JOM786427 JYH786424:JYI786427 KID786424:KIE786427 KRZ786424:KSA786427 LBV786424:LBW786427 LLR786424:LLS786427 LVN786424:LVO786427 MFJ786424:MFK786427 MPF786424:MPG786427 MZB786424:MZC786427 NIX786424:NIY786427 NST786424:NSU786427 OCP786424:OCQ786427 OML786424:OMM786427 OWH786424:OWI786427 PGD786424:PGE786427 PPZ786424:PQA786427 PZV786424:PZW786427 QJR786424:QJS786427 QTN786424:QTO786427 RDJ786424:RDK786427 RNF786424:RNG786427 RXB786424:RXC786427 SGX786424:SGY786427 SQT786424:SQU786427 TAP786424:TAQ786427 TKL786424:TKM786427 TUH786424:TUI786427 UED786424:UEE786427 UNZ786424:UOA786427 UXV786424:UXW786427 VHR786424:VHS786427 VRN786424:VRO786427 WBJ786424:WBK786427 WLF786424:WLG786427 WVB786424:WVC786427 IP851960:IQ851963 SL851960:SM851963 ACH851960:ACI851963 AMD851960:AME851963 AVZ851960:AWA851963 BFV851960:BFW851963 BPR851960:BPS851963 BZN851960:BZO851963 CJJ851960:CJK851963 CTF851960:CTG851963 DDB851960:DDC851963 DMX851960:DMY851963 DWT851960:DWU851963 EGP851960:EGQ851963 EQL851960:EQM851963 FAH851960:FAI851963 FKD851960:FKE851963 FTZ851960:FUA851963 GDV851960:GDW851963 GNR851960:GNS851963 GXN851960:GXO851963 HHJ851960:HHK851963 HRF851960:HRG851963 IBB851960:IBC851963 IKX851960:IKY851963 IUT851960:IUU851963 JEP851960:JEQ851963 JOL851960:JOM851963 JYH851960:JYI851963 KID851960:KIE851963 KRZ851960:KSA851963 LBV851960:LBW851963 LLR851960:LLS851963 LVN851960:LVO851963 MFJ851960:MFK851963 MPF851960:MPG851963 MZB851960:MZC851963 NIX851960:NIY851963 NST851960:NSU851963 OCP851960:OCQ851963 OML851960:OMM851963 OWH851960:OWI851963 PGD851960:PGE851963 PPZ851960:PQA851963 PZV851960:PZW851963 QJR851960:QJS851963 QTN851960:QTO851963 RDJ851960:RDK851963 RNF851960:RNG851963 RXB851960:RXC851963 SGX851960:SGY851963 SQT851960:SQU851963 TAP851960:TAQ851963 TKL851960:TKM851963 TUH851960:TUI851963 UED851960:UEE851963 UNZ851960:UOA851963 UXV851960:UXW851963 VHR851960:VHS851963 VRN851960:VRO851963 WBJ851960:WBK851963 WLF851960:WLG851963 WVB851960:WVC851963 IP917496:IQ917499 SL917496:SM917499 ACH917496:ACI917499 AMD917496:AME917499 AVZ917496:AWA917499 BFV917496:BFW917499 BPR917496:BPS917499 BZN917496:BZO917499 CJJ917496:CJK917499 CTF917496:CTG917499 DDB917496:DDC917499 DMX917496:DMY917499 DWT917496:DWU917499 EGP917496:EGQ917499 EQL917496:EQM917499 FAH917496:FAI917499 FKD917496:FKE917499 FTZ917496:FUA917499 GDV917496:GDW917499 GNR917496:GNS917499 GXN917496:GXO917499 HHJ917496:HHK917499 HRF917496:HRG917499 IBB917496:IBC917499 IKX917496:IKY917499 IUT917496:IUU917499 JEP917496:JEQ917499 JOL917496:JOM917499 JYH917496:JYI917499 KID917496:KIE917499 KRZ917496:KSA917499 LBV917496:LBW917499 LLR917496:LLS917499 LVN917496:LVO917499 MFJ917496:MFK917499 MPF917496:MPG917499 MZB917496:MZC917499 NIX917496:NIY917499 NST917496:NSU917499 OCP917496:OCQ917499 OML917496:OMM917499 OWH917496:OWI917499 PGD917496:PGE917499 PPZ917496:PQA917499 PZV917496:PZW917499 QJR917496:QJS917499 QTN917496:QTO917499 RDJ917496:RDK917499 RNF917496:RNG917499 RXB917496:RXC917499 SGX917496:SGY917499 SQT917496:SQU917499 TAP917496:TAQ917499 TKL917496:TKM917499 TUH917496:TUI917499 UED917496:UEE917499 UNZ917496:UOA917499 UXV917496:UXW917499 VHR917496:VHS917499 VRN917496:VRO917499 WBJ917496:WBK917499 WLF917496:WLG917499 WVB917496:WVC917499 IP983032:IQ983035 SL983032:SM983035 ACH983032:ACI983035 AMD983032:AME983035 AVZ983032:AWA983035 BFV983032:BFW983035 BPR983032:BPS983035 BZN983032:BZO983035 CJJ983032:CJK983035 CTF983032:CTG983035 DDB983032:DDC983035 DMX983032:DMY983035 DWT983032:DWU983035 EGP983032:EGQ983035 EQL983032:EQM983035 FAH983032:FAI983035 FKD983032:FKE983035 FTZ983032:FUA983035 GDV983032:GDW983035 GNR983032:GNS983035 GXN983032:GXO983035 HHJ983032:HHK983035 HRF983032:HRG983035 IBB983032:IBC983035 IKX983032:IKY983035 IUT983032:IUU983035 JEP983032:JEQ983035 JOL983032:JOM983035 JYH983032:JYI983035 KID983032:KIE983035 KRZ983032:KSA983035 LBV983032:LBW983035 LLR983032:LLS983035 LVN983032:LVO983035 MFJ983032:MFK983035 MPF983032:MPG983035 MZB983032:MZC983035 NIX983032:NIY983035 NST983032:NSU983035 OCP983032:OCQ983035 OML983032:OMM983035 OWH983032:OWI983035 PGD983032:PGE983035 PPZ983032:PQA983035 PZV983032:PZW983035 QJR983032:QJS983035 QTN983032:QTO983035 RDJ983032:RDK983035 RNF983032:RNG983035 RXB983032:RXC983035 SGX983032:SGY983035 SQT983032:SQU983035 TAP983032:TAQ983035 TKL983032:TKM983035 TUH983032:TUI983035 UED983032:UEE983035 UNZ983032:UOA983035 UXV983032:UXW983035 VHR983032:VHS983035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blackAndWhite="1" verticalDpi="300" r:id="rId1"/>
  <headerFooter>
    <oddFooter>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T35"/>
  <sheetViews>
    <sheetView view="pageBreakPreview" topLeftCell="A7" zoomScale="115" zoomScaleNormal="115" zoomScaleSheetLayoutView="115" workbookViewId="0">
      <selection activeCell="A7" sqref="A7:H8"/>
    </sheetView>
  </sheetViews>
  <sheetFormatPr defaultRowHeight="11.25" x14ac:dyDescent="0.2"/>
  <cols>
    <col min="1" max="1" width="11.7109375" style="8" customWidth="1"/>
    <col min="2" max="2" width="30" style="8" bestFit="1" customWidth="1"/>
    <col min="3" max="3" width="5.140625" style="8" bestFit="1" customWidth="1"/>
    <col min="4" max="4" width="5.140625" style="8" customWidth="1"/>
    <col min="5" max="5" width="15" style="8" bestFit="1" customWidth="1"/>
    <col min="6" max="6" width="9.85546875" style="8" bestFit="1" customWidth="1"/>
    <col min="7" max="7" width="21.140625" style="8" bestFit="1" customWidth="1"/>
    <col min="8" max="8" width="11" style="8" bestFit="1" customWidth="1"/>
    <col min="9" max="9" width="7.140625" style="8" bestFit="1" customWidth="1"/>
    <col min="10" max="12" width="7.7109375" style="8" bestFit="1" customWidth="1"/>
    <col min="13" max="13" width="8.5703125" style="8" bestFit="1" customWidth="1"/>
    <col min="14" max="14" width="8.85546875" style="8" bestFit="1" customWidth="1"/>
    <col min="15" max="15" width="7.7109375" style="8" bestFit="1" customWidth="1"/>
    <col min="16" max="16" width="8.7109375" style="8" bestFit="1" customWidth="1"/>
    <col min="17" max="17" width="7.7109375" style="8" bestFit="1" customWidth="1"/>
    <col min="18" max="18" width="8.5703125" style="8" bestFit="1" customWidth="1"/>
    <col min="19" max="19" width="7.140625" style="8" bestFit="1" customWidth="1"/>
    <col min="20" max="22" width="7.7109375" style="8" bestFit="1" customWidth="1"/>
    <col min="23" max="23" width="8.5703125" style="8" bestFit="1" customWidth="1"/>
    <col min="24" max="42" width="9.140625" style="8"/>
    <col min="43" max="43" width="11.7109375" style="8" bestFit="1" customWidth="1"/>
    <col min="44" max="44" width="9.85546875" style="8" bestFit="1" customWidth="1"/>
    <col min="45" max="224" width="9.140625" style="8"/>
    <col min="225" max="263" width="2.42578125" style="8" customWidth="1"/>
    <col min="264" max="264" width="3.42578125" style="8" bestFit="1" customWidth="1"/>
    <col min="265" max="480" width="9.140625" style="8"/>
    <col min="481" max="519" width="2.42578125" style="8" customWidth="1"/>
    <col min="520" max="520" width="3.42578125" style="8" bestFit="1" customWidth="1"/>
    <col min="521" max="736" width="9.140625" style="8"/>
    <col min="737" max="775" width="2.42578125" style="8" customWidth="1"/>
    <col min="776" max="776" width="3.42578125" style="8" bestFit="1" customWidth="1"/>
    <col min="777" max="992" width="9.140625" style="8"/>
    <col min="993" max="1031" width="2.42578125" style="8" customWidth="1"/>
    <col min="1032" max="1032" width="3.42578125" style="8" bestFit="1" customWidth="1"/>
    <col min="1033" max="1248" width="9.140625" style="8"/>
    <col min="1249" max="1287" width="2.42578125" style="8" customWidth="1"/>
    <col min="1288" max="1288" width="3.42578125" style="8" bestFit="1" customWidth="1"/>
    <col min="1289" max="1504" width="9.140625" style="8"/>
    <col min="1505" max="1543" width="2.42578125" style="8" customWidth="1"/>
    <col min="1544" max="1544" width="3.42578125" style="8" bestFit="1" customWidth="1"/>
    <col min="1545" max="1760" width="9.140625" style="8"/>
    <col min="1761" max="1799" width="2.42578125" style="8" customWidth="1"/>
    <col min="1800" max="1800" width="3.42578125" style="8" bestFit="1" customWidth="1"/>
    <col min="1801" max="2016" width="9.140625" style="8"/>
    <col min="2017" max="2055" width="2.42578125" style="8" customWidth="1"/>
    <col min="2056" max="2056" width="3.42578125" style="8" bestFit="1" customWidth="1"/>
    <col min="2057" max="2272" width="9.140625" style="8"/>
    <col min="2273" max="2311" width="2.42578125" style="8" customWidth="1"/>
    <col min="2312" max="2312" width="3.42578125" style="8" bestFit="1" customWidth="1"/>
    <col min="2313" max="2528" width="9.140625" style="8"/>
    <col min="2529" max="2567" width="2.42578125" style="8" customWidth="1"/>
    <col min="2568" max="2568" width="3.42578125" style="8" bestFit="1" customWidth="1"/>
    <col min="2569" max="2784" width="9.140625" style="8"/>
    <col min="2785" max="2823" width="2.42578125" style="8" customWidth="1"/>
    <col min="2824" max="2824" width="3.42578125" style="8" bestFit="1" customWidth="1"/>
    <col min="2825" max="3040" width="9.140625" style="8"/>
    <col min="3041" max="3079" width="2.42578125" style="8" customWidth="1"/>
    <col min="3080" max="3080" width="3.42578125" style="8" bestFit="1" customWidth="1"/>
    <col min="3081" max="3296" width="9.140625" style="8"/>
    <col min="3297" max="3335" width="2.42578125" style="8" customWidth="1"/>
    <col min="3336" max="3336" width="3.42578125" style="8" bestFit="1" customWidth="1"/>
    <col min="3337" max="3552" width="9.140625" style="8"/>
    <col min="3553" max="3591" width="2.42578125" style="8" customWidth="1"/>
    <col min="3592" max="3592" width="3.42578125" style="8" bestFit="1" customWidth="1"/>
    <col min="3593" max="3808" width="9.140625" style="8"/>
    <col min="3809" max="3847" width="2.42578125" style="8" customWidth="1"/>
    <col min="3848" max="3848" width="3.42578125" style="8" bestFit="1" customWidth="1"/>
    <col min="3849" max="4064" width="9.140625" style="8"/>
    <col min="4065" max="4103" width="2.42578125" style="8" customWidth="1"/>
    <col min="4104" max="4104" width="3.42578125" style="8" bestFit="1" customWidth="1"/>
    <col min="4105" max="4320" width="9.140625" style="8"/>
    <col min="4321" max="4359" width="2.42578125" style="8" customWidth="1"/>
    <col min="4360" max="4360" width="3.42578125" style="8" bestFit="1" customWidth="1"/>
    <col min="4361" max="4576" width="9.140625" style="8"/>
    <col min="4577" max="4615" width="2.42578125" style="8" customWidth="1"/>
    <col min="4616" max="4616" width="3.42578125" style="8" bestFit="1" customWidth="1"/>
    <col min="4617" max="4832" width="9.140625" style="8"/>
    <col min="4833" max="4871" width="2.42578125" style="8" customWidth="1"/>
    <col min="4872" max="4872" width="3.42578125" style="8" bestFit="1" customWidth="1"/>
    <col min="4873" max="5088" width="9.140625" style="8"/>
    <col min="5089" max="5127" width="2.42578125" style="8" customWidth="1"/>
    <col min="5128" max="5128" width="3.42578125" style="8" bestFit="1" customWidth="1"/>
    <col min="5129" max="5344" width="9.140625" style="8"/>
    <col min="5345" max="5383" width="2.42578125" style="8" customWidth="1"/>
    <col min="5384" max="5384" width="3.42578125" style="8" bestFit="1" customWidth="1"/>
    <col min="5385" max="5600" width="9.140625" style="8"/>
    <col min="5601" max="5639" width="2.42578125" style="8" customWidth="1"/>
    <col min="5640" max="5640" width="3.42578125" style="8" bestFit="1" customWidth="1"/>
    <col min="5641" max="5856" width="9.140625" style="8"/>
    <col min="5857" max="5895" width="2.42578125" style="8" customWidth="1"/>
    <col min="5896" max="5896" width="3.42578125" style="8" bestFit="1" customWidth="1"/>
    <col min="5897" max="6112" width="9.140625" style="8"/>
    <col min="6113" max="6151" width="2.42578125" style="8" customWidth="1"/>
    <col min="6152" max="6152" width="3.42578125" style="8" bestFit="1" customWidth="1"/>
    <col min="6153" max="6368" width="9.140625" style="8"/>
    <col min="6369" max="6407" width="2.42578125" style="8" customWidth="1"/>
    <col min="6408" max="6408" width="3.42578125" style="8" bestFit="1" customWidth="1"/>
    <col min="6409" max="6624" width="9.140625" style="8"/>
    <col min="6625" max="6663" width="2.42578125" style="8" customWidth="1"/>
    <col min="6664" max="6664" width="3.42578125" style="8" bestFit="1" customWidth="1"/>
    <col min="6665" max="6880" width="9.140625" style="8"/>
    <col min="6881" max="6919" width="2.42578125" style="8" customWidth="1"/>
    <col min="6920" max="6920" width="3.42578125" style="8" bestFit="1" customWidth="1"/>
    <col min="6921" max="7136" width="9.140625" style="8"/>
    <col min="7137" max="7175" width="2.42578125" style="8" customWidth="1"/>
    <col min="7176" max="7176" width="3.42578125" style="8" bestFit="1" customWidth="1"/>
    <col min="7177" max="7392" width="9.140625" style="8"/>
    <col min="7393" max="7431" width="2.42578125" style="8" customWidth="1"/>
    <col min="7432" max="7432" width="3.42578125" style="8" bestFit="1" customWidth="1"/>
    <col min="7433" max="7648" width="9.140625" style="8"/>
    <col min="7649" max="7687" width="2.42578125" style="8" customWidth="1"/>
    <col min="7688" max="7688" width="3.42578125" style="8" bestFit="1" customWidth="1"/>
    <col min="7689" max="7904" width="9.140625" style="8"/>
    <col min="7905" max="7943" width="2.42578125" style="8" customWidth="1"/>
    <col min="7944" max="7944" width="3.42578125" style="8" bestFit="1" customWidth="1"/>
    <col min="7945" max="8160" width="9.140625" style="8"/>
    <col min="8161" max="8199" width="2.42578125" style="8" customWidth="1"/>
    <col min="8200" max="8200" width="3.42578125" style="8" bestFit="1" customWidth="1"/>
    <col min="8201" max="8416" width="9.140625" style="8"/>
    <col min="8417" max="8455" width="2.42578125" style="8" customWidth="1"/>
    <col min="8456" max="8456" width="3.42578125" style="8" bestFit="1" customWidth="1"/>
    <col min="8457" max="8672" width="9.140625" style="8"/>
    <col min="8673" max="8711" width="2.42578125" style="8" customWidth="1"/>
    <col min="8712" max="8712" width="3.42578125" style="8" bestFit="1" customWidth="1"/>
    <col min="8713" max="8928" width="9.140625" style="8"/>
    <col min="8929" max="8967" width="2.42578125" style="8" customWidth="1"/>
    <col min="8968" max="8968" width="3.42578125" style="8" bestFit="1" customWidth="1"/>
    <col min="8969" max="9184" width="9.140625" style="8"/>
    <col min="9185" max="9223" width="2.42578125" style="8" customWidth="1"/>
    <col min="9224" max="9224" width="3.42578125" style="8" bestFit="1" customWidth="1"/>
    <col min="9225" max="9440" width="9.140625" style="8"/>
    <col min="9441" max="9479" width="2.42578125" style="8" customWidth="1"/>
    <col min="9480" max="9480" width="3.42578125" style="8" bestFit="1" customWidth="1"/>
    <col min="9481" max="9696" width="9.140625" style="8"/>
    <col min="9697" max="9735" width="2.42578125" style="8" customWidth="1"/>
    <col min="9736" max="9736" width="3.42578125" style="8" bestFit="1" customWidth="1"/>
    <col min="9737" max="9952" width="9.140625" style="8"/>
    <col min="9953" max="9991" width="2.42578125" style="8" customWidth="1"/>
    <col min="9992" max="9992" width="3.42578125" style="8" bestFit="1" customWidth="1"/>
    <col min="9993" max="10208" width="9.140625" style="8"/>
    <col min="10209" max="10247" width="2.42578125" style="8" customWidth="1"/>
    <col min="10248" max="10248" width="3.42578125" style="8" bestFit="1" customWidth="1"/>
    <col min="10249" max="10464" width="9.140625" style="8"/>
    <col min="10465" max="10503" width="2.42578125" style="8" customWidth="1"/>
    <col min="10504" max="10504" width="3.42578125" style="8" bestFit="1" customWidth="1"/>
    <col min="10505" max="10720" width="9.140625" style="8"/>
    <col min="10721" max="10759" width="2.42578125" style="8" customWidth="1"/>
    <col min="10760" max="10760" width="3.42578125" style="8" bestFit="1" customWidth="1"/>
    <col min="10761" max="10976" width="9.140625" style="8"/>
    <col min="10977" max="11015" width="2.42578125" style="8" customWidth="1"/>
    <col min="11016" max="11016" width="3.42578125" style="8" bestFit="1" customWidth="1"/>
    <col min="11017" max="11232" width="9.140625" style="8"/>
    <col min="11233" max="11271" width="2.42578125" style="8" customWidth="1"/>
    <col min="11272" max="11272" width="3.42578125" style="8" bestFit="1" customWidth="1"/>
    <col min="11273" max="11488" width="9.140625" style="8"/>
    <col min="11489" max="11527" width="2.42578125" style="8" customWidth="1"/>
    <col min="11528" max="11528" width="3.42578125" style="8" bestFit="1" customWidth="1"/>
    <col min="11529" max="11744" width="9.140625" style="8"/>
    <col min="11745" max="11783" width="2.42578125" style="8" customWidth="1"/>
    <col min="11784" max="11784" width="3.42578125" style="8" bestFit="1" customWidth="1"/>
    <col min="11785" max="12000" width="9.140625" style="8"/>
    <col min="12001" max="12039" width="2.42578125" style="8" customWidth="1"/>
    <col min="12040" max="12040" width="3.42578125" style="8" bestFit="1" customWidth="1"/>
    <col min="12041" max="12256" width="9.140625" style="8"/>
    <col min="12257" max="12295" width="2.42578125" style="8" customWidth="1"/>
    <col min="12296" max="12296" width="3.42578125" style="8" bestFit="1" customWidth="1"/>
    <col min="12297" max="12512" width="9.140625" style="8"/>
    <col min="12513" max="12551" width="2.42578125" style="8" customWidth="1"/>
    <col min="12552" max="12552" width="3.42578125" style="8" bestFit="1" customWidth="1"/>
    <col min="12553" max="12768" width="9.140625" style="8"/>
    <col min="12769" max="12807" width="2.42578125" style="8" customWidth="1"/>
    <col min="12808" max="12808" width="3.42578125" style="8" bestFit="1" customWidth="1"/>
    <col min="12809" max="13024" width="9.140625" style="8"/>
    <col min="13025" max="13063" width="2.42578125" style="8" customWidth="1"/>
    <col min="13064" max="13064" width="3.42578125" style="8" bestFit="1" customWidth="1"/>
    <col min="13065" max="13280" width="9.140625" style="8"/>
    <col min="13281" max="13319" width="2.42578125" style="8" customWidth="1"/>
    <col min="13320" max="13320" width="3.42578125" style="8" bestFit="1" customWidth="1"/>
    <col min="13321" max="13536" width="9.140625" style="8"/>
    <col min="13537" max="13575" width="2.42578125" style="8" customWidth="1"/>
    <col min="13576" max="13576" width="3.42578125" style="8" bestFit="1" customWidth="1"/>
    <col min="13577" max="13792" width="9.140625" style="8"/>
    <col min="13793" max="13831" width="2.42578125" style="8" customWidth="1"/>
    <col min="13832" max="13832" width="3.42578125" style="8" bestFit="1" customWidth="1"/>
    <col min="13833" max="14048" width="9.140625" style="8"/>
    <col min="14049" max="14087" width="2.42578125" style="8" customWidth="1"/>
    <col min="14088" max="14088" width="3.42578125" style="8" bestFit="1" customWidth="1"/>
    <col min="14089" max="14304" width="9.140625" style="8"/>
    <col min="14305" max="14343" width="2.42578125" style="8" customWidth="1"/>
    <col min="14344" max="14344" width="3.42578125" style="8" bestFit="1" customWidth="1"/>
    <col min="14345" max="14560" width="9.140625" style="8"/>
    <col min="14561" max="14599" width="2.42578125" style="8" customWidth="1"/>
    <col min="14600" max="14600" width="3.42578125" style="8" bestFit="1" customWidth="1"/>
    <col min="14601" max="14816" width="9.140625" style="8"/>
    <col min="14817" max="14855" width="2.42578125" style="8" customWidth="1"/>
    <col min="14856" max="14856" width="3.42578125" style="8" bestFit="1" customWidth="1"/>
    <col min="14857" max="15072" width="9.140625" style="8"/>
    <col min="15073" max="15111" width="2.42578125" style="8" customWidth="1"/>
    <col min="15112" max="15112" width="3.42578125" style="8" bestFit="1" customWidth="1"/>
    <col min="15113" max="15328" width="9.140625" style="8"/>
    <col min="15329" max="15367" width="2.42578125" style="8" customWidth="1"/>
    <col min="15368" max="15368" width="3.42578125" style="8" bestFit="1" customWidth="1"/>
    <col min="15369" max="15584" width="9.140625" style="8"/>
    <col min="15585" max="15623" width="2.42578125" style="8" customWidth="1"/>
    <col min="15624" max="15624" width="3.42578125" style="8" bestFit="1" customWidth="1"/>
    <col min="15625" max="15840" width="9.140625" style="8"/>
    <col min="15841" max="15879" width="2.42578125" style="8" customWidth="1"/>
    <col min="15880" max="15880" width="3.42578125" style="8" bestFit="1" customWidth="1"/>
    <col min="15881" max="16096" width="9.140625" style="8"/>
    <col min="16097" max="16135" width="2.42578125" style="8" customWidth="1"/>
    <col min="16136" max="16136" width="3.42578125" style="8" bestFit="1" customWidth="1"/>
    <col min="16137" max="16384" width="9.140625" style="8"/>
  </cols>
  <sheetData>
    <row r="1" spans="1:46" s="318" customFormat="1" ht="15.75" thickBot="1" x14ac:dyDescent="0.3">
      <c r="A1" s="312" t="s">
        <v>467</v>
      </c>
      <c r="B1" s="313"/>
      <c r="C1" s="314"/>
      <c r="D1" s="314"/>
      <c r="E1" s="314"/>
      <c r="F1" s="316"/>
      <c r="G1" s="314"/>
      <c r="H1" s="317"/>
      <c r="J1" s="319"/>
      <c r="K1" s="320"/>
      <c r="L1" s="320"/>
      <c r="AO1" s="321"/>
      <c r="AP1" s="322"/>
      <c r="AQ1" s="314"/>
      <c r="AR1" s="316"/>
    </row>
    <row r="2" spans="1:46" s="318" customFormat="1" ht="15.75" thickBot="1" x14ac:dyDescent="0.3">
      <c r="A2" s="312" t="s">
        <v>468</v>
      </c>
      <c r="B2" s="313"/>
      <c r="C2" s="314"/>
      <c r="D2" s="314"/>
      <c r="E2" s="314"/>
      <c r="F2" s="316"/>
      <c r="G2" s="314"/>
      <c r="H2" s="317"/>
      <c r="J2" s="319"/>
      <c r="K2" s="320"/>
      <c r="L2" s="320"/>
      <c r="AO2" s="321"/>
      <c r="AP2" s="322"/>
      <c r="AQ2" s="314"/>
      <c r="AR2" s="316"/>
    </row>
    <row r="3" spans="1:46" s="318" customFormat="1" ht="15.75" thickBot="1" x14ac:dyDescent="0.3">
      <c r="A3" s="312" t="s">
        <v>469</v>
      </c>
      <c r="B3" s="313"/>
      <c r="C3" s="314"/>
      <c r="D3" s="314"/>
      <c r="E3" s="314"/>
      <c r="F3" s="316"/>
      <c r="G3" s="314"/>
      <c r="H3" s="317"/>
      <c r="J3" s="319"/>
      <c r="K3" s="320"/>
      <c r="L3" s="320"/>
      <c r="AO3" s="321"/>
      <c r="AP3" s="322"/>
      <c r="AQ3" s="314"/>
      <c r="AR3" s="316"/>
    </row>
    <row r="4" spans="1:46" s="318" customFormat="1" ht="15.75" thickBot="1" x14ac:dyDescent="0.3">
      <c r="A4" s="312" t="s">
        <v>470</v>
      </c>
      <c r="B4" s="313"/>
      <c r="C4" s="314"/>
      <c r="D4" s="314"/>
      <c r="E4" s="314"/>
      <c r="F4" s="316"/>
      <c r="G4" s="314"/>
      <c r="H4" s="317"/>
      <c r="J4" s="319"/>
      <c r="K4" s="320"/>
      <c r="L4" s="320"/>
      <c r="AO4" s="321"/>
      <c r="AP4" s="322"/>
      <c r="AQ4" s="314"/>
      <c r="AR4" s="316"/>
    </row>
    <row r="5" spans="1:46" s="318" customFormat="1" ht="15.75" thickBot="1" x14ac:dyDescent="0.3">
      <c r="A5" s="312" t="s">
        <v>471</v>
      </c>
      <c r="B5" s="313"/>
      <c r="C5" s="314"/>
      <c r="D5" s="314"/>
      <c r="E5" s="314"/>
      <c r="F5" s="316"/>
      <c r="G5" s="314"/>
      <c r="H5" s="317"/>
      <c r="J5" s="319"/>
      <c r="K5" s="320"/>
      <c r="L5" s="320"/>
      <c r="AO5" s="321"/>
      <c r="AP5" s="322"/>
      <c r="AQ5" s="314"/>
      <c r="AR5" s="316"/>
    </row>
    <row r="6" spans="1:46" ht="26.25" thickBot="1" x14ac:dyDescent="0.25">
      <c r="A6" s="330" t="s">
        <v>329</v>
      </c>
      <c r="B6" s="33"/>
      <c r="C6" s="33"/>
      <c r="D6" s="33"/>
      <c r="E6" s="33"/>
      <c r="F6" s="33"/>
      <c r="G6" s="33"/>
      <c r="H6" s="33"/>
      <c r="I6" s="333" t="s">
        <v>405</v>
      </c>
      <c r="J6" s="333"/>
      <c r="K6" s="333"/>
      <c r="L6" s="333"/>
      <c r="M6" s="333"/>
      <c r="N6" s="333" t="s">
        <v>406</v>
      </c>
      <c r="O6" s="333"/>
      <c r="P6" s="333"/>
      <c r="Q6" s="333"/>
      <c r="R6" s="333"/>
      <c r="S6" s="333" t="s">
        <v>407</v>
      </c>
      <c r="T6" s="333"/>
      <c r="U6" s="333"/>
      <c r="V6" s="333"/>
      <c r="W6" s="333"/>
      <c r="AQ6" s="33"/>
      <c r="AR6" s="33"/>
    </row>
    <row r="7" spans="1:46" ht="120" x14ac:dyDescent="0.25">
      <c r="A7" s="477" t="s">
        <v>295</v>
      </c>
      <c r="B7" s="505" t="s">
        <v>296</v>
      </c>
      <c r="C7" s="478" t="s">
        <v>302</v>
      </c>
      <c r="D7" s="506"/>
      <c r="E7" s="493" t="s">
        <v>538</v>
      </c>
      <c r="F7" s="494" t="s">
        <v>539</v>
      </c>
      <c r="G7" s="493" t="s">
        <v>540</v>
      </c>
      <c r="H7" s="493" t="s">
        <v>541</v>
      </c>
      <c r="I7" s="504" t="s">
        <v>408</v>
      </c>
      <c r="J7" s="333" t="s">
        <v>409</v>
      </c>
      <c r="K7" s="333" t="s">
        <v>410</v>
      </c>
      <c r="L7" s="333" t="s">
        <v>418</v>
      </c>
      <c r="M7" s="333" t="s">
        <v>414</v>
      </c>
      <c r="N7" s="333" t="s">
        <v>408</v>
      </c>
      <c r="O7" s="333" t="s">
        <v>409</v>
      </c>
      <c r="P7" s="333" t="s">
        <v>410</v>
      </c>
      <c r="Q7" s="333" t="s">
        <v>418</v>
      </c>
      <c r="R7" s="333" t="s">
        <v>414</v>
      </c>
      <c r="S7" s="333" t="s">
        <v>408</v>
      </c>
      <c r="T7" s="333" t="s">
        <v>409</v>
      </c>
      <c r="U7" s="333" t="s">
        <v>410</v>
      </c>
      <c r="V7" s="333" t="s">
        <v>418</v>
      </c>
      <c r="W7" s="33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31" t="s">
        <v>299</v>
      </c>
      <c r="AR7" s="332" t="s">
        <v>386</v>
      </c>
      <c r="AS7" s="445" t="s">
        <v>536</v>
      </c>
      <c r="AT7" s="446" t="s">
        <v>537</v>
      </c>
    </row>
    <row r="8" spans="1:46" ht="120" x14ac:dyDescent="0.2">
      <c r="A8" s="495" t="s">
        <v>378</v>
      </c>
      <c r="B8" s="501" t="s">
        <v>516</v>
      </c>
      <c r="C8" s="502">
        <v>2</v>
      </c>
      <c r="D8" s="507"/>
      <c r="E8" s="453">
        <f>IF(AND(AO8="IRR",SUM(AH8:AJ8)&gt;0),AP8,IF(AND(AO8="IRR",AQ8&lt;&gt;""),AQ8*'[5]Basic INFO'!$E$127,IF(AO8="IRR",AS8,"")))</f>
        <v>67791554999.999992</v>
      </c>
      <c r="F8" s="454" t="str">
        <f>IF(AND(AO8="EUR",SUM(AH8:AJ8)&gt;0),AP8,IF(AND(AO8="EUR",AR8&lt;&gt;""),AR8*'[5]Basic INFO'!$C$138,IF(AO8="EUR",AT8,"")))</f>
        <v/>
      </c>
      <c r="G8" s="455">
        <f t="shared" ref="G8" si="0">IF(AO8="IRR",C8*E8,"")</f>
        <v>135583109999.99998</v>
      </c>
      <c r="H8" s="498" t="str">
        <f t="shared" ref="H8" si="1">IF(AO8="EUR",C8*F8,"")</f>
        <v/>
      </c>
      <c r="I8" s="508" t="s">
        <v>427</v>
      </c>
      <c r="J8" s="383"/>
      <c r="K8" s="383"/>
      <c r="L8" s="383"/>
      <c r="M8" s="384" t="s">
        <v>433</v>
      </c>
      <c r="N8" s="382" t="s">
        <v>428</v>
      </c>
      <c r="O8" s="383"/>
      <c r="P8" s="383">
        <f>195000/2</f>
        <v>97500</v>
      </c>
      <c r="Q8" s="383"/>
      <c r="R8" s="385">
        <v>45784</v>
      </c>
      <c r="S8" s="382" t="s">
        <v>429</v>
      </c>
      <c r="T8" s="383"/>
      <c r="U8" s="383"/>
      <c r="V8" s="383"/>
      <c r="W8" s="383" t="s">
        <v>433</v>
      </c>
      <c r="AH8" s="441">
        <f>IF(B8="","",COUNT(J8,O8,T8,Y8,AD8))</f>
        <v>0</v>
      </c>
      <c r="AI8" s="442">
        <f>IF(B8="","",COUNT(K8,P8,U8,Z8,AE8))</f>
        <v>1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>
        <f>IF(AND(AI8&lt;&gt;"",AI8&gt;0),AVERAGE(K8,P8,U8,Z8,AE8),"")</f>
        <v>97500</v>
      </c>
      <c r="AM8" s="442" t="str">
        <f>IF(AND(AJ8&lt;&gt;"",AJ8&gt;0),AVERAGE(L8,Q8,V8,AA8,AF8)/'[5]Basic INFO'!$C$103,"")</f>
        <v/>
      </c>
      <c r="AN8" s="442">
        <f>IF(SUM(AH8:AJ8)&lt;&gt;0,AVERAGE(AK8:AM8),"")</f>
        <v>97500</v>
      </c>
      <c r="AO8" s="8" t="s">
        <v>525</v>
      </c>
      <c r="AP8" s="444">
        <f>IF(B8="","",IF(SUM(AH8:AJ8)=0,"",IF(AO8="IRR",AN8*('[5]Basic INFO'!$C$101*'[5]Basic INFO'!$C$103),IF(AO8="EUR",AN8,AP8))))</f>
        <v>67791554999.999992</v>
      </c>
      <c r="AQ8" s="326">
        <v>11000000000</v>
      </c>
      <c r="AR8" s="326"/>
      <c r="AS8" s="447"/>
      <c r="AT8" s="448"/>
    </row>
    <row r="9" spans="1:46" ht="30" x14ac:dyDescent="0.25">
      <c r="A9" s="457"/>
      <c r="B9" s="458" t="s">
        <v>542</v>
      </c>
      <c r="C9" s="457"/>
      <c r="D9" s="457"/>
      <c r="E9" s="459"/>
      <c r="F9" s="460"/>
      <c r="G9" s="461">
        <f>SUM(G8)</f>
        <v>135583109999.99998</v>
      </c>
      <c r="H9" s="462">
        <f>SUM(H8)</f>
        <v>0</v>
      </c>
      <c r="AQ9" s="328" t="s">
        <v>297</v>
      </c>
      <c r="AR9" s="328" t="s">
        <v>298</v>
      </c>
    </row>
    <row r="10" spans="1:46" ht="15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  <c r="AQ10" s="329"/>
      <c r="AR10" s="329"/>
    </row>
    <row r="11" spans="1:46" ht="15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  <c r="AQ11" s="344"/>
      <c r="AR11" s="344"/>
    </row>
    <row r="12" spans="1:46" ht="30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175987000000</v>
      </c>
      <c r="H12" s="469">
        <f>ROUND(H9*H10*(1+H11)/1000,0)*1000</f>
        <v>0</v>
      </c>
      <c r="AQ12" s="344"/>
      <c r="AR12" s="344"/>
    </row>
    <row r="13" spans="1:46" ht="12" x14ac:dyDescent="0.2">
      <c r="A13" s="308"/>
      <c r="B13" s="344"/>
      <c r="C13" s="344"/>
      <c r="D13" s="344"/>
      <c r="E13" s="344"/>
      <c r="F13" s="344"/>
      <c r="G13" s="461">
        <f>ROUND(SUMIF(AP:AP,"&gt;0",G:G)*G10*(1+G11)/1000000,0)*1000000</f>
        <v>175987000000</v>
      </c>
      <c r="H13" s="462">
        <f>ROUND(SUMIF(AP:AP,"&gt;0",H:H)*H10*(1+H11)/1000,0)*1000</f>
        <v>0</v>
      </c>
      <c r="AQ13" s="344"/>
      <c r="AR13" s="344"/>
    </row>
    <row r="14" spans="1:46" x14ac:dyDescent="0.2">
      <c r="A14" s="308"/>
      <c r="B14" s="344"/>
      <c r="C14" s="344"/>
      <c r="D14" s="344"/>
      <c r="E14" s="344"/>
      <c r="F14" s="344"/>
      <c r="G14" s="344"/>
      <c r="H14" s="344"/>
      <c r="AQ14" s="344"/>
      <c r="AR14" s="344"/>
    </row>
    <row r="15" spans="1:46" x14ac:dyDescent="0.2">
      <c r="A15" s="308"/>
      <c r="B15" s="344"/>
      <c r="C15" s="344"/>
      <c r="D15" s="344"/>
      <c r="E15" s="344"/>
      <c r="F15" s="344"/>
      <c r="G15" s="344"/>
      <c r="H15" s="344"/>
      <c r="AQ15" s="344"/>
      <c r="AR15" s="344"/>
    </row>
    <row r="16" spans="1:46" x14ac:dyDescent="0.2">
      <c r="A16" s="306"/>
      <c r="B16" s="305"/>
      <c r="C16" s="305"/>
      <c r="D16" s="344"/>
      <c r="E16" s="344"/>
      <c r="F16" s="344"/>
      <c r="G16" s="305"/>
      <c r="H16" s="305"/>
      <c r="AQ16" s="305"/>
      <c r="AR16" s="305"/>
    </row>
    <row r="17" spans="1:44" x14ac:dyDescent="0.2">
      <c r="A17" s="306"/>
      <c r="B17" s="305"/>
      <c r="C17" s="305"/>
      <c r="D17" s="344"/>
      <c r="E17" s="344"/>
      <c r="F17" s="344"/>
      <c r="G17" s="305"/>
      <c r="H17" s="305"/>
      <c r="AQ17" s="305"/>
      <c r="AR17" s="305"/>
    </row>
    <row r="18" spans="1:44" x14ac:dyDescent="0.2">
      <c r="A18" s="306"/>
      <c r="B18" s="305"/>
      <c r="C18" s="305"/>
      <c r="D18" s="344"/>
      <c r="E18" s="344"/>
      <c r="F18" s="344"/>
      <c r="G18" s="305"/>
      <c r="H18" s="305"/>
      <c r="AQ18" s="305"/>
      <c r="AR18" s="305"/>
    </row>
    <row r="19" spans="1:44" x14ac:dyDescent="0.2">
      <c r="A19" s="306"/>
      <c r="B19" s="305"/>
      <c r="C19" s="305"/>
      <c r="D19" s="344"/>
      <c r="E19" s="344"/>
      <c r="F19" s="344"/>
      <c r="G19" s="305"/>
      <c r="H19" s="305"/>
      <c r="AQ19" s="305"/>
      <c r="AR19" s="305"/>
    </row>
    <row r="20" spans="1:44" x14ac:dyDescent="0.2">
      <c r="A20" s="306"/>
      <c r="B20" s="305"/>
      <c r="C20" s="305"/>
      <c r="D20" s="344"/>
      <c r="E20" s="344"/>
      <c r="F20" s="344"/>
      <c r="G20" s="305"/>
      <c r="H20" s="305"/>
      <c r="AQ20" s="305"/>
      <c r="AR20" s="305"/>
    </row>
    <row r="21" spans="1:44" x14ac:dyDescent="0.2">
      <c r="A21" s="306"/>
      <c r="B21" s="305"/>
      <c r="C21" s="305"/>
      <c r="D21" s="344"/>
      <c r="E21" s="344"/>
      <c r="F21" s="344"/>
      <c r="G21" s="305"/>
      <c r="H21" s="305"/>
      <c r="AQ21" s="305"/>
      <c r="AR21" s="305"/>
    </row>
    <row r="22" spans="1:44" x14ac:dyDescent="0.2">
      <c r="A22" s="306"/>
      <c r="B22" s="305"/>
      <c r="C22" s="305"/>
      <c r="D22" s="344"/>
      <c r="E22" s="344"/>
      <c r="F22" s="344"/>
      <c r="G22" s="305"/>
      <c r="H22" s="305"/>
      <c r="AQ22" s="305"/>
      <c r="AR22" s="305"/>
    </row>
    <row r="23" spans="1:44" x14ac:dyDescent="0.2">
      <c r="A23" s="306"/>
      <c r="B23" s="305"/>
      <c r="C23" s="305"/>
      <c r="D23" s="344"/>
      <c r="E23" s="344"/>
      <c r="F23" s="344"/>
      <c r="G23" s="305"/>
      <c r="H23" s="305"/>
      <c r="AQ23" s="305"/>
      <c r="AR23" s="305"/>
    </row>
    <row r="24" spans="1:44" x14ac:dyDescent="0.2">
      <c r="A24" s="306"/>
      <c r="B24" s="305"/>
      <c r="C24" s="305"/>
      <c r="D24" s="344"/>
      <c r="E24" s="344"/>
      <c r="F24" s="344"/>
      <c r="G24" s="305"/>
      <c r="H24" s="305"/>
      <c r="AQ24" s="305"/>
      <c r="AR24" s="305"/>
    </row>
    <row r="25" spans="1:44" x14ac:dyDescent="0.2">
      <c r="A25" s="306"/>
      <c r="B25" s="305"/>
      <c r="C25" s="305"/>
      <c r="D25" s="344"/>
      <c r="E25" s="344"/>
      <c r="F25" s="344"/>
      <c r="G25" s="305"/>
      <c r="H25" s="305"/>
      <c r="AQ25" s="305"/>
      <c r="AR25" s="305"/>
    </row>
    <row r="26" spans="1:44" x14ac:dyDescent="0.2">
      <c r="A26" s="306"/>
      <c r="B26" s="305"/>
      <c r="C26" s="305"/>
      <c r="D26" s="344"/>
      <c r="E26" s="344"/>
      <c r="F26" s="344"/>
      <c r="G26" s="305"/>
      <c r="H26" s="305"/>
      <c r="AQ26" s="305"/>
      <c r="AR26" s="305"/>
    </row>
    <row r="27" spans="1:44" x14ac:dyDescent="0.2">
      <c r="A27" s="306"/>
      <c r="B27" s="305"/>
      <c r="C27" s="305"/>
      <c r="D27" s="344"/>
      <c r="E27" s="344"/>
      <c r="F27" s="344"/>
      <c r="G27" s="305"/>
      <c r="H27" s="305"/>
      <c r="AQ27" s="305"/>
      <c r="AR27" s="305"/>
    </row>
    <row r="28" spans="1:44" x14ac:dyDescent="0.2">
      <c r="A28" s="306"/>
      <c r="B28" s="305"/>
      <c r="C28" s="305"/>
      <c r="D28" s="344"/>
      <c r="E28" s="344"/>
      <c r="F28" s="344"/>
      <c r="G28" s="305"/>
      <c r="H28" s="305"/>
      <c r="AQ28" s="305"/>
      <c r="AR28" s="305"/>
    </row>
    <row r="29" spans="1:44" x14ac:dyDescent="0.2">
      <c r="A29" s="306"/>
      <c r="B29" s="305"/>
      <c r="C29" s="305"/>
      <c r="D29" s="344"/>
      <c r="E29" s="344"/>
      <c r="F29" s="344"/>
      <c r="G29" s="305"/>
      <c r="H29" s="305"/>
      <c r="AQ29" s="305"/>
      <c r="AR29" s="305"/>
    </row>
    <row r="30" spans="1:44" x14ac:dyDescent="0.2">
      <c r="A30" s="306"/>
      <c r="B30" s="305"/>
      <c r="C30" s="305"/>
      <c r="D30" s="344"/>
      <c r="E30" s="344"/>
      <c r="F30" s="344"/>
      <c r="G30" s="305"/>
      <c r="H30" s="305"/>
      <c r="AQ30" s="305"/>
      <c r="AR30" s="305"/>
    </row>
    <row r="31" spans="1:44" x14ac:dyDescent="0.2">
      <c r="A31" s="306"/>
      <c r="B31" s="305"/>
      <c r="C31" s="305"/>
      <c r="D31" s="344"/>
      <c r="E31" s="344"/>
      <c r="F31" s="344"/>
      <c r="G31" s="305"/>
      <c r="H31" s="305"/>
      <c r="AQ31" s="305"/>
      <c r="AR31" s="305"/>
    </row>
    <row r="32" spans="1:44" x14ac:dyDescent="0.2">
      <c r="A32" s="306"/>
      <c r="B32" s="305"/>
      <c r="C32" s="305"/>
      <c r="D32" s="344"/>
      <c r="E32" s="344"/>
      <c r="F32" s="344"/>
      <c r="G32" s="305"/>
      <c r="H32" s="305"/>
      <c r="AQ32" s="305"/>
      <c r="AR32" s="305"/>
    </row>
    <row r="33" spans="1:44" x14ac:dyDescent="0.2">
      <c r="A33" s="306"/>
      <c r="B33" s="305"/>
      <c r="C33" s="305"/>
      <c r="D33" s="344"/>
      <c r="E33" s="344"/>
      <c r="F33" s="344"/>
      <c r="G33" s="305"/>
      <c r="H33" s="305"/>
      <c r="AQ33" s="305"/>
      <c r="AR33" s="305"/>
    </row>
    <row r="34" spans="1:44" x14ac:dyDescent="0.2">
      <c r="A34" s="306"/>
      <c r="B34" s="305"/>
      <c r="C34" s="305"/>
      <c r="D34" s="344"/>
      <c r="E34" s="344"/>
      <c r="F34" s="344"/>
      <c r="G34" s="305"/>
      <c r="H34" s="305"/>
      <c r="AQ34" s="305"/>
      <c r="AR34" s="305"/>
    </row>
    <row r="35" spans="1:44" ht="12" thickBot="1" x14ac:dyDescent="0.25">
      <c r="A35" s="303"/>
      <c r="B35" s="307"/>
      <c r="C35" s="307"/>
      <c r="D35" s="346"/>
      <c r="E35" s="346"/>
      <c r="F35" s="346"/>
      <c r="G35" s="307"/>
      <c r="H35" s="307"/>
      <c r="AQ35" s="307"/>
      <c r="AR35" s="307"/>
    </row>
  </sheetData>
  <dataValidations count="1">
    <dataValidation type="list" allowBlank="1" showInputMessage="1" showErrorMessage="1" sqref="WBJ983055:WBK983058 JA65551:JB65554 SW65551:SX65554 ACS65551:ACT65554 AMO65551:AMP65554 AWK65551:AWL65554 BGG65551:BGH65554 BQC65551:BQD65554 BZY65551:BZZ65554 CJU65551:CJV65554 CTQ65551:CTR65554 DDM65551:DDN65554 DNI65551:DNJ65554 DXE65551:DXF65554 EHA65551:EHB65554 EQW65551:EQX65554 FAS65551:FAT65554 FKO65551:FKP65554 FUK65551:FUL65554 GEG65551:GEH65554 GOC65551:GOD65554 GXY65551:GXZ65554 HHU65551:HHV65554 HRQ65551:HRR65554 IBM65551:IBN65554 ILI65551:ILJ65554 IVE65551:IVF65554 JFA65551:JFB65554 JOW65551:JOX65554 JYS65551:JYT65554 KIO65551:KIP65554 KSK65551:KSL65554 LCG65551:LCH65554 LMC65551:LMD65554 LVY65551:LVZ65554 MFU65551:MFV65554 MPQ65551:MPR65554 MZM65551:MZN65554 NJI65551:NJJ65554 NTE65551:NTF65554 ODA65551:ODB65554 OMW65551:OMX65554 OWS65551:OWT65554 PGO65551:PGP65554 PQK65551:PQL65554 QAG65551:QAH65554 QKC65551:QKD65554 QTY65551:QTZ65554 RDU65551:RDV65554 RNQ65551:RNR65554 RXM65551:RXN65554 SHI65551:SHJ65554 SRE65551:SRF65554 TBA65551:TBB65554 TKW65551:TKX65554 TUS65551:TUT65554 UEO65551:UEP65554 UOK65551:UOL65554 UYG65551:UYH65554 VIC65551:VID65554 VRY65551:VRZ65554 WBU65551:WBV65554 WLQ65551:WLR65554 WVM65551:WVN65554 JA131087:JB131090 SW131087:SX131090 ACS131087:ACT131090 AMO131087:AMP131090 AWK131087:AWL131090 BGG131087:BGH131090 BQC131087:BQD131090 BZY131087:BZZ131090 CJU131087:CJV131090 CTQ131087:CTR131090 DDM131087:DDN131090 DNI131087:DNJ131090 DXE131087:DXF131090 EHA131087:EHB131090 EQW131087:EQX131090 FAS131087:FAT131090 FKO131087:FKP131090 FUK131087:FUL131090 GEG131087:GEH131090 GOC131087:GOD131090 GXY131087:GXZ131090 HHU131087:HHV131090 HRQ131087:HRR131090 IBM131087:IBN131090 ILI131087:ILJ131090 IVE131087:IVF131090 JFA131087:JFB131090 JOW131087:JOX131090 JYS131087:JYT131090 KIO131087:KIP131090 KSK131087:KSL131090 LCG131087:LCH131090 LMC131087:LMD131090 LVY131087:LVZ131090 MFU131087:MFV131090 MPQ131087:MPR131090 MZM131087:MZN131090 NJI131087:NJJ131090 NTE131087:NTF131090 ODA131087:ODB131090 OMW131087:OMX131090 OWS131087:OWT131090 PGO131087:PGP131090 PQK131087:PQL131090 QAG131087:QAH131090 QKC131087:QKD131090 QTY131087:QTZ131090 RDU131087:RDV131090 RNQ131087:RNR131090 RXM131087:RXN131090 SHI131087:SHJ131090 SRE131087:SRF131090 TBA131087:TBB131090 TKW131087:TKX131090 TUS131087:TUT131090 UEO131087:UEP131090 UOK131087:UOL131090 UYG131087:UYH131090 VIC131087:VID131090 VRY131087:VRZ131090 WBU131087:WBV131090 WLQ131087:WLR131090 WVM131087:WVN131090 JA196623:JB196626 SW196623:SX196626 ACS196623:ACT196626 AMO196623:AMP196626 AWK196623:AWL196626 BGG196623:BGH196626 BQC196623:BQD196626 BZY196623:BZZ196626 CJU196623:CJV196626 CTQ196623:CTR196626 DDM196623:DDN196626 DNI196623:DNJ196626 DXE196623:DXF196626 EHA196623:EHB196626 EQW196623:EQX196626 FAS196623:FAT196626 FKO196623:FKP196626 FUK196623:FUL196626 GEG196623:GEH196626 GOC196623:GOD196626 GXY196623:GXZ196626 HHU196623:HHV196626 HRQ196623:HRR196626 IBM196623:IBN196626 ILI196623:ILJ196626 IVE196623:IVF196626 JFA196623:JFB196626 JOW196623:JOX196626 JYS196623:JYT196626 KIO196623:KIP196626 KSK196623:KSL196626 LCG196623:LCH196626 LMC196623:LMD196626 LVY196623:LVZ196626 MFU196623:MFV196626 MPQ196623:MPR196626 MZM196623:MZN196626 NJI196623:NJJ196626 NTE196623:NTF196626 ODA196623:ODB196626 OMW196623:OMX196626 OWS196623:OWT196626 PGO196623:PGP196626 PQK196623:PQL196626 QAG196623:QAH196626 QKC196623:QKD196626 QTY196623:QTZ196626 RDU196623:RDV196626 RNQ196623:RNR196626 RXM196623:RXN196626 SHI196623:SHJ196626 SRE196623:SRF196626 TBA196623:TBB196626 TKW196623:TKX196626 TUS196623:TUT196626 UEO196623:UEP196626 UOK196623:UOL196626 UYG196623:UYH196626 VIC196623:VID196626 VRY196623:VRZ196626 WBU196623:WBV196626 WLQ196623:WLR196626 WVM196623:WVN196626 JA262159:JB262162 SW262159:SX262162 ACS262159:ACT262162 AMO262159:AMP262162 AWK262159:AWL262162 BGG262159:BGH262162 BQC262159:BQD262162 BZY262159:BZZ262162 CJU262159:CJV262162 CTQ262159:CTR262162 DDM262159:DDN262162 DNI262159:DNJ262162 DXE262159:DXF262162 EHA262159:EHB262162 EQW262159:EQX262162 FAS262159:FAT262162 FKO262159:FKP262162 FUK262159:FUL262162 GEG262159:GEH262162 GOC262159:GOD262162 GXY262159:GXZ262162 HHU262159:HHV262162 HRQ262159:HRR262162 IBM262159:IBN262162 ILI262159:ILJ262162 IVE262159:IVF262162 JFA262159:JFB262162 JOW262159:JOX262162 JYS262159:JYT262162 KIO262159:KIP262162 KSK262159:KSL262162 LCG262159:LCH262162 LMC262159:LMD262162 LVY262159:LVZ262162 MFU262159:MFV262162 MPQ262159:MPR262162 MZM262159:MZN262162 NJI262159:NJJ262162 NTE262159:NTF262162 ODA262159:ODB262162 OMW262159:OMX262162 OWS262159:OWT262162 PGO262159:PGP262162 PQK262159:PQL262162 QAG262159:QAH262162 QKC262159:QKD262162 QTY262159:QTZ262162 RDU262159:RDV262162 RNQ262159:RNR262162 RXM262159:RXN262162 SHI262159:SHJ262162 SRE262159:SRF262162 TBA262159:TBB262162 TKW262159:TKX262162 TUS262159:TUT262162 UEO262159:UEP262162 UOK262159:UOL262162 UYG262159:UYH262162 VIC262159:VID262162 VRY262159:VRZ262162 WBU262159:WBV262162 WLQ262159:WLR262162 WVM262159:WVN262162 JA327695:JB327698 SW327695:SX327698 ACS327695:ACT327698 AMO327695:AMP327698 AWK327695:AWL327698 BGG327695:BGH327698 BQC327695:BQD327698 BZY327695:BZZ327698 CJU327695:CJV327698 CTQ327695:CTR327698 DDM327695:DDN327698 DNI327695:DNJ327698 DXE327695:DXF327698 EHA327695:EHB327698 EQW327695:EQX327698 FAS327695:FAT327698 FKO327695:FKP327698 FUK327695:FUL327698 GEG327695:GEH327698 GOC327695:GOD327698 GXY327695:GXZ327698 HHU327695:HHV327698 HRQ327695:HRR327698 IBM327695:IBN327698 ILI327695:ILJ327698 IVE327695:IVF327698 JFA327695:JFB327698 JOW327695:JOX327698 JYS327695:JYT327698 KIO327695:KIP327698 KSK327695:KSL327698 LCG327695:LCH327698 LMC327695:LMD327698 LVY327695:LVZ327698 MFU327695:MFV327698 MPQ327695:MPR327698 MZM327695:MZN327698 NJI327695:NJJ327698 NTE327695:NTF327698 ODA327695:ODB327698 OMW327695:OMX327698 OWS327695:OWT327698 PGO327695:PGP327698 PQK327695:PQL327698 QAG327695:QAH327698 QKC327695:QKD327698 QTY327695:QTZ327698 RDU327695:RDV327698 RNQ327695:RNR327698 RXM327695:RXN327698 SHI327695:SHJ327698 SRE327695:SRF327698 TBA327695:TBB327698 TKW327695:TKX327698 TUS327695:TUT327698 UEO327695:UEP327698 UOK327695:UOL327698 UYG327695:UYH327698 VIC327695:VID327698 VRY327695:VRZ327698 WBU327695:WBV327698 WLQ327695:WLR327698 WVM327695:WVN327698 JA393231:JB393234 SW393231:SX393234 ACS393231:ACT393234 AMO393231:AMP393234 AWK393231:AWL393234 BGG393231:BGH393234 BQC393231:BQD393234 BZY393231:BZZ393234 CJU393231:CJV393234 CTQ393231:CTR393234 DDM393231:DDN393234 DNI393231:DNJ393234 DXE393231:DXF393234 EHA393231:EHB393234 EQW393231:EQX393234 FAS393231:FAT393234 FKO393231:FKP393234 FUK393231:FUL393234 GEG393231:GEH393234 GOC393231:GOD393234 GXY393231:GXZ393234 HHU393231:HHV393234 HRQ393231:HRR393234 IBM393231:IBN393234 ILI393231:ILJ393234 IVE393231:IVF393234 JFA393231:JFB393234 JOW393231:JOX393234 JYS393231:JYT393234 KIO393231:KIP393234 KSK393231:KSL393234 LCG393231:LCH393234 LMC393231:LMD393234 LVY393231:LVZ393234 MFU393231:MFV393234 MPQ393231:MPR393234 MZM393231:MZN393234 NJI393231:NJJ393234 NTE393231:NTF393234 ODA393231:ODB393234 OMW393231:OMX393234 OWS393231:OWT393234 PGO393231:PGP393234 PQK393231:PQL393234 QAG393231:QAH393234 QKC393231:QKD393234 QTY393231:QTZ393234 RDU393231:RDV393234 RNQ393231:RNR393234 RXM393231:RXN393234 SHI393231:SHJ393234 SRE393231:SRF393234 TBA393231:TBB393234 TKW393231:TKX393234 TUS393231:TUT393234 UEO393231:UEP393234 UOK393231:UOL393234 UYG393231:UYH393234 VIC393231:VID393234 VRY393231:VRZ393234 WBU393231:WBV393234 WLQ393231:WLR393234 WVM393231:WVN393234 JA458767:JB458770 SW458767:SX458770 ACS458767:ACT458770 AMO458767:AMP458770 AWK458767:AWL458770 BGG458767:BGH458770 BQC458767:BQD458770 BZY458767:BZZ458770 CJU458767:CJV458770 CTQ458767:CTR458770 DDM458767:DDN458770 DNI458767:DNJ458770 DXE458767:DXF458770 EHA458767:EHB458770 EQW458767:EQX458770 FAS458767:FAT458770 FKO458767:FKP458770 FUK458767:FUL458770 GEG458767:GEH458770 GOC458767:GOD458770 GXY458767:GXZ458770 HHU458767:HHV458770 HRQ458767:HRR458770 IBM458767:IBN458770 ILI458767:ILJ458770 IVE458767:IVF458770 JFA458767:JFB458770 JOW458767:JOX458770 JYS458767:JYT458770 KIO458767:KIP458770 KSK458767:KSL458770 LCG458767:LCH458770 LMC458767:LMD458770 LVY458767:LVZ458770 MFU458767:MFV458770 MPQ458767:MPR458770 MZM458767:MZN458770 NJI458767:NJJ458770 NTE458767:NTF458770 ODA458767:ODB458770 OMW458767:OMX458770 OWS458767:OWT458770 PGO458767:PGP458770 PQK458767:PQL458770 QAG458767:QAH458770 QKC458767:QKD458770 QTY458767:QTZ458770 RDU458767:RDV458770 RNQ458767:RNR458770 RXM458767:RXN458770 SHI458767:SHJ458770 SRE458767:SRF458770 TBA458767:TBB458770 TKW458767:TKX458770 TUS458767:TUT458770 UEO458767:UEP458770 UOK458767:UOL458770 UYG458767:UYH458770 VIC458767:VID458770 VRY458767:VRZ458770 WBU458767:WBV458770 WLQ458767:WLR458770 WVM458767:WVN458770 JA524303:JB524306 SW524303:SX524306 ACS524303:ACT524306 AMO524303:AMP524306 AWK524303:AWL524306 BGG524303:BGH524306 BQC524303:BQD524306 BZY524303:BZZ524306 CJU524303:CJV524306 CTQ524303:CTR524306 DDM524303:DDN524306 DNI524303:DNJ524306 DXE524303:DXF524306 EHA524303:EHB524306 EQW524303:EQX524306 FAS524303:FAT524306 FKO524303:FKP524306 FUK524303:FUL524306 GEG524303:GEH524306 GOC524303:GOD524306 GXY524303:GXZ524306 HHU524303:HHV524306 HRQ524303:HRR524306 IBM524303:IBN524306 ILI524303:ILJ524306 IVE524303:IVF524306 JFA524303:JFB524306 JOW524303:JOX524306 JYS524303:JYT524306 KIO524303:KIP524306 KSK524303:KSL524306 LCG524303:LCH524306 LMC524303:LMD524306 LVY524303:LVZ524306 MFU524303:MFV524306 MPQ524303:MPR524306 MZM524303:MZN524306 NJI524303:NJJ524306 NTE524303:NTF524306 ODA524303:ODB524306 OMW524303:OMX524306 OWS524303:OWT524306 PGO524303:PGP524306 PQK524303:PQL524306 QAG524303:QAH524306 QKC524303:QKD524306 QTY524303:QTZ524306 RDU524303:RDV524306 RNQ524303:RNR524306 RXM524303:RXN524306 SHI524303:SHJ524306 SRE524303:SRF524306 TBA524303:TBB524306 TKW524303:TKX524306 TUS524303:TUT524306 UEO524303:UEP524306 UOK524303:UOL524306 UYG524303:UYH524306 VIC524303:VID524306 VRY524303:VRZ524306 WBU524303:WBV524306 WLQ524303:WLR524306 WVM524303:WVN524306 JA589839:JB589842 SW589839:SX589842 ACS589839:ACT589842 AMO589839:AMP589842 AWK589839:AWL589842 BGG589839:BGH589842 BQC589839:BQD589842 BZY589839:BZZ589842 CJU589839:CJV589842 CTQ589839:CTR589842 DDM589839:DDN589842 DNI589839:DNJ589842 DXE589839:DXF589842 EHA589839:EHB589842 EQW589839:EQX589842 FAS589839:FAT589842 FKO589839:FKP589842 FUK589839:FUL589842 GEG589839:GEH589842 GOC589839:GOD589842 GXY589839:GXZ589842 HHU589839:HHV589842 HRQ589839:HRR589842 IBM589839:IBN589842 ILI589839:ILJ589842 IVE589839:IVF589842 JFA589839:JFB589842 JOW589839:JOX589842 JYS589839:JYT589842 KIO589839:KIP589842 KSK589839:KSL589842 LCG589839:LCH589842 LMC589839:LMD589842 LVY589839:LVZ589842 MFU589839:MFV589842 MPQ589839:MPR589842 MZM589839:MZN589842 NJI589839:NJJ589842 NTE589839:NTF589842 ODA589839:ODB589842 OMW589839:OMX589842 OWS589839:OWT589842 PGO589839:PGP589842 PQK589839:PQL589842 QAG589839:QAH589842 QKC589839:QKD589842 QTY589839:QTZ589842 RDU589839:RDV589842 RNQ589839:RNR589842 RXM589839:RXN589842 SHI589839:SHJ589842 SRE589839:SRF589842 TBA589839:TBB589842 TKW589839:TKX589842 TUS589839:TUT589842 UEO589839:UEP589842 UOK589839:UOL589842 UYG589839:UYH589842 VIC589839:VID589842 VRY589839:VRZ589842 WBU589839:WBV589842 WLQ589839:WLR589842 WVM589839:WVN589842 JA655375:JB655378 SW655375:SX655378 ACS655375:ACT655378 AMO655375:AMP655378 AWK655375:AWL655378 BGG655375:BGH655378 BQC655375:BQD655378 BZY655375:BZZ655378 CJU655375:CJV655378 CTQ655375:CTR655378 DDM655375:DDN655378 DNI655375:DNJ655378 DXE655375:DXF655378 EHA655375:EHB655378 EQW655375:EQX655378 FAS655375:FAT655378 FKO655375:FKP655378 FUK655375:FUL655378 GEG655375:GEH655378 GOC655375:GOD655378 GXY655375:GXZ655378 HHU655375:HHV655378 HRQ655375:HRR655378 IBM655375:IBN655378 ILI655375:ILJ655378 IVE655375:IVF655378 JFA655375:JFB655378 JOW655375:JOX655378 JYS655375:JYT655378 KIO655375:KIP655378 KSK655375:KSL655378 LCG655375:LCH655378 LMC655375:LMD655378 LVY655375:LVZ655378 MFU655375:MFV655378 MPQ655375:MPR655378 MZM655375:MZN655378 NJI655375:NJJ655378 NTE655375:NTF655378 ODA655375:ODB655378 OMW655375:OMX655378 OWS655375:OWT655378 PGO655375:PGP655378 PQK655375:PQL655378 QAG655375:QAH655378 QKC655375:QKD655378 QTY655375:QTZ655378 RDU655375:RDV655378 RNQ655375:RNR655378 RXM655375:RXN655378 SHI655375:SHJ655378 SRE655375:SRF655378 TBA655375:TBB655378 TKW655375:TKX655378 TUS655375:TUT655378 UEO655375:UEP655378 UOK655375:UOL655378 UYG655375:UYH655378 VIC655375:VID655378 VRY655375:VRZ655378 WBU655375:WBV655378 WLQ655375:WLR655378 WVM655375:WVN655378 JA720911:JB720914 SW720911:SX720914 ACS720911:ACT720914 AMO720911:AMP720914 AWK720911:AWL720914 BGG720911:BGH720914 BQC720911:BQD720914 BZY720911:BZZ720914 CJU720911:CJV720914 CTQ720911:CTR720914 DDM720911:DDN720914 DNI720911:DNJ720914 DXE720911:DXF720914 EHA720911:EHB720914 EQW720911:EQX720914 FAS720911:FAT720914 FKO720911:FKP720914 FUK720911:FUL720914 GEG720911:GEH720914 GOC720911:GOD720914 GXY720911:GXZ720914 HHU720911:HHV720914 HRQ720911:HRR720914 IBM720911:IBN720914 ILI720911:ILJ720914 IVE720911:IVF720914 JFA720911:JFB720914 JOW720911:JOX720914 JYS720911:JYT720914 KIO720911:KIP720914 KSK720911:KSL720914 LCG720911:LCH720914 LMC720911:LMD720914 LVY720911:LVZ720914 MFU720911:MFV720914 MPQ720911:MPR720914 MZM720911:MZN720914 NJI720911:NJJ720914 NTE720911:NTF720914 ODA720911:ODB720914 OMW720911:OMX720914 OWS720911:OWT720914 PGO720911:PGP720914 PQK720911:PQL720914 QAG720911:QAH720914 QKC720911:QKD720914 QTY720911:QTZ720914 RDU720911:RDV720914 RNQ720911:RNR720914 RXM720911:RXN720914 SHI720911:SHJ720914 SRE720911:SRF720914 TBA720911:TBB720914 TKW720911:TKX720914 TUS720911:TUT720914 UEO720911:UEP720914 UOK720911:UOL720914 UYG720911:UYH720914 VIC720911:VID720914 VRY720911:VRZ720914 WBU720911:WBV720914 WLQ720911:WLR720914 WVM720911:WVN720914 JA786447:JB786450 SW786447:SX786450 ACS786447:ACT786450 AMO786447:AMP786450 AWK786447:AWL786450 BGG786447:BGH786450 BQC786447:BQD786450 BZY786447:BZZ786450 CJU786447:CJV786450 CTQ786447:CTR786450 DDM786447:DDN786450 DNI786447:DNJ786450 DXE786447:DXF786450 EHA786447:EHB786450 EQW786447:EQX786450 FAS786447:FAT786450 FKO786447:FKP786450 FUK786447:FUL786450 GEG786447:GEH786450 GOC786447:GOD786450 GXY786447:GXZ786450 HHU786447:HHV786450 HRQ786447:HRR786450 IBM786447:IBN786450 ILI786447:ILJ786450 IVE786447:IVF786450 JFA786447:JFB786450 JOW786447:JOX786450 JYS786447:JYT786450 KIO786447:KIP786450 KSK786447:KSL786450 LCG786447:LCH786450 LMC786447:LMD786450 LVY786447:LVZ786450 MFU786447:MFV786450 MPQ786447:MPR786450 MZM786447:MZN786450 NJI786447:NJJ786450 NTE786447:NTF786450 ODA786447:ODB786450 OMW786447:OMX786450 OWS786447:OWT786450 PGO786447:PGP786450 PQK786447:PQL786450 QAG786447:QAH786450 QKC786447:QKD786450 QTY786447:QTZ786450 RDU786447:RDV786450 RNQ786447:RNR786450 RXM786447:RXN786450 SHI786447:SHJ786450 SRE786447:SRF786450 TBA786447:TBB786450 TKW786447:TKX786450 TUS786447:TUT786450 UEO786447:UEP786450 UOK786447:UOL786450 UYG786447:UYH786450 VIC786447:VID786450 VRY786447:VRZ786450 WBU786447:WBV786450 WLQ786447:WLR786450 WVM786447:WVN786450 JA851983:JB851986 SW851983:SX851986 ACS851983:ACT851986 AMO851983:AMP851986 AWK851983:AWL851986 BGG851983:BGH851986 BQC851983:BQD851986 BZY851983:BZZ851986 CJU851983:CJV851986 CTQ851983:CTR851986 DDM851983:DDN851986 DNI851983:DNJ851986 DXE851983:DXF851986 EHA851983:EHB851986 EQW851983:EQX851986 FAS851983:FAT851986 FKO851983:FKP851986 FUK851983:FUL851986 GEG851983:GEH851986 GOC851983:GOD851986 GXY851983:GXZ851986 HHU851983:HHV851986 HRQ851983:HRR851986 IBM851983:IBN851986 ILI851983:ILJ851986 IVE851983:IVF851986 JFA851983:JFB851986 JOW851983:JOX851986 JYS851983:JYT851986 KIO851983:KIP851986 KSK851983:KSL851986 LCG851983:LCH851986 LMC851983:LMD851986 LVY851983:LVZ851986 MFU851983:MFV851986 MPQ851983:MPR851986 MZM851983:MZN851986 NJI851983:NJJ851986 NTE851983:NTF851986 ODA851983:ODB851986 OMW851983:OMX851986 OWS851983:OWT851986 PGO851983:PGP851986 PQK851983:PQL851986 QAG851983:QAH851986 QKC851983:QKD851986 QTY851983:QTZ851986 RDU851983:RDV851986 RNQ851983:RNR851986 RXM851983:RXN851986 SHI851983:SHJ851986 SRE851983:SRF851986 TBA851983:TBB851986 TKW851983:TKX851986 TUS851983:TUT851986 UEO851983:UEP851986 UOK851983:UOL851986 UYG851983:UYH851986 VIC851983:VID851986 VRY851983:VRZ851986 WBU851983:WBV851986 WLQ851983:WLR851986 WVM851983:WVN851986 JA917519:JB917522 SW917519:SX917522 ACS917519:ACT917522 AMO917519:AMP917522 AWK917519:AWL917522 BGG917519:BGH917522 BQC917519:BQD917522 BZY917519:BZZ917522 CJU917519:CJV917522 CTQ917519:CTR917522 DDM917519:DDN917522 DNI917519:DNJ917522 DXE917519:DXF917522 EHA917519:EHB917522 EQW917519:EQX917522 FAS917519:FAT917522 FKO917519:FKP917522 FUK917519:FUL917522 GEG917519:GEH917522 GOC917519:GOD917522 GXY917519:GXZ917522 HHU917519:HHV917522 HRQ917519:HRR917522 IBM917519:IBN917522 ILI917519:ILJ917522 IVE917519:IVF917522 JFA917519:JFB917522 JOW917519:JOX917522 JYS917519:JYT917522 KIO917519:KIP917522 KSK917519:KSL917522 LCG917519:LCH917522 LMC917519:LMD917522 LVY917519:LVZ917522 MFU917519:MFV917522 MPQ917519:MPR917522 MZM917519:MZN917522 NJI917519:NJJ917522 NTE917519:NTF917522 ODA917519:ODB917522 OMW917519:OMX917522 OWS917519:OWT917522 PGO917519:PGP917522 PQK917519:PQL917522 QAG917519:QAH917522 QKC917519:QKD917522 QTY917519:QTZ917522 RDU917519:RDV917522 RNQ917519:RNR917522 RXM917519:RXN917522 SHI917519:SHJ917522 SRE917519:SRF917522 TBA917519:TBB917522 TKW917519:TKX917522 TUS917519:TUT917522 UEO917519:UEP917522 UOK917519:UOL917522 UYG917519:UYH917522 VIC917519:VID917522 VRY917519:VRZ917522 WBU917519:WBV917522 WLQ917519:WLR917522 WVM917519:WVN917522 JA983055:JB983058 SW983055:SX983058 ACS983055:ACT983058 AMO983055:AMP983058 AWK983055:AWL983058 BGG983055:BGH983058 BQC983055:BQD983058 BZY983055:BZZ983058 CJU983055:CJV983058 CTQ983055:CTR983058 DDM983055:DDN983058 DNI983055:DNJ983058 DXE983055:DXF983058 EHA983055:EHB983058 EQW983055:EQX983058 FAS983055:FAT983058 FKO983055:FKP983058 FUK983055:FUL983058 GEG983055:GEH983058 GOC983055:GOD983058 GXY983055:GXZ983058 HHU983055:HHV983058 HRQ983055:HRR983058 IBM983055:IBN983058 ILI983055:ILJ983058 IVE983055:IVF983058 JFA983055:JFB983058 JOW983055:JOX983058 JYS983055:JYT983058 KIO983055:KIP983058 KSK983055:KSL983058 LCG983055:LCH983058 LMC983055:LMD983058 LVY983055:LVZ983058 MFU983055:MFV983058 MPQ983055:MPR983058 MZM983055:MZN983058 NJI983055:NJJ983058 NTE983055:NTF983058 ODA983055:ODB983058 OMW983055:OMX983058 OWS983055:OWT983058 PGO983055:PGP983058 PQK983055:PQL983058 QAG983055:QAH983058 QKC983055:QKD983058 QTY983055:QTZ983058 RDU983055:RDV983058 RNQ983055:RNR983058 RXM983055:RXN983058 SHI983055:SHJ983058 SRE983055:SRF983058 TBA983055:TBB983058 TKW983055:TKX983058 TUS983055:TUT983058 UEO983055:UEP983058 UOK983055:UOL983058 UYG983055:UYH983058 VIC983055:VID983058 VRY983055:VRZ983058 WBU983055:WBV983058 WLQ983055:WLR983058 WVM983055:WVN983058 WLF983055:WLG983058 IE65551:IF65554 SA65551:SB65554 ABW65551:ABX65554 ALS65551:ALT65554 AVO65551:AVP65554 BFK65551:BFL65554 BPG65551:BPH65554 BZC65551:BZD65554 CIY65551:CIZ65554 CSU65551:CSV65554 DCQ65551:DCR65554 DMM65551:DMN65554 DWI65551:DWJ65554 EGE65551:EGF65554 EQA65551:EQB65554 EZW65551:EZX65554 FJS65551:FJT65554 FTO65551:FTP65554 GDK65551:GDL65554 GNG65551:GNH65554 GXC65551:GXD65554 HGY65551:HGZ65554 HQU65551:HQV65554 IAQ65551:IAR65554 IKM65551:IKN65554 IUI65551:IUJ65554 JEE65551:JEF65554 JOA65551:JOB65554 JXW65551:JXX65554 KHS65551:KHT65554 KRO65551:KRP65554 LBK65551:LBL65554 LLG65551:LLH65554 LVC65551:LVD65554 MEY65551:MEZ65554 MOU65551:MOV65554 MYQ65551:MYR65554 NIM65551:NIN65554 NSI65551:NSJ65554 OCE65551:OCF65554 OMA65551:OMB65554 OVW65551:OVX65554 PFS65551:PFT65554 PPO65551:PPP65554 PZK65551:PZL65554 QJG65551:QJH65554 QTC65551:QTD65554 RCY65551:RCZ65554 RMU65551:RMV65554 RWQ65551:RWR65554 SGM65551:SGN65554 SQI65551:SQJ65554 TAE65551:TAF65554 TKA65551:TKB65554 TTW65551:TTX65554 UDS65551:UDT65554 UNO65551:UNP65554 UXK65551:UXL65554 VHG65551:VHH65554 VRC65551:VRD65554 WAY65551:WAZ65554 WKU65551:WKV65554 WUQ65551:WUR65554 IE131087:IF131090 SA131087:SB131090 ABW131087:ABX131090 ALS131087:ALT131090 AVO131087:AVP131090 BFK131087:BFL131090 BPG131087:BPH131090 BZC131087:BZD131090 CIY131087:CIZ131090 CSU131087:CSV131090 DCQ131087:DCR131090 DMM131087:DMN131090 DWI131087:DWJ131090 EGE131087:EGF131090 EQA131087:EQB131090 EZW131087:EZX131090 FJS131087:FJT131090 FTO131087:FTP131090 GDK131087:GDL131090 GNG131087:GNH131090 GXC131087:GXD131090 HGY131087:HGZ131090 HQU131087:HQV131090 IAQ131087:IAR131090 IKM131087:IKN131090 IUI131087:IUJ131090 JEE131087:JEF131090 JOA131087:JOB131090 JXW131087:JXX131090 KHS131087:KHT131090 KRO131087:KRP131090 LBK131087:LBL131090 LLG131087:LLH131090 LVC131087:LVD131090 MEY131087:MEZ131090 MOU131087:MOV131090 MYQ131087:MYR131090 NIM131087:NIN131090 NSI131087:NSJ131090 OCE131087:OCF131090 OMA131087:OMB131090 OVW131087:OVX131090 PFS131087:PFT131090 PPO131087:PPP131090 PZK131087:PZL131090 QJG131087:QJH131090 QTC131087:QTD131090 RCY131087:RCZ131090 RMU131087:RMV131090 RWQ131087:RWR131090 SGM131087:SGN131090 SQI131087:SQJ131090 TAE131087:TAF131090 TKA131087:TKB131090 TTW131087:TTX131090 UDS131087:UDT131090 UNO131087:UNP131090 UXK131087:UXL131090 VHG131087:VHH131090 VRC131087:VRD131090 WAY131087:WAZ131090 WKU131087:WKV131090 WUQ131087:WUR131090 IE196623:IF196626 SA196623:SB196626 ABW196623:ABX196626 ALS196623:ALT196626 AVO196623:AVP196626 BFK196623:BFL196626 BPG196623:BPH196626 BZC196623:BZD196626 CIY196623:CIZ196626 CSU196623:CSV196626 DCQ196623:DCR196626 DMM196623:DMN196626 DWI196623:DWJ196626 EGE196623:EGF196626 EQA196623:EQB196626 EZW196623:EZX196626 FJS196623:FJT196626 FTO196623:FTP196626 GDK196623:GDL196626 GNG196623:GNH196626 GXC196623:GXD196626 HGY196623:HGZ196626 HQU196623:HQV196626 IAQ196623:IAR196626 IKM196623:IKN196626 IUI196623:IUJ196626 JEE196623:JEF196626 JOA196623:JOB196626 JXW196623:JXX196626 KHS196623:KHT196626 KRO196623:KRP196626 LBK196623:LBL196626 LLG196623:LLH196626 LVC196623:LVD196626 MEY196623:MEZ196626 MOU196623:MOV196626 MYQ196623:MYR196626 NIM196623:NIN196626 NSI196623:NSJ196626 OCE196623:OCF196626 OMA196623:OMB196626 OVW196623:OVX196626 PFS196623:PFT196626 PPO196623:PPP196626 PZK196623:PZL196626 QJG196623:QJH196626 QTC196623:QTD196626 RCY196623:RCZ196626 RMU196623:RMV196626 RWQ196623:RWR196626 SGM196623:SGN196626 SQI196623:SQJ196626 TAE196623:TAF196626 TKA196623:TKB196626 TTW196623:TTX196626 UDS196623:UDT196626 UNO196623:UNP196626 UXK196623:UXL196626 VHG196623:VHH196626 VRC196623:VRD196626 WAY196623:WAZ196626 WKU196623:WKV196626 WUQ196623:WUR196626 IE262159:IF262162 SA262159:SB262162 ABW262159:ABX262162 ALS262159:ALT262162 AVO262159:AVP262162 BFK262159:BFL262162 BPG262159:BPH262162 BZC262159:BZD262162 CIY262159:CIZ262162 CSU262159:CSV262162 DCQ262159:DCR262162 DMM262159:DMN262162 DWI262159:DWJ262162 EGE262159:EGF262162 EQA262159:EQB262162 EZW262159:EZX262162 FJS262159:FJT262162 FTO262159:FTP262162 GDK262159:GDL262162 GNG262159:GNH262162 GXC262159:GXD262162 HGY262159:HGZ262162 HQU262159:HQV262162 IAQ262159:IAR262162 IKM262159:IKN262162 IUI262159:IUJ262162 JEE262159:JEF262162 JOA262159:JOB262162 JXW262159:JXX262162 KHS262159:KHT262162 KRO262159:KRP262162 LBK262159:LBL262162 LLG262159:LLH262162 LVC262159:LVD262162 MEY262159:MEZ262162 MOU262159:MOV262162 MYQ262159:MYR262162 NIM262159:NIN262162 NSI262159:NSJ262162 OCE262159:OCF262162 OMA262159:OMB262162 OVW262159:OVX262162 PFS262159:PFT262162 PPO262159:PPP262162 PZK262159:PZL262162 QJG262159:QJH262162 QTC262159:QTD262162 RCY262159:RCZ262162 RMU262159:RMV262162 RWQ262159:RWR262162 SGM262159:SGN262162 SQI262159:SQJ262162 TAE262159:TAF262162 TKA262159:TKB262162 TTW262159:TTX262162 UDS262159:UDT262162 UNO262159:UNP262162 UXK262159:UXL262162 VHG262159:VHH262162 VRC262159:VRD262162 WAY262159:WAZ262162 WKU262159:WKV262162 WUQ262159:WUR262162 IE327695:IF327698 SA327695:SB327698 ABW327695:ABX327698 ALS327695:ALT327698 AVO327695:AVP327698 BFK327695:BFL327698 BPG327695:BPH327698 BZC327695:BZD327698 CIY327695:CIZ327698 CSU327695:CSV327698 DCQ327695:DCR327698 DMM327695:DMN327698 DWI327695:DWJ327698 EGE327695:EGF327698 EQA327695:EQB327698 EZW327695:EZX327698 FJS327695:FJT327698 FTO327695:FTP327698 GDK327695:GDL327698 GNG327695:GNH327698 GXC327695:GXD327698 HGY327695:HGZ327698 HQU327695:HQV327698 IAQ327695:IAR327698 IKM327695:IKN327698 IUI327695:IUJ327698 JEE327695:JEF327698 JOA327695:JOB327698 JXW327695:JXX327698 KHS327695:KHT327698 KRO327695:KRP327698 LBK327695:LBL327698 LLG327695:LLH327698 LVC327695:LVD327698 MEY327695:MEZ327698 MOU327695:MOV327698 MYQ327695:MYR327698 NIM327695:NIN327698 NSI327695:NSJ327698 OCE327695:OCF327698 OMA327695:OMB327698 OVW327695:OVX327698 PFS327695:PFT327698 PPO327695:PPP327698 PZK327695:PZL327698 QJG327695:QJH327698 QTC327695:QTD327698 RCY327695:RCZ327698 RMU327695:RMV327698 RWQ327695:RWR327698 SGM327695:SGN327698 SQI327695:SQJ327698 TAE327695:TAF327698 TKA327695:TKB327698 TTW327695:TTX327698 UDS327695:UDT327698 UNO327695:UNP327698 UXK327695:UXL327698 VHG327695:VHH327698 VRC327695:VRD327698 WAY327695:WAZ327698 WKU327695:WKV327698 WUQ327695:WUR327698 IE393231:IF393234 SA393231:SB393234 ABW393231:ABX393234 ALS393231:ALT393234 AVO393231:AVP393234 BFK393231:BFL393234 BPG393231:BPH393234 BZC393231:BZD393234 CIY393231:CIZ393234 CSU393231:CSV393234 DCQ393231:DCR393234 DMM393231:DMN393234 DWI393231:DWJ393234 EGE393231:EGF393234 EQA393231:EQB393234 EZW393231:EZX393234 FJS393231:FJT393234 FTO393231:FTP393234 GDK393231:GDL393234 GNG393231:GNH393234 GXC393231:GXD393234 HGY393231:HGZ393234 HQU393231:HQV393234 IAQ393231:IAR393234 IKM393231:IKN393234 IUI393231:IUJ393234 JEE393231:JEF393234 JOA393231:JOB393234 JXW393231:JXX393234 KHS393231:KHT393234 KRO393231:KRP393234 LBK393231:LBL393234 LLG393231:LLH393234 LVC393231:LVD393234 MEY393231:MEZ393234 MOU393231:MOV393234 MYQ393231:MYR393234 NIM393231:NIN393234 NSI393231:NSJ393234 OCE393231:OCF393234 OMA393231:OMB393234 OVW393231:OVX393234 PFS393231:PFT393234 PPO393231:PPP393234 PZK393231:PZL393234 QJG393231:QJH393234 QTC393231:QTD393234 RCY393231:RCZ393234 RMU393231:RMV393234 RWQ393231:RWR393234 SGM393231:SGN393234 SQI393231:SQJ393234 TAE393231:TAF393234 TKA393231:TKB393234 TTW393231:TTX393234 UDS393231:UDT393234 UNO393231:UNP393234 UXK393231:UXL393234 VHG393231:VHH393234 VRC393231:VRD393234 WAY393231:WAZ393234 WKU393231:WKV393234 WUQ393231:WUR393234 IE458767:IF458770 SA458767:SB458770 ABW458767:ABX458770 ALS458767:ALT458770 AVO458767:AVP458770 BFK458767:BFL458770 BPG458767:BPH458770 BZC458767:BZD458770 CIY458767:CIZ458770 CSU458767:CSV458770 DCQ458767:DCR458770 DMM458767:DMN458770 DWI458767:DWJ458770 EGE458767:EGF458770 EQA458767:EQB458770 EZW458767:EZX458770 FJS458767:FJT458770 FTO458767:FTP458770 GDK458767:GDL458770 GNG458767:GNH458770 GXC458767:GXD458770 HGY458767:HGZ458770 HQU458767:HQV458770 IAQ458767:IAR458770 IKM458767:IKN458770 IUI458767:IUJ458770 JEE458767:JEF458770 JOA458767:JOB458770 JXW458767:JXX458770 KHS458767:KHT458770 KRO458767:KRP458770 LBK458767:LBL458770 LLG458767:LLH458770 LVC458767:LVD458770 MEY458767:MEZ458770 MOU458767:MOV458770 MYQ458767:MYR458770 NIM458767:NIN458770 NSI458767:NSJ458770 OCE458767:OCF458770 OMA458767:OMB458770 OVW458767:OVX458770 PFS458767:PFT458770 PPO458767:PPP458770 PZK458767:PZL458770 QJG458767:QJH458770 QTC458767:QTD458770 RCY458767:RCZ458770 RMU458767:RMV458770 RWQ458767:RWR458770 SGM458767:SGN458770 SQI458767:SQJ458770 TAE458767:TAF458770 TKA458767:TKB458770 TTW458767:TTX458770 UDS458767:UDT458770 UNO458767:UNP458770 UXK458767:UXL458770 VHG458767:VHH458770 VRC458767:VRD458770 WAY458767:WAZ458770 WKU458767:WKV458770 WUQ458767:WUR458770 IE524303:IF524306 SA524303:SB524306 ABW524303:ABX524306 ALS524303:ALT524306 AVO524303:AVP524306 BFK524303:BFL524306 BPG524303:BPH524306 BZC524303:BZD524306 CIY524303:CIZ524306 CSU524303:CSV524306 DCQ524303:DCR524306 DMM524303:DMN524306 DWI524303:DWJ524306 EGE524303:EGF524306 EQA524303:EQB524306 EZW524303:EZX524306 FJS524303:FJT524306 FTO524303:FTP524306 GDK524303:GDL524306 GNG524303:GNH524306 GXC524303:GXD524306 HGY524303:HGZ524306 HQU524303:HQV524306 IAQ524303:IAR524306 IKM524303:IKN524306 IUI524303:IUJ524306 JEE524303:JEF524306 JOA524303:JOB524306 JXW524303:JXX524306 KHS524303:KHT524306 KRO524303:KRP524306 LBK524303:LBL524306 LLG524303:LLH524306 LVC524303:LVD524306 MEY524303:MEZ524306 MOU524303:MOV524306 MYQ524303:MYR524306 NIM524303:NIN524306 NSI524303:NSJ524306 OCE524303:OCF524306 OMA524303:OMB524306 OVW524303:OVX524306 PFS524303:PFT524306 PPO524303:PPP524306 PZK524303:PZL524306 QJG524303:QJH524306 QTC524303:QTD524306 RCY524303:RCZ524306 RMU524303:RMV524306 RWQ524303:RWR524306 SGM524303:SGN524306 SQI524303:SQJ524306 TAE524303:TAF524306 TKA524303:TKB524306 TTW524303:TTX524306 UDS524303:UDT524306 UNO524303:UNP524306 UXK524303:UXL524306 VHG524303:VHH524306 VRC524303:VRD524306 WAY524303:WAZ524306 WKU524303:WKV524306 WUQ524303:WUR524306 IE589839:IF589842 SA589839:SB589842 ABW589839:ABX589842 ALS589839:ALT589842 AVO589839:AVP589842 BFK589839:BFL589842 BPG589839:BPH589842 BZC589839:BZD589842 CIY589839:CIZ589842 CSU589839:CSV589842 DCQ589839:DCR589842 DMM589839:DMN589842 DWI589839:DWJ589842 EGE589839:EGF589842 EQA589839:EQB589842 EZW589839:EZX589842 FJS589839:FJT589842 FTO589839:FTP589842 GDK589839:GDL589842 GNG589839:GNH589842 GXC589839:GXD589842 HGY589839:HGZ589842 HQU589839:HQV589842 IAQ589839:IAR589842 IKM589839:IKN589842 IUI589839:IUJ589842 JEE589839:JEF589842 JOA589839:JOB589842 JXW589839:JXX589842 KHS589839:KHT589842 KRO589839:KRP589842 LBK589839:LBL589842 LLG589839:LLH589842 LVC589839:LVD589842 MEY589839:MEZ589842 MOU589839:MOV589842 MYQ589839:MYR589842 NIM589839:NIN589842 NSI589839:NSJ589842 OCE589839:OCF589842 OMA589839:OMB589842 OVW589839:OVX589842 PFS589839:PFT589842 PPO589839:PPP589842 PZK589839:PZL589842 QJG589839:QJH589842 QTC589839:QTD589842 RCY589839:RCZ589842 RMU589839:RMV589842 RWQ589839:RWR589842 SGM589839:SGN589842 SQI589839:SQJ589842 TAE589839:TAF589842 TKA589839:TKB589842 TTW589839:TTX589842 UDS589839:UDT589842 UNO589839:UNP589842 UXK589839:UXL589842 VHG589839:VHH589842 VRC589839:VRD589842 WAY589839:WAZ589842 WKU589839:WKV589842 WUQ589839:WUR589842 IE655375:IF655378 SA655375:SB655378 ABW655375:ABX655378 ALS655375:ALT655378 AVO655375:AVP655378 BFK655375:BFL655378 BPG655375:BPH655378 BZC655375:BZD655378 CIY655375:CIZ655378 CSU655375:CSV655378 DCQ655375:DCR655378 DMM655375:DMN655378 DWI655375:DWJ655378 EGE655375:EGF655378 EQA655375:EQB655378 EZW655375:EZX655378 FJS655375:FJT655378 FTO655375:FTP655378 GDK655375:GDL655378 GNG655375:GNH655378 GXC655375:GXD655378 HGY655375:HGZ655378 HQU655375:HQV655378 IAQ655375:IAR655378 IKM655375:IKN655378 IUI655375:IUJ655378 JEE655375:JEF655378 JOA655375:JOB655378 JXW655375:JXX655378 KHS655375:KHT655378 KRO655375:KRP655378 LBK655375:LBL655378 LLG655375:LLH655378 LVC655375:LVD655378 MEY655375:MEZ655378 MOU655375:MOV655378 MYQ655375:MYR655378 NIM655375:NIN655378 NSI655375:NSJ655378 OCE655375:OCF655378 OMA655375:OMB655378 OVW655375:OVX655378 PFS655375:PFT655378 PPO655375:PPP655378 PZK655375:PZL655378 QJG655375:QJH655378 QTC655375:QTD655378 RCY655375:RCZ655378 RMU655375:RMV655378 RWQ655375:RWR655378 SGM655375:SGN655378 SQI655375:SQJ655378 TAE655375:TAF655378 TKA655375:TKB655378 TTW655375:TTX655378 UDS655375:UDT655378 UNO655375:UNP655378 UXK655375:UXL655378 VHG655375:VHH655378 VRC655375:VRD655378 WAY655375:WAZ655378 WKU655375:WKV655378 WUQ655375:WUR655378 IE720911:IF720914 SA720911:SB720914 ABW720911:ABX720914 ALS720911:ALT720914 AVO720911:AVP720914 BFK720911:BFL720914 BPG720911:BPH720914 BZC720911:BZD720914 CIY720911:CIZ720914 CSU720911:CSV720914 DCQ720911:DCR720914 DMM720911:DMN720914 DWI720911:DWJ720914 EGE720911:EGF720914 EQA720911:EQB720914 EZW720911:EZX720914 FJS720911:FJT720914 FTO720911:FTP720914 GDK720911:GDL720914 GNG720911:GNH720914 GXC720911:GXD720914 HGY720911:HGZ720914 HQU720911:HQV720914 IAQ720911:IAR720914 IKM720911:IKN720914 IUI720911:IUJ720914 JEE720911:JEF720914 JOA720911:JOB720914 JXW720911:JXX720914 KHS720911:KHT720914 KRO720911:KRP720914 LBK720911:LBL720914 LLG720911:LLH720914 LVC720911:LVD720914 MEY720911:MEZ720914 MOU720911:MOV720914 MYQ720911:MYR720914 NIM720911:NIN720914 NSI720911:NSJ720914 OCE720911:OCF720914 OMA720911:OMB720914 OVW720911:OVX720914 PFS720911:PFT720914 PPO720911:PPP720914 PZK720911:PZL720914 QJG720911:QJH720914 QTC720911:QTD720914 RCY720911:RCZ720914 RMU720911:RMV720914 RWQ720911:RWR720914 SGM720911:SGN720914 SQI720911:SQJ720914 TAE720911:TAF720914 TKA720911:TKB720914 TTW720911:TTX720914 UDS720911:UDT720914 UNO720911:UNP720914 UXK720911:UXL720914 VHG720911:VHH720914 VRC720911:VRD720914 WAY720911:WAZ720914 WKU720911:WKV720914 WUQ720911:WUR720914 IE786447:IF786450 SA786447:SB786450 ABW786447:ABX786450 ALS786447:ALT786450 AVO786447:AVP786450 BFK786447:BFL786450 BPG786447:BPH786450 BZC786447:BZD786450 CIY786447:CIZ786450 CSU786447:CSV786450 DCQ786447:DCR786450 DMM786447:DMN786450 DWI786447:DWJ786450 EGE786447:EGF786450 EQA786447:EQB786450 EZW786447:EZX786450 FJS786447:FJT786450 FTO786447:FTP786450 GDK786447:GDL786450 GNG786447:GNH786450 GXC786447:GXD786450 HGY786447:HGZ786450 HQU786447:HQV786450 IAQ786447:IAR786450 IKM786447:IKN786450 IUI786447:IUJ786450 JEE786447:JEF786450 JOA786447:JOB786450 JXW786447:JXX786450 KHS786447:KHT786450 KRO786447:KRP786450 LBK786447:LBL786450 LLG786447:LLH786450 LVC786447:LVD786450 MEY786447:MEZ786450 MOU786447:MOV786450 MYQ786447:MYR786450 NIM786447:NIN786450 NSI786447:NSJ786450 OCE786447:OCF786450 OMA786447:OMB786450 OVW786447:OVX786450 PFS786447:PFT786450 PPO786447:PPP786450 PZK786447:PZL786450 QJG786447:QJH786450 QTC786447:QTD786450 RCY786447:RCZ786450 RMU786447:RMV786450 RWQ786447:RWR786450 SGM786447:SGN786450 SQI786447:SQJ786450 TAE786447:TAF786450 TKA786447:TKB786450 TTW786447:TTX786450 UDS786447:UDT786450 UNO786447:UNP786450 UXK786447:UXL786450 VHG786447:VHH786450 VRC786447:VRD786450 WAY786447:WAZ786450 WKU786447:WKV786450 WUQ786447:WUR786450 IE851983:IF851986 SA851983:SB851986 ABW851983:ABX851986 ALS851983:ALT851986 AVO851983:AVP851986 BFK851983:BFL851986 BPG851983:BPH851986 BZC851983:BZD851986 CIY851983:CIZ851986 CSU851983:CSV851986 DCQ851983:DCR851986 DMM851983:DMN851986 DWI851983:DWJ851986 EGE851983:EGF851986 EQA851983:EQB851986 EZW851983:EZX851986 FJS851983:FJT851986 FTO851983:FTP851986 GDK851983:GDL851986 GNG851983:GNH851986 GXC851983:GXD851986 HGY851983:HGZ851986 HQU851983:HQV851986 IAQ851983:IAR851986 IKM851983:IKN851986 IUI851983:IUJ851986 JEE851983:JEF851986 JOA851983:JOB851986 JXW851983:JXX851986 KHS851983:KHT851986 KRO851983:KRP851986 LBK851983:LBL851986 LLG851983:LLH851986 LVC851983:LVD851986 MEY851983:MEZ851986 MOU851983:MOV851986 MYQ851983:MYR851986 NIM851983:NIN851986 NSI851983:NSJ851986 OCE851983:OCF851986 OMA851983:OMB851986 OVW851983:OVX851986 PFS851983:PFT851986 PPO851983:PPP851986 PZK851983:PZL851986 QJG851983:QJH851986 QTC851983:QTD851986 RCY851983:RCZ851986 RMU851983:RMV851986 RWQ851983:RWR851986 SGM851983:SGN851986 SQI851983:SQJ851986 TAE851983:TAF851986 TKA851983:TKB851986 TTW851983:TTX851986 UDS851983:UDT851986 UNO851983:UNP851986 UXK851983:UXL851986 VHG851983:VHH851986 VRC851983:VRD851986 WAY851983:WAZ851986 WKU851983:WKV851986 WUQ851983:WUR851986 IE917519:IF917522 SA917519:SB917522 ABW917519:ABX917522 ALS917519:ALT917522 AVO917519:AVP917522 BFK917519:BFL917522 BPG917519:BPH917522 BZC917519:BZD917522 CIY917519:CIZ917522 CSU917519:CSV917522 DCQ917519:DCR917522 DMM917519:DMN917522 DWI917519:DWJ917522 EGE917519:EGF917522 EQA917519:EQB917522 EZW917519:EZX917522 FJS917519:FJT917522 FTO917519:FTP917522 GDK917519:GDL917522 GNG917519:GNH917522 GXC917519:GXD917522 HGY917519:HGZ917522 HQU917519:HQV917522 IAQ917519:IAR917522 IKM917519:IKN917522 IUI917519:IUJ917522 JEE917519:JEF917522 JOA917519:JOB917522 JXW917519:JXX917522 KHS917519:KHT917522 KRO917519:KRP917522 LBK917519:LBL917522 LLG917519:LLH917522 LVC917519:LVD917522 MEY917519:MEZ917522 MOU917519:MOV917522 MYQ917519:MYR917522 NIM917519:NIN917522 NSI917519:NSJ917522 OCE917519:OCF917522 OMA917519:OMB917522 OVW917519:OVX917522 PFS917519:PFT917522 PPO917519:PPP917522 PZK917519:PZL917522 QJG917519:QJH917522 QTC917519:QTD917522 RCY917519:RCZ917522 RMU917519:RMV917522 RWQ917519:RWR917522 SGM917519:SGN917522 SQI917519:SQJ917522 TAE917519:TAF917522 TKA917519:TKB917522 TTW917519:TTX917522 UDS917519:UDT917522 UNO917519:UNP917522 UXK917519:UXL917522 VHG917519:VHH917522 VRC917519:VRD917522 WAY917519:WAZ917522 WKU917519:WKV917522 WUQ917519:WUR917522 IE983055:IF983058 SA983055:SB983058 ABW983055:ABX983058 ALS983055:ALT983058 AVO983055:AVP983058 BFK983055:BFL983058 BPG983055:BPH983058 BZC983055:BZD983058 CIY983055:CIZ983058 CSU983055:CSV983058 DCQ983055:DCR983058 DMM983055:DMN983058 DWI983055:DWJ983058 EGE983055:EGF983058 EQA983055:EQB983058 EZW983055:EZX983058 FJS983055:FJT983058 FTO983055:FTP983058 GDK983055:GDL983058 GNG983055:GNH983058 GXC983055:GXD983058 HGY983055:HGZ983058 HQU983055:HQV983058 IAQ983055:IAR983058 IKM983055:IKN983058 IUI983055:IUJ983058 JEE983055:JEF983058 JOA983055:JOB983058 JXW983055:JXX983058 KHS983055:KHT983058 KRO983055:KRP983058 LBK983055:LBL983058 LLG983055:LLH983058 LVC983055:LVD983058 MEY983055:MEZ983058 MOU983055:MOV983058 MYQ983055:MYR983058 NIM983055:NIN983058 NSI983055:NSJ983058 OCE983055:OCF983058 OMA983055:OMB983058 OVW983055:OVX983058 PFS983055:PFT983058 PPO983055:PPP983058 PZK983055:PZL983058 QJG983055:QJH983058 QTC983055:QTD983058 RCY983055:RCZ983058 RMU983055:RMV983058 RWQ983055:RWR983058 SGM983055:SGN983058 SQI983055:SQJ983058 TAE983055:TAF983058 TKA983055:TKB983058 TTW983055:TTX983058 UDS983055:UDT983058 UNO983055:UNP983058 UXK983055:UXL983058 VHG983055:VHH983058 VRC983055:VRD983058 WAY983055:WAZ983058 WKU983055:WKV983058 WUQ983055:WUR983058 WVB983055:WVC983058 VRN983055:VRO983058 IP65551:IQ65554 SL65551:SM65554 ACH65551:ACI65554 AMD65551:AME65554 AVZ65551:AWA65554 BFV65551:BFW65554 BPR65551:BPS65554 BZN65551:BZO65554 CJJ65551:CJK65554 CTF65551:CTG65554 DDB65551:DDC65554 DMX65551:DMY65554 DWT65551:DWU65554 EGP65551:EGQ65554 EQL65551:EQM65554 FAH65551:FAI65554 FKD65551:FKE65554 FTZ65551:FUA65554 GDV65551:GDW65554 GNR65551:GNS65554 GXN65551:GXO65554 HHJ65551:HHK65554 HRF65551:HRG65554 IBB65551:IBC65554 IKX65551:IKY65554 IUT65551:IUU65554 JEP65551:JEQ65554 JOL65551:JOM65554 JYH65551:JYI65554 KID65551:KIE65554 KRZ65551:KSA65554 LBV65551:LBW65554 LLR65551:LLS65554 LVN65551:LVO65554 MFJ65551:MFK65554 MPF65551:MPG65554 MZB65551:MZC65554 NIX65551:NIY65554 NST65551:NSU65554 OCP65551:OCQ65554 OML65551:OMM65554 OWH65551:OWI65554 PGD65551:PGE65554 PPZ65551:PQA65554 PZV65551:PZW65554 QJR65551:QJS65554 QTN65551:QTO65554 RDJ65551:RDK65554 RNF65551:RNG65554 RXB65551:RXC65554 SGX65551:SGY65554 SQT65551:SQU65554 TAP65551:TAQ65554 TKL65551:TKM65554 TUH65551:TUI65554 UED65551:UEE65554 UNZ65551:UOA65554 UXV65551:UXW65554 VHR65551:VHS65554 VRN65551:VRO65554 WBJ65551:WBK65554 WLF65551:WLG65554 WVB65551:WVC65554 IP131087:IQ131090 SL131087:SM131090 ACH131087:ACI131090 AMD131087:AME131090 AVZ131087:AWA131090 BFV131087:BFW131090 BPR131087:BPS131090 BZN131087:BZO131090 CJJ131087:CJK131090 CTF131087:CTG131090 DDB131087:DDC131090 DMX131087:DMY131090 DWT131087:DWU131090 EGP131087:EGQ131090 EQL131087:EQM131090 FAH131087:FAI131090 FKD131087:FKE131090 FTZ131087:FUA131090 GDV131087:GDW131090 GNR131087:GNS131090 GXN131087:GXO131090 HHJ131087:HHK131090 HRF131087:HRG131090 IBB131087:IBC131090 IKX131087:IKY131090 IUT131087:IUU131090 JEP131087:JEQ131090 JOL131087:JOM131090 JYH131087:JYI131090 KID131087:KIE131090 KRZ131087:KSA131090 LBV131087:LBW131090 LLR131087:LLS131090 LVN131087:LVO131090 MFJ131087:MFK131090 MPF131087:MPG131090 MZB131087:MZC131090 NIX131087:NIY131090 NST131087:NSU131090 OCP131087:OCQ131090 OML131087:OMM131090 OWH131087:OWI131090 PGD131087:PGE131090 PPZ131087:PQA131090 PZV131087:PZW131090 QJR131087:QJS131090 QTN131087:QTO131090 RDJ131087:RDK131090 RNF131087:RNG131090 RXB131087:RXC131090 SGX131087:SGY131090 SQT131087:SQU131090 TAP131087:TAQ131090 TKL131087:TKM131090 TUH131087:TUI131090 UED131087:UEE131090 UNZ131087:UOA131090 UXV131087:UXW131090 VHR131087:VHS131090 VRN131087:VRO131090 WBJ131087:WBK131090 WLF131087:WLG131090 WVB131087:WVC131090 IP196623:IQ196626 SL196623:SM196626 ACH196623:ACI196626 AMD196623:AME196626 AVZ196623:AWA196626 BFV196623:BFW196626 BPR196623:BPS196626 BZN196623:BZO196626 CJJ196623:CJK196626 CTF196623:CTG196626 DDB196623:DDC196626 DMX196623:DMY196626 DWT196623:DWU196626 EGP196623:EGQ196626 EQL196623:EQM196626 FAH196623:FAI196626 FKD196623:FKE196626 FTZ196623:FUA196626 GDV196623:GDW196626 GNR196623:GNS196626 GXN196623:GXO196626 HHJ196623:HHK196626 HRF196623:HRG196626 IBB196623:IBC196626 IKX196623:IKY196626 IUT196623:IUU196626 JEP196623:JEQ196626 JOL196623:JOM196626 JYH196623:JYI196626 KID196623:KIE196626 KRZ196623:KSA196626 LBV196623:LBW196626 LLR196623:LLS196626 LVN196623:LVO196626 MFJ196623:MFK196626 MPF196623:MPG196626 MZB196623:MZC196626 NIX196623:NIY196626 NST196623:NSU196626 OCP196623:OCQ196626 OML196623:OMM196626 OWH196623:OWI196626 PGD196623:PGE196626 PPZ196623:PQA196626 PZV196623:PZW196626 QJR196623:QJS196626 QTN196623:QTO196626 RDJ196623:RDK196626 RNF196623:RNG196626 RXB196623:RXC196626 SGX196623:SGY196626 SQT196623:SQU196626 TAP196623:TAQ196626 TKL196623:TKM196626 TUH196623:TUI196626 UED196623:UEE196626 UNZ196623:UOA196626 UXV196623:UXW196626 VHR196623:VHS196626 VRN196623:VRO196626 WBJ196623:WBK196626 WLF196623:WLG196626 WVB196623:WVC196626 IP262159:IQ262162 SL262159:SM262162 ACH262159:ACI262162 AMD262159:AME262162 AVZ262159:AWA262162 BFV262159:BFW262162 BPR262159:BPS262162 BZN262159:BZO262162 CJJ262159:CJK262162 CTF262159:CTG262162 DDB262159:DDC262162 DMX262159:DMY262162 DWT262159:DWU262162 EGP262159:EGQ262162 EQL262159:EQM262162 FAH262159:FAI262162 FKD262159:FKE262162 FTZ262159:FUA262162 GDV262159:GDW262162 GNR262159:GNS262162 GXN262159:GXO262162 HHJ262159:HHK262162 HRF262159:HRG262162 IBB262159:IBC262162 IKX262159:IKY262162 IUT262159:IUU262162 JEP262159:JEQ262162 JOL262159:JOM262162 JYH262159:JYI262162 KID262159:KIE262162 KRZ262159:KSA262162 LBV262159:LBW262162 LLR262159:LLS262162 LVN262159:LVO262162 MFJ262159:MFK262162 MPF262159:MPG262162 MZB262159:MZC262162 NIX262159:NIY262162 NST262159:NSU262162 OCP262159:OCQ262162 OML262159:OMM262162 OWH262159:OWI262162 PGD262159:PGE262162 PPZ262159:PQA262162 PZV262159:PZW262162 QJR262159:QJS262162 QTN262159:QTO262162 RDJ262159:RDK262162 RNF262159:RNG262162 RXB262159:RXC262162 SGX262159:SGY262162 SQT262159:SQU262162 TAP262159:TAQ262162 TKL262159:TKM262162 TUH262159:TUI262162 UED262159:UEE262162 UNZ262159:UOA262162 UXV262159:UXW262162 VHR262159:VHS262162 VRN262159:VRO262162 WBJ262159:WBK262162 WLF262159:WLG262162 WVB262159:WVC262162 IP327695:IQ327698 SL327695:SM327698 ACH327695:ACI327698 AMD327695:AME327698 AVZ327695:AWA327698 BFV327695:BFW327698 BPR327695:BPS327698 BZN327695:BZO327698 CJJ327695:CJK327698 CTF327695:CTG327698 DDB327695:DDC327698 DMX327695:DMY327698 DWT327695:DWU327698 EGP327695:EGQ327698 EQL327695:EQM327698 FAH327695:FAI327698 FKD327695:FKE327698 FTZ327695:FUA327698 GDV327695:GDW327698 GNR327695:GNS327698 GXN327695:GXO327698 HHJ327695:HHK327698 HRF327695:HRG327698 IBB327695:IBC327698 IKX327695:IKY327698 IUT327695:IUU327698 JEP327695:JEQ327698 JOL327695:JOM327698 JYH327695:JYI327698 KID327695:KIE327698 KRZ327695:KSA327698 LBV327695:LBW327698 LLR327695:LLS327698 LVN327695:LVO327698 MFJ327695:MFK327698 MPF327695:MPG327698 MZB327695:MZC327698 NIX327695:NIY327698 NST327695:NSU327698 OCP327695:OCQ327698 OML327695:OMM327698 OWH327695:OWI327698 PGD327695:PGE327698 PPZ327695:PQA327698 PZV327695:PZW327698 QJR327695:QJS327698 QTN327695:QTO327698 RDJ327695:RDK327698 RNF327695:RNG327698 RXB327695:RXC327698 SGX327695:SGY327698 SQT327695:SQU327698 TAP327695:TAQ327698 TKL327695:TKM327698 TUH327695:TUI327698 UED327695:UEE327698 UNZ327695:UOA327698 UXV327695:UXW327698 VHR327695:VHS327698 VRN327695:VRO327698 WBJ327695:WBK327698 WLF327695:WLG327698 WVB327695:WVC327698 IP393231:IQ393234 SL393231:SM393234 ACH393231:ACI393234 AMD393231:AME393234 AVZ393231:AWA393234 BFV393231:BFW393234 BPR393231:BPS393234 BZN393231:BZO393234 CJJ393231:CJK393234 CTF393231:CTG393234 DDB393231:DDC393234 DMX393231:DMY393234 DWT393231:DWU393234 EGP393231:EGQ393234 EQL393231:EQM393234 FAH393231:FAI393234 FKD393231:FKE393234 FTZ393231:FUA393234 GDV393231:GDW393234 GNR393231:GNS393234 GXN393231:GXO393234 HHJ393231:HHK393234 HRF393231:HRG393234 IBB393231:IBC393234 IKX393231:IKY393234 IUT393231:IUU393234 JEP393231:JEQ393234 JOL393231:JOM393234 JYH393231:JYI393234 KID393231:KIE393234 KRZ393231:KSA393234 LBV393231:LBW393234 LLR393231:LLS393234 LVN393231:LVO393234 MFJ393231:MFK393234 MPF393231:MPG393234 MZB393231:MZC393234 NIX393231:NIY393234 NST393231:NSU393234 OCP393231:OCQ393234 OML393231:OMM393234 OWH393231:OWI393234 PGD393231:PGE393234 PPZ393231:PQA393234 PZV393231:PZW393234 QJR393231:QJS393234 QTN393231:QTO393234 RDJ393231:RDK393234 RNF393231:RNG393234 RXB393231:RXC393234 SGX393231:SGY393234 SQT393231:SQU393234 TAP393231:TAQ393234 TKL393231:TKM393234 TUH393231:TUI393234 UED393231:UEE393234 UNZ393231:UOA393234 UXV393231:UXW393234 VHR393231:VHS393234 VRN393231:VRO393234 WBJ393231:WBK393234 WLF393231:WLG393234 WVB393231:WVC393234 IP458767:IQ458770 SL458767:SM458770 ACH458767:ACI458770 AMD458767:AME458770 AVZ458767:AWA458770 BFV458767:BFW458770 BPR458767:BPS458770 BZN458767:BZO458770 CJJ458767:CJK458770 CTF458767:CTG458770 DDB458767:DDC458770 DMX458767:DMY458770 DWT458767:DWU458770 EGP458767:EGQ458770 EQL458767:EQM458770 FAH458767:FAI458770 FKD458767:FKE458770 FTZ458767:FUA458770 GDV458767:GDW458770 GNR458767:GNS458770 GXN458767:GXO458770 HHJ458767:HHK458770 HRF458767:HRG458770 IBB458767:IBC458770 IKX458767:IKY458770 IUT458767:IUU458770 JEP458767:JEQ458770 JOL458767:JOM458770 JYH458767:JYI458770 KID458767:KIE458770 KRZ458767:KSA458770 LBV458767:LBW458770 LLR458767:LLS458770 LVN458767:LVO458770 MFJ458767:MFK458770 MPF458767:MPG458770 MZB458767:MZC458770 NIX458767:NIY458770 NST458767:NSU458770 OCP458767:OCQ458770 OML458767:OMM458770 OWH458767:OWI458770 PGD458767:PGE458770 PPZ458767:PQA458770 PZV458767:PZW458770 QJR458767:QJS458770 QTN458767:QTO458770 RDJ458767:RDK458770 RNF458767:RNG458770 RXB458767:RXC458770 SGX458767:SGY458770 SQT458767:SQU458770 TAP458767:TAQ458770 TKL458767:TKM458770 TUH458767:TUI458770 UED458767:UEE458770 UNZ458767:UOA458770 UXV458767:UXW458770 VHR458767:VHS458770 VRN458767:VRO458770 WBJ458767:WBK458770 WLF458767:WLG458770 WVB458767:WVC458770 IP524303:IQ524306 SL524303:SM524306 ACH524303:ACI524306 AMD524303:AME524306 AVZ524303:AWA524306 BFV524303:BFW524306 BPR524303:BPS524306 BZN524303:BZO524306 CJJ524303:CJK524306 CTF524303:CTG524306 DDB524303:DDC524306 DMX524303:DMY524306 DWT524303:DWU524306 EGP524303:EGQ524306 EQL524303:EQM524306 FAH524303:FAI524306 FKD524303:FKE524306 FTZ524303:FUA524306 GDV524303:GDW524306 GNR524303:GNS524306 GXN524303:GXO524306 HHJ524303:HHK524306 HRF524303:HRG524306 IBB524303:IBC524306 IKX524303:IKY524306 IUT524303:IUU524306 JEP524303:JEQ524306 JOL524303:JOM524306 JYH524303:JYI524306 KID524303:KIE524306 KRZ524303:KSA524306 LBV524303:LBW524306 LLR524303:LLS524306 LVN524303:LVO524306 MFJ524303:MFK524306 MPF524303:MPG524306 MZB524303:MZC524306 NIX524303:NIY524306 NST524303:NSU524306 OCP524303:OCQ524306 OML524303:OMM524306 OWH524303:OWI524306 PGD524303:PGE524306 PPZ524303:PQA524306 PZV524303:PZW524306 QJR524303:QJS524306 QTN524303:QTO524306 RDJ524303:RDK524306 RNF524303:RNG524306 RXB524303:RXC524306 SGX524303:SGY524306 SQT524303:SQU524306 TAP524303:TAQ524306 TKL524303:TKM524306 TUH524303:TUI524306 UED524303:UEE524306 UNZ524303:UOA524306 UXV524303:UXW524306 VHR524303:VHS524306 VRN524303:VRO524306 WBJ524303:WBK524306 WLF524303:WLG524306 WVB524303:WVC524306 IP589839:IQ589842 SL589839:SM589842 ACH589839:ACI589842 AMD589839:AME589842 AVZ589839:AWA589842 BFV589839:BFW589842 BPR589839:BPS589842 BZN589839:BZO589842 CJJ589839:CJK589842 CTF589839:CTG589842 DDB589839:DDC589842 DMX589839:DMY589842 DWT589839:DWU589842 EGP589839:EGQ589842 EQL589839:EQM589842 FAH589839:FAI589842 FKD589839:FKE589842 FTZ589839:FUA589842 GDV589839:GDW589842 GNR589839:GNS589842 GXN589839:GXO589842 HHJ589839:HHK589842 HRF589839:HRG589842 IBB589839:IBC589842 IKX589839:IKY589842 IUT589839:IUU589842 JEP589839:JEQ589842 JOL589839:JOM589842 JYH589839:JYI589842 KID589839:KIE589842 KRZ589839:KSA589842 LBV589839:LBW589842 LLR589839:LLS589842 LVN589839:LVO589842 MFJ589839:MFK589842 MPF589839:MPG589842 MZB589839:MZC589842 NIX589839:NIY589842 NST589839:NSU589842 OCP589839:OCQ589842 OML589839:OMM589842 OWH589839:OWI589842 PGD589839:PGE589842 PPZ589839:PQA589842 PZV589839:PZW589842 QJR589839:QJS589842 QTN589839:QTO589842 RDJ589839:RDK589842 RNF589839:RNG589842 RXB589839:RXC589842 SGX589839:SGY589842 SQT589839:SQU589842 TAP589839:TAQ589842 TKL589839:TKM589842 TUH589839:TUI589842 UED589839:UEE589842 UNZ589839:UOA589842 UXV589839:UXW589842 VHR589839:VHS589842 VRN589839:VRO589842 WBJ589839:WBK589842 WLF589839:WLG589842 WVB589839:WVC589842 IP655375:IQ655378 SL655375:SM655378 ACH655375:ACI655378 AMD655375:AME655378 AVZ655375:AWA655378 BFV655375:BFW655378 BPR655375:BPS655378 BZN655375:BZO655378 CJJ655375:CJK655378 CTF655375:CTG655378 DDB655375:DDC655378 DMX655375:DMY655378 DWT655375:DWU655378 EGP655375:EGQ655378 EQL655375:EQM655378 FAH655375:FAI655378 FKD655375:FKE655378 FTZ655375:FUA655378 GDV655375:GDW655378 GNR655375:GNS655378 GXN655375:GXO655378 HHJ655375:HHK655378 HRF655375:HRG655378 IBB655375:IBC655378 IKX655375:IKY655378 IUT655375:IUU655378 JEP655375:JEQ655378 JOL655375:JOM655378 JYH655375:JYI655378 KID655375:KIE655378 KRZ655375:KSA655378 LBV655375:LBW655378 LLR655375:LLS655378 LVN655375:LVO655378 MFJ655375:MFK655378 MPF655375:MPG655378 MZB655375:MZC655378 NIX655375:NIY655378 NST655375:NSU655378 OCP655375:OCQ655378 OML655375:OMM655378 OWH655375:OWI655378 PGD655375:PGE655378 PPZ655375:PQA655378 PZV655375:PZW655378 QJR655375:QJS655378 QTN655375:QTO655378 RDJ655375:RDK655378 RNF655375:RNG655378 RXB655375:RXC655378 SGX655375:SGY655378 SQT655375:SQU655378 TAP655375:TAQ655378 TKL655375:TKM655378 TUH655375:TUI655378 UED655375:UEE655378 UNZ655375:UOA655378 UXV655375:UXW655378 VHR655375:VHS655378 VRN655375:VRO655378 WBJ655375:WBK655378 WLF655375:WLG655378 WVB655375:WVC655378 IP720911:IQ720914 SL720911:SM720914 ACH720911:ACI720914 AMD720911:AME720914 AVZ720911:AWA720914 BFV720911:BFW720914 BPR720911:BPS720914 BZN720911:BZO720914 CJJ720911:CJK720914 CTF720911:CTG720914 DDB720911:DDC720914 DMX720911:DMY720914 DWT720911:DWU720914 EGP720911:EGQ720914 EQL720911:EQM720914 FAH720911:FAI720914 FKD720911:FKE720914 FTZ720911:FUA720914 GDV720911:GDW720914 GNR720911:GNS720914 GXN720911:GXO720914 HHJ720911:HHK720914 HRF720911:HRG720914 IBB720911:IBC720914 IKX720911:IKY720914 IUT720911:IUU720914 JEP720911:JEQ720914 JOL720911:JOM720914 JYH720911:JYI720914 KID720911:KIE720914 KRZ720911:KSA720914 LBV720911:LBW720914 LLR720911:LLS720914 LVN720911:LVO720914 MFJ720911:MFK720914 MPF720911:MPG720914 MZB720911:MZC720914 NIX720911:NIY720914 NST720911:NSU720914 OCP720911:OCQ720914 OML720911:OMM720914 OWH720911:OWI720914 PGD720911:PGE720914 PPZ720911:PQA720914 PZV720911:PZW720914 QJR720911:QJS720914 QTN720911:QTO720914 RDJ720911:RDK720914 RNF720911:RNG720914 RXB720911:RXC720914 SGX720911:SGY720914 SQT720911:SQU720914 TAP720911:TAQ720914 TKL720911:TKM720914 TUH720911:TUI720914 UED720911:UEE720914 UNZ720911:UOA720914 UXV720911:UXW720914 VHR720911:VHS720914 VRN720911:VRO720914 WBJ720911:WBK720914 WLF720911:WLG720914 WVB720911:WVC720914 IP786447:IQ786450 SL786447:SM786450 ACH786447:ACI786450 AMD786447:AME786450 AVZ786447:AWA786450 BFV786447:BFW786450 BPR786447:BPS786450 BZN786447:BZO786450 CJJ786447:CJK786450 CTF786447:CTG786450 DDB786447:DDC786450 DMX786447:DMY786450 DWT786447:DWU786450 EGP786447:EGQ786450 EQL786447:EQM786450 FAH786447:FAI786450 FKD786447:FKE786450 FTZ786447:FUA786450 GDV786447:GDW786450 GNR786447:GNS786450 GXN786447:GXO786450 HHJ786447:HHK786450 HRF786447:HRG786450 IBB786447:IBC786450 IKX786447:IKY786450 IUT786447:IUU786450 JEP786447:JEQ786450 JOL786447:JOM786450 JYH786447:JYI786450 KID786447:KIE786450 KRZ786447:KSA786450 LBV786447:LBW786450 LLR786447:LLS786450 LVN786447:LVO786450 MFJ786447:MFK786450 MPF786447:MPG786450 MZB786447:MZC786450 NIX786447:NIY786450 NST786447:NSU786450 OCP786447:OCQ786450 OML786447:OMM786450 OWH786447:OWI786450 PGD786447:PGE786450 PPZ786447:PQA786450 PZV786447:PZW786450 QJR786447:QJS786450 QTN786447:QTO786450 RDJ786447:RDK786450 RNF786447:RNG786450 RXB786447:RXC786450 SGX786447:SGY786450 SQT786447:SQU786450 TAP786447:TAQ786450 TKL786447:TKM786450 TUH786447:TUI786450 UED786447:UEE786450 UNZ786447:UOA786450 UXV786447:UXW786450 VHR786447:VHS786450 VRN786447:VRO786450 WBJ786447:WBK786450 WLF786447:WLG786450 WVB786447:WVC786450 IP851983:IQ851986 SL851983:SM851986 ACH851983:ACI851986 AMD851983:AME851986 AVZ851983:AWA851986 BFV851983:BFW851986 BPR851983:BPS851986 BZN851983:BZO851986 CJJ851983:CJK851986 CTF851983:CTG851986 DDB851983:DDC851986 DMX851983:DMY851986 DWT851983:DWU851986 EGP851983:EGQ851986 EQL851983:EQM851986 FAH851983:FAI851986 FKD851983:FKE851986 FTZ851983:FUA851986 GDV851983:GDW851986 GNR851983:GNS851986 GXN851983:GXO851986 HHJ851983:HHK851986 HRF851983:HRG851986 IBB851983:IBC851986 IKX851983:IKY851986 IUT851983:IUU851986 JEP851983:JEQ851986 JOL851983:JOM851986 JYH851983:JYI851986 KID851983:KIE851986 KRZ851983:KSA851986 LBV851983:LBW851986 LLR851983:LLS851986 LVN851983:LVO851986 MFJ851983:MFK851986 MPF851983:MPG851986 MZB851983:MZC851986 NIX851983:NIY851986 NST851983:NSU851986 OCP851983:OCQ851986 OML851983:OMM851986 OWH851983:OWI851986 PGD851983:PGE851986 PPZ851983:PQA851986 PZV851983:PZW851986 QJR851983:QJS851986 QTN851983:QTO851986 RDJ851983:RDK851986 RNF851983:RNG851986 RXB851983:RXC851986 SGX851983:SGY851986 SQT851983:SQU851986 TAP851983:TAQ851986 TKL851983:TKM851986 TUH851983:TUI851986 UED851983:UEE851986 UNZ851983:UOA851986 UXV851983:UXW851986 VHR851983:VHS851986 VRN851983:VRO851986 WBJ851983:WBK851986 WLF851983:WLG851986 WVB851983:WVC851986 IP917519:IQ917522 SL917519:SM917522 ACH917519:ACI917522 AMD917519:AME917522 AVZ917519:AWA917522 BFV917519:BFW917522 BPR917519:BPS917522 BZN917519:BZO917522 CJJ917519:CJK917522 CTF917519:CTG917522 DDB917519:DDC917522 DMX917519:DMY917522 DWT917519:DWU917522 EGP917519:EGQ917522 EQL917519:EQM917522 FAH917519:FAI917522 FKD917519:FKE917522 FTZ917519:FUA917522 GDV917519:GDW917522 GNR917519:GNS917522 GXN917519:GXO917522 HHJ917519:HHK917522 HRF917519:HRG917522 IBB917519:IBC917522 IKX917519:IKY917522 IUT917519:IUU917522 JEP917519:JEQ917522 JOL917519:JOM917522 JYH917519:JYI917522 KID917519:KIE917522 KRZ917519:KSA917522 LBV917519:LBW917522 LLR917519:LLS917522 LVN917519:LVO917522 MFJ917519:MFK917522 MPF917519:MPG917522 MZB917519:MZC917522 NIX917519:NIY917522 NST917519:NSU917522 OCP917519:OCQ917522 OML917519:OMM917522 OWH917519:OWI917522 PGD917519:PGE917522 PPZ917519:PQA917522 PZV917519:PZW917522 QJR917519:QJS917522 QTN917519:QTO917522 RDJ917519:RDK917522 RNF917519:RNG917522 RXB917519:RXC917522 SGX917519:SGY917522 SQT917519:SQU917522 TAP917519:TAQ917522 TKL917519:TKM917522 TUH917519:TUI917522 UED917519:UEE917522 UNZ917519:UOA917522 UXV917519:UXW917522 VHR917519:VHS917522 VRN917519:VRO917522 WBJ917519:WBK917522 WLF917519:WLG917522 WVB917519:WVC917522 IP983055:IQ983058 SL983055:SM983058 ACH983055:ACI983058 AMD983055:AME983058 AVZ983055:AWA983058 BFV983055:BFW983058 BPR983055:BPS983058 BZN983055:BZO983058 CJJ983055:CJK983058 CTF983055:CTG983058 DDB983055:DDC983058 DMX983055:DMY983058 DWT983055:DWU983058 EGP983055:EGQ983058 EQL983055:EQM983058 FAH983055:FAI983058 FKD983055:FKE983058 FTZ983055:FUA983058 GDV983055:GDW983058 GNR983055:GNS983058 GXN983055:GXO983058 HHJ983055:HHK983058 HRF983055:HRG983058 IBB983055:IBC983058 IKX983055:IKY983058 IUT983055:IUU983058 JEP983055:JEQ983058 JOL983055:JOM983058 JYH983055:JYI983058 KID983055:KIE983058 KRZ983055:KSA983058 LBV983055:LBW983058 LLR983055:LLS983058 LVN983055:LVO983058 MFJ983055:MFK983058 MPF983055:MPG983058 MZB983055:MZC983058 NIX983055:NIY983058 NST983055:NSU983058 OCP983055:OCQ983058 OML983055:OMM983058 OWH983055:OWI983058 PGD983055:PGE983058 PPZ983055:PQA983058 PZV983055:PZW983058 QJR983055:QJS983058 QTN983055:QTO983058 RDJ983055:RDK983058 RNF983055:RNG983058 RXB983055:RXC983058 SGX983055:SGY983058 SQT983055:SQU983058 TAP983055:TAQ983058 TKL983055:TKM983058 TUH983055:TUI983058 UED983055:UEE983058 UNZ983055:UOA983058 UXV983055:UXW983058 VHR983055:VHS983058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blackAndWhite="1" verticalDpi="300" r:id="rId1"/>
  <headerFooter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T13"/>
  <sheetViews>
    <sheetView view="pageBreakPreview" zoomScaleNormal="115" zoomScaleSheetLayoutView="100" workbookViewId="0">
      <selection activeCell="A8" sqref="A8"/>
    </sheetView>
  </sheetViews>
  <sheetFormatPr defaultRowHeight="11.25" x14ac:dyDescent="0.2"/>
  <cols>
    <col min="1" max="1" width="7" style="8" customWidth="1"/>
    <col min="2" max="2" width="40.7109375" style="8" customWidth="1"/>
    <col min="3" max="3" width="5.28515625" style="8" bestFit="1" customWidth="1"/>
    <col min="4" max="4" width="5.28515625" style="8" customWidth="1"/>
    <col min="5" max="5" width="14.85546875" style="8" bestFit="1" customWidth="1"/>
    <col min="6" max="6" width="9.85546875" style="8" bestFit="1" customWidth="1"/>
    <col min="7" max="7" width="18.7109375" style="8" bestFit="1" customWidth="1"/>
    <col min="8" max="8" width="18.85546875" style="8" bestFit="1" customWidth="1"/>
    <col min="9" max="9" width="7.140625" style="8" bestFit="1" customWidth="1"/>
    <col min="10" max="10" width="10.140625" style="8" bestFit="1" customWidth="1"/>
    <col min="11" max="11" width="10.85546875" style="8" bestFit="1" customWidth="1"/>
    <col min="12" max="12" width="10.140625" style="8" bestFit="1" customWidth="1"/>
    <col min="13" max="13" width="8.5703125" style="8" bestFit="1" customWidth="1"/>
    <col min="14" max="14" width="8.85546875" style="8" bestFit="1" customWidth="1"/>
    <col min="15" max="15" width="10.140625" style="8" bestFit="1" customWidth="1"/>
    <col min="16" max="16" width="10.85546875" style="8" bestFit="1" customWidth="1"/>
    <col min="17" max="17" width="10.140625" style="8" bestFit="1" customWidth="1"/>
    <col min="18" max="18" width="8.5703125" style="8" bestFit="1" customWidth="1"/>
    <col min="19" max="19" width="7.140625" style="8" bestFit="1" customWidth="1"/>
    <col min="20" max="20" width="10.140625" style="8" bestFit="1" customWidth="1"/>
    <col min="21" max="21" width="10.85546875" style="8" bestFit="1" customWidth="1"/>
    <col min="22" max="22" width="10.140625" style="8" bestFit="1" customWidth="1"/>
    <col min="23" max="23" width="8.5703125" style="8" bestFit="1" customWidth="1"/>
    <col min="24" max="42" width="9.140625" style="8"/>
    <col min="43" max="43" width="14.85546875" style="8" bestFit="1" customWidth="1"/>
    <col min="44" max="44" width="9.85546875" style="8" bestFit="1" customWidth="1"/>
    <col min="45" max="224" width="9.140625" style="8"/>
    <col min="225" max="263" width="2.42578125" style="8" customWidth="1"/>
    <col min="264" max="264" width="3.42578125" style="8" bestFit="1" customWidth="1"/>
    <col min="265" max="480" width="9.140625" style="8"/>
    <col min="481" max="519" width="2.42578125" style="8" customWidth="1"/>
    <col min="520" max="520" width="3.42578125" style="8" bestFit="1" customWidth="1"/>
    <col min="521" max="736" width="9.140625" style="8"/>
    <col min="737" max="775" width="2.42578125" style="8" customWidth="1"/>
    <col min="776" max="776" width="3.42578125" style="8" bestFit="1" customWidth="1"/>
    <col min="777" max="992" width="9.140625" style="8"/>
    <col min="993" max="1031" width="2.42578125" style="8" customWidth="1"/>
    <col min="1032" max="1032" width="3.42578125" style="8" bestFit="1" customWidth="1"/>
    <col min="1033" max="1248" width="9.140625" style="8"/>
    <col min="1249" max="1287" width="2.42578125" style="8" customWidth="1"/>
    <col min="1288" max="1288" width="3.42578125" style="8" bestFit="1" customWidth="1"/>
    <col min="1289" max="1504" width="9.140625" style="8"/>
    <col min="1505" max="1543" width="2.42578125" style="8" customWidth="1"/>
    <col min="1544" max="1544" width="3.42578125" style="8" bestFit="1" customWidth="1"/>
    <col min="1545" max="1760" width="9.140625" style="8"/>
    <col min="1761" max="1799" width="2.42578125" style="8" customWidth="1"/>
    <col min="1800" max="1800" width="3.42578125" style="8" bestFit="1" customWidth="1"/>
    <col min="1801" max="2016" width="9.140625" style="8"/>
    <col min="2017" max="2055" width="2.42578125" style="8" customWidth="1"/>
    <col min="2056" max="2056" width="3.42578125" style="8" bestFit="1" customWidth="1"/>
    <col min="2057" max="2272" width="9.140625" style="8"/>
    <col min="2273" max="2311" width="2.42578125" style="8" customWidth="1"/>
    <col min="2312" max="2312" width="3.42578125" style="8" bestFit="1" customWidth="1"/>
    <col min="2313" max="2528" width="9.140625" style="8"/>
    <col min="2529" max="2567" width="2.42578125" style="8" customWidth="1"/>
    <col min="2568" max="2568" width="3.42578125" style="8" bestFit="1" customWidth="1"/>
    <col min="2569" max="2784" width="9.140625" style="8"/>
    <col min="2785" max="2823" width="2.42578125" style="8" customWidth="1"/>
    <col min="2824" max="2824" width="3.42578125" style="8" bestFit="1" customWidth="1"/>
    <col min="2825" max="3040" width="9.140625" style="8"/>
    <col min="3041" max="3079" width="2.42578125" style="8" customWidth="1"/>
    <col min="3080" max="3080" width="3.42578125" style="8" bestFit="1" customWidth="1"/>
    <col min="3081" max="3296" width="9.140625" style="8"/>
    <col min="3297" max="3335" width="2.42578125" style="8" customWidth="1"/>
    <col min="3336" max="3336" width="3.42578125" style="8" bestFit="1" customWidth="1"/>
    <col min="3337" max="3552" width="9.140625" style="8"/>
    <col min="3553" max="3591" width="2.42578125" style="8" customWidth="1"/>
    <col min="3592" max="3592" width="3.42578125" style="8" bestFit="1" customWidth="1"/>
    <col min="3593" max="3808" width="9.140625" style="8"/>
    <col min="3809" max="3847" width="2.42578125" style="8" customWidth="1"/>
    <col min="3848" max="3848" width="3.42578125" style="8" bestFit="1" customWidth="1"/>
    <col min="3849" max="4064" width="9.140625" style="8"/>
    <col min="4065" max="4103" width="2.42578125" style="8" customWidth="1"/>
    <col min="4104" max="4104" width="3.42578125" style="8" bestFit="1" customWidth="1"/>
    <col min="4105" max="4320" width="9.140625" style="8"/>
    <col min="4321" max="4359" width="2.42578125" style="8" customWidth="1"/>
    <col min="4360" max="4360" width="3.42578125" style="8" bestFit="1" customWidth="1"/>
    <col min="4361" max="4576" width="9.140625" style="8"/>
    <col min="4577" max="4615" width="2.42578125" style="8" customWidth="1"/>
    <col min="4616" max="4616" width="3.42578125" style="8" bestFit="1" customWidth="1"/>
    <col min="4617" max="4832" width="9.140625" style="8"/>
    <col min="4833" max="4871" width="2.42578125" style="8" customWidth="1"/>
    <col min="4872" max="4872" width="3.42578125" style="8" bestFit="1" customWidth="1"/>
    <col min="4873" max="5088" width="9.140625" style="8"/>
    <col min="5089" max="5127" width="2.42578125" style="8" customWidth="1"/>
    <col min="5128" max="5128" width="3.42578125" style="8" bestFit="1" customWidth="1"/>
    <col min="5129" max="5344" width="9.140625" style="8"/>
    <col min="5345" max="5383" width="2.42578125" style="8" customWidth="1"/>
    <col min="5384" max="5384" width="3.42578125" style="8" bestFit="1" customWidth="1"/>
    <col min="5385" max="5600" width="9.140625" style="8"/>
    <col min="5601" max="5639" width="2.42578125" style="8" customWidth="1"/>
    <col min="5640" max="5640" width="3.42578125" style="8" bestFit="1" customWidth="1"/>
    <col min="5641" max="5856" width="9.140625" style="8"/>
    <col min="5857" max="5895" width="2.42578125" style="8" customWidth="1"/>
    <col min="5896" max="5896" width="3.42578125" style="8" bestFit="1" customWidth="1"/>
    <col min="5897" max="6112" width="9.140625" style="8"/>
    <col min="6113" max="6151" width="2.42578125" style="8" customWidth="1"/>
    <col min="6152" max="6152" width="3.42578125" style="8" bestFit="1" customWidth="1"/>
    <col min="6153" max="6368" width="9.140625" style="8"/>
    <col min="6369" max="6407" width="2.42578125" style="8" customWidth="1"/>
    <col min="6408" max="6408" width="3.42578125" style="8" bestFit="1" customWidth="1"/>
    <col min="6409" max="6624" width="9.140625" style="8"/>
    <col min="6625" max="6663" width="2.42578125" style="8" customWidth="1"/>
    <col min="6664" max="6664" width="3.42578125" style="8" bestFit="1" customWidth="1"/>
    <col min="6665" max="6880" width="9.140625" style="8"/>
    <col min="6881" max="6919" width="2.42578125" style="8" customWidth="1"/>
    <col min="6920" max="6920" width="3.42578125" style="8" bestFit="1" customWidth="1"/>
    <col min="6921" max="7136" width="9.140625" style="8"/>
    <col min="7137" max="7175" width="2.42578125" style="8" customWidth="1"/>
    <col min="7176" max="7176" width="3.42578125" style="8" bestFit="1" customWidth="1"/>
    <col min="7177" max="7392" width="9.140625" style="8"/>
    <col min="7393" max="7431" width="2.42578125" style="8" customWidth="1"/>
    <col min="7432" max="7432" width="3.42578125" style="8" bestFit="1" customWidth="1"/>
    <col min="7433" max="7648" width="9.140625" style="8"/>
    <col min="7649" max="7687" width="2.42578125" style="8" customWidth="1"/>
    <col min="7688" max="7688" width="3.42578125" style="8" bestFit="1" customWidth="1"/>
    <col min="7689" max="7904" width="9.140625" style="8"/>
    <col min="7905" max="7943" width="2.42578125" style="8" customWidth="1"/>
    <col min="7944" max="7944" width="3.42578125" style="8" bestFit="1" customWidth="1"/>
    <col min="7945" max="8160" width="9.140625" style="8"/>
    <col min="8161" max="8199" width="2.42578125" style="8" customWidth="1"/>
    <col min="8200" max="8200" width="3.42578125" style="8" bestFit="1" customWidth="1"/>
    <col min="8201" max="8416" width="9.140625" style="8"/>
    <col min="8417" max="8455" width="2.42578125" style="8" customWidth="1"/>
    <col min="8456" max="8456" width="3.42578125" style="8" bestFit="1" customWidth="1"/>
    <col min="8457" max="8672" width="9.140625" style="8"/>
    <col min="8673" max="8711" width="2.42578125" style="8" customWidth="1"/>
    <col min="8712" max="8712" width="3.42578125" style="8" bestFit="1" customWidth="1"/>
    <col min="8713" max="8928" width="9.140625" style="8"/>
    <col min="8929" max="8967" width="2.42578125" style="8" customWidth="1"/>
    <col min="8968" max="8968" width="3.42578125" style="8" bestFit="1" customWidth="1"/>
    <col min="8969" max="9184" width="9.140625" style="8"/>
    <col min="9185" max="9223" width="2.42578125" style="8" customWidth="1"/>
    <col min="9224" max="9224" width="3.42578125" style="8" bestFit="1" customWidth="1"/>
    <col min="9225" max="9440" width="9.140625" style="8"/>
    <col min="9441" max="9479" width="2.42578125" style="8" customWidth="1"/>
    <col min="9480" max="9480" width="3.42578125" style="8" bestFit="1" customWidth="1"/>
    <col min="9481" max="9696" width="9.140625" style="8"/>
    <col min="9697" max="9735" width="2.42578125" style="8" customWidth="1"/>
    <col min="9736" max="9736" width="3.42578125" style="8" bestFit="1" customWidth="1"/>
    <col min="9737" max="9952" width="9.140625" style="8"/>
    <col min="9953" max="9991" width="2.42578125" style="8" customWidth="1"/>
    <col min="9992" max="9992" width="3.42578125" style="8" bestFit="1" customWidth="1"/>
    <col min="9993" max="10208" width="9.140625" style="8"/>
    <col min="10209" max="10247" width="2.42578125" style="8" customWidth="1"/>
    <col min="10248" max="10248" width="3.42578125" style="8" bestFit="1" customWidth="1"/>
    <col min="10249" max="10464" width="9.140625" style="8"/>
    <col min="10465" max="10503" width="2.42578125" style="8" customWidth="1"/>
    <col min="10504" max="10504" width="3.42578125" style="8" bestFit="1" customWidth="1"/>
    <col min="10505" max="10720" width="9.140625" style="8"/>
    <col min="10721" max="10759" width="2.42578125" style="8" customWidth="1"/>
    <col min="10760" max="10760" width="3.42578125" style="8" bestFit="1" customWidth="1"/>
    <col min="10761" max="10976" width="9.140625" style="8"/>
    <col min="10977" max="11015" width="2.42578125" style="8" customWidth="1"/>
    <col min="11016" max="11016" width="3.42578125" style="8" bestFit="1" customWidth="1"/>
    <col min="11017" max="11232" width="9.140625" style="8"/>
    <col min="11233" max="11271" width="2.42578125" style="8" customWidth="1"/>
    <col min="11272" max="11272" width="3.42578125" style="8" bestFit="1" customWidth="1"/>
    <col min="11273" max="11488" width="9.140625" style="8"/>
    <col min="11489" max="11527" width="2.42578125" style="8" customWidth="1"/>
    <col min="11528" max="11528" width="3.42578125" style="8" bestFit="1" customWidth="1"/>
    <col min="11529" max="11744" width="9.140625" style="8"/>
    <col min="11745" max="11783" width="2.42578125" style="8" customWidth="1"/>
    <col min="11784" max="11784" width="3.42578125" style="8" bestFit="1" customWidth="1"/>
    <col min="11785" max="12000" width="9.140625" style="8"/>
    <col min="12001" max="12039" width="2.42578125" style="8" customWidth="1"/>
    <col min="12040" max="12040" width="3.42578125" style="8" bestFit="1" customWidth="1"/>
    <col min="12041" max="12256" width="9.140625" style="8"/>
    <col min="12257" max="12295" width="2.42578125" style="8" customWidth="1"/>
    <col min="12296" max="12296" width="3.42578125" style="8" bestFit="1" customWidth="1"/>
    <col min="12297" max="12512" width="9.140625" style="8"/>
    <col min="12513" max="12551" width="2.42578125" style="8" customWidth="1"/>
    <col min="12552" max="12552" width="3.42578125" style="8" bestFit="1" customWidth="1"/>
    <col min="12553" max="12768" width="9.140625" style="8"/>
    <col min="12769" max="12807" width="2.42578125" style="8" customWidth="1"/>
    <col min="12808" max="12808" width="3.42578125" style="8" bestFit="1" customWidth="1"/>
    <col min="12809" max="13024" width="9.140625" style="8"/>
    <col min="13025" max="13063" width="2.42578125" style="8" customWidth="1"/>
    <col min="13064" max="13064" width="3.42578125" style="8" bestFit="1" customWidth="1"/>
    <col min="13065" max="13280" width="9.140625" style="8"/>
    <col min="13281" max="13319" width="2.42578125" style="8" customWidth="1"/>
    <col min="13320" max="13320" width="3.42578125" style="8" bestFit="1" customWidth="1"/>
    <col min="13321" max="13536" width="9.140625" style="8"/>
    <col min="13537" max="13575" width="2.42578125" style="8" customWidth="1"/>
    <col min="13576" max="13576" width="3.42578125" style="8" bestFit="1" customWidth="1"/>
    <col min="13577" max="13792" width="9.140625" style="8"/>
    <col min="13793" max="13831" width="2.42578125" style="8" customWidth="1"/>
    <col min="13832" max="13832" width="3.42578125" style="8" bestFit="1" customWidth="1"/>
    <col min="13833" max="14048" width="9.140625" style="8"/>
    <col min="14049" max="14087" width="2.42578125" style="8" customWidth="1"/>
    <col min="14088" max="14088" width="3.42578125" style="8" bestFit="1" customWidth="1"/>
    <col min="14089" max="14304" width="9.140625" style="8"/>
    <col min="14305" max="14343" width="2.42578125" style="8" customWidth="1"/>
    <col min="14344" max="14344" width="3.42578125" style="8" bestFit="1" customWidth="1"/>
    <col min="14345" max="14560" width="9.140625" style="8"/>
    <col min="14561" max="14599" width="2.42578125" style="8" customWidth="1"/>
    <col min="14600" max="14600" width="3.42578125" style="8" bestFit="1" customWidth="1"/>
    <col min="14601" max="14816" width="9.140625" style="8"/>
    <col min="14817" max="14855" width="2.42578125" style="8" customWidth="1"/>
    <col min="14856" max="14856" width="3.42578125" style="8" bestFit="1" customWidth="1"/>
    <col min="14857" max="15072" width="9.140625" style="8"/>
    <col min="15073" max="15111" width="2.42578125" style="8" customWidth="1"/>
    <col min="15112" max="15112" width="3.42578125" style="8" bestFit="1" customWidth="1"/>
    <col min="15113" max="15328" width="9.140625" style="8"/>
    <col min="15329" max="15367" width="2.42578125" style="8" customWidth="1"/>
    <col min="15368" max="15368" width="3.42578125" style="8" bestFit="1" customWidth="1"/>
    <col min="15369" max="15584" width="9.140625" style="8"/>
    <col min="15585" max="15623" width="2.42578125" style="8" customWidth="1"/>
    <col min="15624" max="15624" width="3.42578125" style="8" bestFit="1" customWidth="1"/>
    <col min="15625" max="15840" width="9.140625" style="8"/>
    <col min="15841" max="15879" width="2.42578125" style="8" customWidth="1"/>
    <col min="15880" max="15880" width="3.42578125" style="8" bestFit="1" customWidth="1"/>
    <col min="15881" max="16096" width="9.140625" style="8"/>
    <col min="16097" max="16135" width="2.42578125" style="8" customWidth="1"/>
    <col min="16136" max="16136" width="3.42578125" style="8" bestFit="1" customWidth="1"/>
    <col min="16137" max="16384" width="9.140625" style="8"/>
  </cols>
  <sheetData>
    <row r="1" spans="1:46" s="318" customFormat="1" ht="15.75" thickBot="1" x14ac:dyDescent="0.3">
      <c r="A1" s="312" t="s">
        <v>467</v>
      </c>
      <c r="B1" s="313"/>
      <c r="C1" s="314"/>
      <c r="D1" s="314"/>
      <c r="E1" s="314"/>
      <c r="F1" s="316"/>
      <c r="G1" s="314"/>
      <c r="H1" s="317"/>
      <c r="J1" s="319"/>
      <c r="K1" s="320"/>
      <c r="L1" s="320"/>
      <c r="AO1" s="321"/>
      <c r="AP1" s="322"/>
      <c r="AQ1" s="314"/>
      <c r="AR1" s="316"/>
    </row>
    <row r="2" spans="1:46" s="318" customFormat="1" ht="15.75" thickBot="1" x14ac:dyDescent="0.3">
      <c r="A2" s="312" t="s">
        <v>468</v>
      </c>
      <c r="B2" s="313"/>
      <c r="C2" s="314"/>
      <c r="D2" s="314"/>
      <c r="E2" s="314"/>
      <c r="F2" s="316"/>
      <c r="G2" s="314"/>
      <c r="H2" s="317"/>
      <c r="J2" s="319"/>
      <c r="K2" s="320"/>
      <c r="L2" s="320"/>
      <c r="AO2" s="321"/>
      <c r="AP2" s="322"/>
      <c r="AQ2" s="314"/>
      <c r="AR2" s="316"/>
    </row>
    <row r="3" spans="1:46" s="318" customFormat="1" ht="15.75" thickBot="1" x14ac:dyDescent="0.3">
      <c r="A3" s="312" t="s">
        <v>469</v>
      </c>
      <c r="B3" s="313"/>
      <c r="C3" s="314"/>
      <c r="D3" s="314"/>
      <c r="E3" s="314"/>
      <c r="F3" s="316"/>
      <c r="G3" s="314"/>
      <c r="H3" s="317"/>
      <c r="J3" s="319"/>
      <c r="K3" s="320"/>
      <c r="L3" s="320"/>
      <c r="AO3" s="321"/>
      <c r="AP3" s="322"/>
      <c r="AQ3" s="314"/>
      <c r="AR3" s="316"/>
    </row>
    <row r="4" spans="1:46" s="318" customFormat="1" ht="15.75" thickBot="1" x14ac:dyDescent="0.3">
      <c r="A4" s="312" t="s">
        <v>470</v>
      </c>
      <c r="B4" s="313"/>
      <c r="C4" s="314"/>
      <c r="D4" s="314"/>
      <c r="E4" s="314"/>
      <c r="F4" s="316"/>
      <c r="G4" s="314"/>
      <c r="H4" s="317"/>
      <c r="J4" s="319"/>
      <c r="K4" s="320"/>
      <c r="L4" s="320"/>
      <c r="AO4" s="321"/>
      <c r="AP4" s="322"/>
      <c r="AQ4" s="314"/>
      <c r="AR4" s="316"/>
    </row>
    <row r="5" spans="1:46" s="318" customFormat="1" ht="15.75" thickBot="1" x14ac:dyDescent="0.3">
      <c r="A5" s="312" t="s">
        <v>471</v>
      </c>
      <c r="B5" s="313"/>
      <c r="C5" s="314"/>
      <c r="D5" s="314"/>
      <c r="E5" s="314"/>
      <c r="F5" s="316"/>
      <c r="G5" s="314"/>
      <c r="H5" s="317"/>
      <c r="J5" s="319"/>
      <c r="K5" s="320"/>
      <c r="L5" s="320"/>
      <c r="AO5" s="321"/>
      <c r="AP5" s="322"/>
      <c r="AQ5" s="314"/>
      <c r="AR5" s="316"/>
    </row>
    <row r="6" spans="1:46" ht="30.75" thickBot="1" x14ac:dyDescent="0.3">
      <c r="A6" s="330" t="s">
        <v>330</v>
      </c>
      <c r="B6" s="352"/>
      <c r="C6" s="352"/>
      <c r="D6" s="352"/>
      <c r="E6" s="352"/>
      <c r="F6" s="352"/>
      <c r="G6" s="352"/>
      <c r="H6" s="352"/>
      <c r="I6" s="353" t="s">
        <v>405</v>
      </c>
      <c r="J6" s="353"/>
      <c r="K6" s="353"/>
      <c r="L6" s="353"/>
      <c r="M6" s="353"/>
      <c r="N6" s="353" t="s">
        <v>406</v>
      </c>
      <c r="O6" s="353"/>
      <c r="P6" s="353"/>
      <c r="Q6" s="353"/>
      <c r="R6" s="353"/>
      <c r="S6" s="353" t="s">
        <v>407</v>
      </c>
      <c r="T6" s="353"/>
      <c r="U6" s="353"/>
      <c r="V6" s="353"/>
      <c r="W6" s="353"/>
      <c r="AQ6" s="352"/>
      <c r="AR6" s="352"/>
    </row>
    <row r="7" spans="1:46" ht="120" x14ac:dyDescent="0.25">
      <c r="A7" s="491" t="s">
        <v>295</v>
      </c>
      <c r="B7" s="505" t="s">
        <v>296</v>
      </c>
      <c r="C7" s="478" t="s">
        <v>302</v>
      </c>
      <c r="D7" s="478"/>
      <c r="E7" s="493" t="s">
        <v>538</v>
      </c>
      <c r="F7" s="494" t="s">
        <v>539</v>
      </c>
      <c r="G7" s="493" t="s">
        <v>540</v>
      </c>
      <c r="H7" s="493" t="s">
        <v>541</v>
      </c>
      <c r="I7" s="488" t="s">
        <v>408</v>
      </c>
      <c r="J7" s="353" t="s">
        <v>409</v>
      </c>
      <c r="K7" s="353" t="s">
        <v>410</v>
      </c>
      <c r="L7" s="353" t="s">
        <v>418</v>
      </c>
      <c r="M7" s="353" t="s">
        <v>414</v>
      </c>
      <c r="N7" s="353" t="s">
        <v>408</v>
      </c>
      <c r="O7" s="353" t="s">
        <v>409</v>
      </c>
      <c r="P7" s="353" t="s">
        <v>410</v>
      </c>
      <c r="Q7" s="353" t="s">
        <v>418</v>
      </c>
      <c r="R7" s="353" t="s">
        <v>414</v>
      </c>
      <c r="S7" s="353" t="s">
        <v>408</v>
      </c>
      <c r="T7" s="353" t="s">
        <v>409</v>
      </c>
      <c r="U7" s="353" t="s">
        <v>410</v>
      </c>
      <c r="V7" s="353" t="s">
        <v>418</v>
      </c>
      <c r="W7" s="353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180" x14ac:dyDescent="0.25">
      <c r="A8" s="480" t="s">
        <v>328</v>
      </c>
      <c r="B8" s="501" t="s">
        <v>517</v>
      </c>
      <c r="C8" s="502">
        <v>1</v>
      </c>
      <c r="D8" s="502"/>
      <c r="E8" s="453">
        <f>IF(AND(AO8="IRR",SUM(AH8:AJ8)&gt;0),AP8,IF(AND(AO8="IRR",AQ8&lt;&gt;""),AQ8*'[5]Basic INFO'!$E$127,IF(AO8="IRR",AS8,"")))</f>
        <v>8129807692.3076916</v>
      </c>
      <c r="F8" s="454" t="str">
        <f>IF(AND(AO8="EUR",SUM(AH8:AJ8)&gt;0),AP8,IF(AND(AO8="EUR",AR8&lt;&gt;""),AR8*'[5]Basic INFO'!$C$138,IF(AO8="EUR",AT8,"")))</f>
        <v/>
      </c>
      <c r="G8" s="455">
        <f t="shared" ref="G8" si="0">IF(AO8="IRR",C8*E8,"")</f>
        <v>8129807692.3076916</v>
      </c>
      <c r="H8" s="498" t="str">
        <f t="shared" ref="H8" si="1">IF(AO8="EUR",C8*F8,"")</f>
        <v/>
      </c>
      <c r="I8" s="489" t="s">
        <v>427</v>
      </c>
      <c r="J8" s="400"/>
      <c r="K8" s="400"/>
      <c r="L8" s="400"/>
      <c r="M8" s="400" t="s">
        <v>433</v>
      </c>
      <c r="N8" s="399" t="s">
        <v>428</v>
      </c>
      <c r="O8" s="400"/>
      <c r="P8" s="400"/>
      <c r="Q8" s="400"/>
      <c r="R8" s="400" t="s">
        <v>438</v>
      </c>
      <c r="S8" s="399" t="s">
        <v>429</v>
      </c>
      <c r="T8" s="400"/>
      <c r="U8" s="400"/>
      <c r="V8" s="400"/>
      <c r="W8" s="400" t="s">
        <v>433</v>
      </c>
      <c r="AH8" s="441">
        <f>IF(B8="","",COUNT(J8,O8,T8,Y8,AD8))</f>
        <v>0</v>
      </c>
      <c r="AI8" s="442">
        <f>IF(B8="","",COUNT(K8,P8,U8,Z8,AE8))</f>
        <v>0</v>
      </c>
      <c r="AJ8" s="442">
        <f>IF(B8="","",COUNT(L8,Q8,V8,AA8,AF8))</f>
        <v>0</v>
      </c>
      <c r="AK8" s="442" t="str">
        <f>IF(AND(AH8&lt;&gt;"",AH8&gt;0),AVERAGE(J8,O8,T8,Y8,AD8)/('[5]Basic INFO'!$C$101*'[5]Basic INFO'!$C$103),"")</f>
        <v/>
      </c>
      <c r="AL8" s="442" t="str">
        <f>IF(AND(AI8&lt;&gt;"",AI8&gt;0),AVERAGE(K8,P8,U8,Z8,AE8),"")</f>
        <v/>
      </c>
      <c r="AM8" s="442" t="str">
        <f>IF(AND(AJ8&lt;&gt;"",AJ8&gt;0),AVERAGE(L8,Q8,V8,AA8,AF8)/'[5]Basic INFO'!$C$103,"")</f>
        <v/>
      </c>
      <c r="AN8" s="442" t="str">
        <f>IF(SUM(AH8:AJ8)&lt;&gt;0,AVERAGE(AK8:AM8),"")</f>
        <v/>
      </c>
      <c r="AO8" s="8" t="s">
        <v>525</v>
      </c>
      <c r="AP8" s="444" t="str">
        <f>IF(B8="","",IF(SUM(AH8:AJ8)=0,"",IF(AO8="IRR",AN8*('[5]Basic INFO'!$C$101*'[5]Basic INFO'!$C$103),IF(AO8="EUR",AN8,AP8))))</f>
        <v/>
      </c>
      <c r="AQ8" s="364">
        <v>500000000</v>
      </c>
      <c r="AR8" s="364"/>
      <c r="AS8" s="447"/>
      <c r="AT8" s="448"/>
    </row>
    <row r="9" spans="1:46" ht="45" x14ac:dyDescent="0.25">
      <c r="A9" s="457"/>
      <c r="B9" s="458" t="s">
        <v>542</v>
      </c>
      <c r="C9" s="457"/>
      <c r="D9" s="457"/>
      <c r="E9" s="459"/>
      <c r="F9" s="460"/>
      <c r="G9" s="461">
        <f>SUM(G8)</f>
        <v>8129807692.3076916</v>
      </c>
      <c r="H9" s="462">
        <f>SUM(H8)</f>
        <v>0</v>
      </c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U9" s="349"/>
      <c r="V9" s="349"/>
      <c r="W9" s="349"/>
      <c r="AQ9" s="378" t="s">
        <v>297</v>
      </c>
      <c r="AR9" s="378" t="s">
        <v>298</v>
      </c>
    </row>
    <row r="10" spans="1:46" ht="15" x14ac:dyDescent="0.25">
      <c r="A10" s="463"/>
      <c r="B10" s="464" t="s">
        <v>543</v>
      </c>
      <c r="C10" s="463"/>
      <c r="D10" s="463"/>
      <c r="E10"/>
      <c r="F10"/>
      <c r="G10" s="465">
        <v>1.18</v>
      </c>
      <c r="H10" s="465">
        <v>1.18</v>
      </c>
      <c r="AQ10" s="329"/>
      <c r="AR10" s="329"/>
    </row>
    <row r="11" spans="1:46" ht="15" x14ac:dyDescent="0.25">
      <c r="A11" s="463"/>
      <c r="B11" s="464" t="s">
        <v>544</v>
      </c>
      <c r="C11" s="463"/>
      <c r="D11" s="463"/>
      <c r="E11"/>
      <c r="F11"/>
      <c r="G11" s="466">
        <v>0.1</v>
      </c>
      <c r="H11" s="466">
        <v>0.1</v>
      </c>
      <c r="AQ11" s="344"/>
      <c r="AR11" s="344"/>
    </row>
    <row r="12" spans="1:46" ht="15" x14ac:dyDescent="0.25">
      <c r="A12" s="463"/>
      <c r="B12" s="467" t="s">
        <v>545</v>
      </c>
      <c r="C12" s="463"/>
      <c r="D12" s="463"/>
      <c r="E12"/>
      <c r="F12"/>
      <c r="G12" s="468">
        <f>ROUND((G9*G10*(1+G11))/1000000,0)*1000000</f>
        <v>10552000000</v>
      </c>
      <c r="H12" s="469">
        <f>ROUND(H9*H10*(1+H11)/1000,0)*1000</f>
        <v>0</v>
      </c>
      <c r="AQ12" s="344"/>
      <c r="AR12" s="344"/>
    </row>
    <row r="13" spans="1:46" ht="12" x14ac:dyDescent="0.2">
      <c r="G13" s="461">
        <f>ROUND(SUMIF(AP:AP,"&gt;0",G:G)*G10*(1+G11)/1000000,0)*1000000</f>
        <v>0</v>
      </c>
      <c r="H13" s="462">
        <f>ROUND(SUMIF(AP:AP,"&gt;0",H:H)*H10*(1+H11)/1000,0)*1000</f>
        <v>0</v>
      </c>
    </row>
  </sheetData>
  <dataValidations disablePrompts="1" count="1">
    <dataValidation type="list" allowBlank="1" showInputMessage="1" showErrorMessage="1" sqref="WBJ983032:WBK983035 JA65528:JB65531 SW65528:SX65531 ACS65528:ACT65531 AMO65528:AMP65531 AWK65528:AWL65531 BGG65528:BGH65531 BQC65528:BQD65531 BZY65528:BZZ65531 CJU65528:CJV65531 CTQ65528:CTR65531 DDM65528:DDN65531 DNI65528:DNJ65531 DXE65528:DXF65531 EHA65528:EHB65531 EQW65528:EQX65531 FAS65528:FAT65531 FKO65528:FKP65531 FUK65528:FUL65531 GEG65528:GEH65531 GOC65528:GOD65531 GXY65528:GXZ65531 HHU65528:HHV65531 HRQ65528:HRR65531 IBM65528:IBN65531 ILI65528:ILJ65531 IVE65528:IVF65531 JFA65528:JFB65531 JOW65528:JOX65531 JYS65528:JYT65531 KIO65528:KIP65531 KSK65528:KSL65531 LCG65528:LCH65531 LMC65528:LMD65531 LVY65528:LVZ65531 MFU65528:MFV65531 MPQ65528:MPR65531 MZM65528:MZN65531 NJI65528:NJJ65531 NTE65528:NTF65531 ODA65528:ODB65531 OMW65528:OMX65531 OWS65528:OWT65531 PGO65528:PGP65531 PQK65528:PQL65531 QAG65528:QAH65531 QKC65528:QKD65531 QTY65528:QTZ65531 RDU65528:RDV65531 RNQ65528:RNR65531 RXM65528:RXN65531 SHI65528:SHJ65531 SRE65528:SRF65531 TBA65528:TBB65531 TKW65528:TKX65531 TUS65528:TUT65531 UEO65528:UEP65531 UOK65528:UOL65531 UYG65528:UYH65531 VIC65528:VID65531 VRY65528:VRZ65531 WBU65528:WBV65531 WLQ65528:WLR65531 WVM65528:WVN65531 JA131064:JB131067 SW131064:SX131067 ACS131064:ACT131067 AMO131064:AMP131067 AWK131064:AWL131067 BGG131064:BGH131067 BQC131064:BQD131067 BZY131064:BZZ131067 CJU131064:CJV131067 CTQ131064:CTR131067 DDM131064:DDN131067 DNI131064:DNJ131067 DXE131064:DXF131067 EHA131064:EHB131067 EQW131064:EQX131067 FAS131064:FAT131067 FKO131064:FKP131067 FUK131064:FUL131067 GEG131064:GEH131067 GOC131064:GOD131067 GXY131064:GXZ131067 HHU131064:HHV131067 HRQ131064:HRR131067 IBM131064:IBN131067 ILI131064:ILJ131067 IVE131064:IVF131067 JFA131064:JFB131067 JOW131064:JOX131067 JYS131064:JYT131067 KIO131064:KIP131067 KSK131064:KSL131067 LCG131064:LCH131067 LMC131064:LMD131067 LVY131064:LVZ131067 MFU131064:MFV131067 MPQ131064:MPR131067 MZM131064:MZN131067 NJI131064:NJJ131067 NTE131064:NTF131067 ODA131064:ODB131067 OMW131064:OMX131067 OWS131064:OWT131067 PGO131064:PGP131067 PQK131064:PQL131067 QAG131064:QAH131067 QKC131064:QKD131067 QTY131064:QTZ131067 RDU131064:RDV131067 RNQ131064:RNR131067 RXM131064:RXN131067 SHI131064:SHJ131067 SRE131064:SRF131067 TBA131064:TBB131067 TKW131064:TKX131067 TUS131064:TUT131067 UEO131064:UEP131067 UOK131064:UOL131067 UYG131064:UYH131067 VIC131064:VID131067 VRY131064:VRZ131067 WBU131064:WBV131067 WLQ131064:WLR131067 WVM131064:WVN131067 JA196600:JB196603 SW196600:SX196603 ACS196600:ACT196603 AMO196600:AMP196603 AWK196600:AWL196603 BGG196600:BGH196603 BQC196600:BQD196603 BZY196600:BZZ196603 CJU196600:CJV196603 CTQ196600:CTR196603 DDM196600:DDN196603 DNI196600:DNJ196603 DXE196600:DXF196603 EHA196600:EHB196603 EQW196600:EQX196603 FAS196600:FAT196603 FKO196600:FKP196603 FUK196600:FUL196603 GEG196600:GEH196603 GOC196600:GOD196603 GXY196600:GXZ196603 HHU196600:HHV196603 HRQ196600:HRR196603 IBM196600:IBN196603 ILI196600:ILJ196603 IVE196600:IVF196603 JFA196600:JFB196603 JOW196600:JOX196603 JYS196600:JYT196603 KIO196600:KIP196603 KSK196600:KSL196603 LCG196600:LCH196603 LMC196600:LMD196603 LVY196600:LVZ196603 MFU196600:MFV196603 MPQ196600:MPR196603 MZM196600:MZN196603 NJI196600:NJJ196603 NTE196600:NTF196603 ODA196600:ODB196603 OMW196600:OMX196603 OWS196600:OWT196603 PGO196600:PGP196603 PQK196600:PQL196603 QAG196600:QAH196603 QKC196600:QKD196603 QTY196600:QTZ196603 RDU196600:RDV196603 RNQ196600:RNR196603 RXM196600:RXN196603 SHI196600:SHJ196603 SRE196600:SRF196603 TBA196600:TBB196603 TKW196600:TKX196603 TUS196600:TUT196603 UEO196600:UEP196603 UOK196600:UOL196603 UYG196600:UYH196603 VIC196600:VID196603 VRY196600:VRZ196603 WBU196600:WBV196603 WLQ196600:WLR196603 WVM196600:WVN196603 JA262136:JB262139 SW262136:SX262139 ACS262136:ACT262139 AMO262136:AMP262139 AWK262136:AWL262139 BGG262136:BGH262139 BQC262136:BQD262139 BZY262136:BZZ262139 CJU262136:CJV262139 CTQ262136:CTR262139 DDM262136:DDN262139 DNI262136:DNJ262139 DXE262136:DXF262139 EHA262136:EHB262139 EQW262136:EQX262139 FAS262136:FAT262139 FKO262136:FKP262139 FUK262136:FUL262139 GEG262136:GEH262139 GOC262136:GOD262139 GXY262136:GXZ262139 HHU262136:HHV262139 HRQ262136:HRR262139 IBM262136:IBN262139 ILI262136:ILJ262139 IVE262136:IVF262139 JFA262136:JFB262139 JOW262136:JOX262139 JYS262136:JYT262139 KIO262136:KIP262139 KSK262136:KSL262139 LCG262136:LCH262139 LMC262136:LMD262139 LVY262136:LVZ262139 MFU262136:MFV262139 MPQ262136:MPR262139 MZM262136:MZN262139 NJI262136:NJJ262139 NTE262136:NTF262139 ODA262136:ODB262139 OMW262136:OMX262139 OWS262136:OWT262139 PGO262136:PGP262139 PQK262136:PQL262139 QAG262136:QAH262139 QKC262136:QKD262139 QTY262136:QTZ262139 RDU262136:RDV262139 RNQ262136:RNR262139 RXM262136:RXN262139 SHI262136:SHJ262139 SRE262136:SRF262139 TBA262136:TBB262139 TKW262136:TKX262139 TUS262136:TUT262139 UEO262136:UEP262139 UOK262136:UOL262139 UYG262136:UYH262139 VIC262136:VID262139 VRY262136:VRZ262139 WBU262136:WBV262139 WLQ262136:WLR262139 WVM262136:WVN262139 JA327672:JB327675 SW327672:SX327675 ACS327672:ACT327675 AMO327672:AMP327675 AWK327672:AWL327675 BGG327672:BGH327675 BQC327672:BQD327675 BZY327672:BZZ327675 CJU327672:CJV327675 CTQ327672:CTR327675 DDM327672:DDN327675 DNI327672:DNJ327675 DXE327672:DXF327675 EHA327672:EHB327675 EQW327672:EQX327675 FAS327672:FAT327675 FKO327672:FKP327675 FUK327672:FUL327675 GEG327672:GEH327675 GOC327672:GOD327675 GXY327672:GXZ327675 HHU327672:HHV327675 HRQ327672:HRR327675 IBM327672:IBN327675 ILI327672:ILJ327675 IVE327672:IVF327675 JFA327672:JFB327675 JOW327672:JOX327675 JYS327672:JYT327675 KIO327672:KIP327675 KSK327672:KSL327675 LCG327672:LCH327675 LMC327672:LMD327675 LVY327672:LVZ327675 MFU327672:MFV327675 MPQ327672:MPR327675 MZM327672:MZN327675 NJI327672:NJJ327675 NTE327672:NTF327675 ODA327672:ODB327675 OMW327672:OMX327675 OWS327672:OWT327675 PGO327672:PGP327675 PQK327672:PQL327675 QAG327672:QAH327675 QKC327672:QKD327675 QTY327672:QTZ327675 RDU327672:RDV327675 RNQ327672:RNR327675 RXM327672:RXN327675 SHI327672:SHJ327675 SRE327672:SRF327675 TBA327672:TBB327675 TKW327672:TKX327675 TUS327672:TUT327675 UEO327672:UEP327675 UOK327672:UOL327675 UYG327672:UYH327675 VIC327672:VID327675 VRY327672:VRZ327675 WBU327672:WBV327675 WLQ327672:WLR327675 WVM327672:WVN327675 JA393208:JB393211 SW393208:SX393211 ACS393208:ACT393211 AMO393208:AMP393211 AWK393208:AWL393211 BGG393208:BGH393211 BQC393208:BQD393211 BZY393208:BZZ393211 CJU393208:CJV393211 CTQ393208:CTR393211 DDM393208:DDN393211 DNI393208:DNJ393211 DXE393208:DXF393211 EHA393208:EHB393211 EQW393208:EQX393211 FAS393208:FAT393211 FKO393208:FKP393211 FUK393208:FUL393211 GEG393208:GEH393211 GOC393208:GOD393211 GXY393208:GXZ393211 HHU393208:HHV393211 HRQ393208:HRR393211 IBM393208:IBN393211 ILI393208:ILJ393211 IVE393208:IVF393211 JFA393208:JFB393211 JOW393208:JOX393211 JYS393208:JYT393211 KIO393208:KIP393211 KSK393208:KSL393211 LCG393208:LCH393211 LMC393208:LMD393211 LVY393208:LVZ393211 MFU393208:MFV393211 MPQ393208:MPR393211 MZM393208:MZN393211 NJI393208:NJJ393211 NTE393208:NTF393211 ODA393208:ODB393211 OMW393208:OMX393211 OWS393208:OWT393211 PGO393208:PGP393211 PQK393208:PQL393211 QAG393208:QAH393211 QKC393208:QKD393211 QTY393208:QTZ393211 RDU393208:RDV393211 RNQ393208:RNR393211 RXM393208:RXN393211 SHI393208:SHJ393211 SRE393208:SRF393211 TBA393208:TBB393211 TKW393208:TKX393211 TUS393208:TUT393211 UEO393208:UEP393211 UOK393208:UOL393211 UYG393208:UYH393211 VIC393208:VID393211 VRY393208:VRZ393211 WBU393208:WBV393211 WLQ393208:WLR393211 WVM393208:WVN393211 JA458744:JB458747 SW458744:SX458747 ACS458744:ACT458747 AMO458744:AMP458747 AWK458744:AWL458747 BGG458744:BGH458747 BQC458744:BQD458747 BZY458744:BZZ458747 CJU458744:CJV458747 CTQ458744:CTR458747 DDM458744:DDN458747 DNI458744:DNJ458747 DXE458744:DXF458747 EHA458744:EHB458747 EQW458744:EQX458747 FAS458744:FAT458747 FKO458744:FKP458747 FUK458744:FUL458747 GEG458744:GEH458747 GOC458744:GOD458747 GXY458744:GXZ458747 HHU458744:HHV458747 HRQ458744:HRR458747 IBM458744:IBN458747 ILI458744:ILJ458747 IVE458744:IVF458747 JFA458744:JFB458747 JOW458744:JOX458747 JYS458744:JYT458747 KIO458744:KIP458747 KSK458744:KSL458747 LCG458744:LCH458747 LMC458744:LMD458747 LVY458744:LVZ458747 MFU458744:MFV458747 MPQ458744:MPR458747 MZM458744:MZN458747 NJI458744:NJJ458747 NTE458744:NTF458747 ODA458744:ODB458747 OMW458744:OMX458747 OWS458744:OWT458747 PGO458744:PGP458747 PQK458744:PQL458747 QAG458744:QAH458747 QKC458744:QKD458747 QTY458744:QTZ458747 RDU458744:RDV458747 RNQ458744:RNR458747 RXM458744:RXN458747 SHI458744:SHJ458747 SRE458744:SRF458747 TBA458744:TBB458747 TKW458744:TKX458747 TUS458744:TUT458747 UEO458744:UEP458747 UOK458744:UOL458747 UYG458744:UYH458747 VIC458744:VID458747 VRY458744:VRZ458747 WBU458744:WBV458747 WLQ458744:WLR458747 WVM458744:WVN458747 JA524280:JB524283 SW524280:SX524283 ACS524280:ACT524283 AMO524280:AMP524283 AWK524280:AWL524283 BGG524280:BGH524283 BQC524280:BQD524283 BZY524280:BZZ524283 CJU524280:CJV524283 CTQ524280:CTR524283 DDM524280:DDN524283 DNI524280:DNJ524283 DXE524280:DXF524283 EHA524280:EHB524283 EQW524280:EQX524283 FAS524280:FAT524283 FKO524280:FKP524283 FUK524280:FUL524283 GEG524280:GEH524283 GOC524280:GOD524283 GXY524280:GXZ524283 HHU524280:HHV524283 HRQ524280:HRR524283 IBM524280:IBN524283 ILI524280:ILJ524283 IVE524280:IVF524283 JFA524280:JFB524283 JOW524280:JOX524283 JYS524280:JYT524283 KIO524280:KIP524283 KSK524280:KSL524283 LCG524280:LCH524283 LMC524280:LMD524283 LVY524280:LVZ524283 MFU524280:MFV524283 MPQ524280:MPR524283 MZM524280:MZN524283 NJI524280:NJJ524283 NTE524280:NTF524283 ODA524280:ODB524283 OMW524280:OMX524283 OWS524280:OWT524283 PGO524280:PGP524283 PQK524280:PQL524283 QAG524280:QAH524283 QKC524280:QKD524283 QTY524280:QTZ524283 RDU524280:RDV524283 RNQ524280:RNR524283 RXM524280:RXN524283 SHI524280:SHJ524283 SRE524280:SRF524283 TBA524280:TBB524283 TKW524280:TKX524283 TUS524280:TUT524283 UEO524280:UEP524283 UOK524280:UOL524283 UYG524280:UYH524283 VIC524280:VID524283 VRY524280:VRZ524283 WBU524280:WBV524283 WLQ524280:WLR524283 WVM524280:WVN524283 JA589816:JB589819 SW589816:SX589819 ACS589816:ACT589819 AMO589816:AMP589819 AWK589816:AWL589819 BGG589816:BGH589819 BQC589816:BQD589819 BZY589816:BZZ589819 CJU589816:CJV589819 CTQ589816:CTR589819 DDM589816:DDN589819 DNI589816:DNJ589819 DXE589816:DXF589819 EHA589816:EHB589819 EQW589816:EQX589819 FAS589816:FAT589819 FKO589816:FKP589819 FUK589816:FUL589819 GEG589816:GEH589819 GOC589816:GOD589819 GXY589816:GXZ589819 HHU589816:HHV589819 HRQ589816:HRR589819 IBM589816:IBN589819 ILI589816:ILJ589819 IVE589816:IVF589819 JFA589816:JFB589819 JOW589816:JOX589819 JYS589816:JYT589819 KIO589816:KIP589819 KSK589816:KSL589819 LCG589816:LCH589819 LMC589816:LMD589819 LVY589816:LVZ589819 MFU589816:MFV589819 MPQ589816:MPR589819 MZM589816:MZN589819 NJI589816:NJJ589819 NTE589816:NTF589819 ODA589816:ODB589819 OMW589816:OMX589819 OWS589816:OWT589819 PGO589816:PGP589819 PQK589816:PQL589819 QAG589816:QAH589819 QKC589816:QKD589819 QTY589816:QTZ589819 RDU589816:RDV589819 RNQ589816:RNR589819 RXM589816:RXN589819 SHI589816:SHJ589819 SRE589816:SRF589819 TBA589816:TBB589819 TKW589816:TKX589819 TUS589816:TUT589819 UEO589816:UEP589819 UOK589816:UOL589819 UYG589816:UYH589819 VIC589816:VID589819 VRY589816:VRZ589819 WBU589816:WBV589819 WLQ589816:WLR589819 WVM589816:WVN589819 JA655352:JB655355 SW655352:SX655355 ACS655352:ACT655355 AMO655352:AMP655355 AWK655352:AWL655355 BGG655352:BGH655355 BQC655352:BQD655355 BZY655352:BZZ655355 CJU655352:CJV655355 CTQ655352:CTR655355 DDM655352:DDN655355 DNI655352:DNJ655355 DXE655352:DXF655355 EHA655352:EHB655355 EQW655352:EQX655355 FAS655352:FAT655355 FKO655352:FKP655355 FUK655352:FUL655355 GEG655352:GEH655355 GOC655352:GOD655355 GXY655352:GXZ655355 HHU655352:HHV655355 HRQ655352:HRR655355 IBM655352:IBN655355 ILI655352:ILJ655355 IVE655352:IVF655355 JFA655352:JFB655355 JOW655352:JOX655355 JYS655352:JYT655355 KIO655352:KIP655355 KSK655352:KSL655355 LCG655352:LCH655355 LMC655352:LMD655355 LVY655352:LVZ655355 MFU655352:MFV655355 MPQ655352:MPR655355 MZM655352:MZN655355 NJI655352:NJJ655355 NTE655352:NTF655355 ODA655352:ODB655355 OMW655352:OMX655355 OWS655352:OWT655355 PGO655352:PGP655355 PQK655352:PQL655355 QAG655352:QAH655355 QKC655352:QKD655355 QTY655352:QTZ655355 RDU655352:RDV655355 RNQ655352:RNR655355 RXM655352:RXN655355 SHI655352:SHJ655355 SRE655352:SRF655355 TBA655352:TBB655355 TKW655352:TKX655355 TUS655352:TUT655355 UEO655352:UEP655355 UOK655352:UOL655355 UYG655352:UYH655355 VIC655352:VID655355 VRY655352:VRZ655355 WBU655352:WBV655355 WLQ655352:WLR655355 WVM655352:WVN655355 JA720888:JB720891 SW720888:SX720891 ACS720888:ACT720891 AMO720888:AMP720891 AWK720888:AWL720891 BGG720888:BGH720891 BQC720888:BQD720891 BZY720888:BZZ720891 CJU720888:CJV720891 CTQ720888:CTR720891 DDM720888:DDN720891 DNI720888:DNJ720891 DXE720888:DXF720891 EHA720888:EHB720891 EQW720888:EQX720891 FAS720888:FAT720891 FKO720888:FKP720891 FUK720888:FUL720891 GEG720888:GEH720891 GOC720888:GOD720891 GXY720888:GXZ720891 HHU720888:HHV720891 HRQ720888:HRR720891 IBM720888:IBN720891 ILI720888:ILJ720891 IVE720888:IVF720891 JFA720888:JFB720891 JOW720888:JOX720891 JYS720888:JYT720891 KIO720888:KIP720891 KSK720888:KSL720891 LCG720888:LCH720891 LMC720888:LMD720891 LVY720888:LVZ720891 MFU720888:MFV720891 MPQ720888:MPR720891 MZM720888:MZN720891 NJI720888:NJJ720891 NTE720888:NTF720891 ODA720888:ODB720891 OMW720888:OMX720891 OWS720888:OWT720891 PGO720888:PGP720891 PQK720888:PQL720891 QAG720888:QAH720891 QKC720888:QKD720891 QTY720888:QTZ720891 RDU720888:RDV720891 RNQ720888:RNR720891 RXM720888:RXN720891 SHI720888:SHJ720891 SRE720888:SRF720891 TBA720888:TBB720891 TKW720888:TKX720891 TUS720888:TUT720891 UEO720888:UEP720891 UOK720888:UOL720891 UYG720888:UYH720891 VIC720888:VID720891 VRY720888:VRZ720891 WBU720888:WBV720891 WLQ720888:WLR720891 WVM720888:WVN720891 JA786424:JB786427 SW786424:SX786427 ACS786424:ACT786427 AMO786424:AMP786427 AWK786424:AWL786427 BGG786424:BGH786427 BQC786424:BQD786427 BZY786424:BZZ786427 CJU786424:CJV786427 CTQ786424:CTR786427 DDM786424:DDN786427 DNI786424:DNJ786427 DXE786424:DXF786427 EHA786424:EHB786427 EQW786424:EQX786427 FAS786424:FAT786427 FKO786424:FKP786427 FUK786424:FUL786427 GEG786424:GEH786427 GOC786424:GOD786427 GXY786424:GXZ786427 HHU786424:HHV786427 HRQ786424:HRR786427 IBM786424:IBN786427 ILI786424:ILJ786427 IVE786424:IVF786427 JFA786424:JFB786427 JOW786424:JOX786427 JYS786424:JYT786427 KIO786424:KIP786427 KSK786424:KSL786427 LCG786424:LCH786427 LMC786424:LMD786427 LVY786424:LVZ786427 MFU786424:MFV786427 MPQ786424:MPR786427 MZM786424:MZN786427 NJI786424:NJJ786427 NTE786424:NTF786427 ODA786424:ODB786427 OMW786424:OMX786427 OWS786424:OWT786427 PGO786424:PGP786427 PQK786424:PQL786427 QAG786424:QAH786427 QKC786424:QKD786427 QTY786424:QTZ786427 RDU786424:RDV786427 RNQ786424:RNR786427 RXM786424:RXN786427 SHI786424:SHJ786427 SRE786424:SRF786427 TBA786424:TBB786427 TKW786424:TKX786427 TUS786424:TUT786427 UEO786424:UEP786427 UOK786424:UOL786427 UYG786424:UYH786427 VIC786424:VID786427 VRY786424:VRZ786427 WBU786424:WBV786427 WLQ786424:WLR786427 WVM786424:WVN786427 JA851960:JB851963 SW851960:SX851963 ACS851960:ACT851963 AMO851960:AMP851963 AWK851960:AWL851963 BGG851960:BGH851963 BQC851960:BQD851963 BZY851960:BZZ851963 CJU851960:CJV851963 CTQ851960:CTR851963 DDM851960:DDN851963 DNI851960:DNJ851963 DXE851960:DXF851963 EHA851960:EHB851963 EQW851960:EQX851963 FAS851960:FAT851963 FKO851960:FKP851963 FUK851960:FUL851963 GEG851960:GEH851963 GOC851960:GOD851963 GXY851960:GXZ851963 HHU851960:HHV851963 HRQ851960:HRR851963 IBM851960:IBN851963 ILI851960:ILJ851963 IVE851960:IVF851963 JFA851960:JFB851963 JOW851960:JOX851963 JYS851960:JYT851963 KIO851960:KIP851963 KSK851960:KSL851963 LCG851960:LCH851963 LMC851960:LMD851963 LVY851960:LVZ851963 MFU851960:MFV851963 MPQ851960:MPR851963 MZM851960:MZN851963 NJI851960:NJJ851963 NTE851960:NTF851963 ODA851960:ODB851963 OMW851960:OMX851963 OWS851960:OWT851963 PGO851960:PGP851963 PQK851960:PQL851963 QAG851960:QAH851963 QKC851960:QKD851963 QTY851960:QTZ851963 RDU851960:RDV851963 RNQ851960:RNR851963 RXM851960:RXN851963 SHI851960:SHJ851963 SRE851960:SRF851963 TBA851960:TBB851963 TKW851960:TKX851963 TUS851960:TUT851963 UEO851960:UEP851963 UOK851960:UOL851963 UYG851960:UYH851963 VIC851960:VID851963 VRY851960:VRZ851963 WBU851960:WBV851963 WLQ851960:WLR851963 WVM851960:WVN851963 JA917496:JB917499 SW917496:SX917499 ACS917496:ACT917499 AMO917496:AMP917499 AWK917496:AWL917499 BGG917496:BGH917499 BQC917496:BQD917499 BZY917496:BZZ917499 CJU917496:CJV917499 CTQ917496:CTR917499 DDM917496:DDN917499 DNI917496:DNJ917499 DXE917496:DXF917499 EHA917496:EHB917499 EQW917496:EQX917499 FAS917496:FAT917499 FKO917496:FKP917499 FUK917496:FUL917499 GEG917496:GEH917499 GOC917496:GOD917499 GXY917496:GXZ917499 HHU917496:HHV917499 HRQ917496:HRR917499 IBM917496:IBN917499 ILI917496:ILJ917499 IVE917496:IVF917499 JFA917496:JFB917499 JOW917496:JOX917499 JYS917496:JYT917499 KIO917496:KIP917499 KSK917496:KSL917499 LCG917496:LCH917499 LMC917496:LMD917499 LVY917496:LVZ917499 MFU917496:MFV917499 MPQ917496:MPR917499 MZM917496:MZN917499 NJI917496:NJJ917499 NTE917496:NTF917499 ODA917496:ODB917499 OMW917496:OMX917499 OWS917496:OWT917499 PGO917496:PGP917499 PQK917496:PQL917499 QAG917496:QAH917499 QKC917496:QKD917499 QTY917496:QTZ917499 RDU917496:RDV917499 RNQ917496:RNR917499 RXM917496:RXN917499 SHI917496:SHJ917499 SRE917496:SRF917499 TBA917496:TBB917499 TKW917496:TKX917499 TUS917496:TUT917499 UEO917496:UEP917499 UOK917496:UOL917499 UYG917496:UYH917499 VIC917496:VID917499 VRY917496:VRZ917499 WBU917496:WBV917499 WLQ917496:WLR917499 WVM917496:WVN917499 JA983032:JB983035 SW983032:SX983035 ACS983032:ACT983035 AMO983032:AMP983035 AWK983032:AWL983035 BGG983032:BGH983035 BQC983032:BQD983035 BZY983032:BZZ983035 CJU983032:CJV983035 CTQ983032:CTR983035 DDM983032:DDN983035 DNI983032:DNJ983035 DXE983032:DXF983035 EHA983032:EHB983035 EQW983032:EQX983035 FAS983032:FAT983035 FKO983032:FKP983035 FUK983032:FUL983035 GEG983032:GEH983035 GOC983032:GOD983035 GXY983032:GXZ983035 HHU983032:HHV983035 HRQ983032:HRR983035 IBM983032:IBN983035 ILI983032:ILJ983035 IVE983032:IVF983035 JFA983032:JFB983035 JOW983032:JOX983035 JYS983032:JYT983035 KIO983032:KIP983035 KSK983032:KSL983035 LCG983032:LCH983035 LMC983032:LMD983035 LVY983032:LVZ983035 MFU983032:MFV983035 MPQ983032:MPR983035 MZM983032:MZN983035 NJI983032:NJJ983035 NTE983032:NTF983035 ODA983032:ODB983035 OMW983032:OMX983035 OWS983032:OWT983035 PGO983032:PGP983035 PQK983032:PQL983035 QAG983032:QAH983035 QKC983032:QKD983035 QTY983032:QTZ983035 RDU983032:RDV983035 RNQ983032:RNR983035 RXM983032:RXN983035 SHI983032:SHJ983035 SRE983032:SRF983035 TBA983032:TBB983035 TKW983032:TKX983035 TUS983032:TUT983035 UEO983032:UEP983035 UOK983032:UOL983035 UYG983032:UYH983035 VIC983032:VID983035 VRY983032:VRZ983035 WBU983032:WBV983035 WLQ983032:WLR983035 WVM983032:WVN983035 WLF983032:WLG983035 IE65528:IF65531 SA65528:SB65531 ABW65528:ABX65531 ALS65528:ALT65531 AVO65528:AVP65531 BFK65528:BFL65531 BPG65528:BPH65531 BZC65528:BZD65531 CIY65528:CIZ65531 CSU65528:CSV65531 DCQ65528:DCR65531 DMM65528:DMN65531 DWI65528:DWJ65531 EGE65528:EGF65531 EQA65528:EQB65531 EZW65528:EZX65531 FJS65528:FJT65531 FTO65528:FTP65531 GDK65528:GDL65531 GNG65528:GNH65531 GXC65528:GXD65531 HGY65528:HGZ65531 HQU65528:HQV65531 IAQ65528:IAR65531 IKM65528:IKN65531 IUI65528:IUJ65531 JEE65528:JEF65531 JOA65528:JOB65531 JXW65528:JXX65531 KHS65528:KHT65531 KRO65528:KRP65531 LBK65528:LBL65531 LLG65528:LLH65531 LVC65528:LVD65531 MEY65528:MEZ65531 MOU65528:MOV65531 MYQ65528:MYR65531 NIM65528:NIN65531 NSI65528:NSJ65531 OCE65528:OCF65531 OMA65528:OMB65531 OVW65528:OVX65531 PFS65528:PFT65531 PPO65528:PPP65531 PZK65528:PZL65531 QJG65528:QJH65531 QTC65528:QTD65531 RCY65528:RCZ65531 RMU65528:RMV65531 RWQ65528:RWR65531 SGM65528:SGN65531 SQI65528:SQJ65531 TAE65528:TAF65531 TKA65528:TKB65531 TTW65528:TTX65531 UDS65528:UDT65531 UNO65528:UNP65531 UXK65528:UXL65531 VHG65528:VHH65531 VRC65528:VRD65531 WAY65528:WAZ65531 WKU65528:WKV65531 WUQ65528:WUR65531 IE131064:IF131067 SA131064:SB131067 ABW131064:ABX131067 ALS131064:ALT131067 AVO131064:AVP131067 BFK131064:BFL131067 BPG131064:BPH131067 BZC131064:BZD131067 CIY131064:CIZ131067 CSU131064:CSV131067 DCQ131064:DCR131067 DMM131064:DMN131067 DWI131064:DWJ131067 EGE131064:EGF131067 EQA131064:EQB131067 EZW131064:EZX131067 FJS131064:FJT131067 FTO131064:FTP131067 GDK131064:GDL131067 GNG131064:GNH131067 GXC131064:GXD131067 HGY131064:HGZ131067 HQU131064:HQV131067 IAQ131064:IAR131067 IKM131064:IKN131067 IUI131064:IUJ131067 JEE131064:JEF131067 JOA131064:JOB131067 JXW131064:JXX131067 KHS131064:KHT131067 KRO131064:KRP131067 LBK131064:LBL131067 LLG131064:LLH131067 LVC131064:LVD131067 MEY131064:MEZ131067 MOU131064:MOV131067 MYQ131064:MYR131067 NIM131064:NIN131067 NSI131064:NSJ131067 OCE131064:OCF131067 OMA131064:OMB131067 OVW131064:OVX131067 PFS131064:PFT131067 PPO131064:PPP131067 PZK131064:PZL131067 QJG131064:QJH131067 QTC131064:QTD131067 RCY131064:RCZ131067 RMU131064:RMV131067 RWQ131064:RWR131067 SGM131064:SGN131067 SQI131064:SQJ131067 TAE131064:TAF131067 TKA131064:TKB131067 TTW131064:TTX131067 UDS131064:UDT131067 UNO131064:UNP131067 UXK131064:UXL131067 VHG131064:VHH131067 VRC131064:VRD131067 WAY131064:WAZ131067 WKU131064:WKV131067 WUQ131064:WUR131067 IE196600:IF196603 SA196600:SB196603 ABW196600:ABX196603 ALS196600:ALT196603 AVO196600:AVP196603 BFK196600:BFL196603 BPG196600:BPH196603 BZC196600:BZD196603 CIY196600:CIZ196603 CSU196600:CSV196603 DCQ196600:DCR196603 DMM196600:DMN196603 DWI196600:DWJ196603 EGE196600:EGF196603 EQA196600:EQB196603 EZW196600:EZX196603 FJS196600:FJT196603 FTO196600:FTP196603 GDK196600:GDL196603 GNG196600:GNH196603 GXC196600:GXD196603 HGY196600:HGZ196603 HQU196600:HQV196603 IAQ196600:IAR196603 IKM196600:IKN196603 IUI196600:IUJ196603 JEE196600:JEF196603 JOA196600:JOB196603 JXW196600:JXX196603 KHS196600:KHT196603 KRO196600:KRP196603 LBK196600:LBL196603 LLG196600:LLH196603 LVC196600:LVD196603 MEY196600:MEZ196603 MOU196600:MOV196603 MYQ196600:MYR196603 NIM196600:NIN196603 NSI196600:NSJ196603 OCE196600:OCF196603 OMA196600:OMB196603 OVW196600:OVX196603 PFS196600:PFT196603 PPO196600:PPP196603 PZK196600:PZL196603 QJG196600:QJH196603 QTC196600:QTD196603 RCY196600:RCZ196603 RMU196600:RMV196603 RWQ196600:RWR196603 SGM196600:SGN196603 SQI196600:SQJ196603 TAE196600:TAF196603 TKA196600:TKB196603 TTW196600:TTX196603 UDS196600:UDT196603 UNO196600:UNP196603 UXK196600:UXL196603 VHG196600:VHH196603 VRC196600:VRD196603 WAY196600:WAZ196603 WKU196600:WKV196603 WUQ196600:WUR196603 IE262136:IF262139 SA262136:SB262139 ABW262136:ABX262139 ALS262136:ALT262139 AVO262136:AVP262139 BFK262136:BFL262139 BPG262136:BPH262139 BZC262136:BZD262139 CIY262136:CIZ262139 CSU262136:CSV262139 DCQ262136:DCR262139 DMM262136:DMN262139 DWI262136:DWJ262139 EGE262136:EGF262139 EQA262136:EQB262139 EZW262136:EZX262139 FJS262136:FJT262139 FTO262136:FTP262139 GDK262136:GDL262139 GNG262136:GNH262139 GXC262136:GXD262139 HGY262136:HGZ262139 HQU262136:HQV262139 IAQ262136:IAR262139 IKM262136:IKN262139 IUI262136:IUJ262139 JEE262136:JEF262139 JOA262136:JOB262139 JXW262136:JXX262139 KHS262136:KHT262139 KRO262136:KRP262139 LBK262136:LBL262139 LLG262136:LLH262139 LVC262136:LVD262139 MEY262136:MEZ262139 MOU262136:MOV262139 MYQ262136:MYR262139 NIM262136:NIN262139 NSI262136:NSJ262139 OCE262136:OCF262139 OMA262136:OMB262139 OVW262136:OVX262139 PFS262136:PFT262139 PPO262136:PPP262139 PZK262136:PZL262139 QJG262136:QJH262139 QTC262136:QTD262139 RCY262136:RCZ262139 RMU262136:RMV262139 RWQ262136:RWR262139 SGM262136:SGN262139 SQI262136:SQJ262139 TAE262136:TAF262139 TKA262136:TKB262139 TTW262136:TTX262139 UDS262136:UDT262139 UNO262136:UNP262139 UXK262136:UXL262139 VHG262136:VHH262139 VRC262136:VRD262139 WAY262136:WAZ262139 WKU262136:WKV262139 WUQ262136:WUR262139 IE327672:IF327675 SA327672:SB327675 ABW327672:ABX327675 ALS327672:ALT327675 AVO327672:AVP327675 BFK327672:BFL327675 BPG327672:BPH327675 BZC327672:BZD327675 CIY327672:CIZ327675 CSU327672:CSV327675 DCQ327672:DCR327675 DMM327672:DMN327675 DWI327672:DWJ327675 EGE327672:EGF327675 EQA327672:EQB327675 EZW327672:EZX327675 FJS327672:FJT327675 FTO327672:FTP327675 GDK327672:GDL327675 GNG327672:GNH327675 GXC327672:GXD327675 HGY327672:HGZ327675 HQU327672:HQV327675 IAQ327672:IAR327675 IKM327672:IKN327675 IUI327672:IUJ327675 JEE327672:JEF327675 JOA327672:JOB327675 JXW327672:JXX327675 KHS327672:KHT327675 KRO327672:KRP327675 LBK327672:LBL327675 LLG327672:LLH327675 LVC327672:LVD327675 MEY327672:MEZ327675 MOU327672:MOV327675 MYQ327672:MYR327675 NIM327672:NIN327675 NSI327672:NSJ327675 OCE327672:OCF327675 OMA327672:OMB327675 OVW327672:OVX327675 PFS327672:PFT327675 PPO327672:PPP327675 PZK327672:PZL327675 QJG327672:QJH327675 QTC327672:QTD327675 RCY327672:RCZ327675 RMU327672:RMV327675 RWQ327672:RWR327675 SGM327672:SGN327675 SQI327672:SQJ327675 TAE327672:TAF327675 TKA327672:TKB327675 TTW327672:TTX327675 UDS327672:UDT327675 UNO327672:UNP327675 UXK327672:UXL327675 VHG327672:VHH327675 VRC327672:VRD327675 WAY327672:WAZ327675 WKU327672:WKV327675 WUQ327672:WUR327675 IE393208:IF393211 SA393208:SB393211 ABW393208:ABX393211 ALS393208:ALT393211 AVO393208:AVP393211 BFK393208:BFL393211 BPG393208:BPH393211 BZC393208:BZD393211 CIY393208:CIZ393211 CSU393208:CSV393211 DCQ393208:DCR393211 DMM393208:DMN393211 DWI393208:DWJ393211 EGE393208:EGF393211 EQA393208:EQB393211 EZW393208:EZX393211 FJS393208:FJT393211 FTO393208:FTP393211 GDK393208:GDL393211 GNG393208:GNH393211 GXC393208:GXD393211 HGY393208:HGZ393211 HQU393208:HQV393211 IAQ393208:IAR393211 IKM393208:IKN393211 IUI393208:IUJ393211 JEE393208:JEF393211 JOA393208:JOB393211 JXW393208:JXX393211 KHS393208:KHT393211 KRO393208:KRP393211 LBK393208:LBL393211 LLG393208:LLH393211 LVC393208:LVD393211 MEY393208:MEZ393211 MOU393208:MOV393211 MYQ393208:MYR393211 NIM393208:NIN393211 NSI393208:NSJ393211 OCE393208:OCF393211 OMA393208:OMB393211 OVW393208:OVX393211 PFS393208:PFT393211 PPO393208:PPP393211 PZK393208:PZL393211 QJG393208:QJH393211 QTC393208:QTD393211 RCY393208:RCZ393211 RMU393208:RMV393211 RWQ393208:RWR393211 SGM393208:SGN393211 SQI393208:SQJ393211 TAE393208:TAF393211 TKA393208:TKB393211 TTW393208:TTX393211 UDS393208:UDT393211 UNO393208:UNP393211 UXK393208:UXL393211 VHG393208:VHH393211 VRC393208:VRD393211 WAY393208:WAZ393211 WKU393208:WKV393211 WUQ393208:WUR393211 IE458744:IF458747 SA458744:SB458747 ABW458744:ABX458747 ALS458744:ALT458747 AVO458744:AVP458747 BFK458744:BFL458747 BPG458744:BPH458747 BZC458744:BZD458747 CIY458744:CIZ458747 CSU458744:CSV458747 DCQ458744:DCR458747 DMM458744:DMN458747 DWI458744:DWJ458747 EGE458744:EGF458747 EQA458744:EQB458747 EZW458744:EZX458747 FJS458744:FJT458747 FTO458744:FTP458747 GDK458744:GDL458747 GNG458744:GNH458747 GXC458744:GXD458747 HGY458744:HGZ458747 HQU458744:HQV458747 IAQ458744:IAR458747 IKM458744:IKN458747 IUI458744:IUJ458747 JEE458744:JEF458747 JOA458744:JOB458747 JXW458744:JXX458747 KHS458744:KHT458747 KRO458744:KRP458747 LBK458744:LBL458747 LLG458744:LLH458747 LVC458744:LVD458747 MEY458744:MEZ458747 MOU458744:MOV458747 MYQ458744:MYR458747 NIM458744:NIN458747 NSI458744:NSJ458747 OCE458744:OCF458747 OMA458744:OMB458747 OVW458744:OVX458747 PFS458744:PFT458747 PPO458744:PPP458747 PZK458744:PZL458747 QJG458744:QJH458747 QTC458744:QTD458747 RCY458744:RCZ458747 RMU458744:RMV458747 RWQ458744:RWR458747 SGM458744:SGN458747 SQI458744:SQJ458747 TAE458744:TAF458747 TKA458744:TKB458747 TTW458744:TTX458747 UDS458744:UDT458747 UNO458744:UNP458747 UXK458744:UXL458747 VHG458744:VHH458747 VRC458744:VRD458747 WAY458744:WAZ458747 WKU458744:WKV458747 WUQ458744:WUR458747 IE524280:IF524283 SA524280:SB524283 ABW524280:ABX524283 ALS524280:ALT524283 AVO524280:AVP524283 BFK524280:BFL524283 BPG524280:BPH524283 BZC524280:BZD524283 CIY524280:CIZ524283 CSU524280:CSV524283 DCQ524280:DCR524283 DMM524280:DMN524283 DWI524280:DWJ524283 EGE524280:EGF524283 EQA524280:EQB524283 EZW524280:EZX524283 FJS524280:FJT524283 FTO524280:FTP524283 GDK524280:GDL524283 GNG524280:GNH524283 GXC524280:GXD524283 HGY524280:HGZ524283 HQU524280:HQV524283 IAQ524280:IAR524283 IKM524280:IKN524283 IUI524280:IUJ524283 JEE524280:JEF524283 JOA524280:JOB524283 JXW524280:JXX524283 KHS524280:KHT524283 KRO524280:KRP524283 LBK524280:LBL524283 LLG524280:LLH524283 LVC524280:LVD524283 MEY524280:MEZ524283 MOU524280:MOV524283 MYQ524280:MYR524283 NIM524280:NIN524283 NSI524280:NSJ524283 OCE524280:OCF524283 OMA524280:OMB524283 OVW524280:OVX524283 PFS524280:PFT524283 PPO524280:PPP524283 PZK524280:PZL524283 QJG524280:QJH524283 QTC524280:QTD524283 RCY524280:RCZ524283 RMU524280:RMV524283 RWQ524280:RWR524283 SGM524280:SGN524283 SQI524280:SQJ524283 TAE524280:TAF524283 TKA524280:TKB524283 TTW524280:TTX524283 UDS524280:UDT524283 UNO524280:UNP524283 UXK524280:UXL524283 VHG524280:VHH524283 VRC524280:VRD524283 WAY524280:WAZ524283 WKU524280:WKV524283 WUQ524280:WUR524283 IE589816:IF589819 SA589816:SB589819 ABW589816:ABX589819 ALS589816:ALT589819 AVO589816:AVP589819 BFK589816:BFL589819 BPG589816:BPH589819 BZC589816:BZD589819 CIY589816:CIZ589819 CSU589816:CSV589819 DCQ589816:DCR589819 DMM589816:DMN589819 DWI589816:DWJ589819 EGE589816:EGF589819 EQA589816:EQB589819 EZW589816:EZX589819 FJS589816:FJT589819 FTO589816:FTP589819 GDK589816:GDL589819 GNG589816:GNH589819 GXC589816:GXD589819 HGY589816:HGZ589819 HQU589816:HQV589819 IAQ589816:IAR589819 IKM589816:IKN589819 IUI589816:IUJ589819 JEE589816:JEF589819 JOA589816:JOB589819 JXW589816:JXX589819 KHS589816:KHT589819 KRO589816:KRP589819 LBK589816:LBL589819 LLG589816:LLH589819 LVC589816:LVD589819 MEY589816:MEZ589819 MOU589816:MOV589819 MYQ589816:MYR589819 NIM589816:NIN589819 NSI589816:NSJ589819 OCE589816:OCF589819 OMA589816:OMB589819 OVW589816:OVX589819 PFS589816:PFT589819 PPO589816:PPP589819 PZK589816:PZL589819 QJG589816:QJH589819 QTC589816:QTD589819 RCY589816:RCZ589819 RMU589816:RMV589819 RWQ589816:RWR589819 SGM589816:SGN589819 SQI589816:SQJ589819 TAE589816:TAF589819 TKA589816:TKB589819 TTW589816:TTX589819 UDS589816:UDT589819 UNO589816:UNP589819 UXK589816:UXL589819 VHG589816:VHH589819 VRC589816:VRD589819 WAY589816:WAZ589819 WKU589816:WKV589819 WUQ589816:WUR589819 IE655352:IF655355 SA655352:SB655355 ABW655352:ABX655355 ALS655352:ALT655355 AVO655352:AVP655355 BFK655352:BFL655355 BPG655352:BPH655355 BZC655352:BZD655355 CIY655352:CIZ655355 CSU655352:CSV655355 DCQ655352:DCR655355 DMM655352:DMN655355 DWI655352:DWJ655355 EGE655352:EGF655355 EQA655352:EQB655355 EZW655352:EZX655355 FJS655352:FJT655355 FTO655352:FTP655355 GDK655352:GDL655355 GNG655352:GNH655355 GXC655352:GXD655355 HGY655352:HGZ655355 HQU655352:HQV655355 IAQ655352:IAR655355 IKM655352:IKN655355 IUI655352:IUJ655355 JEE655352:JEF655355 JOA655352:JOB655355 JXW655352:JXX655355 KHS655352:KHT655355 KRO655352:KRP655355 LBK655352:LBL655355 LLG655352:LLH655355 LVC655352:LVD655355 MEY655352:MEZ655355 MOU655352:MOV655355 MYQ655352:MYR655355 NIM655352:NIN655355 NSI655352:NSJ655355 OCE655352:OCF655355 OMA655352:OMB655355 OVW655352:OVX655355 PFS655352:PFT655355 PPO655352:PPP655355 PZK655352:PZL655355 QJG655352:QJH655355 QTC655352:QTD655355 RCY655352:RCZ655355 RMU655352:RMV655355 RWQ655352:RWR655355 SGM655352:SGN655355 SQI655352:SQJ655355 TAE655352:TAF655355 TKA655352:TKB655355 TTW655352:TTX655355 UDS655352:UDT655355 UNO655352:UNP655355 UXK655352:UXL655355 VHG655352:VHH655355 VRC655352:VRD655355 WAY655352:WAZ655355 WKU655352:WKV655355 WUQ655352:WUR655355 IE720888:IF720891 SA720888:SB720891 ABW720888:ABX720891 ALS720888:ALT720891 AVO720888:AVP720891 BFK720888:BFL720891 BPG720888:BPH720891 BZC720888:BZD720891 CIY720888:CIZ720891 CSU720888:CSV720891 DCQ720888:DCR720891 DMM720888:DMN720891 DWI720888:DWJ720891 EGE720888:EGF720891 EQA720888:EQB720891 EZW720888:EZX720891 FJS720888:FJT720891 FTO720888:FTP720891 GDK720888:GDL720891 GNG720888:GNH720891 GXC720888:GXD720891 HGY720888:HGZ720891 HQU720888:HQV720891 IAQ720888:IAR720891 IKM720888:IKN720891 IUI720888:IUJ720891 JEE720888:JEF720891 JOA720888:JOB720891 JXW720888:JXX720891 KHS720888:KHT720891 KRO720888:KRP720891 LBK720888:LBL720891 LLG720888:LLH720891 LVC720888:LVD720891 MEY720888:MEZ720891 MOU720888:MOV720891 MYQ720888:MYR720891 NIM720888:NIN720891 NSI720888:NSJ720891 OCE720888:OCF720891 OMA720888:OMB720891 OVW720888:OVX720891 PFS720888:PFT720891 PPO720888:PPP720891 PZK720888:PZL720891 QJG720888:QJH720891 QTC720888:QTD720891 RCY720888:RCZ720891 RMU720888:RMV720891 RWQ720888:RWR720891 SGM720888:SGN720891 SQI720888:SQJ720891 TAE720888:TAF720891 TKA720888:TKB720891 TTW720888:TTX720891 UDS720888:UDT720891 UNO720888:UNP720891 UXK720888:UXL720891 VHG720888:VHH720891 VRC720888:VRD720891 WAY720888:WAZ720891 WKU720888:WKV720891 WUQ720888:WUR720891 IE786424:IF786427 SA786424:SB786427 ABW786424:ABX786427 ALS786424:ALT786427 AVO786424:AVP786427 BFK786424:BFL786427 BPG786424:BPH786427 BZC786424:BZD786427 CIY786424:CIZ786427 CSU786424:CSV786427 DCQ786424:DCR786427 DMM786424:DMN786427 DWI786424:DWJ786427 EGE786424:EGF786427 EQA786424:EQB786427 EZW786424:EZX786427 FJS786424:FJT786427 FTO786424:FTP786427 GDK786424:GDL786427 GNG786424:GNH786427 GXC786424:GXD786427 HGY786424:HGZ786427 HQU786424:HQV786427 IAQ786424:IAR786427 IKM786424:IKN786427 IUI786424:IUJ786427 JEE786424:JEF786427 JOA786424:JOB786427 JXW786424:JXX786427 KHS786424:KHT786427 KRO786424:KRP786427 LBK786424:LBL786427 LLG786424:LLH786427 LVC786424:LVD786427 MEY786424:MEZ786427 MOU786424:MOV786427 MYQ786424:MYR786427 NIM786424:NIN786427 NSI786424:NSJ786427 OCE786424:OCF786427 OMA786424:OMB786427 OVW786424:OVX786427 PFS786424:PFT786427 PPO786424:PPP786427 PZK786424:PZL786427 QJG786424:QJH786427 QTC786424:QTD786427 RCY786424:RCZ786427 RMU786424:RMV786427 RWQ786424:RWR786427 SGM786424:SGN786427 SQI786424:SQJ786427 TAE786424:TAF786427 TKA786424:TKB786427 TTW786424:TTX786427 UDS786424:UDT786427 UNO786424:UNP786427 UXK786424:UXL786427 VHG786424:VHH786427 VRC786424:VRD786427 WAY786424:WAZ786427 WKU786424:WKV786427 WUQ786424:WUR786427 IE851960:IF851963 SA851960:SB851963 ABW851960:ABX851963 ALS851960:ALT851963 AVO851960:AVP851963 BFK851960:BFL851963 BPG851960:BPH851963 BZC851960:BZD851963 CIY851960:CIZ851963 CSU851960:CSV851963 DCQ851960:DCR851963 DMM851960:DMN851963 DWI851960:DWJ851963 EGE851960:EGF851963 EQA851960:EQB851963 EZW851960:EZX851963 FJS851960:FJT851963 FTO851960:FTP851963 GDK851960:GDL851963 GNG851960:GNH851963 GXC851960:GXD851963 HGY851960:HGZ851963 HQU851960:HQV851963 IAQ851960:IAR851963 IKM851960:IKN851963 IUI851960:IUJ851963 JEE851960:JEF851963 JOA851960:JOB851963 JXW851960:JXX851963 KHS851960:KHT851963 KRO851960:KRP851963 LBK851960:LBL851963 LLG851960:LLH851963 LVC851960:LVD851963 MEY851960:MEZ851963 MOU851960:MOV851963 MYQ851960:MYR851963 NIM851960:NIN851963 NSI851960:NSJ851963 OCE851960:OCF851963 OMA851960:OMB851963 OVW851960:OVX851963 PFS851960:PFT851963 PPO851960:PPP851963 PZK851960:PZL851963 QJG851960:QJH851963 QTC851960:QTD851963 RCY851960:RCZ851963 RMU851960:RMV851963 RWQ851960:RWR851963 SGM851960:SGN851963 SQI851960:SQJ851963 TAE851960:TAF851963 TKA851960:TKB851963 TTW851960:TTX851963 UDS851960:UDT851963 UNO851960:UNP851963 UXK851960:UXL851963 VHG851960:VHH851963 VRC851960:VRD851963 WAY851960:WAZ851963 WKU851960:WKV851963 WUQ851960:WUR851963 IE917496:IF917499 SA917496:SB917499 ABW917496:ABX917499 ALS917496:ALT917499 AVO917496:AVP917499 BFK917496:BFL917499 BPG917496:BPH917499 BZC917496:BZD917499 CIY917496:CIZ917499 CSU917496:CSV917499 DCQ917496:DCR917499 DMM917496:DMN917499 DWI917496:DWJ917499 EGE917496:EGF917499 EQA917496:EQB917499 EZW917496:EZX917499 FJS917496:FJT917499 FTO917496:FTP917499 GDK917496:GDL917499 GNG917496:GNH917499 GXC917496:GXD917499 HGY917496:HGZ917499 HQU917496:HQV917499 IAQ917496:IAR917499 IKM917496:IKN917499 IUI917496:IUJ917499 JEE917496:JEF917499 JOA917496:JOB917499 JXW917496:JXX917499 KHS917496:KHT917499 KRO917496:KRP917499 LBK917496:LBL917499 LLG917496:LLH917499 LVC917496:LVD917499 MEY917496:MEZ917499 MOU917496:MOV917499 MYQ917496:MYR917499 NIM917496:NIN917499 NSI917496:NSJ917499 OCE917496:OCF917499 OMA917496:OMB917499 OVW917496:OVX917499 PFS917496:PFT917499 PPO917496:PPP917499 PZK917496:PZL917499 QJG917496:QJH917499 QTC917496:QTD917499 RCY917496:RCZ917499 RMU917496:RMV917499 RWQ917496:RWR917499 SGM917496:SGN917499 SQI917496:SQJ917499 TAE917496:TAF917499 TKA917496:TKB917499 TTW917496:TTX917499 UDS917496:UDT917499 UNO917496:UNP917499 UXK917496:UXL917499 VHG917496:VHH917499 VRC917496:VRD917499 WAY917496:WAZ917499 WKU917496:WKV917499 WUQ917496:WUR917499 IE983032:IF983035 SA983032:SB983035 ABW983032:ABX983035 ALS983032:ALT983035 AVO983032:AVP983035 BFK983032:BFL983035 BPG983032:BPH983035 BZC983032:BZD983035 CIY983032:CIZ983035 CSU983032:CSV983035 DCQ983032:DCR983035 DMM983032:DMN983035 DWI983032:DWJ983035 EGE983032:EGF983035 EQA983032:EQB983035 EZW983032:EZX983035 FJS983032:FJT983035 FTO983032:FTP983035 GDK983032:GDL983035 GNG983032:GNH983035 GXC983032:GXD983035 HGY983032:HGZ983035 HQU983032:HQV983035 IAQ983032:IAR983035 IKM983032:IKN983035 IUI983032:IUJ983035 JEE983032:JEF983035 JOA983032:JOB983035 JXW983032:JXX983035 KHS983032:KHT983035 KRO983032:KRP983035 LBK983032:LBL983035 LLG983032:LLH983035 LVC983032:LVD983035 MEY983032:MEZ983035 MOU983032:MOV983035 MYQ983032:MYR983035 NIM983032:NIN983035 NSI983032:NSJ983035 OCE983032:OCF983035 OMA983032:OMB983035 OVW983032:OVX983035 PFS983032:PFT983035 PPO983032:PPP983035 PZK983032:PZL983035 QJG983032:QJH983035 QTC983032:QTD983035 RCY983032:RCZ983035 RMU983032:RMV983035 RWQ983032:RWR983035 SGM983032:SGN983035 SQI983032:SQJ983035 TAE983032:TAF983035 TKA983032:TKB983035 TTW983032:TTX983035 UDS983032:UDT983035 UNO983032:UNP983035 UXK983032:UXL983035 VHG983032:VHH983035 VRC983032:VRD983035 WAY983032:WAZ983035 WKU983032:WKV983035 WUQ983032:WUR983035 WVB983032:WVC983035 VRN983032:VRO983035 IP65528:IQ65531 SL65528:SM65531 ACH65528:ACI65531 AMD65528:AME65531 AVZ65528:AWA65531 BFV65528:BFW65531 BPR65528:BPS65531 BZN65528:BZO65531 CJJ65528:CJK65531 CTF65528:CTG65531 DDB65528:DDC65531 DMX65528:DMY65531 DWT65528:DWU65531 EGP65528:EGQ65531 EQL65528:EQM65531 FAH65528:FAI65531 FKD65528:FKE65531 FTZ65528:FUA65531 GDV65528:GDW65531 GNR65528:GNS65531 GXN65528:GXO65531 HHJ65528:HHK65531 HRF65528:HRG65531 IBB65528:IBC65531 IKX65528:IKY65531 IUT65528:IUU65531 JEP65528:JEQ65531 JOL65528:JOM65531 JYH65528:JYI65531 KID65528:KIE65531 KRZ65528:KSA65531 LBV65528:LBW65531 LLR65528:LLS65531 LVN65528:LVO65531 MFJ65528:MFK65531 MPF65528:MPG65531 MZB65528:MZC65531 NIX65528:NIY65531 NST65528:NSU65531 OCP65528:OCQ65531 OML65528:OMM65531 OWH65528:OWI65531 PGD65528:PGE65531 PPZ65528:PQA65531 PZV65528:PZW65531 QJR65528:QJS65531 QTN65528:QTO65531 RDJ65528:RDK65531 RNF65528:RNG65531 RXB65528:RXC65531 SGX65528:SGY65531 SQT65528:SQU65531 TAP65528:TAQ65531 TKL65528:TKM65531 TUH65528:TUI65531 UED65528:UEE65531 UNZ65528:UOA65531 UXV65528:UXW65531 VHR65528:VHS65531 VRN65528:VRO65531 WBJ65528:WBK65531 WLF65528:WLG65531 WVB65528:WVC65531 IP131064:IQ131067 SL131064:SM131067 ACH131064:ACI131067 AMD131064:AME131067 AVZ131064:AWA131067 BFV131064:BFW131067 BPR131064:BPS131067 BZN131064:BZO131067 CJJ131064:CJK131067 CTF131064:CTG131067 DDB131064:DDC131067 DMX131064:DMY131067 DWT131064:DWU131067 EGP131064:EGQ131067 EQL131064:EQM131067 FAH131064:FAI131067 FKD131064:FKE131067 FTZ131064:FUA131067 GDV131064:GDW131067 GNR131064:GNS131067 GXN131064:GXO131067 HHJ131064:HHK131067 HRF131064:HRG131067 IBB131064:IBC131067 IKX131064:IKY131067 IUT131064:IUU131067 JEP131064:JEQ131067 JOL131064:JOM131067 JYH131064:JYI131067 KID131064:KIE131067 KRZ131064:KSA131067 LBV131064:LBW131067 LLR131064:LLS131067 LVN131064:LVO131067 MFJ131064:MFK131067 MPF131064:MPG131067 MZB131064:MZC131067 NIX131064:NIY131067 NST131064:NSU131067 OCP131064:OCQ131067 OML131064:OMM131067 OWH131064:OWI131067 PGD131064:PGE131067 PPZ131064:PQA131067 PZV131064:PZW131067 QJR131064:QJS131067 QTN131064:QTO131067 RDJ131064:RDK131067 RNF131064:RNG131067 RXB131064:RXC131067 SGX131064:SGY131067 SQT131064:SQU131067 TAP131064:TAQ131067 TKL131064:TKM131067 TUH131064:TUI131067 UED131064:UEE131067 UNZ131064:UOA131067 UXV131064:UXW131067 VHR131064:VHS131067 VRN131064:VRO131067 WBJ131064:WBK131067 WLF131064:WLG131067 WVB131064:WVC131067 IP196600:IQ196603 SL196600:SM196603 ACH196600:ACI196603 AMD196600:AME196603 AVZ196600:AWA196603 BFV196600:BFW196603 BPR196600:BPS196603 BZN196600:BZO196603 CJJ196600:CJK196603 CTF196600:CTG196603 DDB196600:DDC196603 DMX196600:DMY196603 DWT196600:DWU196603 EGP196600:EGQ196603 EQL196600:EQM196603 FAH196600:FAI196603 FKD196600:FKE196603 FTZ196600:FUA196603 GDV196600:GDW196603 GNR196600:GNS196603 GXN196600:GXO196603 HHJ196600:HHK196603 HRF196600:HRG196603 IBB196600:IBC196603 IKX196600:IKY196603 IUT196600:IUU196603 JEP196600:JEQ196603 JOL196600:JOM196603 JYH196600:JYI196603 KID196600:KIE196603 KRZ196600:KSA196603 LBV196600:LBW196603 LLR196600:LLS196603 LVN196600:LVO196603 MFJ196600:MFK196603 MPF196600:MPG196603 MZB196600:MZC196603 NIX196600:NIY196603 NST196600:NSU196603 OCP196600:OCQ196603 OML196600:OMM196603 OWH196600:OWI196603 PGD196600:PGE196603 PPZ196600:PQA196603 PZV196600:PZW196603 QJR196600:QJS196603 QTN196600:QTO196603 RDJ196600:RDK196603 RNF196600:RNG196603 RXB196600:RXC196603 SGX196600:SGY196603 SQT196600:SQU196603 TAP196600:TAQ196603 TKL196600:TKM196603 TUH196600:TUI196603 UED196600:UEE196603 UNZ196600:UOA196603 UXV196600:UXW196603 VHR196600:VHS196603 VRN196600:VRO196603 WBJ196600:WBK196603 WLF196600:WLG196603 WVB196600:WVC196603 IP262136:IQ262139 SL262136:SM262139 ACH262136:ACI262139 AMD262136:AME262139 AVZ262136:AWA262139 BFV262136:BFW262139 BPR262136:BPS262139 BZN262136:BZO262139 CJJ262136:CJK262139 CTF262136:CTG262139 DDB262136:DDC262139 DMX262136:DMY262139 DWT262136:DWU262139 EGP262136:EGQ262139 EQL262136:EQM262139 FAH262136:FAI262139 FKD262136:FKE262139 FTZ262136:FUA262139 GDV262136:GDW262139 GNR262136:GNS262139 GXN262136:GXO262139 HHJ262136:HHK262139 HRF262136:HRG262139 IBB262136:IBC262139 IKX262136:IKY262139 IUT262136:IUU262139 JEP262136:JEQ262139 JOL262136:JOM262139 JYH262136:JYI262139 KID262136:KIE262139 KRZ262136:KSA262139 LBV262136:LBW262139 LLR262136:LLS262139 LVN262136:LVO262139 MFJ262136:MFK262139 MPF262136:MPG262139 MZB262136:MZC262139 NIX262136:NIY262139 NST262136:NSU262139 OCP262136:OCQ262139 OML262136:OMM262139 OWH262136:OWI262139 PGD262136:PGE262139 PPZ262136:PQA262139 PZV262136:PZW262139 QJR262136:QJS262139 QTN262136:QTO262139 RDJ262136:RDK262139 RNF262136:RNG262139 RXB262136:RXC262139 SGX262136:SGY262139 SQT262136:SQU262139 TAP262136:TAQ262139 TKL262136:TKM262139 TUH262136:TUI262139 UED262136:UEE262139 UNZ262136:UOA262139 UXV262136:UXW262139 VHR262136:VHS262139 VRN262136:VRO262139 WBJ262136:WBK262139 WLF262136:WLG262139 WVB262136:WVC262139 IP327672:IQ327675 SL327672:SM327675 ACH327672:ACI327675 AMD327672:AME327675 AVZ327672:AWA327675 BFV327672:BFW327675 BPR327672:BPS327675 BZN327672:BZO327675 CJJ327672:CJK327675 CTF327672:CTG327675 DDB327672:DDC327675 DMX327672:DMY327675 DWT327672:DWU327675 EGP327672:EGQ327675 EQL327672:EQM327675 FAH327672:FAI327675 FKD327672:FKE327675 FTZ327672:FUA327675 GDV327672:GDW327675 GNR327672:GNS327675 GXN327672:GXO327675 HHJ327672:HHK327675 HRF327672:HRG327675 IBB327672:IBC327675 IKX327672:IKY327675 IUT327672:IUU327675 JEP327672:JEQ327675 JOL327672:JOM327675 JYH327672:JYI327675 KID327672:KIE327675 KRZ327672:KSA327675 LBV327672:LBW327675 LLR327672:LLS327675 LVN327672:LVO327675 MFJ327672:MFK327675 MPF327672:MPG327675 MZB327672:MZC327675 NIX327672:NIY327675 NST327672:NSU327675 OCP327672:OCQ327675 OML327672:OMM327675 OWH327672:OWI327675 PGD327672:PGE327675 PPZ327672:PQA327675 PZV327672:PZW327675 QJR327672:QJS327675 QTN327672:QTO327675 RDJ327672:RDK327675 RNF327672:RNG327675 RXB327672:RXC327675 SGX327672:SGY327675 SQT327672:SQU327675 TAP327672:TAQ327675 TKL327672:TKM327675 TUH327672:TUI327675 UED327672:UEE327675 UNZ327672:UOA327675 UXV327672:UXW327675 VHR327672:VHS327675 VRN327672:VRO327675 WBJ327672:WBK327675 WLF327672:WLG327675 WVB327672:WVC327675 IP393208:IQ393211 SL393208:SM393211 ACH393208:ACI393211 AMD393208:AME393211 AVZ393208:AWA393211 BFV393208:BFW393211 BPR393208:BPS393211 BZN393208:BZO393211 CJJ393208:CJK393211 CTF393208:CTG393211 DDB393208:DDC393211 DMX393208:DMY393211 DWT393208:DWU393211 EGP393208:EGQ393211 EQL393208:EQM393211 FAH393208:FAI393211 FKD393208:FKE393211 FTZ393208:FUA393211 GDV393208:GDW393211 GNR393208:GNS393211 GXN393208:GXO393211 HHJ393208:HHK393211 HRF393208:HRG393211 IBB393208:IBC393211 IKX393208:IKY393211 IUT393208:IUU393211 JEP393208:JEQ393211 JOL393208:JOM393211 JYH393208:JYI393211 KID393208:KIE393211 KRZ393208:KSA393211 LBV393208:LBW393211 LLR393208:LLS393211 LVN393208:LVO393211 MFJ393208:MFK393211 MPF393208:MPG393211 MZB393208:MZC393211 NIX393208:NIY393211 NST393208:NSU393211 OCP393208:OCQ393211 OML393208:OMM393211 OWH393208:OWI393211 PGD393208:PGE393211 PPZ393208:PQA393211 PZV393208:PZW393211 QJR393208:QJS393211 QTN393208:QTO393211 RDJ393208:RDK393211 RNF393208:RNG393211 RXB393208:RXC393211 SGX393208:SGY393211 SQT393208:SQU393211 TAP393208:TAQ393211 TKL393208:TKM393211 TUH393208:TUI393211 UED393208:UEE393211 UNZ393208:UOA393211 UXV393208:UXW393211 VHR393208:VHS393211 VRN393208:VRO393211 WBJ393208:WBK393211 WLF393208:WLG393211 WVB393208:WVC393211 IP458744:IQ458747 SL458744:SM458747 ACH458744:ACI458747 AMD458744:AME458747 AVZ458744:AWA458747 BFV458744:BFW458747 BPR458744:BPS458747 BZN458744:BZO458747 CJJ458744:CJK458747 CTF458744:CTG458747 DDB458744:DDC458747 DMX458744:DMY458747 DWT458744:DWU458747 EGP458744:EGQ458747 EQL458744:EQM458747 FAH458744:FAI458747 FKD458744:FKE458747 FTZ458744:FUA458747 GDV458744:GDW458747 GNR458744:GNS458747 GXN458744:GXO458747 HHJ458744:HHK458747 HRF458744:HRG458747 IBB458744:IBC458747 IKX458744:IKY458747 IUT458744:IUU458747 JEP458744:JEQ458747 JOL458744:JOM458747 JYH458744:JYI458747 KID458744:KIE458747 KRZ458744:KSA458747 LBV458744:LBW458747 LLR458744:LLS458747 LVN458744:LVO458747 MFJ458744:MFK458747 MPF458744:MPG458747 MZB458744:MZC458747 NIX458744:NIY458747 NST458744:NSU458747 OCP458744:OCQ458747 OML458744:OMM458747 OWH458744:OWI458747 PGD458744:PGE458747 PPZ458744:PQA458747 PZV458744:PZW458747 QJR458744:QJS458747 QTN458744:QTO458747 RDJ458744:RDK458747 RNF458744:RNG458747 RXB458744:RXC458747 SGX458744:SGY458747 SQT458744:SQU458747 TAP458744:TAQ458747 TKL458744:TKM458747 TUH458744:TUI458747 UED458744:UEE458747 UNZ458744:UOA458747 UXV458744:UXW458747 VHR458744:VHS458747 VRN458744:VRO458747 WBJ458744:WBK458747 WLF458744:WLG458747 WVB458744:WVC458747 IP524280:IQ524283 SL524280:SM524283 ACH524280:ACI524283 AMD524280:AME524283 AVZ524280:AWA524283 BFV524280:BFW524283 BPR524280:BPS524283 BZN524280:BZO524283 CJJ524280:CJK524283 CTF524280:CTG524283 DDB524280:DDC524283 DMX524280:DMY524283 DWT524280:DWU524283 EGP524280:EGQ524283 EQL524280:EQM524283 FAH524280:FAI524283 FKD524280:FKE524283 FTZ524280:FUA524283 GDV524280:GDW524283 GNR524280:GNS524283 GXN524280:GXO524283 HHJ524280:HHK524283 HRF524280:HRG524283 IBB524280:IBC524283 IKX524280:IKY524283 IUT524280:IUU524283 JEP524280:JEQ524283 JOL524280:JOM524283 JYH524280:JYI524283 KID524280:KIE524283 KRZ524280:KSA524283 LBV524280:LBW524283 LLR524280:LLS524283 LVN524280:LVO524283 MFJ524280:MFK524283 MPF524280:MPG524283 MZB524280:MZC524283 NIX524280:NIY524283 NST524280:NSU524283 OCP524280:OCQ524283 OML524280:OMM524283 OWH524280:OWI524283 PGD524280:PGE524283 PPZ524280:PQA524283 PZV524280:PZW524283 QJR524280:QJS524283 QTN524280:QTO524283 RDJ524280:RDK524283 RNF524280:RNG524283 RXB524280:RXC524283 SGX524280:SGY524283 SQT524280:SQU524283 TAP524280:TAQ524283 TKL524280:TKM524283 TUH524280:TUI524283 UED524280:UEE524283 UNZ524280:UOA524283 UXV524280:UXW524283 VHR524280:VHS524283 VRN524280:VRO524283 WBJ524280:WBK524283 WLF524280:WLG524283 WVB524280:WVC524283 IP589816:IQ589819 SL589816:SM589819 ACH589816:ACI589819 AMD589816:AME589819 AVZ589816:AWA589819 BFV589816:BFW589819 BPR589816:BPS589819 BZN589816:BZO589819 CJJ589816:CJK589819 CTF589816:CTG589819 DDB589816:DDC589819 DMX589816:DMY589819 DWT589816:DWU589819 EGP589816:EGQ589819 EQL589816:EQM589819 FAH589816:FAI589819 FKD589816:FKE589819 FTZ589816:FUA589819 GDV589816:GDW589819 GNR589816:GNS589819 GXN589816:GXO589819 HHJ589816:HHK589819 HRF589816:HRG589819 IBB589816:IBC589819 IKX589816:IKY589819 IUT589816:IUU589819 JEP589816:JEQ589819 JOL589816:JOM589819 JYH589816:JYI589819 KID589816:KIE589819 KRZ589816:KSA589819 LBV589816:LBW589819 LLR589816:LLS589819 LVN589816:LVO589819 MFJ589816:MFK589819 MPF589816:MPG589819 MZB589816:MZC589819 NIX589816:NIY589819 NST589816:NSU589819 OCP589816:OCQ589819 OML589816:OMM589819 OWH589816:OWI589819 PGD589816:PGE589819 PPZ589816:PQA589819 PZV589816:PZW589819 QJR589816:QJS589819 QTN589816:QTO589819 RDJ589816:RDK589819 RNF589816:RNG589819 RXB589816:RXC589819 SGX589816:SGY589819 SQT589816:SQU589819 TAP589816:TAQ589819 TKL589816:TKM589819 TUH589816:TUI589819 UED589816:UEE589819 UNZ589816:UOA589819 UXV589816:UXW589819 VHR589816:VHS589819 VRN589816:VRO589819 WBJ589816:WBK589819 WLF589816:WLG589819 WVB589816:WVC589819 IP655352:IQ655355 SL655352:SM655355 ACH655352:ACI655355 AMD655352:AME655355 AVZ655352:AWA655355 BFV655352:BFW655355 BPR655352:BPS655355 BZN655352:BZO655355 CJJ655352:CJK655355 CTF655352:CTG655355 DDB655352:DDC655355 DMX655352:DMY655355 DWT655352:DWU655355 EGP655352:EGQ655355 EQL655352:EQM655355 FAH655352:FAI655355 FKD655352:FKE655355 FTZ655352:FUA655355 GDV655352:GDW655355 GNR655352:GNS655355 GXN655352:GXO655355 HHJ655352:HHK655355 HRF655352:HRG655355 IBB655352:IBC655355 IKX655352:IKY655355 IUT655352:IUU655355 JEP655352:JEQ655355 JOL655352:JOM655355 JYH655352:JYI655355 KID655352:KIE655355 KRZ655352:KSA655355 LBV655352:LBW655355 LLR655352:LLS655355 LVN655352:LVO655355 MFJ655352:MFK655355 MPF655352:MPG655355 MZB655352:MZC655355 NIX655352:NIY655355 NST655352:NSU655355 OCP655352:OCQ655355 OML655352:OMM655355 OWH655352:OWI655355 PGD655352:PGE655355 PPZ655352:PQA655355 PZV655352:PZW655355 QJR655352:QJS655355 QTN655352:QTO655355 RDJ655352:RDK655355 RNF655352:RNG655355 RXB655352:RXC655355 SGX655352:SGY655355 SQT655352:SQU655355 TAP655352:TAQ655355 TKL655352:TKM655355 TUH655352:TUI655355 UED655352:UEE655355 UNZ655352:UOA655355 UXV655352:UXW655355 VHR655352:VHS655355 VRN655352:VRO655355 WBJ655352:WBK655355 WLF655352:WLG655355 WVB655352:WVC655355 IP720888:IQ720891 SL720888:SM720891 ACH720888:ACI720891 AMD720888:AME720891 AVZ720888:AWA720891 BFV720888:BFW720891 BPR720888:BPS720891 BZN720888:BZO720891 CJJ720888:CJK720891 CTF720888:CTG720891 DDB720888:DDC720891 DMX720888:DMY720891 DWT720888:DWU720891 EGP720888:EGQ720891 EQL720888:EQM720891 FAH720888:FAI720891 FKD720888:FKE720891 FTZ720888:FUA720891 GDV720888:GDW720891 GNR720888:GNS720891 GXN720888:GXO720891 HHJ720888:HHK720891 HRF720888:HRG720891 IBB720888:IBC720891 IKX720888:IKY720891 IUT720888:IUU720891 JEP720888:JEQ720891 JOL720888:JOM720891 JYH720888:JYI720891 KID720888:KIE720891 KRZ720888:KSA720891 LBV720888:LBW720891 LLR720888:LLS720891 LVN720888:LVO720891 MFJ720888:MFK720891 MPF720888:MPG720891 MZB720888:MZC720891 NIX720888:NIY720891 NST720888:NSU720891 OCP720888:OCQ720891 OML720888:OMM720891 OWH720888:OWI720891 PGD720888:PGE720891 PPZ720888:PQA720891 PZV720888:PZW720891 QJR720888:QJS720891 QTN720888:QTO720891 RDJ720888:RDK720891 RNF720888:RNG720891 RXB720888:RXC720891 SGX720888:SGY720891 SQT720888:SQU720891 TAP720888:TAQ720891 TKL720888:TKM720891 TUH720888:TUI720891 UED720888:UEE720891 UNZ720888:UOA720891 UXV720888:UXW720891 VHR720888:VHS720891 VRN720888:VRO720891 WBJ720888:WBK720891 WLF720888:WLG720891 WVB720888:WVC720891 IP786424:IQ786427 SL786424:SM786427 ACH786424:ACI786427 AMD786424:AME786427 AVZ786424:AWA786427 BFV786424:BFW786427 BPR786424:BPS786427 BZN786424:BZO786427 CJJ786424:CJK786427 CTF786424:CTG786427 DDB786424:DDC786427 DMX786424:DMY786427 DWT786424:DWU786427 EGP786424:EGQ786427 EQL786424:EQM786427 FAH786424:FAI786427 FKD786424:FKE786427 FTZ786424:FUA786427 GDV786424:GDW786427 GNR786424:GNS786427 GXN786424:GXO786427 HHJ786424:HHK786427 HRF786424:HRG786427 IBB786424:IBC786427 IKX786424:IKY786427 IUT786424:IUU786427 JEP786424:JEQ786427 JOL786424:JOM786427 JYH786424:JYI786427 KID786424:KIE786427 KRZ786424:KSA786427 LBV786424:LBW786427 LLR786424:LLS786427 LVN786424:LVO786427 MFJ786424:MFK786427 MPF786424:MPG786427 MZB786424:MZC786427 NIX786424:NIY786427 NST786424:NSU786427 OCP786424:OCQ786427 OML786424:OMM786427 OWH786424:OWI786427 PGD786424:PGE786427 PPZ786424:PQA786427 PZV786424:PZW786427 QJR786424:QJS786427 QTN786424:QTO786427 RDJ786424:RDK786427 RNF786424:RNG786427 RXB786424:RXC786427 SGX786424:SGY786427 SQT786424:SQU786427 TAP786424:TAQ786427 TKL786424:TKM786427 TUH786424:TUI786427 UED786424:UEE786427 UNZ786424:UOA786427 UXV786424:UXW786427 VHR786424:VHS786427 VRN786424:VRO786427 WBJ786424:WBK786427 WLF786424:WLG786427 WVB786424:WVC786427 IP851960:IQ851963 SL851960:SM851963 ACH851960:ACI851963 AMD851960:AME851963 AVZ851960:AWA851963 BFV851960:BFW851963 BPR851960:BPS851963 BZN851960:BZO851963 CJJ851960:CJK851963 CTF851960:CTG851963 DDB851960:DDC851963 DMX851960:DMY851963 DWT851960:DWU851963 EGP851960:EGQ851963 EQL851960:EQM851963 FAH851960:FAI851963 FKD851960:FKE851963 FTZ851960:FUA851963 GDV851960:GDW851963 GNR851960:GNS851963 GXN851960:GXO851963 HHJ851960:HHK851963 HRF851960:HRG851963 IBB851960:IBC851963 IKX851960:IKY851963 IUT851960:IUU851963 JEP851960:JEQ851963 JOL851960:JOM851963 JYH851960:JYI851963 KID851960:KIE851963 KRZ851960:KSA851963 LBV851960:LBW851963 LLR851960:LLS851963 LVN851960:LVO851963 MFJ851960:MFK851963 MPF851960:MPG851963 MZB851960:MZC851963 NIX851960:NIY851963 NST851960:NSU851963 OCP851960:OCQ851963 OML851960:OMM851963 OWH851960:OWI851963 PGD851960:PGE851963 PPZ851960:PQA851963 PZV851960:PZW851963 QJR851960:QJS851963 QTN851960:QTO851963 RDJ851960:RDK851963 RNF851960:RNG851963 RXB851960:RXC851963 SGX851960:SGY851963 SQT851960:SQU851963 TAP851960:TAQ851963 TKL851960:TKM851963 TUH851960:TUI851963 UED851960:UEE851963 UNZ851960:UOA851963 UXV851960:UXW851963 VHR851960:VHS851963 VRN851960:VRO851963 WBJ851960:WBK851963 WLF851960:WLG851963 WVB851960:WVC851963 IP917496:IQ917499 SL917496:SM917499 ACH917496:ACI917499 AMD917496:AME917499 AVZ917496:AWA917499 BFV917496:BFW917499 BPR917496:BPS917499 BZN917496:BZO917499 CJJ917496:CJK917499 CTF917496:CTG917499 DDB917496:DDC917499 DMX917496:DMY917499 DWT917496:DWU917499 EGP917496:EGQ917499 EQL917496:EQM917499 FAH917496:FAI917499 FKD917496:FKE917499 FTZ917496:FUA917499 GDV917496:GDW917499 GNR917496:GNS917499 GXN917496:GXO917499 HHJ917496:HHK917499 HRF917496:HRG917499 IBB917496:IBC917499 IKX917496:IKY917499 IUT917496:IUU917499 JEP917496:JEQ917499 JOL917496:JOM917499 JYH917496:JYI917499 KID917496:KIE917499 KRZ917496:KSA917499 LBV917496:LBW917499 LLR917496:LLS917499 LVN917496:LVO917499 MFJ917496:MFK917499 MPF917496:MPG917499 MZB917496:MZC917499 NIX917496:NIY917499 NST917496:NSU917499 OCP917496:OCQ917499 OML917496:OMM917499 OWH917496:OWI917499 PGD917496:PGE917499 PPZ917496:PQA917499 PZV917496:PZW917499 QJR917496:QJS917499 QTN917496:QTO917499 RDJ917496:RDK917499 RNF917496:RNG917499 RXB917496:RXC917499 SGX917496:SGY917499 SQT917496:SQU917499 TAP917496:TAQ917499 TKL917496:TKM917499 TUH917496:TUI917499 UED917496:UEE917499 UNZ917496:UOA917499 UXV917496:UXW917499 VHR917496:VHS917499 VRN917496:VRO917499 WBJ917496:WBK917499 WLF917496:WLG917499 WVB917496:WVC917499 IP983032:IQ983035 SL983032:SM983035 ACH983032:ACI983035 AMD983032:AME983035 AVZ983032:AWA983035 BFV983032:BFW983035 BPR983032:BPS983035 BZN983032:BZO983035 CJJ983032:CJK983035 CTF983032:CTG983035 DDB983032:DDC983035 DMX983032:DMY983035 DWT983032:DWU983035 EGP983032:EGQ983035 EQL983032:EQM983035 FAH983032:FAI983035 FKD983032:FKE983035 FTZ983032:FUA983035 GDV983032:GDW983035 GNR983032:GNS983035 GXN983032:GXO983035 HHJ983032:HHK983035 HRF983032:HRG983035 IBB983032:IBC983035 IKX983032:IKY983035 IUT983032:IUU983035 JEP983032:JEQ983035 JOL983032:JOM983035 JYH983032:JYI983035 KID983032:KIE983035 KRZ983032:KSA983035 LBV983032:LBW983035 LLR983032:LLS983035 LVN983032:LVO983035 MFJ983032:MFK983035 MPF983032:MPG983035 MZB983032:MZC983035 NIX983032:NIY983035 NST983032:NSU983035 OCP983032:OCQ983035 OML983032:OMM983035 OWH983032:OWI983035 PGD983032:PGE983035 PPZ983032:PQA983035 PZV983032:PZW983035 QJR983032:QJS983035 QTN983032:QTO983035 RDJ983032:RDK983035 RNF983032:RNG983035 RXB983032:RXC983035 SGX983032:SGY983035 SQT983032:SQU983035 TAP983032:TAQ983035 TKL983032:TKM983035 TUH983032:TUI983035 UED983032:UEE983035 UNZ983032:UOA983035 UXV983032:UXW983035 VHR983032:VHS983035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18"/>
  <sheetViews>
    <sheetView view="pageBreakPreview" topLeftCell="A11" zoomScaleNormal="115" zoomScaleSheetLayoutView="100" workbookViewId="0">
      <selection activeCell="B14" sqref="B14:B17"/>
    </sheetView>
  </sheetViews>
  <sheetFormatPr defaultRowHeight="15" x14ac:dyDescent="0.25"/>
  <cols>
    <col min="1" max="1" width="8.28515625" style="349" customWidth="1"/>
    <col min="2" max="2" width="40.7109375" style="349" customWidth="1"/>
    <col min="3" max="3" width="5.28515625" style="349" bestFit="1" customWidth="1"/>
    <col min="4" max="4" width="5.140625" style="349" customWidth="1"/>
    <col min="5" max="5" width="14.85546875" style="349" bestFit="1" customWidth="1"/>
    <col min="6" max="6" width="15.5703125" style="349" bestFit="1" customWidth="1"/>
    <col min="7" max="7" width="19.7109375" style="349" bestFit="1" customWidth="1"/>
    <col min="8" max="8" width="18.85546875" style="349" bestFit="1" customWidth="1"/>
    <col min="9" max="11" width="9.140625" style="349"/>
    <col min="12" max="12" width="9.28515625" style="349" bestFit="1" customWidth="1"/>
    <col min="13" max="13" width="10.7109375" style="349" bestFit="1" customWidth="1"/>
    <col min="14" max="22" width="9.140625" style="349"/>
    <col min="23" max="23" width="8.42578125" style="349" bestFit="1" customWidth="1"/>
    <col min="24" max="42" width="9.140625" style="349"/>
    <col min="43" max="43" width="14.85546875" style="349" bestFit="1" customWidth="1"/>
    <col min="44" max="44" width="15.5703125" style="349" bestFit="1" customWidth="1"/>
    <col min="45" max="227" width="9.140625" style="349"/>
    <col min="228" max="266" width="2.42578125" style="349" customWidth="1"/>
    <col min="267" max="267" width="3.42578125" style="349" bestFit="1" customWidth="1"/>
    <col min="268" max="483" width="9.140625" style="349"/>
    <col min="484" max="522" width="2.42578125" style="349" customWidth="1"/>
    <col min="523" max="523" width="3.42578125" style="349" bestFit="1" customWidth="1"/>
    <col min="524" max="739" width="9.140625" style="349"/>
    <col min="740" max="778" width="2.42578125" style="349" customWidth="1"/>
    <col min="779" max="779" width="3.42578125" style="349" bestFit="1" customWidth="1"/>
    <col min="780" max="995" width="9.140625" style="349"/>
    <col min="996" max="1034" width="2.42578125" style="349" customWidth="1"/>
    <col min="1035" max="1035" width="3.42578125" style="349" bestFit="1" customWidth="1"/>
    <col min="1036" max="1251" width="9.140625" style="349"/>
    <col min="1252" max="1290" width="2.42578125" style="349" customWidth="1"/>
    <col min="1291" max="1291" width="3.42578125" style="349" bestFit="1" customWidth="1"/>
    <col min="1292" max="1507" width="9.140625" style="349"/>
    <col min="1508" max="1546" width="2.42578125" style="349" customWidth="1"/>
    <col min="1547" max="1547" width="3.42578125" style="349" bestFit="1" customWidth="1"/>
    <col min="1548" max="1763" width="9.140625" style="349"/>
    <col min="1764" max="1802" width="2.42578125" style="349" customWidth="1"/>
    <col min="1803" max="1803" width="3.42578125" style="349" bestFit="1" customWidth="1"/>
    <col min="1804" max="2019" width="9.140625" style="349"/>
    <col min="2020" max="2058" width="2.42578125" style="349" customWidth="1"/>
    <col min="2059" max="2059" width="3.42578125" style="349" bestFit="1" customWidth="1"/>
    <col min="2060" max="2275" width="9.140625" style="349"/>
    <col min="2276" max="2314" width="2.42578125" style="349" customWidth="1"/>
    <col min="2315" max="2315" width="3.42578125" style="349" bestFit="1" customWidth="1"/>
    <col min="2316" max="2531" width="9.140625" style="349"/>
    <col min="2532" max="2570" width="2.42578125" style="349" customWidth="1"/>
    <col min="2571" max="2571" width="3.42578125" style="349" bestFit="1" customWidth="1"/>
    <col min="2572" max="2787" width="9.140625" style="349"/>
    <col min="2788" max="2826" width="2.42578125" style="349" customWidth="1"/>
    <col min="2827" max="2827" width="3.42578125" style="349" bestFit="1" customWidth="1"/>
    <col min="2828" max="3043" width="9.140625" style="349"/>
    <col min="3044" max="3082" width="2.42578125" style="349" customWidth="1"/>
    <col min="3083" max="3083" width="3.42578125" style="349" bestFit="1" customWidth="1"/>
    <col min="3084" max="3299" width="9.140625" style="349"/>
    <col min="3300" max="3338" width="2.42578125" style="349" customWidth="1"/>
    <col min="3339" max="3339" width="3.42578125" style="349" bestFit="1" customWidth="1"/>
    <col min="3340" max="3555" width="9.140625" style="349"/>
    <col min="3556" max="3594" width="2.42578125" style="349" customWidth="1"/>
    <col min="3595" max="3595" width="3.42578125" style="349" bestFit="1" customWidth="1"/>
    <col min="3596" max="3811" width="9.140625" style="349"/>
    <col min="3812" max="3850" width="2.42578125" style="349" customWidth="1"/>
    <col min="3851" max="3851" width="3.42578125" style="349" bestFit="1" customWidth="1"/>
    <col min="3852" max="4067" width="9.140625" style="349"/>
    <col min="4068" max="4106" width="2.42578125" style="349" customWidth="1"/>
    <col min="4107" max="4107" width="3.42578125" style="349" bestFit="1" customWidth="1"/>
    <col min="4108" max="4323" width="9.140625" style="349"/>
    <col min="4324" max="4362" width="2.42578125" style="349" customWidth="1"/>
    <col min="4363" max="4363" width="3.42578125" style="349" bestFit="1" customWidth="1"/>
    <col min="4364" max="4579" width="9.140625" style="349"/>
    <col min="4580" max="4618" width="2.42578125" style="349" customWidth="1"/>
    <col min="4619" max="4619" width="3.42578125" style="349" bestFit="1" customWidth="1"/>
    <col min="4620" max="4835" width="9.140625" style="349"/>
    <col min="4836" max="4874" width="2.42578125" style="349" customWidth="1"/>
    <col min="4875" max="4875" width="3.42578125" style="349" bestFit="1" customWidth="1"/>
    <col min="4876" max="5091" width="9.140625" style="349"/>
    <col min="5092" max="5130" width="2.42578125" style="349" customWidth="1"/>
    <col min="5131" max="5131" width="3.42578125" style="349" bestFit="1" customWidth="1"/>
    <col min="5132" max="5347" width="9.140625" style="349"/>
    <col min="5348" max="5386" width="2.42578125" style="349" customWidth="1"/>
    <col min="5387" max="5387" width="3.42578125" style="349" bestFit="1" customWidth="1"/>
    <col min="5388" max="5603" width="9.140625" style="349"/>
    <col min="5604" max="5642" width="2.42578125" style="349" customWidth="1"/>
    <col min="5643" max="5643" width="3.42578125" style="349" bestFit="1" customWidth="1"/>
    <col min="5644" max="5859" width="9.140625" style="349"/>
    <col min="5860" max="5898" width="2.42578125" style="349" customWidth="1"/>
    <col min="5899" max="5899" width="3.42578125" style="349" bestFit="1" customWidth="1"/>
    <col min="5900" max="6115" width="9.140625" style="349"/>
    <col min="6116" max="6154" width="2.42578125" style="349" customWidth="1"/>
    <col min="6155" max="6155" width="3.42578125" style="349" bestFit="1" customWidth="1"/>
    <col min="6156" max="6371" width="9.140625" style="349"/>
    <col min="6372" max="6410" width="2.42578125" style="349" customWidth="1"/>
    <col min="6411" max="6411" width="3.42578125" style="349" bestFit="1" customWidth="1"/>
    <col min="6412" max="6627" width="9.140625" style="349"/>
    <col min="6628" max="6666" width="2.42578125" style="349" customWidth="1"/>
    <col min="6667" max="6667" width="3.42578125" style="349" bestFit="1" customWidth="1"/>
    <col min="6668" max="6883" width="9.140625" style="349"/>
    <col min="6884" max="6922" width="2.42578125" style="349" customWidth="1"/>
    <col min="6923" max="6923" width="3.42578125" style="349" bestFit="1" customWidth="1"/>
    <col min="6924" max="7139" width="9.140625" style="349"/>
    <col min="7140" max="7178" width="2.42578125" style="349" customWidth="1"/>
    <col min="7179" max="7179" width="3.42578125" style="349" bestFit="1" customWidth="1"/>
    <col min="7180" max="7395" width="9.140625" style="349"/>
    <col min="7396" max="7434" width="2.42578125" style="349" customWidth="1"/>
    <col min="7435" max="7435" width="3.42578125" style="349" bestFit="1" customWidth="1"/>
    <col min="7436" max="7651" width="9.140625" style="349"/>
    <col min="7652" max="7690" width="2.42578125" style="349" customWidth="1"/>
    <col min="7691" max="7691" width="3.42578125" style="349" bestFit="1" customWidth="1"/>
    <col min="7692" max="7907" width="9.140625" style="349"/>
    <col min="7908" max="7946" width="2.42578125" style="349" customWidth="1"/>
    <col min="7947" max="7947" width="3.42578125" style="349" bestFit="1" customWidth="1"/>
    <col min="7948" max="8163" width="9.140625" style="349"/>
    <col min="8164" max="8202" width="2.42578125" style="349" customWidth="1"/>
    <col min="8203" max="8203" width="3.42578125" style="349" bestFit="1" customWidth="1"/>
    <col min="8204" max="8419" width="9.140625" style="349"/>
    <col min="8420" max="8458" width="2.42578125" style="349" customWidth="1"/>
    <col min="8459" max="8459" width="3.42578125" style="349" bestFit="1" customWidth="1"/>
    <col min="8460" max="8675" width="9.140625" style="349"/>
    <col min="8676" max="8714" width="2.42578125" style="349" customWidth="1"/>
    <col min="8715" max="8715" width="3.42578125" style="349" bestFit="1" customWidth="1"/>
    <col min="8716" max="8931" width="9.140625" style="349"/>
    <col min="8932" max="8970" width="2.42578125" style="349" customWidth="1"/>
    <col min="8971" max="8971" width="3.42578125" style="349" bestFit="1" customWidth="1"/>
    <col min="8972" max="9187" width="9.140625" style="349"/>
    <col min="9188" max="9226" width="2.42578125" style="349" customWidth="1"/>
    <col min="9227" max="9227" width="3.42578125" style="349" bestFit="1" customWidth="1"/>
    <col min="9228" max="9443" width="9.140625" style="349"/>
    <col min="9444" max="9482" width="2.42578125" style="349" customWidth="1"/>
    <col min="9483" max="9483" width="3.42578125" style="349" bestFit="1" customWidth="1"/>
    <col min="9484" max="9699" width="9.140625" style="349"/>
    <col min="9700" max="9738" width="2.42578125" style="349" customWidth="1"/>
    <col min="9739" max="9739" width="3.42578125" style="349" bestFit="1" customWidth="1"/>
    <col min="9740" max="9955" width="9.140625" style="349"/>
    <col min="9956" max="9994" width="2.42578125" style="349" customWidth="1"/>
    <col min="9995" max="9995" width="3.42578125" style="349" bestFit="1" customWidth="1"/>
    <col min="9996" max="10211" width="9.140625" style="349"/>
    <col min="10212" max="10250" width="2.42578125" style="349" customWidth="1"/>
    <col min="10251" max="10251" width="3.42578125" style="349" bestFit="1" customWidth="1"/>
    <col min="10252" max="10467" width="9.140625" style="349"/>
    <col min="10468" max="10506" width="2.42578125" style="349" customWidth="1"/>
    <col min="10507" max="10507" width="3.42578125" style="349" bestFit="1" customWidth="1"/>
    <col min="10508" max="10723" width="9.140625" style="349"/>
    <col min="10724" max="10762" width="2.42578125" style="349" customWidth="1"/>
    <col min="10763" max="10763" width="3.42578125" style="349" bestFit="1" customWidth="1"/>
    <col min="10764" max="10979" width="9.140625" style="349"/>
    <col min="10980" max="11018" width="2.42578125" style="349" customWidth="1"/>
    <col min="11019" max="11019" width="3.42578125" style="349" bestFit="1" customWidth="1"/>
    <col min="11020" max="11235" width="9.140625" style="349"/>
    <col min="11236" max="11274" width="2.42578125" style="349" customWidth="1"/>
    <col min="11275" max="11275" width="3.42578125" style="349" bestFit="1" customWidth="1"/>
    <col min="11276" max="11491" width="9.140625" style="349"/>
    <col min="11492" max="11530" width="2.42578125" style="349" customWidth="1"/>
    <col min="11531" max="11531" width="3.42578125" style="349" bestFit="1" customWidth="1"/>
    <col min="11532" max="11747" width="9.140625" style="349"/>
    <col min="11748" max="11786" width="2.42578125" style="349" customWidth="1"/>
    <col min="11787" max="11787" width="3.42578125" style="349" bestFit="1" customWidth="1"/>
    <col min="11788" max="12003" width="9.140625" style="349"/>
    <col min="12004" max="12042" width="2.42578125" style="349" customWidth="1"/>
    <col min="12043" max="12043" width="3.42578125" style="349" bestFit="1" customWidth="1"/>
    <col min="12044" max="12259" width="9.140625" style="349"/>
    <col min="12260" max="12298" width="2.42578125" style="349" customWidth="1"/>
    <col min="12299" max="12299" width="3.42578125" style="349" bestFit="1" customWidth="1"/>
    <col min="12300" max="12515" width="9.140625" style="349"/>
    <col min="12516" max="12554" width="2.42578125" style="349" customWidth="1"/>
    <col min="12555" max="12555" width="3.42578125" style="349" bestFit="1" customWidth="1"/>
    <col min="12556" max="12771" width="9.140625" style="349"/>
    <col min="12772" max="12810" width="2.42578125" style="349" customWidth="1"/>
    <col min="12811" max="12811" width="3.42578125" style="349" bestFit="1" customWidth="1"/>
    <col min="12812" max="13027" width="9.140625" style="349"/>
    <col min="13028" max="13066" width="2.42578125" style="349" customWidth="1"/>
    <col min="13067" max="13067" width="3.42578125" style="349" bestFit="1" customWidth="1"/>
    <col min="13068" max="13283" width="9.140625" style="349"/>
    <col min="13284" max="13322" width="2.42578125" style="349" customWidth="1"/>
    <col min="13323" max="13323" width="3.42578125" style="349" bestFit="1" customWidth="1"/>
    <col min="13324" max="13539" width="9.140625" style="349"/>
    <col min="13540" max="13578" width="2.42578125" style="349" customWidth="1"/>
    <col min="13579" max="13579" width="3.42578125" style="349" bestFit="1" customWidth="1"/>
    <col min="13580" max="13795" width="9.140625" style="349"/>
    <col min="13796" max="13834" width="2.42578125" style="349" customWidth="1"/>
    <col min="13835" max="13835" width="3.42578125" style="349" bestFit="1" customWidth="1"/>
    <col min="13836" max="14051" width="9.140625" style="349"/>
    <col min="14052" max="14090" width="2.42578125" style="349" customWidth="1"/>
    <col min="14091" max="14091" width="3.42578125" style="349" bestFit="1" customWidth="1"/>
    <col min="14092" max="14307" width="9.140625" style="349"/>
    <col min="14308" max="14346" width="2.42578125" style="349" customWidth="1"/>
    <col min="14347" max="14347" width="3.42578125" style="349" bestFit="1" customWidth="1"/>
    <col min="14348" max="14563" width="9.140625" style="349"/>
    <col min="14564" max="14602" width="2.42578125" style="349" customWidth="1"/>
    <col min="14603" max="14603" width="3.42578125" style="349" bestFit="1" customWidth="1"/>
    <col min="14604" max="14819" width="9.140625" style="349"/>
    <col min="14820" max="14858" width="2.42578125" style="349" customWidth="1"/>
    <col min="14859" max="14859" width="3.42578125" style="349" bestFit="1" customWidth="1"/>
    <col min="14860" max="15075" width="9.140625" style="349"/>
    <col min="15076" max="15114" width="2.42578125" style="349" customWidth="1"/>
    <col min="15115" max="15115" width="3.42578125" style="349" bestFit="1" customWidth="1"/>
    <col min="15116" max="15331" width="9.140625" style="349"/>
    <col min="15332" max="15370" width="2.42578125" style="349" customWidth="1"/>
    <col min="15371" max="15371" width="3.42578125" style="349" bestFit="1" customWidth="1"/>
    <col min="15372" max="15587" width="9.140625" style="349"/>
    <col min="15588" max="15626" width="2.42578125" style="349" customWidth="1"/>
    <col min="15627" max="15627" width="3.42578125" style="349" bestFit="1" customWidth="1"/>
    <col min="15628" max="15843" width="9.140625" style="349"/>
    <col min="15844" max="15882" width="2.42578125" style="349" customWidth="1"/>
    <col min="15883" max="15883" width="3.42578125" style="349" bestFit="1" customWidth="1"/>
    <col min="15884" max="16099" width="9.140625" style="349"/>
    <col min="16100" max="16138" width="2.42578125" style="349" customWidth="1"/>
    <col min="16139" max="16139" width="3.42578125" style="349" bestFit="1" customWidth="1"/>
    <col min="16140" max="16384" width="9.140625" style="349"/>
  </cols>
  <sheetData>
    <row r="1" spans="1:46" s="318" customFormat="1" ht="15.75" thickBot="1" x14ac:dyDescent="0.3">
      <c r="A1" s="312" t="s">
        <v>467</v>
      </c>
      <c r="B1" s="313"/>
      <c r="C1" s="314"/>
      <c r="D1" s="314"/>
      <c r="E1" s="314"/>
      <c r="F1" s="316"/>
      <c r="G1" s="314"/>
      <c r="H1" s="317"/>
      <c r="J1" s="319"/>
      <c r="K1" s="320"/>
      <c r="L1" s="320"/>
      <c r="AO1" s="321"/>
      <c r="AP1" s="322"/>
      <c r="AQ1" s="314"/>
      <c r="AR1" s="316"/>
    </row>
    <row r="2" spans="1:46" s="318" customFormat="1" ht="15.75" thickBot="1" x14ac:dyDescent="0.3">
      <c r="A2" s="312" t="s">
        <v>468</v>
      </c>
      <c r="B2" s="313"/>
      <c r="C2" s="314"/>
      <c r="D2" s="314"/>
      <c r="E2" s="314"/>
      <c r="F2" s="316"/>
      <c r="G2" s="314"/>
      <c r="H2" s="317"/>
      <c r="J2" s="319"/>
      <c r="K2" s="320"/>
      <c r="L2" s="320"/>
      <c r="AO2" s="321"/>
      <c r="AP2" s="322"/>
      <c r="AQ2" s="314"/>
      <c r="AR2" s="316"/>
    </row>
    <row r="3" spans="1:46" s="318" customFormat="1" ht="15.75" thickBot="1" x14ac:dyDescent="0.3">
      <c r="A3" s="312" t="s">
        <v>469</v>
      </c>
      <c r="B3" s="313"/>
      <c r="C3" s="314"/>
      <c r="D3" s="314"/>
      <c r="E3" s="314"/>
      <c r="F3" s="316"/>
      <c r="G3" s="314"/>
      <c r="H3" s="317"/>
      <c r="J3" s="319"/>
      <c r="K3" s="320"/>
      <c r="L3" s="320"/>
      <c r="AO3" s="321"/>
      <c r="AP3" s="322"/>
      <c r="AQ3" s="314"/>
      <c r="AR3" s="316"/>
    </row>
    <row r="4" spans="1:46" s="318" customFormat="1" ht="15.75" thickBot="1" x14ac:dyDescent="0.3">
      <c r="A4" s="312" t="s">
        <v>470</v>
      </c>
      <c r="B4" s="313"/>
      <c r="C4" s="314"/>
      <c r="D4" s="314"/>
      <c r="E4" s="314"/>
      <c r="F4" s="316"/>
      <c r="G4" s="314"/>
      <c r="H4" s="317"/>
      <c r="J4" s="319"/>
      <c r="K4" s="320"/>
      <c r="L4" s="320"/>
      <c r="AO4" s="321"/>
      <c r="AP4" s="322"/>
      <c r="AQ4" s="314"/>
      <c r="AR4" s="316"/>
    </row>
    <row r="5" spans="1:46" s="318" customFormat="1" ht="15.75" thickBot="1" x14ac:dyDescent="0.3">
      <c r="A5" s="312" t="s">
        <v>471</v>
      </c>
      <c r="B5" s="313"/>
      <c r="C5" s="314"/>
      <c r="D5" s="314"/>
      <c r="E5" s="314"/>
      <c r="F5" s="316"/>
      <c r="G5" s="314"/>
      <c r="H5" s="317"/>
      <c r="J5" s="319"/>
      <c r="K5" s="320"/>
      <c r="L5" s="320"/>
      <c r="AO5" s="321"/>
      <c r="AP5" s="322"/>
      <c r="AQ5" s="314"/>
      <c r="AR5" s="316"/>
    </row>
    <row r="6" spans="1:46" ht="15.75" thickBot="1" x14ac:dyDescent="0.3">
      <c r="A6" s="347" t="s">
        <v>315</v>
      </c>
      <c r="B6" s="352"/>
      <c r="C6" s="352"/>
      <c r="D6" s="352"/>
      <c r="E6" s="352"/>
      <c r="F6" s="352"/>
      <c r="G6" s="352"/>
      <c r="H6" s="352"/>
      <c r="I6" s="386" t="s">
        <v>405</v>
      </c>
      <c r="J6" s="387"/>
      <c r="K6" s="387"/>
      <c r="L6" s="388"/>
      <c r="M6" s="388"/>
      <c r="N6" s="386" t="s">
        <v>406</v>
      </c>
      <c r="O6" s="387"/>
      <c r="P6" s="387"/>
      <c r="Q6" s="388"/>
      <c r="R6" s="388"/>
      <c r="S6" s="386" t="s">
        <v>407</v>
      </c>
      <c r="T6" s="387"/>
      <c r="U6" s="387"/>
      <c r="V6" s="388"/>
      <c r="W6" s="388"/>
      <c r="AQ6" s="352"/>
      <c r="AR6" s="352"/>
    </row>
    <row r="7" spans="1:46" ht="120.75" thickBot="1" x14ac:dyDescent="0.3">
      <c r="A7" s="354" t="s">
        <v>295</v>
      </c>
      <c r="B7" s="355" t="s">
        <v>296</v>
      </c>
      <c r="C7" s="356" t="s">
        <v>302</v>
      </c>
      <c r="D7" s="356"/>
      <c r="E7" s="449" t="s">
        <v>538</v>
      </c>
      <c r="F7" s="450" t="s">
        <v>539</v>
      </c>
      <c r="G7" s="451" t="s">
        <v>540</v>
      </c>
      <c r="H7" s="452" t="s">
        <v>541</v>
      </c>
      <c r="I7" s="389" t="s">
        <v>408</v>
      </c>
      <c r="J7" s="353" t="s">
        <v>409</v>
      </c>
      <c r="K7" s="353" t="s">
        <v>410</v>
      </c>
      <c r="L7" s="353" t="s">
        <v>418</v>
      </c>
      <c r="M7" s="390" t="s">
        <v>414</v>
      </c>
      <c r="N7" s="389" t="s">
        <v>408</v>
      </c>
      <c r="O7" s="353" t="s">
        <v>409</v>
      </c>
      <c r="P7" s="353" t="s">
        <v>410</v>
      </c>
      <c r="Q7" s="353" t="s">
        <v>418</v>
      </c>
      <c r="R7" s="390" t="s">
        <v>414</v>
      </c>
      <c r="S7" s="389" t="s">
        <v>408</v>
      </c>
      <c r="T7" s="353" t="s">
        <v>409</v>
      </c>
      <c r="U7" s="353" t="s">
        <v>410</v>
      </c>
      <c r="V7" s="353" t="s">
        <v>418</v>
      </c>
      <c r="W7" s="390" t="s">
        <v>414</v>
      </c>
      <c r="AH7" s="439" t="s">
        <v>527</v>
      </c>
      <c r="AI7" s="439" t="s">
        <v>528</v>
      </c>
      <c r="AJ7" s="439" t="s">
        <v>529</v>
      </c>
      <c r="AK7" s="440" t="s">
        <v>530</v>
      </c>
      <c r="AL7" s="440" t="s">
        <v>531</v>
      </c>
      <c r="AM7" s="440" t="s">
        <v>532</v>
      </c>
      <c r="AN7" s="440" t="s">
        <v>533</v>
      </c>
      <c r="AO7" s="440" t="s">
        <v>534</v>
      </c>
      <c r="AP7" s="443" t="s">
        <v>535</v>
      </c>
      <c r="AQ7" s="356" t="s">
        <v>299</v>
      </c>
      <c r="AR7" s="357" t="s">
        <v>386</v>
      </c>
      <c r="AS7" s="445" t="s">
        <v>536</v>
      </c>
      <c r="AT7" s="446" t="s">
        <v>537</v>
      </c>
    </row>
    <row r="8" spans="1:46" ht="120" x14ac:dyDescent="0.25">
      <c r="A8" s="362" t="s">
        <v>379</v>
      </c>
      <c r="B8" s="381" t="s">
        <v>518</v>
      </c>
      <c r="C8" s="363">
        <v>1</v>
      </c>
      <c r="D8" s="363"/>
      <c r="E8" s="453">
        <f>IF(AND(AO8="IRR",SUM(AH8:AJ8)&gt;0),AP8,IF(AND(AO8="IRR",AQ8&lt;&gt;""),AQ8*'[5]Basic INFO'!$E$127,IF(AO8="IRR",AS8,"")))</f>
        <v>32663236799.999996</v>
      </c>
      <c r="F8" s="454" t="str">
        <f>IF(AND(AO8="EUR",SUM(AH8:AJ8)&gt;0),AP8,IF(AND(AO8="EUR",AR8&lt;&gt;""),AR8*'[5]Basic INFO'!$C$138,IF(AO8="EUR",AT8,"")))</f>
        <v/>
      </c>
      <c r="G8" s="455">
        <f t="shared" ref="G8" si="0">IF(AO8="IRR",C8*E8,"")</f>
        <v>32663236799.999996</v>
      </c>
      <c r="H8" s="456" t="str">
        <f t="shared" ref="H8" si="1">IF(AO8="EUR",C8*F8,"")</f>
        <v/>
      </c>
      <c r="I8" s="391" t="s">
        <v>415</v>
      </c>
      <c r="J8" s="392"/>
      <c r="K8" s="392"/>
      <c r="L8" s="392">
        <v>49600</v>
      </c>
      <c r="M8" s="393">
        <v>45703</v>
      </c>
      <c r="N8" s="391" t="s">
        <v>416</v>
      </c>
      <c r="O8" s="392"/>
      <c r="P8" s="392"/>
      <c r="Q8" s="394"/>
      <c r="R8" s="393" t="s">
        <v>438</v>
      </c>
      <c r="S8" s="391" t="s">
        <v>417</v>
      </c>
      <c r="T8" s="392"/>
      <c r="U8" s="392"/>
      <c r="V8" s="394"/>
      <c r="W8" s="393" t="s">
        <v>438</v>
      </c>
      <c r="AH8" s="441">
        <f>IF(B8="","",COUNT(J8,O8,T8,Y8,AD8))</f>
        <v>0</v>
      </c>
      <c r="AI8" s="442">
        <f>IF(B8="","",COUNT(K8,P8,U8,Z8,AE8))</f>
        <v>0</v>
      </c>
      <c r="AJ8" s="442">
        <f>IF(B8="","",COUNT(L8,Q8,V8,AA8,AF8))</f>
        <v>1</v>
      </c>
      <c r="AK8" s="442" t="str">
        <f>IF(AND(AH8&lt;&gt;"",AH8&gt;0),AVERAGE(J8,O8,T8,Y8,AD8)/('[5]Basic INFO'!$C$101*'[5]Basic INFO'!$C$103),"")</f>
        <v/>
      </c>
      <c r="AL8" s="442" t="str">
        <f>IF(AND(AI8&lt;&gt;"",AI8&gt;0),AVERAGE(K8,P8,U8,Z8,AE8),"")</f>
        <v/>
      </c>
      <c r="AM8" s="442">
        <f>IF(AND(AJ8&lt;&gt;"",AJ8&gt;0),AVERAGE(L8,Q8,V8,AA8,AF8)/'[5]Basic INFO'!$C$103,"")</f>
        <v>46977.320228161167</v>
      </c>
      <c r="AN8" s="442">
        <f>IF(SUM(AH8:AJ8)&lt;&gt;0,AVERAGE(AK8:AM8),"")</f>
        <v>46977.320228161167</v>
      </c>
      <c r="AO8" s="349" t="s">
        <v>525</v>
      </c>
      <c r="AP8" s="444">
        <f>IF(B8="","",IF(SUM(AH8:AJ8)=0,"",IF(AO8="IRR",AN8*('[5]Basic INFO'!$C$101*'[5]Basic INFO'!$C$103),IF(AO8="EUR",AN8,AP8))))</f>
        <v>32663236799.999996</v>
      </c>
      <c r="AQ8" s="364">
        <v>3260000000</v>
      </c>
      <c r="AR8" s="364"/>
      <c r="AS8" s="447"/>
      <c r="AT8" s="448"/>
    </row>
    <row r="9" spans="1:46" ht="105" x14ac:dyDescent="0.25">
      <c r="A9" s="362" t="s">
        <v>380</v>
      </c>
      <c r="B9" s="381" t="s">
        <v>519</v>
      </c>
      <c r="C9" s="363">
        <v>1</v>
      </c>
      <c r="D9" s="363"/>
      <c r="E9" s="453">
        <f>IF(AND(AO9="IRR",SUM(AH9:AJ9)&gt;0),AP9,IF(AND(AO9="IRR",AQ9&lt;&gt;""),AQ9*'[5]Basic INFO'!$E$127,IF(AO9="IRR",AS9,"")))</f>
        <v>14751139200</v>
      </c>
      <c r="F9" s="454" t="str">
        <f>IF(AND(AO9="EUR",SUM(AH9:AJ9)&gt;0),AP9,IF(AND(AO9="EUR",AR9&lt;&gt;""),AR9*'[5]Basic INFO'!$C$138,IF(AO9="EUR",AT9,"")))</f>
        <v/>
      </c>
      <c r="G9" s="455">
        <f t="shared" ref="G9:G13" si="2">IF(AO9="IRR",C9*E9,"")</f>
        <v>14751139200</v>
      </c>
      <c r="H9" s="456" t="str">
        <f t="shared" ref="H9:H13" si="3">IF(AO9="EUR",C9*F9,"")</f>
        <v/>
      </c>
      <c r="I9" s="395" t="s">
        <v>415</v>
      </c>
      <c r="J9" s="396"/>
      <c r="K9" s="396"/>
      <c r="L9" s="396">
        <v>22400</v>
      </c>
      <c r="M9" s="397">
        <v>45703</v>
      </c>
      <c r="N9" s="395" t="s">
        <v>416</v>
      </c>
      <c r="O9" s="396"/>
      <c r="P9" s="396"/>
      <c r="Q9" s="398"/>
      <c r="R9" s="397" t="s">
        <v>438</v>
      </c>
      <c r="S9" s="395" t="s">
        <v>417</v>
      </c>
      <c r="T9" s="396"/>
      <c r="U9" s="396"/>
      <c r="V9" s="398"/>
      <c r="W9" s="397" t="s">
        <v>438</v>
      </c>
      <c r="AH9" s="441">
        <f t="shared" ref="AH9:AH13" si="4">IF(B9="","",COUNT(J9,O9,T9,Y9,AD9))</f>
        <v>0</v>
      </c>
      <c r="AI9" s="442">
        <f t="shared" ref="AI9:AI13" si="5">IF(B9="","",COUNT(K9,P9,U9,Z9,AE9))</f>
        <v>0</v>
      </c>
      <c r="AJ9" s="442">
        <f t="shared" ref="AJ9:AJ13" si="6">IF(B9="","",COUNT(L9,Q9,V9,AA9,AF9))</f>
        <v>1</v>
      </c>
      <c r="AK9" s="442" t="str">
        <f>IF(AND(AH9&lt;&gt;"",AH9&gt;0),AVERAGE(J9,O9,T9,Y9,AD9)/('[5]Basic INFO'!$C$101*'[5]Basic INFO'!$C$103),"")</f>
        <v/>
      </c>
      <c r="AL9" s="442" t="str">
        <f t="shared" ref="AL9:AL13" si="7">IF(AND(AI9&lt;&gt;"",AI9&gt;0),AVERAGE(K9,P9,U9,Z9,AE9),"")</f>
        <v/>
      </c>
      <c r="AM9" s="442">
        <f>IF(AND(AJ9&lt;&gt;"",AJ9&gt;0),AVERAGE(L9,Q9,V9,AA9,AF9)/'[5]Basic INFO'!$C$103,"")</f>
        <v>21215.56397400827</v>
      </c>
      <c r="AN9" s="442">
        <f t="shared" ref="AN9:AN13" si="8">IF(SUM(AH9:AJ9)&lt;&gt;0,AVERAGE(AK9:AM9),"")</f>
        <v>21215.56397400827</v>
      </c>
      <c r="AO9" s="349" t="s">
        <v>525</v>
      </c>
      <c r="AP9" s="444">
        <f>IF(B9="","",IF(SUM(AH9:AJ9)=0,"",IF(AO9="IRR",AN9*('[5]Basic INFO'!$C$101*'[5]Basic INFO'!$C$103),IF(AO9="EUR",AN9,AP9))))</f>
        <v>14751139200</v>
      </c>
      <c r="AQ9" s="364">
        <v>960000000</v>
      </c>
      <c r="AR9" s="364"/>
      <c r="AS9" s="447"/>
      <c r="AT9" s="448"/>
    </row>
    <row r="10" spans="1:46" ht="105.75" thickBot="1" x14ac:dyDescent="0.3">
      <c r="A10" s="362" t="s">
        <v>381</v>
      </c>
      <c r="B10" s="381" t="s">
        <v>520</v>
      </c>
      <c r="C10" s="363">
        <v>1</v>
      </c>
      <c r="D10" s="363"/>
      <c r="E10" s="453">
        <f>IF(AND(AO10="IRR",SUM(AH10:AJ10)&gt;0),AP10,IF(AND(AO10="IRR",AQ10&lt;&gt;""),AQ10*'[5]Basic INFO'!$E$127,IF(AO10="IRR",AS10,"")))</f>
        <v>13434073200</v>
      </c>
      <c r="F10" s="454" t="str">
        <f>IF(AND(AO10="EUR",SUM(AH10:AJ10)&gt;0),AP10,IF(AND(AO10="EUR",AR10&lt;&gt;""),AR10*'[5]Basic INFO'!$C$138,IF(AO10="EUR",AT10,"")))</f>
        <v/>
      </c>
      <c r="G10" s="455">
        <f t="shared" si="2"/>
        <v>13434073200</v>
      </c>
      <c r="H10" s="456" t="str">
        <f t="shared" si="3"/>
        <v/>
      </c>
      <c r="I10" s="395" t="s">
        <v>415</v>
      </c>
      <c r="J10" s="396"/>
      <c r="K10" s="396"/>
      <c r="L10" s="396">
        <v>20400</v>
      </c>
      <c r="M10" s="397">
        <v>45703</v>
      </c>
      <c r="N10" s="395" t="s">
        <v>416</v>
      </c>
      <c r="O10" s="396"/>
      <c r="P10" s="396"/>
      <c r="Q10" s="398"/>
      <c r="R10" s="397" t="s">
        <v>438</v>
      </c>
      <c r="S10" s="395" t="s">
        <v>417</v>
      </c>
      <c r="T10" s="396"/>
      <c r="U10" s="396"/>
      <c r="V10" s="398"/>
      <c r="W10" s="397" t="s">
        <v>438</v>
      </c>
      <c r="AH10" s="441">
        <f t="shared" si="4"/>
        <v>0</v>
      </c>
      <c r="AI10" s="442">
        <f t="shared" si="5"/>
        <v>0</v>
      </c>
      <c r="AJ10" s="442">
        <f t="shared" si="6"/>
        <v>1</v>
      </c>
      <c r="AK10" s="442" t="str">
        <f>IF(AND(AH10&lt;&gt;"",AH10&gt;0),AVERAGE(J10,O10,T10,Y10,AD10)/('[5]Basic INFO'!$C$101*'[5]Basic INFO'!$C$103),"")</f>
        <v/>
      </c>
      <c r="AL10" s="442" t="str">
        <f t="shared" si="7"/>
        <v/>
      </c>
      <c r="AM10" s="442">
        <f>IF(AND(AJ10&lt;&gt;"",AJ10&gt;0),AVERAGE(L10,Q10,V10,AA10,AF10)/'[5]Basic INFO'!$C$103,"")</f>
        <v>19321.317190614674</v>
      </c>
      <c r="AN10" s="442">
        <f t="shared" si="8"/>
        <v>19321.317190614674</v>
      </c>
      <c r="AO10" s="349" t="s">
        <v>525</v>
      </c>
      <c r="AP10" s="444">
        <f>IF(B10="","",IF(SUM(AH10:AJ10)=0,"",IF(AO10="IRR",AN10*('[5]Basic INFO'!$C$101*'[5]Basic INFO'!$C$103),IF(AO10="EUR",AN10,AP10))))</f>
        <v>13434073200</v>
      </c>
      <c r="AQ10" s="364">
        <v>2800000000</v>
      </c>
      <c r="AR10" s="364"/>
      <c r="AS10" s="447"/>
      <c r="AT10" s="448"/>
    </row>
    <row r="11" spans="1:46" ht="120.75" thickBot="1" x14ac:dyDescent="0.3">
      <c r="A11" s="362" t="s">
        <v>382</v>
      </c>
      <c r="B11" s="381" t="s">
        <v>521</v>
      </c>
      <c r="C11" s="363">
        <v>1</v>
      </c>
      <c r="D11" s="363"/>
      <c r="E11" s="453">
        <f>IF(AND(AO11="IRR",SUM(AH11:AJ11)&gt;0),AP11,IF(AND(AO11="IRR",AQ11&lt;&gt;""),AQ11*'[5]Basic INFO'!$E$127,IF(AO11="IRR",AS11,"")))</f>
        <v>28053505800</v>
      </c>
      <c r="F11" s="454" t="str">
        <f>IF(AND(AO11="EUR",SUM(AH11:AJ11)&gt;0),AP11,IF(AND(AO11="EUR",AR11&lt;&gt;""),AR11*'[5]Basic INFO'!$C$138,IF(AO11="EUR",AT11,"")))</f>
        <v/>
      </c>
      <c r="G11" s="455">
        <f t="shared" si="2"/>
        <v>28053505800</v>
      </c>
      <c r="H11" s="456" t="str">
        <f t="shared" si="3"/>
        <v/>
      </c>
      <c r="I11" s="391" t="s">
        <v>415</v>
      </c>
      <c r="J11" s="392"/>
      <c r="K11" s="392"/>
      <c r="L11" s="392">
        <v>42600</v>
      </c>
      <c r="M11" s="393">
        <v>45703</v>
      </c>
      <c r="N11" s="391" t="s">
        <v>416</v>
      </c>
      <c r="O11" s="392"/>
      <c r="P11" s="392"/>
      <c r="Q11" s="394"/>
      <c r="R11" s="393" t="s">
        <v>438</v>
      </c>
      <c r="S11" s="391" t="s">
        <v>417</v>
      </c>
      <c r="T11" s="392"/>
      <c r="U11" s="392"/>
      <c r="V11" s="394"/>
      <c r="W11" s="393" t="s">
        <v>438</v>
      </c>
      <c r="AH11" s="441">
        <f t="shared" si="4"/>
        <v>0</v>
      </c>
      <c r="AI11" s="442">
        <f t="shared" si="5"/>
        <v>0</v>
      </c>
      <c r="AJ11" s="442">
        <f t="shared" si="6"/>
        <v>1</v>
      </c>
      <c r="AK11" s="442" t="str">
        <f>IF(AND(AH11&lt;&gt;"",AH11&gt;0),AVERAGE(J11,O11,T11,Y11,AD11)/('[5]Basic INFO'!$C$101*'[5]Basic INFO'!$C$103),"")</f>
        <v/>
      </c>
      <c r="AL11" s="442" t="str">
        <f t="shared" si="7"/>
        <v/>
      </c>
      <c r="AM11" s="442">
        <f>IF(AND(AJ11&lt;&gt;"",AJ11&gt;0),AVERAGE(L11,Q11,V11,AA11,AF11)/'[5]Basic INFO'!$C$103,"")</f>
        <v>40347.456486283583</v>
      </c>
      <c r="AN11" s="442">
        <f t="shared" si="8"/>
        <v>40347.456486283583</v>
      </c>
      <c r="AO11" s="349" t="s">
        <v>525</v>
      </c>
      <c r="AP11" s="444">
        <f>IF(B11="","",IF(SUM(AH11:AJ11)=0,"",IF(AO11="IRR",AN11*('[5]Basic INFO'!$C$101*'[5]Basic INFO'!$C$103),IF(AO11="EUR",AN11,AP11))))</f>
        <v>28053505800</v>
      </c>
      <c r="AQ11" s="364">
        <v>2950000000</v>
      </c>
      <c r="AR11" s="364"/>
      <c r="AS11" s="447"/>
      <c r="AT11" s="448"/>
    </row>
    <row r="12" spans="1:46" ht="120" x14ac:dyDescent="0.25">
      <c r="A12" s="362" t="s">
        <v>383</v>
      </c>
      <c r="B12" s="381" t="s">
        <v>522</v>
      </c>
      <c r="C12" s="363">
        <v>1</v>
      </c>
      <c r="D12" s="363"/>
      <c r="E12" s="453">
        <f>IF(AND(AO12="IRR",SUM(AH12:AJ12)&gt;0),AP12,IF(AND(AO12="IRR",AQ12&lt;&gt;""),AQ12*'[5]Basic INFO'!$E$127,IF(AO12="IRR",AS12,"")))</f>
        <v>30687637799.999996</v>
      </c>
      <c r="F12" s="454" t="str">
        <f>IF(AND(AO12="EUR",SUM(AH12:AJ12)&gt;0),AP12,IF(AND(AO12="EUR",AR12&lt;&gt;""),AR12*'[5]Basic INFO'!$C$138,IF(AO12="EUR",AT12,"")))</f>
        <v/>
      </c>
      <c r="G12" s="455">
        <f t="shared" si="2"/>
        <v>30687637799.999996</v>
      </c>
      <c r="H12" s="456" t="str">
        <f t="shared" si="3"/>
        <v/>
      </c>
      <c r="I12" s="391" t="s">
        <v>415</v>
      </c>
      <c r="J12" s="392"/>
      <c r="K12" s="392"/>
      <c r="L12" s="392">
        <v>46600</v>
      </c>
      <c r="M12" s="393">
        <v>45703</v>
      </c>
      <c r="N12" s="391" t="s">
        <v>416</v>
      </c>
      <c r="O12" s="392"/>
      <c r="P12" s="392"/>
      <c r="Q12" s="394"/>
      <c r="R12" s="393" t="s">
        <v>438</v>
      </c>
      <c r="S12" s="391" t="s">
        <v>417</v>
      </c>
      <c r="T12" s="392"/>
      <c r="U12" s="392"/>
      <c r="V12" s="394"/>
      <c r="W12" s="393" t="s">
        <v>438</v>
      </c>
      <c r="AH12" s="441">
        <f t="shared" si="4"/>
        <v>0</v>
      </c>
      <c r="AI12" s="442">
        <f t="shared" si="5"/>
        <v>0</v>
      </c>
      <c r="AJ12" s="442">
        <f t="shared" si="6"/>
        <v>1</v>
      </c>
      <c r="AK12" s="442" t="str">
        <f>IF(AND(AH12&lt;&gt;"",AH12&gt;0),AVERAGE(J12,O12,T12,Y12,AD12)/('[5]Basic INFO'!$C$101*'[5]Basic INFO'!$C$103),"")</f>
        <v/>
      </c>
      <c r="AL12" s="442" t="str">
        <f t="shared" si="7"/>
        <v/>
      </c>
      <c r="AM12" s="442">
        <f>IF(AND(AJ12&lt;&gt;"",AJ12&gt;0),AVERAGE(L12,Q12,V12,AA12,AF12)/'[5]Basic INFO'!$C$103,"")</f>
        <v>44135.950053070774</v>
      </c>
      <c r="AN12" s="442">
        <f t="shared" si="8"/>
        <v>44135.950053070774</v>
      </c>
      <c r="AO12" s="349" t="s">
        <v>525</v>
      </c>
      <c r="AP12" s="444">
        <f>IF(B12="","",IF(SUM(AH12:AJ12)=0,"",IF(AO12="IRR",AN12*('[5]Basic INFO'!$C$101*'[5]Basic INFO'!$C$103),IF(AO12="EUR",AN12,AP12))))</f>
        <v>30687637799.999996</v>
      </c>
      <c r="AQ12" s="364">
        <v>2950000000</v>
      </c>
      <c r="AR12" s="364"/>
      <c r="AS12" s="447"/>
      <c r="AT12" s="448"/>
    </row>
    <row r="13" spans="1:46" ht="105" x14ac:dyDescent="0.25">
      <c r="A13" s="362" t="s">
        <v>384</v>
      </c>
      <c r="B13" s="381" t="s">
        <v>523</v>
      </c>
      <c r="C13" s="363">
        <v>1</v>
      </c>
      <c r="D13" s="363"/>
      <c r="E13" s="453">
        <f>IF(AND(AO13="IRR",SUM(AH13:AJ13)&gt;0),AP13,IF(AND(AO13="IRR",AQ13&lt;&gt;""),AQ13*'[5]Basic INFO'!$E$127,IF(AO13="IRR",AS13,"")))</f>
        <v>15738938700</v>
      </c>
      <c r="F13" s="454" t="str">
        <f>IF(AND(AO13="EUR",SUM(AH13:AJ13)&gt;0),AP13,IF(AND(AO13="EUR",AR13&lt;&gt;""),AR13*'[5]Basic INFO'!$C$138,IF(AO13="EUR",AT13,"")))</f>
        <v/>
      </c>
      <c r="G13" s="455">
        <f t="shared" si="2"/>
        <v>15738938700</v>
      </c>
      <c r="H13" s="456" t="str">
        <f t="shared" si="3"/>
        <v/>
      </c>
      <c r="I13" s="395" t="s">
        <v>415</v>
      </c>
      <c r="J13" s="396"/>
      <c r="K13" s="396"/>
      <c r="L13" s="396">
        <v>23900</v>
      </c>
      <c r="M13" s="397">
        <v>45703</v>
      </c>
      <c r="N13" s="395" t="s">
        <v>416</v>
      </c>
      <c r="O13" s="396"/>
      <c r="P13" s="396"/>
      <c r="Q13" s="398"/>
      <c r="R13" s="397" t="s">
        <v>438</v>
      </c>
      <c r="S13" s="395" t="s">
        <v>417</v>
      </c>
      <c r="T13" s="396"/>
      <c r="U13" s="396"/>
      <c r="V13" s="398"/>
      <c r="W13" s="397" t="s">
        <v>438</v>
      </c>
      <c r="AH13" s="441">
        <f t="shared" si="4"/>
        <v>0</v>
      </c>
      <c r="AI13" s="442">
        <f t="shared" si="5"/>
        <v>0</v>
      </c>
      <c r="AJ13" s="442">
        <f t="shared" si="6"/>
        <v>1</v>
      </c>
      <c r="AK13" s="442" t="str">
        <f>IF(AND(AH13&lt;&gt;"",AH13&gt;0),AVERAGE(J13,O13,T13,Y13,AD13)/('[5]Basic INFO'!$C$101*'[5]Basic INFO'!$C$103),"")</f>
        <v/>
      </c>
      <c r="AL13" s="442" t="str">
        <f t="shared" si="7"/>
        <v/>
      </c>
      <c r="AM13" s="442">
        <f>IF(AND(AJ13&lt;&gt;"",AJ13&gt;0),AVERAGE(L13,Q13,V13,AA13,AF13)/'[5]Basic INFO'!$C$103,"")</f>
        <v>22636.249061553466</v>
      </c>
      <c r="AN13" s="442">
        <f t="shared" si="8"/>
        <v>22636.249061553466</v>
      </c>
      <c r="AO13" s="349" t="s">
        <v>525</v>
      </c>
      <c r="AP13" s="444">
        <f>IF(B13="","",IF(SUM(AH13:AJ13)=0,"",IF(AO13="IRR",AN13*('[5]Basic INFO'!$C$101*'[5]Basic INFO'!$C$103),IF(AO13="EUR",AN13,AP13))))</f>
        <v>15738938700</v>
      </c>
      <c r="AQ13" s="364">
        <v>980000000</v>
      </c>
      <c r="AR13" s="364"/>
      <c r="AS13" s="447"/>
      <c r="AT13" s="448"/>
    </row>
    <row r="14" spans="1:46" ht="30" x14ac:dyDescent="0.25">
      <c r="A14" s="457"/>
      <c r="B14" s="458" t="s">
        <v>542</v>
      </c>
      <c r="C14" s="457"/>
      <c r="D14" s="457"/>
      <c r="E14" s="459"/>
      <c r="F14" s="460"/>
      <c r="G14" s="461">
        <f>SUM(G8:G13)</f>
        <v>135328531500</v>
      </c>
      <c r="H14" s="462">
        <f>SUM(H8:H13)</f>
        <v>0</v>
      </c>
      <c r="AQ14" s="378" t="s">
        <v>297</v>
      </c>
      <c r="AR14" s="378" t="s">
        <v>298</v>
      </c>
    </row>
    <row r="15" spans="1:46" x14ac:dyDescent="0.25">
      <c r="A15" s="463"/>
      <c r="B15" s="464" t="s">
        <v>543</v>
      </c>
      <c r="C15" s="463"/>
      <c r="D15" s="463"/>
      <c r="E15"/>
      <c r="F15"/>
      <c r="G15" s="465">
        <v>1.18</v>
      </c>
      <c r="H15" s="465">
        <v>1.18</v>
      </c>
      <c r="AQ15" s="379"/>
      <c r="AR15" s="379"/>
    </row>
    <row r="16" spans="1:46" x14ac:dyDescent="0.25">
      <c r="A16" s="463"/>
      <c r="B16" s="464" t="s">
        <v>544</v>
      </c>
      <c r="C16" s="463"/>
      <c r="D16" s="463"/>
      <c r="E16"/>
      <c r="F16"/>
      <c r="G16" s="466">
        <v>0.1</v>
      </c>
      <c r="H16" s="466">
        <v>0.1</v>
      </c>
      <c r="AQ16" s="370"/>
      <c r="AR16" s="370"/>
    </row>
    <row r="17" spans="1:44" ht="15.75" thickBot="1" x14ac:dyDescent="0.3">
      <c r="A17" s="463"/>
      <c r="B17" s="467" t="s">
        <v>545</v>
      </c>
      <c r="C17" s="463"/>
      <c r="D17" s="463"/>
      <c r="E17"/>
      <c r="F17"/>
      <c r="G17" s="468">
        <f>ROUND((G14*G15*(1+G16))/1000000,0)*1000000</f>
        <v>175656000000</v>
      </c>
      <c r="H17" s="469">
        <f>ROUND(H14*H15*(1+H16)/1000,0)*1000</f>
        <v>0</v>
      </c>
      <c r="AQ17" s="372"/>
      <c r="AR17" s="372"/>
    </row>
    <row r="18" spans="1:44" x14ac:dyDescent="0.25">
      <c r="G18" s="461">
        <f>ROUND(SUMIF(AP:AP,"&gt;0",G:G)*G15*(1+G16)/1000000,0)*1000000</f>
        <v>175656000000</v>
      </c>
      <c r="H18" s="462">
        <f>ROUND(SUMIF(AP:AP,"&gt;0",H:H)*H15*(1+H16)/1000,0)*1000</f>
        <v>0</v>
      </c>
    </row>
  </sheetData>
  <dataValidations disablePrompts="1" count="1">
    <dataValidation type="list" allowBlank="1" showInputMessage="1" showErrorMessage="1" sqref="WBM983037:WBN983040 JD65533:JE65536 SZ65533:TA65536 ACV65533:ACW65536 AMR65533:AMS65536 AWN65533:AWO65536 BGJ65533:BGK65536 BQF65533:BQG65536 CAB65533:CAC65536 CJX65533:CJY65536 CTT65533:CTU65536 DDP65533:DDQ65536 DNL65533:DNM65536 DXH65533:DXI65536 EHD65533:EHE65536 EQZ65533:ERA65536 FAV65533:FAW65536 FKR65533:FKS65536 FUN65533:FUO65536 GEJ65533:GEK65536 GOF65533:GOG65536 GYB65533:GYC65536 HHX65533:HHY65536 HRT65533:HRU65536 IBP65533:IBQ65536 ILL65533:ILM65536 IVH65533:IVI65536 JFD65533:JFE65536 JOZ65533:JPA65536 JYV65533:JYW65536 KIR65533:KIS65536 KSN65533:KSO65536 LCJ65533:LCK65536 LMF65533:LMG65536 LWB65533:LWC65536 MFX65533:MFY65536 MPT65533:MPU65536 MZP65533:MZQ65536 NJL65533:NJM65536 NTH65533:NTI65536 ODD65533:ODE65536 OMZ65533:ONA65536 OWV65533:OWW65536 PGR65533:PGS65536 PQN65533:PQO65536 QAJ65533:QAK65536 QKF65533:QKG65536 QUB65533:QUC65536 RDX65533:RDY65536 RNT65533:RNU65536 RXP65533:RXQ65536 SHL65533:SHM65536 SRH65533:SRI65536 TBD65533:TBE65536 TKZ65533:TLA65536 TUV65533:TUW65536 UER65533:UES65536 UON65533:UOO65536 UYJ65533:UYK65536 VIF65533:VIG65536 VSB65533:VSC65536 WBX65533:WBY65536 WLT65533:WLU65536 WVP65533:WVQ65536 JD131069:JE131072 SZ131069:TA131072 ACV131069:ACW131072 AMR131069:AMS131072 AWN131069:AWO131072 BGJ131069:BGK131072 BQF131069:BQG131072 CAB131069:CAC131072 CJX131069:CJY131072 CTT131069:CTU131072 DDP131069:DDQ131072 DNL131069:DNM131072 DXH131069:DXI131072 EHD131069:EHE131072 EQZ131069:ERA131072 FAV131069:FAW131072 FKR131069:FKS131072 FUN131069:FUO131072 GEJ131069:GEK131072 GOF131069:GOG131072 GYB131069:GYC131072 HHX131069:HHY131072 HRT131069:HRU131072 IBP131069:IBQ131072 ILL131069:ILM131072 IVH131069:IVI131072 JFD131069:JFE131072 JOZ131069:JPA131072 JYV131069:JYW131072 KIR131069:KIS131072 KSN131069:KSO131072 LCJ131069:LCK131072 LMF131069:LMG131072 LWB131069:LWC131072 MFX131069:MFY131072 MPT131069:MPU131072 MZP131069:MZQ131072 NJL131069:NJM131072 NTH131069:NTI131072 ODD131069:ODE131072 OMZ131069:ONA131072 OWV131069:OWW131072 PGR131069:PGS131072 PQN131069:PQO131072 QAJ131069:QAK131072 QKF131069:QKG131072 QUB131069:QUC131072 RDX131069:RDY131072 RNT131069:RNU131072 RXP131069:RXQ131072 SHL131069:SHM131072 SRH131069:SRI131072 TBD131069:TBE131072 TKZ131069:TLA131072 TUV131069:TUW131072 UER131069:UES131072 UON131069:UOO131072 UYJ131069:UYK131072 VIF131069:VIG131072 VSB131069:VSC131072 WBX131069:WBY131072 WLT131069:WLU131072 WVP131069:WVQ131072 JD196605:JE196608 SZ196605:TA196608 ACV196605:ACW196608 AMR196605:AMS196608 AWN196605:AWO196608 BGJ196605:BGK196608 BQF196605:BQG196608 CAB196605:CAC196608 CJX196605:CJY196608 CTT196605:CTU196608 DDP196605:DDQ196608 DNL196605:DNM196608 DXH196605:DXI196608 EHD196605:EHE196608 EQZ196605:ERA196608 FAV196605:FAW196608 FKR196605:FKS196608 FUN196605:FUO196608 GEJ196605:GEK196608 GOF196605:GOG196608 GYB196605:GYC196608 HHX196605:HHY196608 HRT196605:HRU196608 IBP196605:IBQ196608 ILL196605:ILM196608 IVH196605:IVI196608 JFD196605:JFE196608 JOZ196605:JPA196608 JYV196605:JYW196608 KIR196605:KIS196608 KSN196605:KSO196608 LCJ196605:LCK196608 LMF196605:LMG196608 LWB196605:LWC196608 MFX196605:MFY196608 MPT196605:MPU196608 MZP196605:MZQ196608 NJL196605:NJM196608 NTH196605:NTI196608 ODD196605:ODE196608 OMZ196605:ONA196608 OWV196605:OWW196608 PGR196605:PGS196608 PQN196605:PQO196608 QAJ196605:QAK196608 QKF196605:QKG196608 QUB196605:QUC196608 RDX196605:RDY196608 RNT196605:RNU196608 RXP196605:RXQ196608 SHL196605:SHM196608 SRH196605:SRI196608 TBD196605:TBE196608 TKZ196605:TLA196608 TUV196605:TUW196608 UER196605:UES196608 UON196605:UOO196608 UYJ196605:UYK196608 VIF196605:VIG196608 VSB196605:VSC196608 WBX196605:WBY196608 WLT196605:WLU196608 WVP196605:WVQ196608 JD262141:JE262144 SZ262141:TA262144 ACV262141:ACW262144 AMR262141:AMS262144 AWN262141:AWO262144 BGJ262141:BGK262144 BQF262141:BQG262144 CAB262141:CAC262144 CJX262141:CJY262144 CTT262141:CTU262144 DDP262141:DDQ262144 DNL262141:DNM262144 DXH262141:DXI262144 EHD262141:EHE262144 EQZ262141:ERA262144 FAV262141:FAW262144 FKR262141:FKS262144 FUN262141:FUO262144 GEJ262141:GEK262144 GOF262141:GOG262144 GYB262141:GYC262144 HHX262141:HHY262144 HRT262141:HRU262144 IBP262141:IBQ262144 ILL262141:ILM262144 IVH262141:IVI262144 JFD262141:JFE262144 JOZ262141:JPA262144 JYV262141:JYW262144 KIR262141:KIS262144 KSN262141:KSO262144 LCJ262141:LCK262144 LMF262141:LMG262144 LWB262141:LWC262144 MFX262141:MFY262144 MPT262141:MPU262144 MZP262141:MZQ262144 NJL262141:NJM262144 NTH262141:NTI262144 ODD262141:ODE262144 OMZ262141:ONA262144 OWV262141:OWW262144 PGR262141:PGS262144 PQN262141:PQO262144 QAJ262141:QAK262144 QKF262141:QKG262144 QUB262141:QUC262144 RDX262141:RDY262144 RNT262141:RNU262144 RXP262141:RXQ262144 SHL262141:SHM262144 SRH262141:SRI262144 TBD262141:TBE262144 TKZ262141:TLA262144 TUV262141:TUW262144 UER262141:UES262144 UON262141:UOO262144 UYJ262141:UYK262144 VIF262141:VIG262144 VSB262141:VSC262144 WBX262141:WBY262144 WLT262141:WLU262144 WVP262141:WVQ262144 JD327677:JE327680 SZ327677:TA327680 ACV327677:ACW327680 AMR327677:AMS327680 AWN327677:AWO327680 BGJ327677:BGK327680 BQF327677:BQG327680 CAB327677:CAC327680 CJX327677:CJY327680 CTT327677:CTU327680 DDP327677:DDQ327680 DNL327677:DNM327680 DXH327677:DXI327680 EHD327677:EHE327680 EQZ327677:ERA327680 FAV327677:FAW327680 FKR327677:FKS327680 FUN327677:FUO327680 GEJ327677:GEK327680 GOF327677:GOG327680 GYB327677:GYC327680 HHX327677:HHY327680 HRT327677:HRU327680 IBP327677:IBQ327680 ILL327677:ILM327680 IVH327677:IVI327680 JFD327677:JFE327680 JOZ327677:JPA327680 JYV327677:JYW327680 KIR327677:KIS327680 KSN327677:KSO327680 LCJ327677:LCK327680 LMF327677:LMG327680 LWB327677:LWC327680 MFX327677:MFY327680 MPT327677:MPU327680 MZP327677:MZQ327680 NJL327677:NJM327680 NTH327677:NTI327680 ODD327677:ODE327680 OMZ327677:ONA327680 OWV327677:OWW327680 PGR327677:PGS327680 PQN327677:PQO327680 QAJ327677:QAK327680 QKF327677:QKG327680 QUB327677:QUC327680 RDX327677:RDY327680 RNT327677:RNU327680 RXP327677:RXQ327680 SHL327677:SHM327680 SRH327677:SRI327680 TBD327677:TBE327680 TKZ327677:TLA327680 TUV327677:TUW327680 UER327677:UES327680 UON327677:UOO327680 UYJ327677:UYK327680 VIF327677:VIG327680 VSB327677:VSC327680 WBX327677:WBY327680 WLT327677:WLU327680 WVP327677:WVQ327680 JD393213:JE393216 SZ393213:TA393216 ACV393213:ACW393216 AMR393213:AMS393216 AWN393213:AWO393216 BGJ393213:BGK393216 BQF393213:BQG393216 CAB393213:CAC393216 CJX393213:CJY393216 CTT393213:CTU393216 DDP393213:DDQ393216 DNL393213:DNM393216 DXH393213:DXI393216 EHD393213:EHE393216 EQZ393213:ERA393216 FAV393213:FAW393216 FKR393213:FKS393216 FUN393213:FUO393216 GEJ393213:GEK393216 GOF393213:GOG393216 GYB393213:GYC393216 HHX393213:HHY393216 HRT393213:HRU393216 IBP393213:IBQ393216 ILL393213:ILM393216 IVH393213:IVI393216 JFD393213:JFE393216 JOZ393213:JPA393216 JYV393213:JYW393216 KIR393213:KIS393216 KSN393213:KSO393216 LCJ393213:LCK393216 LMF393213:LMG393216 LWB393213:LWC393216 MFX393213:MFY393216 MPT393213:MPU393216 MZP393213:MZQ393216 NJL393213:NJM393216 NTH393213:NTI393216 ODD393213:ODE393216 OMZ393213:ONA393216 OWV393213:OWW393216 PGR393213:PGS393216 PQN393213:PQO393216 QAJ393213:QAK393216 QKF393213:QKG393216 QUB393213:QUC393216 RDX393213:RDY393216 RNT393213:RNU393216 RXP393213:RXQ393216 SHL393213:SHM393216 SRH393213:SRI393216 TBD393213:TBE393216 TKZ393213:TLA393216 TUV393213:TUW393216 UER393213:UES393216 UON393213:UOO393216 UYJ393213:UYK393216 VIF393213:VIG393216 VSB393213:VSC393216 WBX393213:WBY393216 WLT393213:WLU393216 WVP393213:WVQ393216 JD458749:JE458752 SZ458749:TA458752 ACV458749:ACW458752 AMR458749:AMS458752 AWN458749:AWO458752 BGJ458749:BGK458752 BQF458749:BQG458752 CAB458749:CAC458752 CJX458749:CJY458752 CTT458749:CTU458752 DDP458749:DDQ458752 DNL458749:DNM458752 DXH458749:DXI458752 EHD458749:EHE458752 EQZ458749:ERA458752 FAV458749:FAW458752 FKR458749:FKS458752 FUN458749:FUO458752 GEJ458749:GEK458752 GOF458749:GOG458752 GYB458749:GYC458752 HHX458749:HHY458752 HRT458749:HRU458752 IBP458749:IBQ458752 ILL458749:ILM458752 IVH458749:IVI458752 JFD458749:JFE458752 JOZ458749:JPA458752 JYV458749:JYW458752 KIR458749:KIS458752 KSN458749:KSO458752 LCJ458749:LCK458752 LMF458749:LMG458752 LWB458749:LWC458752 MFX458749:MFY458752 MPT458749:MPU458752 MZP458749:MZQ458752 NJL458749:NJM458752 NTH458749:NTI458752 ODD458749:ODE458752 OMZ458749:ONA458752 OWV458749:OWW458752 PGR458749:PGS458752 PQN458749:PQO458752 QAJ458749:QAK458752 QKF458749:QKG458752 QUB458749:QUC458752 RDX458749:RDY458752 RNT458749:RNU458752 RXP458749:RXQ458752 SHL458749:SHM458752 SRH458749:SRI458752 TBD458749:TBE458752 TKZ458749:TLA458752 TUV458749:TUW458752 UER458749:UES458752 UON458749:UOO458752 UYJ458749:UYK458752 VIF458749:VIG458752 VSB458749:VSC458752 WBX458749:WBY458752 WLT458749:WLU458752 WVP458749:WVQ458752 JD524285:JE524288 SZ524285:TA524288 ACV524285:ACW524288 AMR524285:AMS524288 AWN524285:AWO524288 BGJ524285:BGK524288 BQF524285:BQG524288 CAB524285:CAC524288 CJX524285:CJY524288 CTT524285:CTU524288 DDP524285:DDQ524288 DNL524285:DNM524288 DXH524285:DXI524288 EHD524285:EHE524288 EQZ524285:ERA524288 FAV524285:FAW524288 FKR524285:FKS524288 FUN524285:FUO524288 GEJ524285:GEK524288 GOF524285:GOG524288 GYB524285:GYC524288 HHX524285:HHY524288 HRT524285:HRU524288 IBP524285:IBQ524288 ILL524285:ILM524288 IVH524285:IVI524288 JFD524285:JFE524288 JOZ524285:JPA524288 JYV524285:JYW524288 KIR524285:KIS524288 KSN524285:KSO524288 LCJ524285:LCK524288 LMF524285:LMG524288 LWB524285:LWC524288 MFX524285:MFY524288 MPT524285:MPU524288 MZP524285:MZQ524288 NJL524285:NJM524288 NTH524285:NTI524288 ODD524285:ODE524288 OMZ524285:ONA524288 OWV524285:OWW524288 PGR524285:PGS524288 PQN524285:PQO524288 QAJ524285:QAK524288 QKF524285:QKG524288 QUB524285:QUC524288 RDX524285:RDY524288 RNT524285:RNU524288 RXP524285:RXQ524288 SHL524285:SHM524288 SRH524285:SRI524288 TBD524285:TBE524288 TKZ524285:TLA524288 TUV524285:TUW524288 UER524285:UES524288 UON524285:UOO524288 UYJ524285:UYK524288 VIF524285:VIG524288 VSB524285:VSC524288 WBX524285:WBY524288 WLT524285:WLU524288 WVP524285:WVQ524288 JD589821:JE589824 SZ589821:TA589824 ACV589821:ACW589824 AMR589821:AMS589824 AWN589821:AWO589824 BGJ589821:BGK589824 BQF589821:BQG589824 CAB589821:CAC589824 CJX589821:CJY589824 CTT589821:CTU589824 DDP589821:DDQ589824 DNL589821:DNM589824 DXH589821:DXI589824 EHD589821:EHE589824 EQZ589821:ERA589824 FAV589821:FAW589824 FKR589821:FKS589824 FUN589821:FUO589824 GEJ589821:GEK589824 GOF589821:GOG589824 GYB589821:GYC589824 HHX589821:HHY589824 HRT589821:HRU589824 IBP589821:IBQ589824 ILL589821:ILM589824 IVH589821:IVI589824 JFD589821:JFE589824 JOZ589821:JPA589824 JYV589821:JYW589824 KIR589821:KIS589824 KSN589821:KSO589824 LCJ589821:LCK589824 LMF589821:LMG589824 LWB589821:LWC589824 MFX589821:MFY589824 MPT589821:MPU589824 MZP589821:MZQ589824 NJL589821:NJM589824 NTH589821:NTI589824 ODD589821:ODE589824 OMZ589821:ONA589824 OWV589821:OWW589824 PGR589821:PGS589824 PQN589821:PQO589824 QAJ589821:QAK589824 QKF589821:QKG589824 QUB589821:QUC589824 RDX589821:RDY589824 RNT589821:RNU589824 RXP589821:RXQ589824 SHL589821:SHM589824 SRH589821:SRI589824 TBD589821:TBE589824 TKZ589821:TLA589824 TUV589821:TUW589824 UER589821:UES589824 UON589821:UOO589824 UYJ589821:UYK589824 VIF589821:VIG589824 VSB589821:VSC589824 WBX589821:WBY589824 WLT589821:WLU589824 WVP589821:WVQ589824 JD655357:JE655360 SZ655357:TA655360 ACV655357:ACW655360 AMR655357:AMS655360 AWN655357:AWO655360 BGJ655357:BGK655360 BQF655357:BQG655360 CAB655357:CAC655360 CJX655357:CJY655360 CTT655357:CTU655360 DDP655357:DDQ655360 DNL655357:DNM655360 DXH655357:DXI655360 EHD655357:EHE655360 EQZ655357:ERA655360 FAV655357:FAW655360 FKR655357:FKS655360 FUN655357:FUO655360 GEJ655357:GEK655360 GOF655357:GOG655360 GYB655357:GYC655360 HHX655357:HHY655360 HRT655357:HRU655360 IBP655357:IBQ655360 ILL655357:ILM655360 IVH655357:IVI655360 JFD655357:JFE655360 JOZ655357:JPA655360 JYV655357:JYW655360 KIR655357:KIS655360 KSN655357:KSO655360 LCJ655357:LCK655360 LMF655357:LMG655360 LWB655357:LWC655360 MFX655357:MFY655360 MPT655357:MPU655360 MZP655357:MZQ655360 NJL655357:NJM655360 NTH655357:NTI655360 ODD655357:ODE655360 OMZ655357:ONA655360 OWV655357:OWW655360 PGR655357:PGS655360 PQN655357:PQO655360 QAJ655357:QAK655360 QKF655357:QKG655360 QUB655357:QUC655360 RDX655357:RDY655360 RNT655357:RNU655360 RXP655357:RXQ655360 SHL655357:SHM655360 SRH655357:SRI655360 TBD655357:TBE655360 TKZ655357:TLA655360 TUV655357:TUW655360 UER655357:UES655360 UON655357:UOO655360 UYJ655357:UYK655360 VIF655357:VIG655360 VSB655357:VSC655360 WBX655357:WBY655360 WLT655357:WLU655360 WVP655357:WVQ655360 JD720893:JE720896 SZ720893:TA720896 ACV720893:ACW720896 AMR720893:AMS720896 AWN720893:AWO720896 BGJ720893:BGK720896 BQF720893:BQG720896 CAB720893:CAC720896 CJX720893:CJY720896 CTT720893:CTU720896 DDP720893:DDQ720896 DNL720893:DNM720896 DXH720893:DXI720896 EHD720893:EHE720896 EQZ720893:ERA720896 FAV720893:FAW720896 FKR720893:FKS720896 FUN720893:FUO720896 GEJ720893:GEK720896 GOF720893:GOG720896 GYB720893:GYC720896 HHX720893:HHY720896 HRT720893:HRU720896 IBP720893:IBQ720896 ILL720893:ILM720896 IVH720893:IVI720896 JFD720893:JFE720896 JOZ720893:JPA720896 JYV720893:JYW720896 KIR720893:KIS720896 KSN720893:KSO720896 LCJ720893:LCK720896 LMF720893:LMG720896 LWB720893:LWC720896 MFX720893:MFY720896 MPT720893:MPU720896 MZP720893:MZQ720896 NJL720893:NJM720896 NTH720893:NTI720896 ODD720893:ODE720896 OMZ720893:ONA720896 OWV720893:OWW720896 PGR720893:PGS720896 PQN720893:PQO720896 QAJ720893:QAK720896 QKF720893:QKG720896 QUB720893:QUC720896 RDX720893:RDY720896 RNT720893:RNU720896 RXP720893:RXQ720896 SHL720893:SHM720896 SRH720893:SRI720896 TBD720893:TBE720896 TKZ720893:TLA720896 TUV720893:TUW720896 UER720893:UES720896 UON720893:UOO720896 UYJ720893:UYK720896 VIF720893:VIG720896 VSB720893:VSC720896 WBX720893:WBY720896 WLT720893:WLU720896 WVP720893:WVQ720896 JD786429:JE786432 SZ786429:TA786432 ACV786429:ACW786432 AMR786429:AMS786432 AWN786429:AWO786432 BGJ786429:BGK786432 BQF786429:BQG786432 CAB786429:CAC786432 CJX786429:CJY786432 CTT786429:CTU786432 DDP786429:DDQ786432 DNL786429:DNM786432 DXH786429:DXI786432 EHD786429:EHE786432 EQZ786429:ERA786432 FAV786429:FAW786432 FKR786429:FKS786432 FUN786429:FUO786432 GEJ786429:GEK786432 GOF786429:GOG786432 GYB786429:GYC786432 HHX786429:HHY786432 HRT786429:HRU786432 IBP786429:IBQ786432 ILL786429:ILM786432 IVH786429:IVI786432 JFD786429:JFE786432 JOZ786429:JPA786432 JYV786429:JYW786432 KIR786429:KIS786432 KSN786429:KSO786432 LCJ786429:LCK786432 LMF786429:LMG786432 LWB786429:LWC786432 MFX786429:MFY786432 MPT786429:MPU786432 MZP786429:MZQ786432 NJL786429:NJM786432 NTH786429:NTI786432 ODD786429:ODE786432 OMZ786429:ONA786432 OWV786429:OWW786432 PGR786429:PGS786432 PQN786429:PQO786432 QAJ786429:QAK786432 QKF786429:QKG786432 QUB786429:QUC786432 RDX786429:RDY786432 RNT786429:RNU786432 RXP786429:RXQ786432 SHL786429:SHM786432 SRH786429:SRI786432 TBD786429:TBE786432 TKZ786429:TLA786432 TUV786429:TUW786432 UER786429:UES786432 UON786429:UOO786432 UYJ786429:UYK786432 VIF786429:VIG786432 VSB786429:VSC786432 WBX786429:WBY786432 WLT786429:WLU786432 WVP786429:WVQ786432 JD851965:JE851968 SZ851965:TA851968 ACV851965:ACW851968 AMR851965:AMS851968 AWN851965:AWO851968 BGJ851965:BGK851968 BQF851965:BQG851968 CAB851965:CAC851968 CJX851965:CJY851968 CTT851965:CTU851968 DDP851965:DDQ851968 DNL851965:DNM851968 DXH851965:DXI851968 EHD851965:EHE851968 EQZ851965:ERA851968 FAV851965:FAW851968 FKR851965:FKS851968 FUN851965:FUO851968 GEJ851965:GEK851968 GOF851965:GOG851968 GYB851965:GYC851968 HHX851965:HHY851968 HRT851965:HRU851968 IBP851965:IBQ851968 ILL851965:ILM851968 IVH851965:IVI851968 JFD851965:JFE851968 JOZ851965:JPA851968 JYV851965:JYW851968 KIR851965:KIS851968 KSN851965:KSO851968 LCJ851965:LCK851968 LMF851965:LMG851968 LWB851965:LWC851968 MFX851965:MFY851968 MPT851965:MPU851968 MZP851965:MZQ851968 NJL851965:NJM851968 NTH851965:NTI851968 ODD851965:ODE851968 OMZ851965:ONA851968 OWV851965:OWW851968 PGR851965:PGS851968 PQN851965:PQO851968 QAJ851965:QAK851968 QKF851965:QKG851968 QUB851965:QUC851968 RDX851965:RDY851968 RNT851965:RNU851968 RXP851965:RXQ851968 SHL851965:SHM851968 SRH851965:SRI851968 TBD851965:TBE851968 TKZ851965:TLA851968 TUV851965:TUW851968 UER851965:UES851968 UON851965:UOO851968 UYJ851965:UYK851968 VIF851965:VIG851968 VSB851965:VSC851968 WBX851965:WBY851968 WLT851965:WLU851968 WVP851965:WVQ851968 JD917501:JE917504 SZ917501:TA917504 ACV917501:ACW917504 AMR917501:AMS917504 AWN917501:AWO917504 BGJ917501:BGK917504 BQF917501:BQG917504 CAB917501:CAC917504 CJX917501:CJY917504 CTT917501:CTU917504 DDP917501:DDQ917504 DNL917501:DNM917504 DXH917501:DXI917504 EHD917501:EHE917504 EQZ917501:ERA917504 FAV917501:FAW917504 FKR917501:FKS917504 FUN917501:FUO917504 GEJ917501:GEK917504 GOF917501:GOG917504 GYB917501:GYC917504 HHX917501:HHY917504 HRT917501:HRU917504 IBP917501:IBQ917504 ILL917501:ILM917504 IVH917501:IVI917504 JFD917501:JFE917504 JOZ917501:JPA917504 JYV917501:JYW917504 KIR917501:KIS917504 KSN917501:KSO917504 LCJ917501:LCK917504 LMF917501:LMG917504 LWB917501:LWC917504 MFX917501:MFY917504 MPT917501:MPU917504 MZP917501:MZQ917504 NJL917501:NJM917504 NTH917501:NTI917504 ODD917501:ODE917504 OMZ917501:ONA917504 OWV917501:OWW917504 PGR917501:PGS917504 PQN917501:PQO917504 QAJ917501:QAK917504 QKF917501:QKG917504 QUB917501:QUC917504 RDX917501:RDY917504 RNT917501:RNU917504 RXP917501:RXQ917504 SHL917501:SHM917504 SRH917501:SRI917504 TBD917501:TBE917504 TKZ917501:TLA917504 TUV917501:TUW917504 UER917501:UES917504 UON917501:UOO917504 UYJ917501:UYK917504 VIF917501:VIG917504 VSB917501:VSC917504 WBX917501:WBY917504 WLT917501:WLU917504 WVP917501:WVQ917504 JD983037:JE983040 SZ983037:TA983040 ACV983037:ACW983040 AMR983037:AMS983040 AWN983037:AWO983040 BGJ983037:BGK983040 BQF983037:BQG983040 CAB983037:CAC983040 CJX983037:CJY983040 CTT983037:CTU983040 DDP983037:DDQ983040 DNL983037:DNM983040 DXH983037:DXI983040 EHD983037:EHE983040 EQZ983037:ERA983040 FAV983037:FAW983040 FKR983037:FKS983040 FUN983037:FUO983040 GEJ983037:GEK983040 GOF983037:GOG983040 GYB983037:GYC983040 HHX983037:HHY983040 HRT983037:HRU983040 IBP983037:IBQ983040 ILL983037:ILM983040 IVH983037:IVI983040 JFD983037:JFE983040 JOZ983037:JPA983040 JYV983037:JYW983040 KIR983037:KIS983040 KSN983037:KSO983040 LCJ983037:LCK983040 LMF983037:LMG983040 LWB983037:LWC983040 MFX983037:MFY983040 MPT983037:MPU983040 MZP983037:MZQ983040 NJL983037:NJM983040 NTH983037:NTI983040 ODD983037:ODE983040 OMZ983037:ONA983040 OWV983037:OWW983040 PGR983037:PGS983040 PQN983037:PQO983040 QAJ983037:QAK983040 QKF983037:QKG983040 QUB983037:QUC983040 RDX983037:RDY983040 RNT983037:RNU983040 RXP983037:RXQ983040 SHL983037:SHM983040 SRH983037:SRI983040 TBD983037:TBE983040 TKZ983037:TLA983040 TUV983037:TUW983040 UER983037:UES983040 UON983037:UOO983040 UYJ983037:UYK983040 VIF983037:VIG983040 VSB983037:VSC983040 WBX983037:WBY983040 WLT983037:WLU983040 WVP983037:WVQ983040 WLI983037:WLJ983040 IH65533:II65536 SD65533:SE65536 ABZ65533:ACA65536 ALV65533:ALW65536 AVR65533:AVS65536 BFN65533:BFO65536 BPJ65533:BPK65536 BZF65533:BZG65536 CJB65533:CJC65536 CSX65533:CSY65536 DCT65533:DCU65536 DMP65533:DMQ65536 DWL65533:DWM65536 EGH65533:EGI65536 EQD65533:EQE65536 EZZ65533:FAA65536 FJV65533:FJW65536 FTR65533:FTS65536 GDN65533:GDO65536 GNJ65533:GNK65536 GXF65533:GXG65536 HHB65533:HHC65536 HQX65533:HQY65536 IAT65533:IAU65536 IKP65533:IKQ65536 IUL65533:IUM65536 JEH65533:JEI65536 JOD65533:JOE65536 JXZ65533:JYA65536 KHV65533:KHW65536 KRR65533:KRS65536 LBN65533:LBO65536 LLJ65533:LLK65536 LVF65533:LVG65536 MFB65533:MFC65536 MOX65533:MOY65536 MYT65533:MYU65536 NIP65533:NIQ65536 NSL65533:NSM65536 OCH65533:OCI65536 OMD65533:OME65536 OVZ65533:OWA65536 PFV65533:PFW65536 PPR65533:PPS65536 PZN65533:PZO65536 QJJ65533:QJK65536 QTF65533:QTG65536 RDB65533:RDC65536 RMX65533:RMY65536 RWT65533:RWU65536 SGP65533:SGQ65536 SQL65533:SQM65536 TAH65533:TAI65536 TKD65533:TKE65536 TTZ65533:TUA65536 UDV65533:UDW65536 UNR65533:UNS65536 UXN65533:UXO65536 VHJ65533:VHK65536 VRF65533:VRG65536 WBB65533:WBC65536 WKX65533:WKY65536 WUT65533:WUU65536 IH131069:II131072 SD131069:SE131072 ABZ131069:ACA131072 ALV131069:ALW131072 AVR131069:AVS131072 BFN131069:BFO131072 BPJ131069:BPK131072 BZF131069:BZG131072 CJB131069:CJC131072 CSX131069:CSY131072 DCT131069:DCU131072 DMP131069:DMQ131072 DWL131069:DWM131072 EGH131069:EGI131072 EQD131069:EQE131072 EZZ131069:FAA131072 FJV131069:FJW131072 FTR131069:FTS131072 GDN131069:GDO131072 GNJ131069:GNK131072 GXF131069:GXG131072 HHB131069:HHC131072 HQX131069:HQY131072 IAT131069:IAU131072 IKP131069:IKQ131072 IUL131069:IUM131072 JEH131069:JEI131072 JOD131069:JOE131072 JXZ131069:JYA131072 KHV131069:KHW131072 KRR131069:KRS131072 LBN131069:LBO131072 LLJ131069:LLK131072 LVF131069:LVG131072 MFB131069:MFC131072 MOX131069:MOY131072 MYT131069:MYU131072 NIP131069:NIQ131072 NSL131069:NSM131072 OCH131069:OCI131072 OMD131069:OME131072 OVZ131069:OWA131072 PFV131069:PFW131072 PPR131069:PPS131072 PZN131069:PZO131072 QJJ131069:QJK131072 QTF131069:QTG131072 RDB131069:RDC131072 RMX131069:RMY131072 RWT131069:RWU131072 SGP131069:SGQ131072 SQL131069:SQM131072 TAH131069:TAI131072 TKD131069:TKE131072 TTZ131069:TUA131072 UDV131069:UDW131072 UNR131069:UNS131072 UXN131069:UXO131072 VHJ131069:VHK131072 VRF131069:VRG131072 WBB131069:WBC131072 WKX131069:WKY131072 WUT131069:WUU131072 IH196605:II196608 SD196605:SE196608 ABZ196605:ACA196608 ALV196605:ALW196608 AVR196605:AVS196608 BFN196605:BFO196608 BPJ196605:BPK196608 BZF196605:BZG196608 CJB196605:CJC196608 CSX196605:CSY196608 DCT196605:DCU196608 DMP196605:DMQ196608 DWL196605:DWM196608 EGH196605:EGI196608 EQD196605:EQE196608 EZZ196605:FAA196608 FJV196605:FJW196608 FTR196605:FTS196608 GDN196605:GDO196608 GNJ196605:GNK196608 GXF196605:GXG196608 HHB196605:HHC196608 HQX196605:HQY196608 IAT196605:IAU196608 IKP196605:IKQ196608 IUL196605:IUM196608 JEH196605:JEI196608 JOD196605:JOE196608 JXZ196605:JYA196608 KHV196605:KHW196608 KRR196605:KRS196608 LBN196605:LBO196608 LLJ196605:LLK196608 LVF196605:LVG196608 MFB196605:MFC196608 MOX196605:MOY196608 MYT196605:MYU196608 NIP196605:NIQ196608 NSL196605:NSM196608 OCH196605:OCI196608 OMD196605:OME196608 OVZ196605:OWA196608 PFV196605:PFW196608 PPR196605:PPS196608 PZN196605:PZO196608 QJJ196605:QJK196608 QTF196605:QTG196608 RDB196605:RDC196608 RMX196605:RMY196608 RWT196605:RWU196608 SGP196605:SGQ196608 SQL196605:SQM196608 TAH196605:TAI196608 TKD196605:TKE196608 TTZ196605:TUA196608 UDV196605:UDW196608 UNR196605:UNS196608 UXN196605:UXO196608 VHJ196605:VHK196608 VRF196605:VRG196608 WBB196605:WBC196608 WKX196605:WKY196608 WUT196605:WUU196608 IH262141:II262144 SD262141:SE262144 ABZ262141:ACA262144 ALV262141:ALW262144 AVR262141:AVS262144 BFN262141:BFO262144 BPJ262141:BPK262144 BZF262141:BZG262144 CJB262141:CJC262144 CSX262141:CSY262144 DCT262141:DCU262144 DMP262141:DMQ262144 DWL262141:DWM262144 EGH262141:EGI262144 EQD262141:EQE262144 EZZ262141:FAA262144 FJV262141:FJW262144 FTR262141:FTS262144 GDN262141:GDO262144 GNJ262141:GNK262144 GXF262141:GXG262144 HHB262141:HHC262144 HQX262141:HQY262144 IAT262141:IAU262144 IKP262141:IKQ262144 IUL262141:IUM262144 JEH262141:JEI262144 JOD262141:JOE262144 JXZ262141:JYA262144 KHV262141:KHW262144 KRR262141:KRS262144 LBN262141:LBO262144 LLJ262141:LLK262144 LVF262141:LVG262144 MFB262141:MFC262144 MOX262141:MOY262144 MYT262141:MYU262144 NIP262141:NIQ262144 NSL262141:NSM262144 OCH262141:OCI262144 OMD262141:OME262144 OVZ262141:OWA262144 PFV262141:PFW262144 PPR262141:PPS262144 PZN262141:PZO262144 QJJ262141:QJK262144 QTF262141:QTG262144 RDB262141:RDC262144 RMX262141:RMY262144 RWT262141:RWU262144 SGP262141:SGQ262144 SQL262141:SQM262144 TAH262141:TAI262144 TKD262141:TKE262144 TTZ262141:TUA262144 UDV262141:UDW262144 UNR262141:UNS262144 UXN262141:UXO262144 VHJ262141:VHK262144 VRF262141:VRG262144 WBB262141:WBC262144 WKX262141:WKY262144 WUT262141:WUU262144 IH327677:II327680 SD327677:SE327680 ABZ327677:ACA327680 ALV327677:ALW327680 AVR327677:AVS327680 BFN327677:BFO327680 BPJ327677:BPK327680 BZF327677:BZG327680 CJB327677:CJC327680 CSX327677:CSY327680 DCT327677:DCU327680 DMP327677:DMQ327680 DWL327677:DWM327680 EGH327677:EGI327680 EQD327677:EQE327680 EZZ327677:FAA327680 FJV327677:FJW327680 FTR327677:FTS327680 GDN327677:GDO327680 GNJ327677:GNK327680 GXF327677:GXG327680 HHB327677:HHC327680 HQX327677:HQY327680 IAT327677:IAU327680 IKP327677:IKQ327680 IUL327677:IUM327680 JEH327677:JEI327680 JOD327677:JOE327680 JXZ327677:JYA327680 KHV327677:KHW327680 KRR327677:KRS327680 LBN327677:LBO327680 LLJ327677:LLK327680 LVF327677:LVG327680 MFB327677:MFC327680 MOX327677:MOY327680 MYT327677:MYU327680 NIP327677:NIQ327680 NSL327677:NSM327680 OCH327677:OCI327680 OMD327677:OME327680 OVZ327677:OWA327680 PFV327677:PFW327680 PPR327677:PPS327680 PZN327677:PZO327680 QJJ327677:QJK327680 QTF327677:QTG327680 RDB327677:RDC327680 RMX327677:RMY327680 RWT327677:RWU327680 SGP327677:SGQ327680 SQL327677:SQM327680 TAH327677:TAI327680 TKD327677:TKE327680 TTZ327677:TUA327680 UDV327677:UDW327680 UNR327677:UNS327680 UXN327677:UXO327680 VHJ327677:VHK327680 VRF327677:VRG327680 WBB327677:WBC327680 WKX327677:WKY327680 WUT327677:WUU327680 IH393213:II393216 SD393213:SE393216 ABZ393213:ACA393216 ALV393213:ALW393216 AVR393213:AVS393216 BFN393213:BFO393216 BPJ393213:BPK393216 BZF393213:BZG393216 CJB393213:CJC393216 CSX393213:CSY393216 DCT393213:DCU393216 DMP393213:DMQ393216 DWL393213:DWM393216 EGH393213:EGI393216 EQD393213:EQE393216 EZZ393213:FAA393216 FJV393213:FJW393216 FTR393213:FTS393216 GDN393213:GDO393216 GNJ393213:GNK393216 GXF393213:GXG393216 HHB393213:HHC393216 HQX393213:HQY393216 IAT393213:IAU393216 IKP393213:IKQ393216 IUL393213:IUM393216 JEH393213:JEI393216 JOD393213:JOE393216 JXZ393213:JYA393216 KHV393213:KHW393216 KRR393213:KRS393216 LBN393213:LBO393216 LLJ393213:LLK393216 LVF393213:LVG393216 MFB393213:MFC393216 MOX393213:MOY393216 MYT393213:MYU393216 NIP393213:NIQ393216 NSL393213:NSM393216 OCH393213:OCI393216 OMD393213:OME393216 OVZ393213:OWA393216 PFV393213:PFW393216 PPR393213:PPS393216 PZN393213:PZO393216 QJJ393213:QJK393216 QTF393213:QTG393216 RDB393213:RDC393216 RMX393213:RMY393216 RWT393213:RWU393216 SGP393213:SGQ393216 SQL393213:SQM393216 TAH393213:TAI393216 TKD393213:TKE393216 TTZ393213:TUA393216 UDV393213:UDW393216 UNR393213:UNS393216 UXN393213:UXO393216 VHJ393213:VHK393216 VRF393213:VRG393216 WBB393213:WBC393216 WKX393213:WKY393216 WUT393213:WUU393216 IH458749:II458752 SD458749:SE458752 ABZ458749:ACA458752 ALV458749:ALW458752 AVR458749:AVS458752 BFN458749:BFO458752 BPJ458749:BPK458752 BZF458749:BZG458752 CJB458749:CJC458752 CSX458749:CSY458752 DCT458749:DCU458752 DMP458749:DMQ458752 DWL458749:DWM458752 EGH458749:EGI458752 EQD458749:EQE458752 EZZ458749:FAA458752 FJV458749:FJW458752 FTR458749:FTS458752 GDN458749:GDO458752 GNJ458749:GNK458752 GXF458749:GXG458752 HHB458749:HHC458752 HQX458749:HQY458752 IAT458749:IAU458752 IKP458749:IKQ458752 IUL458749:IUM458752 JEH458749:JEI458752 JOD458749:JOE458752 JXZ458749:JYA458752 KHV458749:KHW458752 KRR458749:KRS458752 LBN458749:LBO458752 LLJ458749:LLK458752 LVF458749:LVG458752 MFB458749:MFC458752 MOX458749:MOY458752 MYT458749:MYU458752 NIP458749:NIQ458752 NSL458749:NSM458752 OCH458749:OCI458752 OMD458749:OME458752 OVZ458749:OWA458752 PFV458749:PFW458752 PPR458749:PPS458752 PZN458749:PZO458752 QJJ458749:QJK458752 QTF458749:QTG458752 RDB458749:RDC458752 RMX458749:RMY458752 RWT458749:RWU458752 SGP458749:SGQ458752 SQL458749:SQM458752 TAH458749:TAI458752 TKD458749:TKE458752 TTZ458749:TUA458752 UDV458749:UDW458752 UNR458749:UNS458752 UXN458749:UXO458752 VHJ458749:VHK458752 VRF458749:VRG458752 WBB458749:WBC458752 WKX458749:WKY458752 WUT458749:WUU458752 IH524285:II524288 SD524285:SE524288 ABZ524285:ACA524288 ALV524285:ALW524288 AVR524285:AVS524288 BFN524285:BFO524288 BPJ524285:BPK524288 BZF524285:BZG524288 CJB524285:CJC524288 CSX524285:CSY524288 DCT524285:DCU524288 DMP524285:DMQ524288 DWL524285:DWM524288 EGH524285:EGI524288 EQD524285:EQE524288 EZZ524285:FAA524288 FJV524285:FJW524288 FTR524285:FTS524288 GDN524285:GDO524288 GNJ524285:GNK524288 GXF524285:GXG524288 HHB524285:HHC524288 HQX524285:HQY524288 IAT524285:IAU524288 IKP524285:IKQ524288 IUL524285:IUM524288 JEH524285:JEI524288 JOD524285:JOE524288 JXZ524285:JYA524288 KHV524285:KHW524288 KRR524285:KRS524288 LBN524285:LBO524288 LLJ524285:LLK524288 LVF524285:LVG524288 MFB524285:MFC524288 MOX524285:MOY524288 MYT524285:MYU524288 NIP524285:NIQ524288 NSL524285:NSM524288 OCH524285:OCI524288 OMD524285:OME524288 OVZ524285:OWA524288 PFV524285:PFW524288 PPR524285:PPS524288 PZN524285:PZO524288 QJJ524285:QJK524288 QTF524285:QTG524288 RDB524285:RDC524288 RMX524285:RMY524288 RWT524285:RWU524288 SGP524285:SGQ524288 SQL524285:SQM524288 TAH524285:TAI524288 TKD524285:TKE524288 TTZ524285:TUA524288 UDV524285:UDW524288 UNR524285:UNS524288 UXN524285:UXO524288 VHJ524285:VHK524288 VRF524285:VRG524288 WBB524285:WBC524288 WKX524285:WKY524288 WUT524285:WUU524288 IH589821:II589824 SD589821:SE589824 ABZ589821:ACA589824 ALV589821:ALW589824 AVR589821:AVS589824 BFN589821:BFO589824 BPJ589821:BPK589824 BZF589821:BZG589824 CJB589821:CJC589824 CSX589821:CSY589824 DCT589821:DCU589824 DMP589821:DMQ589824 DWL589821:DWM589824 EGH589821:EGI589824 EQD589821:EQE589824 EZZ589821:FAA589824 FJV589821:FJW589824 FTR589821:FTS589824 GDN589821:GDO589824 GNJ589821:GNK589824 GXF589821:GXG589824 HHB589821:HHC589824 HQX589821:HQY589824 IAT589821:IAU589824 IKP589821:IKQ589824 IUL589821:IUM589824 JEH589821:JEI589824 JOD589821:JOE589824 JXZ589821:JYA589824 KHV589821:KHW589824 KRR589821:KRS589824 LBN589821:LBO589824 LLJ589821:LLK589824 LVF589821:LVG589824 MFB589821:MFC589824 MOX589821:MOY589824 MYT589821:MYU589824 NIP589821:NIQ589824 NSL589821:NSM589824 OCH589821:OCI589824 OMD589821:OME589824 OVZ589821:OWA589824 PFV589821:PFW589824 PPR589821:PPS589824 PZN589821:PZO589824 QJJ589821:QJK589824 QTF589821:QTG589824 RDB589821:RDC589824 RMX589821:RMY589824 RWT589821:RWU589824 SGP589821:SGQ589824 SQL589821:SQM589824 TAH589821:TAI589824 TKD589821:TKE589824 TTZ589821:TUA589824 UDV589821:UDW589824 UNR589821:UNS589824 UXN589821:UXO589824 VHJ589821:VHK589824 VRF589821:VRG589824 WBB589821:WBC589824 WKX589821:WKY589824 WUT589821:WUU589824 IH655357:II655360 SD655357:SE655360 ABZ655357:ACA655360 ALV655357:ALW655360 AVR655357:AVS655360 BFN655357:BFO655360 BPJ655357:BPK655360 BZF655357:BZG655360 CJB655357:CJC655360 CSX655357:CSY655360 DCT655357:DCU655360 DMP655357:DMQ655360 DWL655357:DWM655360 EGH655357:EGI655360 EQD655357:EQE655360 EZZ655357:FAA655360 FJV655357:FJW655360 FTR655357:FTS655360 GDN655357:GDO655360 GNJ655357:GNK655360 GXF655357:GXG655360 HHB655357:HHC655360 HQX655357:HQY655360 IAT655357:IAU655360 IKP655357:IKQ655360 IUL655357:IUM655360 JEH655357:JEI655360 JOD655357:JOE655360 JXZ655357:JYA655360 KHV655357:KHW655360 KRR655357:KRS655360 LBN655357:LBO655360 LLJ655357:LLK655360 LVF655357:LVG655360 MFB655357:MFC655360 MOX655357:MOY655360 MYT655357:MYU655360 NIP655357:NIQ655360 NSL655357:NSM655360 OCH655357:OCI655360 OMD655357:OME655360 OVZ655357:OWA655360 PFV655357:PFW655360 PPR655357:PPS655360 PZN655357:PZO655360 QJJ655357:QJK655360 QTF655357:QTG655360 RDB655357:RDC655360 RMX655357:RMY655360 RWT655357:RWU655360 SGP655357:SGQ655360 SQL655357:SQM655360 TAH655357:TAI655360 TKD655357:TKE655360 TTZ655357:TUA655360 UDV655357:UDW655360 UNR655357:UNS655360 UXN655357:UXO655360 VHJ655357:VHK655360 VRF655357:VRG655360 WBB655357:WBC655360 WKX655357:WKY655360 WUT655357:WUU655360 IH720893:II720896 SD720893:SE720896 ABZ720893:ACA720896 ALV720893:ALW720896 AVR720893:AVS720896 BFN720893:BFO720896 BPJ720893:BPK720896 BZF720893:BZG720896 CJB720893:CJC720896 CSX720893:CSY720896 DCT720893:DCU720896 DMP720893:DMQ720896 DWL720893:DWM720896 EGH720893:EGI720896 EQD720893:EQE720896 EZZ720893:FAA720896 FJV720893:FJW720896 FTR720893:FTS720896 GDN720893:GDO720896 GNJ720893:GNK720896 GXF720893:GXG720896 HHB720893:HHC720896 HQX720893:HQY720896 IAT720893:IAU720896 IKP720893:IKQ720896 IUL720893:IUM720896 JEH720893:JEI720896 JOD720893:JOE720896 JXZ720893:JYA720896 KHV720893:KHW720896 KRR720893:KRS720896 LBN720893:LBO720896 LLJ720893:LLK720896 LVF720893:LVG720896 MFB720893:MFC720896 MOX720893:MOY720896 MYT720893:MYU720896 NIP720893:NIQ720896 NSL720893:NSM720896 OCH720893:OCI720896 OMD720893:OME720896 OVZ720893:OWA720896 PFV720893:PFW720896 PPR720893:PPS720896 PZN720893:PZO720896 QJJ720893:QJK720896 QTF720893:QTG720896 RDB720893:RDC720896 RMX720893:RMY720896 RWT720893:RWU720896 SGP720893:SGQ720896 SQL720893:SQM720896 TAH720893:TAI720896 TKD720893:TKE720896 TTZ720893:TUA720896 UDV720893:UDW720896 UNR720893:UNS720896 UXN720893:UXO720896 VHJ720893:VHK720896 VRF720893:VRG720896 WBB720893:WBC720896 WKX720893:WKY720896 WUT720893:WUU720896 IH786429:II786432 SD786429:SE786432 ABZ786429:ACA786432 ALV786429:ALW786432 AVR786429:AVS786432 BFN786429:BFO786432 BPJ786429:BPK786432 BZF786429:BZG786432 CJB786429:CJC786432 CSX786429:CSY786432 DCT786429:DCU786432 DMP786429:DMQ786432 DWL786429:DWM786432 EGH786429:EGI786432 EQD786429:EQE786432 EZZ786429:FAA786432 FJV786429:FJW786432 FTR786429:FTS786432 GDN786429:GDO786432 GNJ786429:GNK786432 GXF786429:GXG786432 HHB786429:HHC786432 HQX786429:HQY786432 IAT786429:IAU786432 IKP786429:IKQ786432 IUL786429:IUM786432 JEH786429:JEI786432 JOD786429:JOE786432 JXZ786429:JYA786432 KHV786429:KHW786432 KRR786429:KRS786432 LBN786429:LBO786432 LLJ786429:LLK786432 LVF786429:LVG786432 MFB786429:MFC786432 MOX786429:MOY786432 MYT786429:MYU786432 NIP786429:NIQ786432 NSL786429:NSM786432 OCH786429:OCI786432 OMD786429:OME786432 OVZ786429:OWA786432 PFV786429:PFW786432 PPR786429:PPS786432 PZN786429:PZO786432 QJJ786429:QJK786432 QTF786429:QTG786432 RDB786429:RDC786432 RMX786429:RMY786432 RWT786429:RWU786432 SGP786429:SGQ786432 SQL786429:SQM786432 TAH786429:TAI786432 TKD786429:TKE786432 TTZ786429:TUA786432 UDV786429:UDW786432 UNR786429:UNS786432 UXN786429:UXO786432 VHJ786429:VHK786432 VRF786429:VRG786432 WBB786429:WBC786432 WKX786429:WKY786432 WUT786429:WUU786432 IH851965:II851968 SD851965:SE851968 ABZ851965:ACA851968 ALV851965:ALW851968 AVR851965:AVS851968 BFN851965:BFO851968 BPJ851965:BPK851968 BZF851965:BZG851968 CJB851965:CJC851968 CSX851965:CSY851968 DCT851965:DCU851968 DMP851965:DMQ851968 DWL851965:DWM851968 EGH851965:EGI851968 EQD851965:EQE851968 EZZ851965:FAA851968 FJV851965:FJW851968 FTR851965:FTS851968 GDN851965:GDO851968 GNJ851965:GNK851968 GXF851965:GXG851968 HHB851965:HHC851968 HQX851965:HQY851968 IAT851965:IAU851968 IKP851965:IKQ851968 IUL851965:IUM851968 JEH851965:JEI851968 JOD851965:JOE851968 JXZ851965:JYA851968 KHV851965:KHW851968 KRR851965:KRS851968 LBN851965:LBO851968 LLJ851965:LLK851968 LVF851965:LVG851968 MFB851965:MFC851968 MOX851965:MOY851968 MYT851965:MYU851968 NIP851965:NIQ851968 NSL851965:NSM851968 OCH851965:OCI851968 OMD851965:OME851968 OVZ851965:OWA851968 PFV851965:PFW851968 PPR851965:PPS851968 PZN851965:PZO851968 QJJ851965:QJK851968 QTF851965:QTG851968 RDB851965:RDC851968 RMX851965:RMY851968 RWT851965:RWU851968 SGP851965:SGQ851968 SQL851965:SQM851968 TAH851965:TAI851968 TKD851965:TKE851968 TTZ851965:TUA851968 UDV851965:UDW851968 UNR851965:UNS851968 UXN851965:UXO851968 VHJ851965:VHK851968 VRF851965:VRG851968 WBB851965:WBC851968 WKX851965:WKY851968 WUT851965:WUU851968 IH917501:II917504 SD917501:SE917504 ABZ917501:ACA917504 ALV917501:ALW917504 AVR917501:AVS917504 BFN917501:BFO917504 BPJ917501:BPK917504 BZF917501:BZG917504 CJB917501:CJC917504 CSX917501:CSY917504 DCT917501:DCU917504 DMP917501:DMQ917504 DWL917501:DWM917504 EGH917501:EGI917504 EQD917501:EQE917504 EZZ917501:FAA917504 FJV917501:FJW917504 FTR917501:FTS917504 GDN917501:GDO917504 GNJ917501:GNK917504 GXF917501:GXG917504 HHB917501:HHC917504 HQX917501:HQY917504 IAT917501:IAU917504 IKP917501:IKQ917504 IUL917501:IUM917504 JEH917501:JEI917504 JOD917501:JOE917504 JXZ917501:JYA917504 KHV917501:KHW917504 KRR917501:KRS917504 LBN917501:LBO917504 LLJ917501:LLK917504 LVF917501:LVG917504 MFB917501:MFC917504 MOX917501:MOY917504 MYT917501:MYU917504 NIP917501:NIQ917504 NSL917501:NSM917504 OCH917501:OCI917504 OMD917501:OME917504 OVZ917501:OWA917504 PFV917501:PFW917504 PPR917501:PPS917504 PZN917501:PZO917504 QJJ917501:QJK917504 QTF917501:QTG917504 RDB917501:RDC917504 RMX917501:RMY917504 RWT917501:RWU917504 SGP917501:SGQ917504 SQL917501:SQM917504 TAH917501:TAI917504 TKD917501:TKE917504 TTZ917501:TUA917504 UDV917501:UDW917504 UNR917501:UNS917504 UXN917501:UXO917504 VHJ917501:VHK917504 VRF917501:VRG917504 WBB917501:WBC917504 WKX917501:WKY917504 WUT917501:WUU917504 IH983037:II983040 SD983037:SE983040 ABZ983037:ACA983040 ALV983037:ALW983040 AVR983037:AVS983040 BFN983037:BFO983040 BPJ983037:BPK983040 BZF983037:BZG983040 CJB983037:CJC983040 CSX983037:CSY983040 DCT983037:DCU983040 DMP983037:DMQ983040 DWL983037:DWM983040 EGH983037:EGI983040 EQD983037:EQE983040 EZZ983037:FAA983040 FJV983037:FJW983040 FTR983037:FTS983040 GDN983037:GDO983040 GNJ983037:GNK983040 GXF983037:GXG983040 HHB983037:HHC983040 HQX983037:HQY983040 IAT983037:IAU983040 IKP983037:IKQ983040 IUL983037:IUM983040 JEH983037:JEI983040 JOD983037:JOE983040 JXZ983037:JYA983040 KHV983037:KHW983040 KRR983037:KRS983040 LBN983037:LBO983040 LLJ983037:LLK983040 LVF983037:LVG983040 MFB983037:MFC983040 MOX983037:MOY983040 MYT983037:MYU983040 NIP983037:NIQ983040 NSL983037:NSM983040 OCH983037:OCI983040 OMD983037:OME983040 OVZ983037:OWA983040 PFV983037:PFW983040 PPR983037:PPS983040 PZN983037:PZO983040 QJJ983037:QJK983040 QTF983037:QTG983040 RDB983037:RDC983040 RMX983037:RMY983040 RWT983037:RWU983040 SGP983037:SGQ983040 SQL983037:SQM983040 TAH983037:TAI983040 TKD983037:TKE983040 TTZ983037:TUA983040 UDV983037:UDW983040 UNR983037:UNS983040 UXN983037:UXO983040 VHJ983037:VHK983040 VRF983037:VRG983040 WBB983037:WBC983040 WKX983037:WKY983040 WUT983037:WUU983040 WVE983037:WVF983040 VRQ983037:VRR983040 IS65533:IT65536 SO65533:SP65536 ACK65533:ACL65536 AMG65533:AMH65536 AWC65533:AWD65536 BFY65533:BFZ65536 BPU65533:BPV65536 BZQ65533:BZR65536 CJM65533:CJN65536 CTI65533:CTJ65536 DDE65533:DDF65536 DNA65533:DNB65536 DWW65533:DWX65536 EGS65533:EGT65536 EQO65533:EQP65536 FAK65533:FAL65536 FKG65533:FKH65536 FUC65533:FUD65536 GDY65533:GDZ65536 GNU65533:GNV65536 GXQ65533:GXR65536 HHM65533:HHN65536 HRI65533:HRJ65536 IBE65533:IBF65536 ILA65533:ILB65536 IUW65533:IUX65536 JES65533:JET65536 JOO65533:JOP65536 JYK65533:JYL65536 KIG65533:KIH65536 KSC65533:KSD65536 LBY65533:LBZ65536 LLU65533:LLV65536 LVQ65533:LVR65536 MFM65533:MFN65536 MPI65533:MPJ65536 MZE65533:MZF65536 NJA65533:NJB65536 NSW65533:NSX65536 OCS65533:OCT65536 OMO65533:OMP65536 OWK65533:OWL65536 PGG65533:PGH65536 PQC65533:PQD65536 PZY65533:PZZ65536 QJU65533:QJV65536 QTQ65533:QTR65536 RDM65533:RDN65536 RNI65533:RNJ65536 RXE65533:RXF65536 SHA65533:SHB65536 SQW65533:SQX65536 TAS65533:TAT65536 TKO65533:TKP65536 TUK65533:TUL65536 UEG65533:UEH65536 UOC65533:UOD65536 UXY65533:UXZ65536 VHU65533:VHV65536 VRQ65533:VRR65536 WBM65533:WBN65536 WLI65533:WLJ65536 WVE65533:WVF65536 IS131069:IT131072 SO131069:SP131072 ACK131069:ACL131072 AMG131069:AMH131072 AWC131069:AWD131072 BFY131069:BFZ131072 BPU131069:BPV131072 BZQ131069:BZR131072 CJM131069:CJN131072 CTI131069:CTJ131072 DDE131069:DDF131072 DNA131069:DNB131072 DWW131069:DWX131072 EGS131069:EGT131072 EQO131069:EQP131072 FAK131069:FAL131072 FKG131069:FKH131072 FUC131069:FUD131072 GDY131069:GDZ131072 GNU131069:GNV131072 GXQ131069:GXR131072 HHM131069:HHN131072 HRI131069:HRJ131072 IBE131069:IBF131072 ILA131069:ILB131072 IUW131069:IUX131072 JES131069:JET131072 JOO131069:JOP131072 JYK131069:JYL131072 KIG131069:KIH131072 KSC131069:KSD131072 LBY131069:LBZ131072 LLU131069:LLV131072 LVQ131069:LVR131072 MFM131069:MFN131072 MPI131069:MPJ131072 MZE131069:MZF131072 NJA131069:NJB131072 NSW131069:NSX131072 OCS131069:OCT131072 OMO131069:OMP131072 OWK131069:OWL131072 PGG131069:PGH131072 PQC131069:PQD131072 PZY131069:PZZ131072 QJU131069:QJV131072 QTQ131069:QTR131072 RDM131069:RDN131072 RNI131069:RNJ131072 RXE131069:RXF131072 SHA131069:SHB131072 SQW131069:SQX131072 TAS131069:TAT131072 TKO131069:TKP131072 TUK131069:TUL131072 UEG131069:UEH131072 UOC131069:UOD131072 UXY131069:UXZ131072 VHU131069:VHV131072 VRQ131069:VRR131072 WBM131069:WBN131072 WLI131069:WLJ131072 WVE131069:WVF131072 IS196605:IT196608 SO196605:SP196608 ACK196605:ACL196608 AMG196605:AMH196608 AWC196605:AWD196608 BFY196605:BFZ196608 BPU196605:BPV196608 BZQ196605:BZR196608 CJM196605:CJN196608 CTI196605:CTJ196608 DDE196605:DDF196608 DNA196605:DNB196608 DWW196605:DWX196608 EGS196605:EGT196608 EQO196605:EQP196608 FAK196605:FAL196608 FKG196605:FKH196608 FUC196605:FUD196608 GDY196605:GDZ196608 GNU196605:GNV196608 GXQ196605:GXR196608 HHM196605:HHN196608 HRI196605:HRJ196608 IBE196605:IBF196608 ILA196605:ILB196608 IUW196605:IUX196608 JES196605:JET196608 JOO196605:JOP196608 JYK196605:JYL196608 KIG196605:KIH196608 KSC196605:KSD196608 LBY196605:LBZ196608 LLU196605:LLV196608 LVQ196605:LVR196608 MFM196605:MFN196608 MPI196605:MPJ196608 MZE196605:MZF196608 NJA196605:NJB196608 NSW196605:NSX196608 OCS196605:OCT196608 OMO196605:OMP196608 OWK196605:OWL196608 PGG196605:PGH196608 PQC196605:PQD196608 PZY196605:PZZ196608 QJU196605:QJV196608 QTQ196605:QTR196608 RDM196605:RDN196608 RNI196605:RNJ196608 RXE196605:RXF196608 SHA196605:SHB196608 SQW196605:SQX196608 TAS196605:TAT196608 TKO196605:TKP196608 TUK196605:TUL196608 UEG196605:UEH196608 UOC196605:UOD196608 UXY196605:UXZ196608 VHU196605:VHV196608 VRQ196605:VRR196608 WBM196605:WBN196608 WLI196605:WLJ196608 WVE196605:WVF196608 IS262141:IT262144 SO262141:SP262144 ACK262141:ACL262144 AMG262141:AMH262144 AWC262141:AWD262144 BFY262141:BFZ262144 BPU262141:BPV262144 BZQ262141:BZR262144 CJM262141:CJN262144 CTI262141:CTJ262144 DDE262141:DDF262144 DNA262141:DNB262144 DWW262141:DWX262144 EGS262141:EGT262144 EQO262141:EQP262144 FAK262141:FAL262144 FKG262141:FKH262144 FUC262141:FUD262144 GDY262141:GDZ262144 GNU262141:GNV262144 GXQ262141:GXR262144 HHM262141:HHN262144 HRI262141:HRJ262144 IBE262141:IBF262144 ILA262141:ILB262144 IUW262141:IUX262144 JES262141:JET262144 JOO262141:JOP262144 JYK262141:JYL262144 KIG262141:KIH262144 KSC262141:KSD262144 LBY262141:LBZ262144 LLU262141:LLV262144 LVQ262141:LVR262144 MFM262141:MFN262144 MPI262141:MPJ262144 MZE262141:MZF262144 NJA262141:NJB262144 NSW262141:NSX262144 OCS262141:OCT262144 OMO262141:OMP262144 OWK262141:OWL262144 PGG262141:PGH262144 PQC262141:PQD262144 PZY262141:PZZ262144 QJU262141:QJV262144 QTQ262141:QTR262144 RDM262141:RDN262144 RNI262141:RNJ262144 RXE262141:RXF262144 SHA262141:SHB262144 SQW262141:SQX262144 TAS262141:TAT262144 TKO262141:TKP262144 TUK262141:TUL262144 UEG262141:UEH262144 UOC262141:UOD262144 UXY262141:UXZ262144 VHU262141:VHV262144 VRQ262141:VRR262144 WBM262141:WBN262144 WLI262141:WLJ262144 WVE262141:WVF262144 IS327677:IT327680 SO327677:SP327680 ACK327677:ACL327680 AMG327677:AMH327680 AWC327677:AWD327680 BFY327677:BFZ327680 BPU327677:BPV327680 BZQ327677:BZR327680 CJM327677:CJN327680 CTI327677:CTJ327680 DDE327677:DDF327680 DNA327677:DNB327680 DWW327677:DWX327680 EGS327677:EGT327680 EQO327677:EQP327680 FAK327677:FAL327680 FKG327677:FKH327680 FUC327677:FUD327680 GDY327677:GDZ327680 GNU327677:GNV327680 GXQ327677:GXR327680 HHM327677:HHN327680 HRI327677:HRJ327680 IBE327677:IBF327680 ILA327677:ILB327680 IUW327677:IUX327680 JES327677:JET327680 JOO327677:JOP327680 JYK327677:JYL327680 KIG327677:KIH327680 KSC327677:KSD327680 LBY327677:LBZ327680 LLU327677:LLV327680 LVQ327677:LVR327680 MFM327677:MFN327680 MPI327677:MPJ327680 MZE327677:MZF327680 NJA327677:NJB327680 NSW327677:NSX327680 OCS327677:OCT327680 OMO327677:OMP327680 OWK327677:OWL327680 PGG327677:PGH327680 PQC327677:PQD327680 PZY327677:PZZ327680 QJU327677:QJV327680 QTQ327677:QTR327680 RDM327677:RDN327680 RNI327677:RNJ327680 RXE327677:RXF327680 SHA327677:SHB327680 SQW327677:SQX327680 TAS327677:TAT327680 TKO327677:TKP327680 TUK327677:TUL327680 UEG327677:UEH327680 UOC327677:UOD327680 UXY327677:UXZ327680 VHU327677:VHV327680 VRQ327677:VRR327680 WBM327677:WBN327680 WLI327677:WLJ327680 WVE327677:WVF327680 IS393213:IT393216 SO393213:SP393216 ACK393213:ACL393216 AMG393213:AMH393216 AWC393213:AWD393216 BFY393213:BFZ393216 BPU393213:BPV393216 BZQ393213:BZR393216 CJM393213:CJN393216 CTI393213:CTJ393216 DDE393213:DDF393216 DNA393213:DNB393216 DWW393213:DWX393216 EGS393213:EGT393216 EQO393213:EQP393216 FAK393213:FAL393216 FKG393213:FKH393216 FUC393213:FUD393216 GDY393213:GDZ393216 GNU393213:GNV393216 GXQ393213:GXR393216 HHM393213:HHN393216 HRI393213:HRJ393216 IBE393213:IBF393216 ILA393213:ILB393216 IUW393213:IUX393216 JES393213:JET393216 JOO393213:JOP393216 JYK393213:JYL393216 KIG393213:KIH393216 KSC393213:KSD393216 LBY393213:LBZ393216 LLU393213:LLV393216 LVQ393213:LVR393216 MFM393213:MFN393216 MPI393213:MPJ393216 MZE393213:MZF393216 NJA393213:NJB393216 NSW393213:NSX393216 OCS393213:OCT393216 OMO393213:OMP393216 OWK393213:OWL393216 PGG393213:PGH393216 PQC393213:PQD393216 PZY393213:PZZ393216 QJU393213:QJV393216 QTQ393213:QTR393216 RDM393213:RDN393216 RNI393213:RNJ393216 RXE393213:RXF393216 SHA393213:SHB393216 SQW393213:SQX393216 TAS393213:TAT393216 TKO393213:TKP393216 TUK393213:TUL393216 UEG393213:UEH393216 UOC393213:UOD393216 UXY393213:UXZ393216 VHU393213:VHV393216 VRQ393213:VRR393216 WBM393213:WBN393216 WLI393213:WLJ393216 WVE393213:WVF393216 IS458749:IT458752 SO458749:SP458752 ACK458749:ACL458752 AMG458749:AMH458752 AWC458749:AWD458752 BFY458749:BFZ458752 BPU458749:BPV458752 BZQ458749:BZR458752 CJM458749:CJN458752 CTI458749:CTJ458752 DDE458749:DDF458752 DNA458749:DNB458752 DWW458749:DWX458752 EGS458749:EGT458752 EQO458749:EQP458752 FAK458749:FAL458752 FKG458749:FKH458752 FUC458749:FUD458752 GDY458749:GDZ458752 GNU458749:GNV458752 GXQ458749:GXR458752 HHM458749:HHN458752 HRI458749:HRJ458752 IBE458749:IBF458752 ILA458749:ILB458752 IUW458749:IUX458752 JES458749:JET458752 JOO458749:JOP458752 JYK458749:JYL458752 KIG458749:KIH458752 KSC458749:KSD458752 LBY458749:LBZ458752 LLU458749:LLV458752 LVQ458749:LVR458752 MFM458749:MFN458752 MPI458749:MPJ458752 MZE458749:MZF458752 NJA458749:NJB458752 NSW458749:NSX458752 OCS458749:OCT458752 OMO458749:OMP458752 OWK458749:OWL458752 PGG458749:PGH458752 PQC458749:PQD458752 PZY458749:PZZ458752 QJU458749:QJV458752 QTQ458749:QTR458752 RDM458749:RDN458752 RNI458749:RNJ458752 RXE458749:RXF458752 SHA458749:SHB458752 SQW458749:SQX458752 TAS458749:TAT458752 TKO458749:TKP458752 TUK458749:TUL458752 UEG458749:UEH458752 UOC458749:UOD458752 UXY458749:UXZ458752 VHU458749:VHV458752 VRQ458749:VRR458752 WBM458749:WBN458752 WLI458749:WLJ458752 WVE458749:WVF458752 IS524285:IT524288 SO524285:SP524288 ACK524285:ACL524288 AMG524285:AMH524288 AWC524285:AWD524288 BFY524285:BFZ524288 BPU524285:BPV524288 BZQ524285:BZR524288 CJM524285:CJN524288 CTI524285:CTJ524288 DDE524285:DDF524288 DNA524285:DNB524288 DWW524285:DWX524288 EGS524285:EGT524288 EQO524285:EQP524288 FAK524285:FAL524288 FKG524285:FKH524288 FUC524285:FUD524288 GDY524285:GDZ524288 GNU524285:GNV524288 GXQ524285:GXR524288 HHM524285:HHN524288 HRI524285:HRJ524288 IBE524285:IBF524288 ILA524285:ILB524288 IUW524285:IUX524288 JES524285:JET524288 JOO524285:JOP524288 JYK524285:JYL524288 KIG524285:KIH524288 KSC524285:KSD524288 LBY524285:LBZ524288 LLU524285:LLV524288 LVQ524285:LVR524288 MFM524285:MFN524288 MPI524285:MPJ524288 MZE524285:MZF524288 NJA524285:NJB524288 NSW524285:NSX524288 OCS524285:OCT524288 OMO524285:OMP524288 OWK524285:OWL524288 PGG524285:PGH524288 PQC524285:PQD524288 PZY524285:PZZ524288 QJU524285:QJV524288 QTQ524285:QTR524288 RDM524285:RDN524288 RNI524285:RNJ524288 RXE524285:RXF524288 SHA524285:SHB524288 SQW524285:SQX524288 TAS524285:TAT524288 TKO524285:TKP524288 TUK524285:TUL524288 UEG524285:UEH524288 UOC524285:UOD524288 UXY524285:UXZ524288 VHU524285:VHV524288 VRQ524285:VRR524288 WBM524285:WBN524288 WLI524285:WLJ524288 WVE524285:WVF524288 IS589821:IT589824 SO589821:SP589824 ACK589821:ACL589824 AMG589821:AMH589824 AWC589821:AWD589824 BFY589821:BFZ589824 BPU589821:BPV589824 BZQ589821:BZR589824 CJM589821:CJN589824 CTI589821:CTJ589824 DDE589821:DDF589824 DNA589821:DNB589824 DWW589821:DWX589824 EGS589821:EGT589824 EQO589821:EQP589824 FAK589821:FAL589824 FKG589821:FKH589824 FUC589821:FUD589824 GDY589821:GDZ589824 GNU589821:GNV589824 GXQ589821:GXR589824 HHM589821:HHN589824 HRI589821:HRJ589824 IBE589821:IBF589824 ILA589821:ILB589824 IUW589821:IUX589824 JES589821:JET589824 JOO589821:JOP589824 JYK589821:JYL589824 KIG589821:KIH589824 KSC589821:KSD589824 LBY589821:LBZ589824 LLU589821:LLV589824 LVQ589821:LVR589824 MFM589821:MFN589824 MPI589821:MPJ589824 MZE589821:MZF589824 NJA589821:NJB589824 NSW589821:NSX589824 OCS589821:OCT589824 OMO589821:OMP589824 OWK589821:OWL589824 PGG589821:PGH589824 PQC589821:PQD589824 PZY589821:PZZ589824 QJU589821:QJV589824 QTQ589821:QTR589824 RDM589821:RDN589824 RNI589821:RNJ589824 RXE589821:RXF589824 SHA589821:SHB589824 SQW589821:SQX589824 TAS589821:TAT589824 TKO589821:TKP589824 TUK589821:TUL589824 UEG589821:UEH589824 UOC589821:UOD589824 UXY589821:UXZ589824 VHU589821:VHV589824 VRQ589821:VRR589824 WBM589821:WBN589824 WLI589821:WLJ589824 WVE589821:WVF589824 IS655357:IT655360 SO655357:SP655360 ACK655357:ACL655360 AMG655357:AMH655360 AWC655357:AWD655360 BFY655357:BFZ655360 BPU655357:BPV655360 BZQ655357:BZR655360 CJM655357:CJN655360 CTI655357:CTJ655360 DDE655357:DDF655360 DNA655357:DNB655360 DWW655357:DWX655360 EGS655357:EGT655360 EQO655357:EQP655360 FAK655357:FAL655360 FKG655357:FKH655360 FUC655357:FUD655360 GDY655357:GDZ655360 GNU655357:GNV655360 GXQ655357:GXR655360 HHM655357:HHN655360 HRI655357:HRJ655360 IBE655357:IBF655360 ILA655357:ILB655360 IUW655357:IUX655360 JES655357:JET655360 JOO655357:JOP655360 JYK655357:JYL655360 KIG655357:KIH655360 KSC655357:KSD655360 LBY655357:LBZ655360 LLU655357:LLV655360 LVQ655357:LVR655360 MFM655357:MFN655360 MPI655357:MPJ655360 MZE655357:MZF655360 NJA655357:NJB655360 NSW655357:NSX655360 OCS655357:OCT655360 OMO655357:OMP655360 OWK655357:OWL655360 PGG655357:PGH655360 PQC655357:PQD655360 PZY655357:PZZ655360 QJU655357:QJV655360 QTQ655357:QTR655360 RDM655357:RDN655360 RNI655357:RNJ655360 RXE655357:RXF655360 SHA655357:SHB655360 SQW655357:SQX655360 TAS655357:TAT655360 TKO655357:TKP655360 TUK655357:TUL655360 UEG655357:UEH655360 UOC655357:UOD655360 UXY655357:UXZ655360 VHU655357:VHV655360 VRQ655357:VRR655360 WBM655357:WBN655360 WLI655357:WLJ655360 WVE655357:WVF655360 IS720893:IT720896 SO720893:SP720896 ACK720893:ACL720896 AMG720893:AMH720896 AWC720893:AWD720896 BFY720893:BFZ720896 BPU720893:BPV720896 BZQ720893:BZR720896 CJM720893:CJN720896 CTI720893:CTJ720896 DDE720893:DDF720896 DNA720893:DNB720896 DWW720893:DWX720896 EGS720893:EGT720896 EQO720893:EQP720896 FAK720893:FAL720896 FKG720893:FKH720896 FUC720893:FUD720896 GDY720893:GDZ720896 GNU720893:GNV720896 GXQ720893:GXR720896 HHM720893:HHN720896 HRI720893:HRJ720896 IBE720893:IBF720896 ILA720893:ILB720896 IUW720893:IUX720896 JES720893:JET720896 JOO720893:JOP720896 JYK720893:JYL720896 KIG720893:KIH720896 KSC720893:KSD720896 LBY720893:LBZ720896 LLU720893:LLV720896 LVQ720893:LVR720896 MFM720893:MFN720896 MPI720893:MPJ720896 MZE720893:MZF720896 NJA720893:NJB720896 NSW720893:NSX720896 OCS720893:OCT720896 OMO720893:OMP720896 OWK720893:OWL720896 PGG720893:PGH720896 PQC720893:PQD720896 PZY720893:PZZ720896 QJU720893:QJV720896 QTQ720893:QTR720896 RDM720893:RDN720896 RNI720893:RNJ720896 RXE720893:RXF720896 SHA720893:SHB720896 SQW720893:SQX720896 TAS720893:TAT720896 TKO720893:TKP720896 TUK720893:TUL720896 UEG720893:UEH720896 UOC720893:UOD720896 UXY720893:UXZ720896 VHU720893:VHV720896 VRQ720893:VRR720896 WBM720893:WBN720896 WLI720893:WLJ720896 WVE720893:WVF720896 IS786429:IT786432 SO786429:SP786432 ACK786429:ACL786432 AMG786429:AMH786432 AWC786429:AWD786432 BFY786429:BFZ786432 BPU786429:BPV786432 BZQ786429:BZR786432 CJM786429:CJN786432 CTI786429:CTJ786432 DDE786429:DDF786432 DNA786429:DNB786432 DWW786429:DWX786432 EGS786429:EGT786432 EQO786429:EQP786432 FAK786429:FAL786432 FKG786429:FKH786432 FUC786429:FUD786432 GDY786429:GDZ786432 GNU786429:GNV786432 GXQ786429:GXR786432 HHM786429:HHN786432 HRI786429:HRJ786432 IBE786429:IBF786432 ILA786429:ILB786432 IUW786429:IUX786432 JES786429:JET786432 JOO786429:JOP786432 JYK786429:JYL786432 KIG786429:KIH786432 KSC786429:KSD786432 LBY786429:LBZ786432 LLU786429:LLV786432 LVQ786429:LVR786432 MFM786429:MFN786432 MPI786429:MPJ786432 MZE786429:MZF786432 NJA786429:NJB786432 NSW786429:NSX786432 OCS786429:OCT786432 OMO786429:OMP786432 OWK786429:OWL786432 PGG786429:PGH786432 PQC786429:PQD786432 PZY786429:PZZ786432 QJU786429:QJV786432 QTQ786429:QTR786432 RDM786429:RDN786432 RNI786429:RNJ786432 RXE786429:RXF786432 SHA786429:SHB786432 SQW786429:SQX786432 TAS786429:TAT786432 TKO786429:TKP786432 TUK786429:TUL786432 UEG786429:UEH786432 UOC786429:UOD786432 UXY786429:UXZ786432 VHU786429:VHV786432 VRQ786429:VRR786432 WBM786429:WBN786432 WLI786429:WLJ786432 WVE786429:WVF786432 IS851965:IT851968 SO851965:SP851968 ACK851965:ACL851968 AMG851965:AMH851968 AWC851965:AWD851968 BFY851965:BFZ851968 BPU851965:BPV851968 BZQ851965:BZR851968 CJM851965:CJN851968 CTI851965:CTJ851968 DDE851965:DDF851968 DNA851965:DNB851968 DWW851965:DWX851968 EGS851965:EGT851968 EQO851965:EQP851968 FAK851965:FAL851968 FKG851965:FKH851968 FUC851965:FUD851968 GDY851965:GDZ851968 GNU851965:GNV851968 GXQ851965:GXR851968 HHM851965:HHN851968 HRI851965:HRJ851968 IBE851965:IBF851968 ILA851965:ILB851968 IUW851965:IUX851968 JES851965:JET851968 JOO851965:JOP851968 JYK851965:JYL851968 KIG851965:KIH851968 KSC851965:KSD851968 LBY851965:LBZ851968 LLU851965:LLV851968 LVQ851965:LVR851968 MFM851965:MFN851968 MPI851965:MPJ851968 MZE851965:MZF851968 NJA851965:NJB851968 NSW851965:NSX851968 OCS851965:OCT851968 OMO851965:OMP851968 OWK851965:OWL851968 PGG851965:PGH851968 PQC851965:PQD851968 PZY851965:PZZ851968 QJU851965:QJV851968 QTQ851965:QTR851968 RDM851965:RDN851968 RNI851965:RNJ851968 RXE851965:RXF851968 SHA851965:SHB851968 SQW851965:SQX851968 TAS851965:TAT851968 TKO851965:TKP851968 TUK851965:TUL851968 UEG851965:UEH851968 UOC851965:UOD851968 UXY851965:UXZ851968 VHU851965:VHV851968 VRQ851965:VRR851968 WBM851965:WBN851968 WLI851965:WLJ851968 WVE851965:WVF851968 IS917501:IT917504 SO917501:SP917504 ACK917501:ACL917504 AMG917501:AMH917504 AWC917501:AWD917504 BFY917501:BFZ917504 BPU917501:BPV917504 BZQ917501:BZR917504 CJM917501:CJN917504 CTI917501:CTJ917504 DDE917501:DDF917504 DNA917501:DNB917504 DWW917501:DWX917504 EGS917501:EGT917504 EQO917501:EQP917504 FAK917501:FAL917504 FKG917501:FKH917504 FUC917501:FUD917504 GDY917501:GDZ917504 GNU917501:GNV917504 GXQ917501:GXR917504 HHM917501:HHN917504 HRI917501:HRJ917504 IBE917501:IBF917504 ILA917501:ILB917504 IUW917501:IUX917504 JES917501:JET917504 JOO917501:JOP917504 JYK917501:JYL917504 KIG917501:KIH917504 KSC917501:KSD917504 LBY917501:LBZ917504 LLU917501:LLV917504 LVQ917501:LVR917504 MFM917501:MFN917504 MPI917501:MPJ917504 MZE917501:MZF917504 NJA917501:NJB917504 NSW917501:NSX917504 OCS917501:OCT917504 OMO917501:OMP917504 OWK917501:OWL917504 PGG917501:PGH917504 PQC917501:PQD917504 PZY917501:PZZ917504 QJU917501:QJV917504 QTQ917501:QTR917504 RDM917501:RDN917504 RNI917501:RNJ917504 RXE917501:RXF917504 SHA917501:SHB917504 SQW917501:SQX917504 TAS917501:TAT917504 TKO917501:TKP917504 TUK917501:TUL917504 UEG917501:UEH917504 UOC917501:UOD917504 UXY917501:UXZ917504 VHU917501:VHV917504 VRQ917501:VRR917504 WBM917501:WBN917504 WLI917501:WLJ917504 WVE917501:WVF917504 IS983037:IT983040 SO983037:SP983040 ACK983037:ACL983040 AMG983037:AMH983040 AWC983037:AWD983040 BFY983037:BFZ983040 BPU983037:BPV983040 BZQ983037:BZR983040 CJM983037:CJN983040 CTI983037:CTJ983040 DDE983037:DDF983040 DNA983037:DNB983040 DWW983037:DWX983040 EGS983037:EGT983040 EQO983037:EQP983040 FAK983037:FAL983040 FKG983037:FKH983040 FUC983037:FUD983040 GDY983037:GDZ983040 GNU983037:GNV983040 GXQ983037:GXR983040 HHM983037:HHN983040 HRI983037:HRJ983040 IBE983037:IBF983040 ILA983037:ILB983040 IUW983037:IUX983040 JES983037:JET983040 JOO983037:JOP983040 JYK983037:JYL983040 KIG983037:KIH983040 KSC983037:KSD983040 LBY983037:LBZ983040 LLU983037:LLV983040 LVQ983037:LVR983040 MFM983037:MFN983040 MPI983037:MPJ983040 MZE983037:MZF983040 NJA983037:NJB983040 NSW983037:NSX983040 OCS983037:OCT983040 OMO983037:OMP983040 OWK983037:OWL983040 PGG983037:PGH983040 PQC983037:PQD983040 PZY983037:PZZ983040 QJU983037:QJV983040 QTQ983037:QTR983040 RDM983037:RDN983040 RNI983037:RNJ983040 RXE983037:RXF983040 SHA983037:SHB983040 SQW983037:SQX983040 TAS983037:TAT983040 TKO983037:TKP983040 TUK983037:TUL983040 UEG983037:UEH983040 UOC983037:UOD983040 UXY983037:UXZ983040 VHU983037:VHV983040">
      <formula1>"YES,NO"</formula1>
    </dataValidation>
  </dataValidations>
  <printOptions horizontalCentered="1"/>
  <pageMargins left="0" right="0" top="0" bottom="0" header="0" footer="0"/>
  <pageSetup paperSize="9" scale="90" orientation="landscape" blackAndWhite="1" verticalDpi="300" r:id="rId1"/>
  <headerFooter>
    <oddFooter>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E17" sqref="E17"/>
    </sheetView>
  </sheetViews>
  <sheetFormatPr defaultRowHeight="15" x14ac:dyDescent="0.25"/>
  <cols>
    <col min="1" max="1" width="6.42578125" customWidth="1"/>
    <col min="2" max="2" width="30.140625" bestFit="1" customWidth="1"/>
    <col min="3" max="3" width="43.7109375" bestFit="1" customWidth="1"/>
    <col min="4" max="4" width="10" bestFit="1" customWidth="1"/>
    <col min="5" max="6" width="12" bestFit="1" customWidth="1"/>
    <col min="7" max="7" width="16" bestFit="1" customWidth="1"/>
    <col min="8" max="8" width="16.7109375" bestFit="1" customWidth="1"/>
    <col min="9" max="9" width="13.140625" bestFit="1" customWidth="1"/>
  </cols>
  <sheetData>
    <row r="1" spans="1:9" ht="20.25" thickBot="1" x14ac:dyDescent="0.35">
      <c r="A1" s="522" t="s">
        <v>613</v>
      </c>
    </row>
    <row r="2" spans="1:9" ht="18.75" thickTop="1" thickBot="1" x14ac:dyDescent="0.35">
      <c r="A2" s="523" t="s">
        <v>614</v>
      </c>
    </row>
    <row r="3" spans="1:9" s="521" customFormat="1" ht="47.25" thickTop="1" thickBot="1" x14ac:dyDescent="0.3">
      <c r="A3" s="524" t="s">
        <v>295</v>
      </c>
      <c r="B3" s="524" t="s">
        <v>551</v>
      </c>
      <c r="C3" s="524" t="s">
        <v>617</v>
      </c>
      <c r="D3" s="524" t="s">
        <v>552</v>
      </c>
      <c r="E3" s="527" t="s">
        <v>629</v>
      </c>
      <c r="F3" s="524" t="s">
        <v>635</v>
      </c>
      <c r="G3" s="528" t="s">
        <v>636</v>
      </c>
      <c r="H3" s="528" t="s">
        <v>639</v>
      </c>
      <c r="I3" s="528" t="s">
        <v>638</v>
      </c>
    </row>
    <row r="4" spans="1:9" x14ac:dyDescent="0.25">
      <c r="A4">
        <v>1</v>
      </c>
      <c r="B4" t="s">
        <v>553</v>
      </c>
      <c r="C4" t="s">
        <v>634</v>
      </c>
      <c r="D4">
        <v>1</v>
      </c>
      <c r="E4" s="525" t="s">
        <v>34</v>
      </c>
      <c r="F4" s="525">
        <v>11781</v>
      </c>
      <c r="G4" s="529">
        <v>0</v>
      </c>
      <c r="H4" s="530">
        <f>D4*G4</f>
        <v>0</v>
      </c>
      <c r="I4" s="531">
        <f>D4*F4</f>
        <v>11781</v>
      </c>
    </row>
    <row r="5" spans="1:9" x14ac:dyDescent="0.25">
      <c r="A5">
        <v>2</v>
      </c>
      <c r="B5" t="s">
        <v>554</v>
      </c>
      <c r="C5" t="s">
        <v>632</v>
      </c>
      <c r="D5">
        <v>1</v>
      </c>
      <c r="E5" s="525">
        <v>13750</v>
      </c>
      <c r="F5" s="525">
        <f>E5</f>
        <v>13750</v>
      </c>
      <c r="G5" s="529">
        <v>0</v>
      </c>
      <c r="H5" s="530">
        <f>D5*G5</f>
        <v>0</v>
      </c>
      <c r="I5" s="531">
        <f>D5*F5</f>
        <v>13750</v>
      </c>
    </row>
    <row r="6" spans="1:9" x14ac:dyDescent="0.25">
      <c r="A6">
        <v>3</v>
      </c>
      <c r="B6" t="s">
        <v>555</v>
      </c>
      <c r="C6" t="s">
        <v>631</v>
      </c>
      <c r="D6">
        <v>2</v>
      </c>
      <c r="E6" s="525">
        <v>1260</v>
      </c>
      <c r="F6" s="525">
        <f t="shared" ref="F6:F20" si="0">E6</f>
        <v>1260</v>
      </c>
      <c r="G6" s="529">
        <v>0</v>
      </c>
      <c r="H6" s="530">
        <f>D6*G6</f>
        <v>0</v>
      </c>
      <c r="I6" s="531">
        <f>D6*F6</f>
        <v>2520</v>
      </c>
    </row>
    <row r="7" spans="1:9" x14ac:dyDescent="0.25">
      <c r="A7">
        <v>4</v>
      </c>
      <c r="B7" t="s">
        <v>556</v>
      </c>
      <c r="C7" t="s">
        <v>633</v>
      </c>
      <c r="D7">
        <v>2</v>
      </c>
      <c r="E7" s="525">
        <v>2860</v>
      </c>
      <c r="F7" s="525">
        <f t="shared" si="0"/>
        <v>2860</v>
      </c>
      <c r="G7" s="529">
        <v>0</v>
      </c>
      <c r="H7" s="530">
        <f>D7*G7</f>
        <v>0</v>
      </c>
      <c r="I7" s="531">
        <f>D7*F7</f>
        <v>5720</v>
      </c>
    </row>
    <row r="8" spans="1:9" ht="18" thickBot="1" x14ac:dyDescent="0.35">
      <c r="A8" s="523" t="s">
        <v>615</v>
      </c>
      <c r="G8" s="532"/>
      <c r="H8" s="532"/>
      <c r="I8" s="532"/>
    </row>
    <row r="9" spans="1:9" ht="15.75" thickTop="1" x14ac:dyDescent="0.25">
      <c r="A9">
        <v>1</v>
      </c>
      <c r="B9" t="s">
        <v>557</v>
      </c>
      <c r="C9" t="s">
        <v>618</v>
      </c>
      <c r="D9">
        <v>1</v>
      </c>
      <c r="E9" s="525">
        <v>25500</v>
      </c>
      <c r="F9" s="525">
        <f t="shared" si="0"/>
        <v>25500</v>
      </c>
      <c r="G9" s="529">
        <v>0</v>
      </c>
      <c r="H9" s="530">
        <f t="shared" ref="H9:H21" si="1">D9*G9</f>
        <v>0</v>
      </c>
      <c r="I9" s="531">
        <f t="shared" ref="I9:I20" si="2">D9*F9</f>
        <v>25500</v>
      </c>
    </row>
    <row r="10" spans="1:9" x14ac:dyDescent="0.25">
      <c r="A10">
        <v>2</v>
      </c>
      <c r="B10" t="s">
        <v>558</v>
      </c>
      <c r="C10" t="s">
        <v>619</v>
      </c>
      <c r="D10">
        <v>1</v>
      </c>
      <c r="E10" s="525">
        <v>20500</v>
      </c>
      <c r="F10" s="525">
        <f t="shared" si="0"/>
        <v>20500</v>
      </c>
      <c r="G10" s="529">
        <v>0</v>
      </c>
      <c r="H10" s="530">
        <f t="shared" si="1"/>
        <v>0</v>
      </c>
      <c r="I10" s="531">
        <f t="shared" si="2"/>
        <v>20500</v>
      </c>
    </row>
    <row r="11" spans="1:9" x14ac:dyDescent="0.25">
      <c r="A11">
        <v>3</v>
      </c>
      <c r="B11" t="s">
        <v>559</v>
      </c>
      <c r="C11" t="s">
        <v>620</v>
      </c>
      <c r="D11">
        <v>1</v>
      </c>
      <c r="E11" s="525">
        <v>1200</v>
      </c>
      <c r="F11" s="525">
        <f t="shared" si="0"/>
        <v>1200</v>
      </c>
      <c r="G11" s="529">
        <v>0</v>
      </c>
      <c r="H11" s="530">
        <f t="shared" si="1"/>
        <v>0</v>
      </c>
      <c r="I11" s="531">
        <f t="shared" si="2"/>
        <v>1200</v>
      </c>
    </row>
    <row r="12" spans="1:9" x14ac:dyDescent="0.25">
      <c r="A12">
        <v>4</v>
      </c>
      <c r="B12" t="s">
        <v>560</v>
      </c>
      <c r="C12" t="s">
        <v>621</v>
      </c>
      <c r="D12">
        <v>1</v>
      </c>
      <c r="E12" s="525">
        <v>6700</v>
      </c>
      <c r="F12" s="525">
        <f t="shared" si="0"/>
        <v>6700</v>
      </c>
      <c r="G12" s="529">
        <v>0</v>
      </c>
      <c r="H12" s="530">
        <f t="shared" si="1"/>
        <v>0</v>
      </c>
      <c r="I12" s="531">
        <f t="shared" si="2"/>
        <v>6700</v>
      </c>
    </row>
    <row r="13" spans="1:9" x14ac:dyDescent="0.25">
      <c r="A13">
        <v>5</v>
      </c>
      <c r="B13" t="s">
        <v>561</v>
      </c>
      <c r="C13" t="s">
        <v>622</v>
      </c>
      <c r="D13">
        <v>1</v>
      </c>
      <c r="E13" s="525">
        <v>2500</v>
      </c>
      <c r="F13" s="525">
        <f t="shared" si="0"/>
        <v>2500</v>
      </c>
      <c r="G13" s="529">
        <v>0</v>
      </c>
      <c r="H13" s="530">
        <f t="shared" si="1"/>
        <v>0</v>
      </c>
      <c r="I13" s="531">
        <f t="shared" si="2"/>
        <v>2500</v>
      </c>
    </row>
    <row r="14" spans="1:9" x14ac:dyDescent="0.25">
      <c r="A14">
        <v>6</v>
      </c>
      <c r="B14" t="s">
        <v>562</v>
      </c>
      <c r="C14" t="s">
        <v>623</v>
      </c>
      <c r="D14">
        <v>1</v>
      </c>
      <c r="E14" s="525">
        <v>6500</v>
      </c>
      <c r="F14" s="525">
        <f t="shared" si="0"/>
        <v>6500</v>
      </c>
      <c r="G14" s="529">
        <v>0</v>
      </c>
      <c r="H14" s="530">
        <f t="shared" si="1"/>
        <v>0</v>
      </c>
      <c r="I14" s="531">
        <f t="shared" si="2"/>
        <v>6500</v>
      </c>
    </row>
    <row r="15" spans="1:9" x14ac:dyDescent="0.25">
      <c r="A15">
        <v>7</v>
      </c>
      <c r="B15" t="s">
        <v>563</v>
      </c>
      <c r="C15" t="s">
        <v>624</v>
      </c>
      <c r="D15">
        <v>1</v>
      </c>
      <c r="E15" s="525">
        <v>55800</v>
      </c>
      <c r="F15" s="525">
        <f t="shared" si="0"/>
        <v>55800</v>
      </c>
      <c r="G15" s="529">
        <v>0</v>
      </c>
      <c r="H15" s="530">
        <f t="shared" si="1"/>
        <v>0</v>
      </c>
      <c r="I15" s="531">
        <f t="shared" si="2"/>
        <v>55800</v>
      </c>
    </row>
    <row r="16" spans="1:9" x14ac:dyDescent="0.25">
      <c r="A16">
        <v>8</v>
      </c>
      <c r="B16" t="s">
        <v>564</v>
      </c>
      <c r="C16" t="s">
        <v>625</v>
      </c>
      <c r="D16">
        <v>1</v>
      </c>
      <c r="E16" s="525">
        <v>5400</v>
      </c>
      <c r="F16" s="525">
        <f t="shared" si="0"/>
        <v>5400</v>
      </c>
      <c r="G16" s="529">
        <v>0</v>
      </c>
      <c r="H16" s="530">
        <f t="shared" si="1"/>
        <v>0</v>
      </c>
      <c r="I16" s="531">
        <f t="shared" si="2"/>
        <v>5400</v>
      </c>
    </row>
    <row r="17" spans="1:9" x14ac:dyDescent="0.25">
      <c r="A17">
        <v>9</v>
      </c>
      <c r="B17" t="s">
        <v>565</v>
      </c>
      <c r="C17" t="s">
        <v>626</v>
      </c>
      <c r="D17">
        <v>1</v>
      </c>
      <c r="E17" s="525">
        <v>63300</v>
      </c>
      <c r="F17" s="525">
        <f t="shared" si="0"/>
        <v>63300</v>
      </c>
      <c r="G17" s="529">
        <v>0</v>
      </c>
      <c r="H17" s="530">
        <f t="shared" si="1"/>
        <v>0</v>
      </c>
      <c r="I17" s="531">
        <f t="shared" si="2"/>
        <v>63300</v>
      </c>
    </row>
    <row r="18" spans="1:9" x14ac:dyDescent="0.25">
      <c r="A18">
        <v>10</v>
      </c>
      <c r="B18" t="s">
        <v>555</v>
      </c>
      <c r="C18" t="s">
        <v>630</v>
      </c>
      <c r="D18">
        <v>1</v>
      </c>
      <c r="E18" s="525">
        <v>1260</v>
      </c>
      <c r="F18" s="525">
        <f t="shared" si="0"/>
        <v>1260</v>
      </c>
      <c r="G18" s="529">
        <v>0</v>
      </c>
      <c r="H18" s="530">
        <f t="shared" si="1"/>
        <v>0</v>
      </c>
      <c r="I18" s="531">
        <f t="shared" si="2"/>
        <v>1260</v>
      </c>
    </row>
    <row r="19" spans="1:9" x14ac:dyDescent="0.25">
      <c r="A19">
        <v>11</v>
      </c>
      <c r="B19" t="s">
        <v>566</v>
      </c>
      <c r="C19" t="s">
        <v>627</v>
      </c>
      <c r="D19">
        <v>1</v>
      </c>
      <c r="E19" s="525">
        <v>2860</v>
      </c>
      <c r="F19" s="525">
        <f t="shared" si="0"/>
        <v>2860</v>
      </c>
      <c r="G19" s="529">
        <v>0</v>
      </c>
      <c r="H19" s="530">
        <f t="shared" si="1"/>
        <v>0</v>
      </c>
      <c r="I19" s="531">
        <f t="shared" si="2"/>
        <v>2860</v>
      </c>
    </row>
    <row r="20" spans="1:9" x14ac:dyDescent="0.25">
      <c r="A20">
        <v>12</v>
      </c>
      <c r="B20" t="s">
        <v>567</v>
      </c>
      <c r="C20" t="s">
        <v>628</v>
      </c>
      <c r="D20">
        <v>1</v>
      </c>
      <c r="E20" s="525">
        <v>31000</v>
      </c>
      <c r="F20" s="525">
        <f t="shared" si="0"/>
        <v>31000</v>
      </c>
      <c r="G20" s="529">
        <v>0</v>
      </c>
      <c r="H20" s="530">
        <f t="shared" si="1"/>
        <v>0</v>
      </c>
      <c r="I20" s="531">
        <f t="shared" si="2"/>
        <v>31000</v>
      </c>
    </row>
    <row r="21" spans="1:9" ht="30" x14ac:dyDescent="0.25">
      <c r="A21" s="520">
        <v>13</v>
      </c>
      <c r="B21" s="520" t="s">
        <v>637</v>
      </c>
      <c r="C21" s="521" t="s">
        <v>616</v>
      </c>
      <c r="D21" s="520">
        <v>1</v>
      </c>
      <c r="E21" s="525" t="s">
        <v>34</v>
      </c>
      <c r="F21" s="525">
        <v>0</v>
      </c>
      <c r="G21" s="529">
        <v>170000000</v>
      </c>
      <c r="H21" s="530">
        <f t="shared" si="1"/>
        <v>170000000</v>
      </c>
      <c r="I21" s="531">
        <v>0</v>
      </c>
    </row>
    <row r="22" spans="1:9" ht="30" x14ac:dyDescent="0.25">
      <c r="B22" s="458" t="s">
        <v>542</v>
      </c>
      <c r="H22" s="461">
        <f>SUM(H4:H21)</f>
        <v>170000000</v>
      </c>
      <c r="I22" s="462">
        <f>SUM(I4:I21)</f>
        <v>256291</v>
      </c>
    </row>
    <row r="23" spans="1:9" x14ac:dyDescent="0.25">
      <c r="B23" s="464" t="s">
        <v>543</v>
      </c>
      <c r="H23" s="465">
        <v>1.18</v>
      </c>
      <c r="I23" s="465">
        <v>1.18</v>
      </c>
    </row>
    <row r="24" spans="1:9" x14ac:dyDescent="0.25">
      <c r="B24" s="464" t="s">
        <v>544</v>
      </c>
      <c r="H24" s="466">
        <v>0.1</v>
      </c>
      <c r="I24" s="466">
        <v>0.1</v>
      </c>
    </row>
    <row r="25" spans="1:9" ht="30" x14ac:dyDescent="0.25">
      <c r="B25" s="467" t="s">
        <v>545</v>
      </c>
      <c r="H25" s="468">
        <f>ROUND((H22*H23*(1+H24))/1000000,0)*1000000</f>
        <v>221000000</v>
      </c>
      <c r="I25" s="469">
        <f>ROUND(I22*I23*(1+I24)/1000,0)*1000</f>
        <v>333000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70"/>
  <sheetViews>
    <sheetView view="pageBreakPreview" topLeftCell="B1" zoomScaleNormal="70" zoomScaleSheetLayoutView="100" workbookViewId="0">
      <selection activeCell="R5" sqref="R5"/>
    </sheetView>
  </sheetViews>
  <sheetFormatPr defaultColWidth="2" defaultRowHeight="15" x14ac:dyDescent="0.25"/>
  <cols>
    <col min="1" max="1" width="39.85546875" style="539" customWidth="1"/>
    <col min="2" max="2" width="28.5703125" style="533" bestFit="1" customWidth="1"/>
    <col min="3" max="3" width="9.140625" style="533" customWidth="1"/>
    <col min="4" max="5" width="9.140625" style="534" customWidth="1"/>
    <col min="6" max="6" width="15.140625" style="534" bestFit="1" customWidth="1"/>
    <col min="7" max="7" width="12.28515625" style="534" bestFit="1" customWidth="1"/>
    <col min="8" max="8" width="10.5703125" style="533" bestFit="1" customWidth="1"/>
    <col min="9" max="9" width="9.28515625" style="535" customWidth="1"/>
    <col min="10" max="10" width="28.42578125" style="535" bestFit="1" customWidth="1"/>
    <col min="11" max="11" width="7.42578125" style="535" bestFit="1" customWidth="1"/>
    <col min="12" max="12" width="14.5703125" style="535" customWidth="1"/>
    <col min="13" max="13" width="9.28515625" style="535" customWidth="1"/>
    <col min="14" max="14" width="11" style="535" bestFit="1" customWidth="1"/>
    <col min="15" max="15" width="12.5703125" style="535" customWidth="1"/>
    <col min="16" max="16" width="13.28515625" style="535" customWidth="1"/>
    <col min="17" max="17" width="20.42578125" style="535" bestFit="1" customWidth="1"/>
    <col min="18" max="18" width="11.7109375" style="535" customWidth="1"/>
    <col min="19" max="109" width="2" style="535"/>
    <col min="110" max="110" width="2" style="535" customWidth="1"/>
    <col min="111" max="159" width="2" style="535"/>
    <col min="160" max="16384" width="2" style="536"/>
  </cols>
  <sheetData>
    <row r="1" spans="1:159" x14ac:dyDescent="0.25">
      <c r="A1" s="539" t="s">
        <v>641</v>
      </c>
    </row>
    <row r="2" spans="1:159" s="537" customFormat="1" x14ac:dyDescent="0.25">
      <c r="A2" s="647" t="s">
        <v>612</v>
      </c>
      <c r="B2" s="648" t="s">
        <v>611</v>
      </c>
      <c r="C2" s="648" t="s">
        <v>610</v>
      </c>
      <c r="D2" s="648"/>
      <c r="E2" s="648"/>
      <c r="F2" s="649" t="s">
        <v>609</v>
      </c>
      <c r="G2" s="649"/>
      <c r="H2" s="649"/>
      <c r="I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5"/>
      <c r="AA2" s="535"/>
      <c r="AB2" s="535"/>
      <c r="AC2" s="535"/>
      <c r="AD2" s="535"/>
      <c r="AE2" s="535"/>
      <c r="AF2" s="535"/>
      <c r="AG2" s="535"/>
      <c r="AH2" s="535"/>
      <c r="AI2" s="535"/>
      <c r="AJ2" s="535"/>
      <c r="AK2" s="535"/>
      <c r="AL2" s="535"/>
      <c r="AM2" s="535"/>
      <c r="AN2" s="535"/>
      <c r="AO2" s="535"/>
      <c r="AP2" s="535"/>
      <c r="AQ2" s="535"/>
      <c r="AR2" s="535"/>
      <c r="AS2" s="535"/>
      <c r="AT2" s="535"/>
      <c r="AU2" s="535"/>
      <c r="AV2" s="535"/>
      <c r="AW2" s="535"/>
      <c r="AX2" s="535"/>
      <c r="AY2" s="535"/>
      <c r="AZ2" s="535"/>
      <c r="BA2" s="535"/>
      <c r="BB2" s="535"/>
      <c r="BC2" s="535"/>
      <c r="BD2" s="535"/>
      <c r="BE2" s="535"/>
      <c r="BF2" s="535"/>
      <c r="BG2" s="535"/>
      <c r="BH2" s="535"/>
      <c r="BI2" s="535"/>
      <c r="BJ2" s="535"/>
      <c r="BK2" s="535"/>
      <c r="BL2" s="535"/>
      <c r="BM2" s="535"/>
      <c r="BN2" s="535"/>
      <c r="BO2" s="535"/>
      <c r="BP2" s="535"/>
      <c r="BQ2" s="535"/>
      <c r="BR2" s="535"/>
      <c r="BS2" s="535"/>
      <c r="BT2" s="535"/>
      <c r="BU2" s="535"/>
      <c r="BV2" s="535"/>
      <c r="BW2" s="535"/>
      <c r="BX2" s="535"/>
      <c r="BY2" s="535"/>
      <c r="BZ2" s="535"/>
      <c r="CA2" s="535"/>
      <c r="CB2" s="535"/>
      <c r="CC2" s="535"/>
      <c r="CD2" s="535"/>
      <c r="CE2" s="535"/>
      <c r="CF2" s="535"/>
      <c r="CG2" s="535"/>
      <c r="CH2" s="535"/>
      <c r="CI2" s="535"/>
      <c r="CJ2" s="535"/>
      <c r="CK2" s="535"/>
      <c r="CL2" s="535"/>
      <c r="CM2" s="535"/>
      <c r="CN2" s="535"/>
      <c r="CO2" s="535"/>
      <c r="CP2" s="535"/>
      <c r="CQ2" s="535"/>
      <c r="CR2" s="535"/>
      <c r="CS2" s="535"/>
      <c r="CT2" s="535"/>
      <c r="CU2" s="535"/>
      <c r="CV2" s="535"/>
      <c r="CW2" s="535"/>
      <c r="CX2" s="535"/>
      <c r="CY2" s="535"/>
      <c r="CZ2" s="535"/>
      <c r="DA2" s="535"/>
      <c r="DB2" s="535"/>
      <c r="DC2" s="535"/>
      <c r="DD2" s="535"/>
      <c r="DE2" s="535"/>
      <c r="DF2" s="535"/>
      <c r="DG2" s="535"/>
      <c r="DH2" s="535"/>
      <c r="DI2" s="535"/>
      <c r="DJ2" s="535"/>
      <c r="DK2" s="535"/>
      <c r="DL2" s="535"/>
      <c r="DM2" s="535"/>
      <c r="DN2" s="535"/>
      <c r="DO2" s="535"/>
      <c r="DP2" s="535"/>
      <c r="DQ2" s="535"/>
      <c r="DR2" s="535"/>
      <c r="DS2" s="535"/>
      <c r="DT2" s="535"/>
      <c r="DU2" s="535"/>
      <c r="DV2" s="535"/>
      <c r="DW2" s="535"/>
      <c r="DX2" s="535"/>
      <c r="DY2" s="535"/>
      <c r="DZ2" s="535"/>
      <c r="EA2" s="535"/>
      <c r="EB2" s="535"/>
      <c r="EC2" s="535"/>
      <c r="ED2" s="535"/>
      <c r="EE2" s="535"/>
      <c r="EF2" s="535"/>
      <c r="EG2" s="535"/>
      <c r="EH2" s="535"/>
      <c r="EI2" s="535"/>
      <c r="EJ2" s="535"/>
      <c r="EK2" s="535"/>
      <c r="EL2" s="535"/>
      <c r="EM2" s="535"/>
      <c r="EN2" s="535"/>
      <c r="EO2" s="535"/>
      <c r="EP2" s="535"/>
      <c r="EQ2" s="535"/>
      <c r="ER2" s="535"/>
      <c r="ES2" s="535"/>
      <c r="ET2" s="535"/>
      <c r="EU2" s="535"/>
      <c r="EV2" s="535"/>
      <c r="EW2" s="535"/>
      <c r="EX2" s="535"/>
      <c r="EY2" s="535"/>
      <c r="EZ2" s="535"/>
      <c r="FA2" s="535"/>
      <c r="FB2" s="535"/>
      <c r="FC2" s="535"/>
    </row>
    <row r="3" spans="1:159" s="537" customFormat="1" ht="60" x14ac:dyDescent="0.25">
      <c r="A3" s="647"/>
      <c r="B3" s="648"/>
      <c r="C3" s="557" t="s">
        <v>608</v>
      </c>
      <c r="D3" s="558" t="s">
        <v>607</v>
      </c>
      <c r="E3" s="559" t="s">
        <v>606</v>
      </c>
      <c r="F3" s="560" t="s">
        <v>605</v>
      </c>
      <c r="G3" s="561" t="s">
        <v>604</v>
      </c>
      <c r="H3" s="562" t="s">
        <v>603</v>
      </c>
      <c r="I3" s="535"/>
      <c r="J3" s="540" t="s">
        <v>648</v>
      </c>
      <c r="K3" s="544" t="s">
        <v>649</v>
      </c>
      <c r="L3" s="545" t="s">
        <v>651</v>
      </c>
      <c r="M3" s="545" t="s">
        <v>652</v>
      </c>
      <c r="N3" s="541" t="s">
        <v>653</v>
      </c>
      <c r="O3" s="543" t="s">
        <v>654</v>
      </c>
      <c r="P3" s="541" t="s">
        <v>656</v>
      </c>
      <c r="Q3" s="541" t="s">
        <v>657</v>
      </c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535"/>
      <c r="AP3" s="535"/>
      <c r="AQ3" s="535"/>
      <c r="AR3" s="535"/>
      <c r="AS3" s="535"/>
      <c r="AT3" s="535"/>
      <c r="AU3" s="535"/>
      <c r="AV3" s="535"/>
      <c r="AW3" s="535"/>
      <c r="AX3" s="535"/>
      <c r="AY3" s="535"/>
      <c r="AZ3" s="535"/>
      <c r="BA3" s="535"/>
      <c r="BB3" s="535"/>
      <c r="BC3" s="535"/>
      <c r="BD3" s="535"/>
      <c r="BE3" s="535"/>
      <c r="BF3" s="535"/>
      <c r="BG3" s="535"/>
      <c r="BH3" s="535"/>
      <c r="BI3" s="535"/>
      <c r="BJ3" s="535"/>
      <c r="BK3" s="535"/>
      <c r="BL3" s="535"/>
      <c r="BM3" s="535"/>
      <c r="BN3" s="535"/>
      <c r="BO3" s="535"/>
      <c r="BP3" s="535"/>
      <c r="BQ3" s="535"/>
      <c r="BR3" s="535"/>
      <c r="BS3" s="535"/>
      <c r="BT3" s="535"/>
      <c r="BU3" s="535"/>
      <c r="BV3" s="535"/>
      <c r="BW3" s="535"/>
      <c r="BX3" s="535"/>
      <c r="BY3" s="535"/>
      <c r="BZ3" s="535"/>
      <c r="CA3" s="535"/>
      <c r="CB3" s="535"/>
      <c r="CC3" s="535"/>
      <c r="CD3" s="535"/>
      <c r="CE3" s="535"/>
      <c r="CF3" s="535"/>
      <c r="CG3" s="535"/>
      <c r="CH3" s="535"/>
      <c r="CI3" s="535"/>
      <c r="CJ3" s="535"/>
      <c r="CK3" s="535"/>
      <c r="CL3" s="535"/>
      <c r="CM3" s="535"/>
      <c r="CN3" s="535"/>
      <c r="CO3" s="535"/>
      <c r="CP3" s="535"/>
      <c r="CQ3" s="535"/>
      <c r="CR3" s="535"/>
      <c r="CS3" s="535"/>
      <c r="CT3" s="535"/>
      <c r="CU3" s="535"/>
      <c r="CV3" s="535"/>
      <c r="CW3" s="535"/>
      <c r="CX3" s="535"/>
      <c r="CY3" s="535"/>
      <c r="CZ3" s="535"/>
      <c r="DA3" s="535"/>
      <c r="DB3" s="535"/>
      <c r="DC3" s="535"/>
      <c r="DD3" s="535"/>
      <c r="DE3" s="535"/>
      <c r="DF3" s="535"/>
      <c r="DG3" s="535"/>
      <c r="DH3" s="535"/>
      <c r="DI3" s="535"/>
      <c r="DJ3" s="535"/>
      <c r="DK3" s="535"/>
      <c r="DL3" s="535"/>
      <c r="DM3" s="535"/>
      <c r="DN3" s="535"/>
      <c r="DO3" s="535"/>
      <c r="DP3" s="535"/>
      <c r="DQ3" s="535"/>
      <c r="DR3" s="535"/>
      <c r="DS3" s="535"/>
      <c r="DT3" s="535"/>
      <c r="DU3" s="535"/>
      <c r="DV3" s="535"/>
      <c r="DW3" s="535"/>
      <c r="DX3" s="535"/>
      <c r="DY3" s="535"/>
      <c r="DZ3" s="535"/>
      <c r="EA3" s="535"/>
      <c r="EB3" s="535"/>
      <c r="EC3" s="535"/>
      <c r="ED3" s="535"/>
      <c r="EE3" s="535"/>
      <c r="EF3" s="535"/>
      <c r="EG3" s="535"/>
      <c r="EH3" s="535"/>
      <c r="EI3" s="535"/>
      <c r="EJ3" s="535"/>
      <c r="EK3" s="535"/>
      <c r="EL3" s="535"/>
      <c r="EM3" s="535"/>
      <c r="EN3" s="535"/>
      <c r="EO3" s="535"/>
      <c r="EP3" s="535"/>
      <c r="EQ3" s="535"/>
      <c r="ER3" s="535"/>
      <c r="ES3" s="535"/>
      <c r="ET3" s="535"/>
      <c r="EU3" s="535"/>
      <c r="EV3" s="535"/>
      <c r="EW3" s="535"/>
      <c r="EX3" s="535"/>
      <c r="EY3" s="535"/>
      <c r="EZ3" s="535"/>
      <c r="FA3" s="535"/>
      <c r="FB3" s="535"/>
      <c r="FC3" s="535"/>
    </row>
    <row r="4" spans="1:159" s="537" customFormat="1" ht="45" x14ac:dyDescent="0.25">
      <c r="A4" s="563" t="s">
        <v>602</v>
      </c>
      <c r="B4" s="564" t="s">
        <v>601</v>
      </c>
      <c r="C4" s="565">
        <f>5*(378/1000)</f>
        <v>1.8900000000000001</v>
      </c>
      <c r="D4" s="566">
        <f>(80*(431/1000)+80*(444/1000)+80*(379/1000)+80*(436/1000))/4</f>
        <v>33.799999999999997</v>
      </c>
      <c r="E4" s="567">
        <f>D4*24*365/1000</f>
        <v>296.08800000000002</v>
      </c>
      <c r="F4" s="568" t="s">
        <v>576</v>
      </c>
      <c r="G4" s="569"/>
      <c r="H4" s="570"/>
      <c r="I4" s="535"/>
      <c r="J4" s="541" t="s">
        <v>642</v>
      </c>
      <c r="K4" s="542">
        <f>SUM(E4,E14)</f>
        <v>598.13280000000009</v>
      </c>
      <c r="L4" s="546">
        <f>K4/12</f>
        <v>49.844400000000007</v>
      </c>
      <c r="M4" s="541" t="s">
        <v>1</v>
      </c>
      <c r="N4" s="547">
        <f>L4*1000</f>
        <v>49844.400000000009</v>
      </c>
      <c r="O4" s="548">
        <v>64000</v>
      </c>
      <c r="P4" s="549">
        <v>3.6</v>
      </c>
      <c r="Q4" s="549">
        <f>N4*P4</f>
        <v>179439.84000000003</v>
      </c>
      <c r="R4" s="580">
        <f>Q4/$Q$12</f>
        <v>0.40802055317707142</v>
      </c>
      <c r="S4" s="535"/>
      <c r="T4" s="535"/>
      <c r="U4" s="535"/>
      <c r="V4" s="535"/>
      <c r="W4" s="535"/>
      <c r="X4" s="535"/>
      <c r="Y4" s="535"/>
      <c r="Z4" s="535"/>
      <c r="AA4" s="535"/>
      <c r="AB4" s="535"/>
      <c r="AC4" s="535"/>
      <c r="AD4" s="535"/>
      <c r="AE4" s="535"/>
      <c r="AF4" s="535"/>
      <c r="AG4" s="535"/>
      <c r="AH4" s="535"/>
      <c r="AI4" s="535"/>
      <c r="AJ4" s="535"/>
      <c r="AK4" s="535"/>
      <c r="AL4" s="535"/>
      <c r="AM4" s="535"/>
      <c r="AN4" s="535"/>
      <c r="AO4" s="535"/>
      <c r="AP4" s="535"/>
      <c r="AQ4" s="535"/>
      <c r="AR4" s="535"/>
      <c r="AS4" s="535"/>
      <c r="AT4" s="535"/>
      <c r="AU4" s="535"/>
      <c r="AV4" s="535"/>
      <c r="AW4" s="535"/>
      <c r="AX4" s="535"/>
      <c r="AY4" s="535"/>
      <c r="AZ4" s="535"/>
      <c r="BA4" s="535"/>
      <c r="BB4" s="535"/>
      <c r="BC4" s="535"/>
      <c r="BD4" s="535"/>
      <c r="BE4" s="535"/>
      <c r="BF4" s="535"/>
      <c r="BG4" s="535"/>
      <c r="BH4" s="535"/>
      <c r="BI4" s="535"/>
      <c r="BJ4" s="535"/>
      <c r="BK4" s="535"/>
      <c r="BL4" s="535"/>
      <c r="BM4" s="535"/>
      <c r="BN4" s="535"/>
      <c r="BO4" s="535"/>
      <c r="BP4" s="535"/>
      <c r="BQ4" s="535"/>
      <c r="BR4" s="535"/>
      <c r="BS4" s="535"/>
      <c r="BT4" s="535"/>
      <c r="BU4" s="535"/>
      <c r="BV4" s="535"/>
      <c r="BW4" s="535"/>
      <c r="BX4" s="535"/>
      <c r="BY4" s="535"/>
      <c r="BZ4" s="535"/>
      <c r="CA4" s="535"/>
      <c r="CB4" s="535"/>
      <c r="CC4" s="535"/>
      <c r="CD4" s="535"/>
      <c r="CE4" s="535"/>
      <c r="CF4" s="535"/>
      <c r="CG4" s="535"/>
      <c r="CH4" s="535"/>
      <c r="CI4" s="535"/>
      <c r="CJ4" s="535"/>
      <c r="CK4" s="535"/>
      <c r="CL4" s="535"/>
      <c r="CM4" s="535"/>
      <c r="CN4" s="535"/>
      <c r="CO4" s="535"/>
      <c r="CP4" s="535"/>
      <c r="CQ4" s="535"/>
      <c r="CR4" s="535"/>
      <c r="CS4" s="535"/>
      <c r="CT4" s="535"/>
      <c r="CU4" s="535"/>
      <c r="CV4" s="535"/>
      <c r="CW4" s="535"/>
      <c r="CX4" s="535"/>
      <c r="CY4" s="535"/>
      <c r="CZ4" s="535"/>
      <c r="DA4" s="535"/>
      <c r="DB4" s="535"/>
      <c r="DC4" s="535"/>
      <c r="DD4" s="535"/>
      <c r="DE4" s="535"/>
      <c r="DF4" s="535"/>
      <c r="DG4" s="535"/>
      <c r="DH4" s="535"/>
      <c r="DI4" s="535"/>
      <c r="DJ4" s="535"/>
      <c r="DK4" s="535"/>
      <c r="DL4" s="535"/>
      <c r="DM4" s="535"/>
      <c r="DN4" s="535"/>
      <c r="DO4" s="535"/>
      <c r="DP4" s="535"/>
      <c r="DQ4" s="535"/>
      <c r="DR4" s="535"/>
      <c r="DS4" s="535"/>
      <c r="DT4" s="535"/>
      <c r="DU4" s="535"/>
      <c r="DV4" s="535"/>
      <c r="DW4" s="535"/>
      <c r="DX4" s="535"/>
      <c r="DY4" s="535"/>
      <c r="DZ4" s="535"/>
      <c r="EA4" s="535"/>
      <c r="EB4" s="535"/>
      <c r="EC4" s="535"/>
      <c r="ED4" s="535"/>
      <c r="EE4" s="535"/>
      <c r="EF4" s="535"/>
      <c r="EG4" s="535"/>
      <c r="EH4" s="535"/>
      <c r="EI4" s="535"/>
      <c r="EJ4" s="535"/>
      <c r="EK4" s="535"/>
      <c r="EL4" s="535"/>
      <c r="EM4" s="535"/>
      <c r="EN4" s="535"/>
      <c r="EO4" s="535"/>
      <c r="EP4" s="535"/>
      <c r="EQ4" s="535"/>
      <c r="ER4" s="535"/>
      <c r="ES4" s="535"/>
      <c r="ET4" s="535"/>
      <c r="EU4" s="535"/>
      <c r="EV4" s="535"/>
      <c r="EW4" s="535"/>
      <c r="EX4" s="535"/>
      <c r="EY4" s="535"/>
      <c r="EZ4" s="535"/>
      <c r="FA4" s="535"/>
      <c r="FB4" s="535"/>
      <c r="FC4" s="535"/>
    </row>
    <row r="5" spans="1:159" s="537" customFormat="1" x14ac:dyDescent="0.25">
      <c r="A5" s="563" t="s">
        <v>600</v>
      </c>
      <c r="B5" s="564" t="s">
        <v>599</v>
      </c>
      <c r="C5" s="571">
        <f>0.1</f>
        <v>0.1</v>
      </c>
      <c r="D5" s="566">
        <f>2*5</f>
        <v>10</v>
      </c>
      <c r="E5" s="567">
        <f>D5*24*365/1000</f>
        <v>87.6</v>
      </c>
      <c r="F5" s="568" t="s">
        <v>576</v>
      </c>
      <c r="G5" s="569"/>
      <c r="H5" s="570"/>
      <c r="I5" s="535"/>
      <c r="J5" s="541" t="s">
        <v>643</v>
      </c>
      <c r="K5" s="542">
        <f>E5</f>
        <v>87.6</v>
      </c>
      <c r="L5" s="546">
        <f t="shared" ref="L5:L9" si="0">K5/12</f>
        <v>7.3</v>
      </c>
      <c r="M5" s="541" t="s">
        <v>1</v>
      </c>
      <c r="N5" s="547">
        <f t="shared" ref="N5:N10" si="1">L5*1000</f>
        <v>7300</v>
      </c>
      <c r="O5" s="548">
        <v>42000</v>
      </c>
      <c r="P5" s="549">
        <v>2.2999999999999998</v>
      </c>
      <c r="Q5" s="549">
        <f t="shared" ref="Q5:Q11" si="2">N5*P5</f>
        <v>16790</v>
      </c>
      <c r="R5" s="580">
        <f t="shared" ref="R5:R11" si="3">Q5/$Q$12</f>
        <v>3.8178060612643366E-2</v>
      </c>
      <c r="S5" s="535"/>
      <c r="T5" s="535"/>
      <c r="U5" s="535"/>
      <c r="V5" s="535"/>
      <c r="W5" s="535"/>
      <c r="X5" s="535"/>
      <c r="Y5" s="535"/>
      <c r="Z5" s="535"/>
      <c r="AA5" s="535"/>
      <c r="AB5" s="535"/>
      <c r="AC5" s="535"/>
      <c r="AD5" s="535"/>
      <c r="AE5" s="535"/>
      <c r="AF5" s="535"/>
      <c r="AG5" s="535"/>
      <c r="AH5" s="535"/>
      <c r="AI5" s="535"/>
      <c r="AJ5" s="535"/>
      <c r="AK5" s="535"/>
      <c r="AL5" s="535"/>
      <c r="AM5" s="535"/>
      <c r="AN5" s="535"/>
      <c r="AO5" s="535"/>
      <c r="AP5" s="535"/>
      <c r="AQ5" s="535"/>
      <c r="AR5" s="535"/>
      <c r="AS5" s="535"/>
      <c r="AT5" s="535"/>
      <c r="AU5" s="535"/>
      <c r="AV5" s="535"/>
      <c r="AW5" s="535"/>
      <c r="AX5" s="535"/>
      <c r="AY5" s="535"/>
      <c r="AZ5" s="535"/>
      <c r="BA5" s="535"/>
      <c r="BB5" s="535"/>
      <c r="BC5" s="535"/>
      <c r="BD5" s="535"/>
      <c r="BE5" s="535"/>
      <c r="BF5" s="535"/>
      <c r="BG5" s="535"/>
      <c r="BH5" s="535"/>
      <c r="BI5" s="535"/>
      <c r="BJ5" s="535"/>
      <c r="BK5" s="535"/>
      <c r="BL5" s="535"/>
      <c r="BM5" s="535"/>
      <c r="BN5" s="535"/>
      <c r="BO5" s="535"/>
      <c r="BP5" s="535"/>
      <c r="BQ5" s="535"/>
      <c r="BR5" s="535"/>
      <c r="BS5" s="535"/>
      <c r="BT5" s="535"/>
      <c r="BU5" s="535"/>
      <c r="BV5" s="535"/>
      <c r="BW5" s="535"/>
      <c r="BX5" s="535"/>
      <c r="BY5" s="535"/>
      <c r="BZ5" s="535"/>
      <c r="CA5" s="535"/>
      <c r="CB5" s="535"/>
      <c r="CC5" s="535"/>
      <c r="CD5" s="535"/>
      <c r="CE5" s="535"/>
      <c r="CF5" s="535"/>
      <c r="CG5" s="535"/>
      <c r="CH5" s="535"/>
      <c r="CI5" s="535"/>
      <c r="CJ5" s="535"/>
      <c r="CK5" s="535"/>
      <c r="CL5" s="535"/>
      <c r="CM5" s="535"/>
      <c r="CN5" s="535"/>
      <c r="CO5" s="535"/>
      <c r="CP5" s="535"/>
      <c r="CQ5" s="535"/>
      <c r="CR5" s="535"/>
      <c r="CS5" s="535"/>
      <c r="CT5" s="535"/>
      <c r="CU5" s="535"/>
      <c r="CV5" s="535"/>
      <c r="CW5" s="535"/>
      <c r="CX5" s="535"/>
      <c r="CY5" s="535"/>
      <c r="CZ5" s="535"/>
      <c r="DA5" s="535"/>
      <c r="DB5" s="535"/>
      <c r="DC5" s="535"/>
      <c r="DD5" s="535"/>
      <c r="DE5" s="535"/>
      <c r="DF5" s="535"/>
      <c r="DG5" s="535"/>
      <c r="DH5" s="535"/>
      <c r="DI5" s="535"/>
      <c r="DJ5" s="535"/>
      <c r="DK5" s="535"/>
      <c r="DL5" s="535"/>
      <c r="DM5" s="535"/>
      <c r="DN5" s="535"/>
      <c r="DO5" s="535"/>
      <c r="DP5" s="535"/>
      <c r="DQ5" s="535"/>
      <c r="DR5" s="535"/>
      <c r="DS5" s="535"/>
      <c r="DT5" s="535"/>
      <c r="DU5" s="535"/>
      <c r="DV5" s="535"/>
      <c r="DW5" s="535"/>
      <c r="DX5" s="535"/>
      <c r="DY5" s="535"/>
      <c r="DZ5" s="535"/>
      <c r="EA5" s="535"/>
      <c r="EB5" s="535"/>
      <c r="EC5" s="535"/>
      <c r="ED5" s="535"/>
      <c r="EE5" s="535"/>
      <c r="EF5" s="535"/>
      <c r="EG5" s="535"/>
      <c r="EH5" s="535"/>
      <c r="EI5" s="535"/>
      <c r="EJ5" s="535"/>
      <c r="EK5" s="535"/>
      <c r="EL5" s="535"/>
      <c r="EM5" s="535"/>
      <c r="EN5" s="535"/>
      <c r="EO5" s="535"/>
      <c r="EP5" s="535"/>
      <c r="EQ5" s="535"/>
      <c r="ER5" s="535"/>
      <c r="ES5" s="535"/>
      <c r="ET5" s="535"/>
      <c r="EU5" s="535"/>
      <c r="EV5" s="535"/>
      <c r="EW5" s="535"/>
      <c r="EX5" s="535"/>
      <c r="EY5" s="535"/>
      <c r="EZ5" s="535"/>
      <c r="FA5" s="535"/>
      <c r="FB5" s="535"/>
      <c r="FC5" s="535"/>
    </row>
    <row r="6" spans="1:159" s="537" customFormat="1" ht="45" x14ac:dyDescent="0.25">
      <c r="A6" s="563" t="s">
        <v>598</v>
      </c>
      <c r="B6" s="564" t="s">
        <v>597</v>
      </c>
      <c r="C6" s="565">
        <f>50*(16/1040)</f>
        <v>0.76923076923076927</v>
      </c>
      <c r="D6" s="566">
        <f>400*(132.5/1040)</f>
        <v>50.96153846153846</v>
      </c>
      <c r="E6" s="567">
        <f>D6*52*2/1000</f>
        <v>5.3</v>
      </c>
      <c r="F6" s="568" t="s">
        <v>588</v>
      </c>
      <c r="G6" s="572" t="s">
        <v>596</v>
      </c>
      <c r="H6" s="573" t="s">
        <v>595</v>
      </c>
      <c r="I6" s="535"/>
      <c r="J6" s="541" t="s">
        <v>644</v>
      </c>
      <c r="K6" s="542">
        <f>E6</f>
        <v>5.3</v>
      </c>
      <c r="L6" s="546">
        <f t="shared" si="0"/>
        <v>0.44166666666666665</v>
      </c>
      <c r="M6" s="541" t="s">
        <v>1</v>
      </c>
      <c r="N6" s="547">
        <f t="shared" si="1"/>
        <v>441.66666666666663</v>
      </c>
      <c r="O6" s="548">
        <v>36000</v>
      </c>
      <c r="P6" s="549">
        <v>1.4</v>
      </c>
      <c r="Q6" s="549">
        <f t="shared" si="2"/>
        <v>618.33333333333326</v>
      </c>
      <c r="R6" s="580">
        <f t="shared" si="3"/>
        <v>1.4060016366180949E-3</v>
      </c>
      <c r="S6" s="535"/>
      <c r="T6" s="535"/>
      <c r="U6" s="535"/>
      <c r="V6" s="535"/>
      <c r="W6" s="535"/>
      <c r="X6" s="535"/>
      <c r="Y6" s="535"/>
      <c r="Z6" s="535"/>
      <c r="AA6" s="535"/>
      <c r="AB6" s="535"/>
      <c r="AC6" s="535"/>
      <c r="AD6" s="535"/>
      <c r="AE6" s="535"/>
      <c r="AF6" s="535"/>
      <c r="AG6" s="535"/>
      <c r="AH6" s="535"/>
      <c r="AI6" s="535"/>
      <c r="AJ6" s="535"/>
      <c r="AK6" s="535"/>
      <c r="AL6" s="535"/>
      <c r="AM6" s="535"/>
      <c r="AN6" s="535"/>
      <c r="AO6" s="535"/>
      <c r="AP6" s="535"/>
      <c r="AQ6" s="535"/>
      <c r="AR6" s="535"/>
      <c r="AS6" s="535"/>
      <c r="AT6" s="535"/>
      <c r="AU6" s="535"/>
      <c r="AV6" s="535"/>
      <c r="AW6" s="535"/>
      <c r="AX6" s="535"/>
      <c r="AY6" s="535"/>
      <c r="AZ6" s="535"/>
      <c r="BA6" s="535"/>
      <c r="BB6" s="535"/>
      <c r="BC6" s="535"/>
      <c r="BD6" s="535"/>
      <c r="BE6" s="535"/>
      <c r="BF6" s="535"/>
      <c r="BG6" s="535"/>
      <c r="BH6" s="535"/>
      <c r="BI6" s="535"/>
      <c r="BJ6" s="535"/>
      <c r="BK6" s="535"/>
      <c r="BL6" s="535"/>
      <c r="BM6" s="535"/>
      <c r="BN6" s="535"/>
      <c r="BO6" s="535"/>
      <c r="BP6" s="535"/>
      <c r="BQ6" s="535"/>
      <c r="BR6" s="535"/>
      <c r="BS6" s="535"/>
      <c r="BT6" s="535"/>
      <c r="BU6" s="535"/>
      <c r="BV6" s="535"/>
      <c r="BW6" s="535"/>
      <c r="BX6" s="535"/>
      <c r="BY6" s="535"/>
      <c r="BZ6" s="535"/>
      <c r="CA6" s="535"/>
      <c r="CB6" s="535"/>
      <c r="CC6" s="535"/>
      <c r="CD6" s="535"/>
      <c r="CE6" s="535"/>
      <c r="CF6" s="535"/>
      <c r="CG6" s="535"/>
      <c r="CH6" s="535"/>
      <c r="CI6" s="535"/>
      <c r="CJ6" s="535"/>
      <c r="CK6" s="535"/>
      <c r="CL6" s="535"/>
      <c r="CM6" s="535"/>
      <c r="CN6" s="535"/>
      <c r="CO6" s="535"/>
      <c r="CP6" s="535"/>
      <c r="CQ6" s="535"/>
      <c r="CR6" s="535"/>
      <c r="CS6" s="535"/>
      <c r="CT6" s="535"/>
      <c r="CU6" s="535"/>
      <c r="CV6" s="535"/>
      <c r="CW6" s="535"/>
      <c r="CX6" s="535"/>
      <c r="CY6" s="535"/>
      <c r="CZ6" s="535"/>
      <c r="DA6" s="535"/>
      <c r="DB6" s="535"/>
      <c r="DC6" s="535"/>
      <c r="DD6" s="535"/>
      <c r="DE6" s="535"/>
      <c r="DF6" s="535"/>
      <c r="DG6" s="535"/>
      <c r="DH6" s="535"/>
      <c r="DI6" s="535"/>
      <c r="DJ6" s="535"/>
      <c r="DK6" s="535"/>
      <c r="DL6" s="535"/>
      <c r="DM6" s="535"/>
      <c r="DN6" s="535"/>
      <c r="DO6" s="535"/>
      <c r="DP6" s="535"/>
      <c r="DQ6" s="535"/>
      <c r="DR6" s="535"/>
      <c r="DS6" s="535"/>
      <c r="DT6" s="535"/>
      <c r="DU6" s="535"/>
      <c r="DV6" s="535"/>
      <c r="DW6" s="535"/>
      <c r="DX6" s="535"/>
      <c r="DY6" s="535"/>
      <c r="DZ6" s="535"/>
      <c r="EA6" s="535"/>
      <c r="EB6" s="535"/>
      <c r="EC6" s="535"/>
      <c r="ED6" s="535"/>
      <c r="EE6" s="535"/>
      <c r="EF6" s="535"/>
      <c r="EG6" s="535"/>
      <c r="EH6" s="535"/>
      <c r="EI6" s="535"/>
      <c r="EJ6" s="535"/>
      <c r="EK6" s="535"/>
      <c r="EL6" s="535"/>
      <c r="EM6" s="535"/>
      <c r="EN6" s="535"/>
      <c r="EO6" s="535"/>
      <c r="EP6" s="535"/>
      <c r="EQ6" s="535"/>
      <c r="ER6" s="535"/>
      <c r="ES6" s="535"/>
      <c r="ET6" s="535"/>
      <c r="EU6" s="535"/>
      <c r="EV6" s="535"/>
      <c r="EW6" s="535"/>
      <c r="EX6" s="535"/>
      <c r="EY6" s="535"/>
      <c r="EZ6" s="535"/>
      <c r="FA6" s="535"/>
      <c r="FB6" s="535"/>
      <c r="FC6" s="535"/>
    </row>
    <row r="7" spans="1:159" s="537" customFormat="1" x14ac:dyDescent="0.25">
      <c r="A7" s="563" t="s">
        <v>594</v>
      </c>
      <c r="B7" s="564" t="s">
        <v>593</v>
      </c>
      <c r="C7" s="574">
        <f>(0.1*10)*(16/1420)</f>
        <v>1.1267605633802818E-2</v>
      </c>
      <c r="D7" s="566">
        <f>(12*15)*(53/1420)</f>
        <v>6.7183098591549291</v>
      </c>
      <c r="E7" s="567">
        <f t="shared" ref="E7:E14" si="4">D7*24*365/1000</f>
        <v>58.852394366197181</v>
      </c>
      <c r="F7" s="568" t="s">
        <v>576</v>
      </c>
      <c r="G7" s="569"/>
      <c r="H7" s="570"/>
      <c r="I7" s="535"/>
      <c r="J7" s="541" t="s">
        <v>645</v>
      </c>
      <c r="K7" s="542">
        <f>SUM(E7:E9)</f>
        <v>76.734823943661965</v>
      </c>
      <c r="L7" s="546">
        <f t="shared" si="0"/>
        <v>6.3945686619718307</v>
      </c>
      <c r="M7" s="541" t="s">
        <v>1</v>
      </c>
      <c r="N7" s="547">
        <f t="shared" si="1"/>
        <v>6394.5686619718308</v>
      </c>
      <c r="O7" s="548">
        <v>26000</v>
      </c>
      <c r="P7" s="549">
        <v>1.2</v>
      </c>
      <c r="Q7" s="549">
        <f t="shared" si="2"/>
        <v>7673.4823943661968</v>
      </c>
      <c r="R7" s="580">
        <f t="shared" si="3"/>
        <v>1.7448402380116999E-2</v>
      </c>
      <c r="S7" s="535"/>
      <c r="T7" s="535"/>
      <c r="U7" s="535"/>
      <c r="V7" s="535"/>
      <c r="W7" s="535"/>
      <c r="X7" s="535"/>
      <c r="Y7" s="535"/>
      <c r="Z7" s="535"/>
      <c r="AA7" s="535"/>
      <c r="AB7" s="535"/>
      <c r="AC7" s="535"/>
      <c r="AD7" s="535"/>
      <c r="AE7" s="535"/>
      <c r="AF7" s="535"/>
      <c r="AG7" s="535"/>
      <c r="AH7" s="535"/>
      <c r="AI7" s="535"/>
      <c r="AJ7" s="535"/>
      <c r="AK7" s="535"/>
      <c r="AL7" s="535"/>
      <c r="AM7" s="535"/>
      <c r="AN7" s="535"/>
      <c r="AO7" s="535"/>
      <c r="AP7" s="535"/>
      <c r="AQ7" s="535"/>
      <c r="AR7" s="535"/>
      <c r="AS7" s="535"/>
      <c r="AT7" s="535"/>
      <c r="AU7" s="535"/>
      <c r="AV7" s="535"/>
      <c r="AW7" s="535"/>
      <c r="AX7" s="535"/>
      <c r="AY7" s="535"/>
      <c r="AZ7" s="535"/>
      <c r="BA7" s="535"/>
      <c r="BB7" s="535"/>
      <c r="BC7" s="535"/>
      <c r="BD7" s="535"/>
      <c r="BE7" s="535"/>
      <c r="BF7" s="535"/>
      <c r="BG7" s="535"/>
      <c r="BH7" s="535"/>
      <c r="BI7" s="535"/>
      <c r="BJ7" s="535"/>
      <c r="BK7" s="535"/>
      <c r="BL7" s="535"/>
      <c r="BM7" s="535"/>
      <c r="BN7" s="535"/>
      <c r="BO7" s="535"/>
      <c r="BP7" s="535"/>
      <c r="BQ7" s="535"/>
      <c r="BR7" s="535"/>
      <c r="BS7" s="535"/>
      <c r="BT7" s="535"/>
      <c r="BU7" s="535"/>
      <c r="BV7" s="535"/>
      <c r="BW7" s="535"/>
      <c r="BX7" s="535"/>
      <c r="BY7" s="535"/>
      <c r="BZ7" s="535"/>
      <c r="CA7" s="535"/>
      <c r="CB7" s="535"/>
      <c r="CC7" s="535"/>
      <c r="CD7" s="535"/>
      <c r="CE7" s="535"/>
      <c r="CF7" s="535"/>
      <c r="CG7" s="535"/>
      <c r="CH7" s="535"/>
      <c r="CI7" s="535"/>
      <c r="CJ7" s="535"/>
      <c r="CK7" s="535"/>
      <c r="CL7" s="535"/>
      <c r="CM7" s="535"/>
      <c r="CN7" s="535"/>
      <c r="CO7" s="535"/>
      <c r="CP7" s="535"/>
      <c r="CQ7" s="535"/>
      <c r="CR7" s="535"/>
      <c r="CS7" s="535"/>
      <c r="CT7" s="535"/>
      <c r="CU7" s="535"/>
      <c r="CV7" s="535"/>
      <c r="CW7" s="535"/>
      <c r="CX7" s="535"/>
      <c r="CY7" s="535"/>
      <c r="CZ7" s="535"/>
      <c r="DA7" s="535"/>
      <c r="DB7" s="535"/>
      <c r="DC7" s="535"/>
      <c r="DD7" s="535"/>
      <c r="DE7" s="535"/>
      <c r="DF7" s="535"/>
      <c r="DG7" s="535"/>
      <c r="DH7" s="535"/>
      <c r="DI7" s="535"/>
      <c r="DJ7" s="535"/>
      <c r="DK7" s="535"/>
      <c r="DL7" s="535"/>
      <c r="DM7" s="535"/>
      <c r="DN7" s="535"/>
      <c r="DO7" s="535"/>
      <c r="DP7" s="535"/>
      <c r="DQ7" s="535"/>
      <c r="DR7" s="535"/>
      <c r="DS7" s="535"/>
      <c r="DT7" s="535"/>
      <c r="DU7" s="535"/>
      <c r="DV7" s="535"/>
      <c r="DW7" s="535"/>
      <c r="DX7" s="535"/>
      <c r="DY7" s="535"/>
      <c r="DZ7" s="535"/>
      <c r="EA7" s="535"/>
      <c r="EB7" s="535"/>
      <c r="EC7" s="535"/>
      <c r="ED7" s="535"/>
      <c r="EE7" s="535"/>
      <c r="EF7" s="535"/>
      <c r="EG7" s="535"/>
      <c r="EH7" s="535"/>
      <c r="EI7" s="535"/>
      <c r="EJ7" s="535"/>
      <c r="EK7" s="535"/>
      <c r="EL7" s="535"/>
      <c r="EM7" s="535"/>
      <c r="EN7" s="535"/>
      <c r="EO7" s="535"/>
      <c r="EP7" s="535"/>
      <c r="EQ7" s="535"/>
      <c r="ER7" s="535"/>
      <c r="ES7" s="535"/>
      <c r="ET7" s="535"/>
      <c r="EU7" s="535"/>
      <c r="EV7" s="535"/>
      <c r="EW7" s="535"/>
      <c r="EX7" s="535"/>
      <c r="EY7" s="535"/>
      <c r="EZ7" s="535"/>
      <c r="FA7" s="535"/>
      <c r="FB7" s="535"/>
      <c r="FC7" s="535"/>
    </row>
    <row r="8" spans="1:159" s="537" customFormat="1" x14ac:dyDescent="0.25">
      <c r="A8" s="563" t="s">
        <v>592</v>
      </c>
      <c r="B8" s="575" t="s">
        <v>591</v>
      </c>
      <c r="C8" s="574">
        <f>(0.1*10)*(132.5/1420)</f>
        <v>9.3309859154929578E-2</v>
      </c>
      <c r="D8" s="574">
        <f>(0.1*15)*(132.5/1420)</f>
        <v>0.13996478873239437</v>
      </c>
      <c r="E8" s="567">
        <f t="shared" si="4"/>
        <v>1.2260915492957747</v>
      </c>
      <c r="F8" s="568" t="s">
        <v>576</v>
      </c>
      <c r="G8" s="569"/>
      <c r="H8" s="570"/>
      <c r="I8" s="535"/>
      <c r="J8" s="541" t="s">
        <v>646</v>
      </c>
      <c r="K8" s="542">
        <f>SUM(E10:E12)</f>
        <v>61.123655172413791</v>
      </c>
      <c r="L8" s="546">
        <f t="shared" si="0"/>
        <v>5.0936379310344826</v>
      </c>
      <c r="M8" s="541" t="s">
        <v>1</v>
      </c>
      <c r="N8" s="547">
        <f t="shared" si="1"/>
        <v>5093.6379310344828</v>
      </c>
      <c r="O8" s="548">
        <v>25000</v>
      </c>
      <c r="P8" s="549">
        <v>1.3</v>
      </c>
      <c r="Q8" s="549">
        <f t="shared" si="2"/>
        <v>6621.7293103448283</v>
      </c>
      <c r="R8" s="580">
        <f t="shared" si="3"/>
        <v>1.5056866168604051E-2</v>
      </c>
      <c r="S8" s="535"/>
      <c r="T8" s="535"/>
      <c r="U8" s="535"/>
      <c r="V8" s="535"/>
      <c r="W8" s="535"/>
      <c r="X8" s="535"/>
      <c r="Y8" s="535"/>
      <c r="Z8" s="535"/>
      <c r="AA8" s="535"/>
      <c r="AB8" s="535"/>
      <c r="AC8" s="535"/>
      <c r="AD8" s="535"/>
      <c r="AE8" s="535"/>
      <c r="AF8" s="535"/>
      <c r="AG8" s="535"/>
      <c r="AH8" s="535"/>
      <c r="AI8" s="535"/>
      <c r="AJ8" s="535"/>
      <c r="AK8" s="535"/>
      <c r="AL8" s="535"/>
      <c r="AM8" s="535"/>
      <c r="AN8" s="535"/>
      <c r="AO8" s="535"/>
      <c r="AP8" s="535"/>
      <c r="AQ8" s="535"/>
      <c r="AR8" s="535"/>
      <c r="AS8" s="535"/>
      <c r="AT8" s="535"/>
      <c r="AU8" s="535"/>
      <c r="AV8" s="535"/>
      <c r="AW8" s="535"/>
      <c r="AX8" s="535"/>
      <c r="AY8" s="535"/>
      <c r="AZ8" s="535"/>
      <c r="BA8" s="535"/>
      <c r="BB8" s="535"/>
      <c r="BC8" s="535"/>
      <c r="BD8" s="535"/>
      <c r="BE8" s="535"/>
      <c r="BF8" s="535"/>
      <c r="BG8" s="535"/>
      <c r="BH8" s="535"/>
      <c r="BI8" s="535"/>
      <c r="BJ8" s="535"/>
      <c r="BK8" s="535"/>
      <c r="BL8" s="535"/>
      <c r="BM8" s="535"/>
      <c r="BN8" s="535"/>
      <c r="BO8" s="535"/>
      <c r="BP8" s="535"/>
      <c r="BQ8" s="535"/>
      <c r="BR8" s="535"/>
      <c r="BS8" s="535"/>
      <c r="BT8" s="535"/>
      <c r="BU8" s="535"/>
      <c r="BV8" s="535"/>
      <c r="BW8" s="535"/>
      <c r="BX8" s="535"/>
      <c r="BY8" s="535"/>
      <c r="BZ8" s="535"/>
      <c r="CA8" s="535"/>
      <c r="CB8" s="535"/>
      <c r="CC8" s="535"/>
      <c r="CD8" s="535"/>
      <c r="CE8" s="535"/>
      <c r="CF8" s="535"/>
      <c r="CG8" s="535"/>
      <c r="CH8" s="535"/>
      <c r="CI8" s="535"/>
      <c r="CJ8" s="535"/>
      <c r="CK8" s="535"/>
      <c r="CL8" s="535"/>
      <c r="CM8" s="535"/>
      <c r="CN8" s="535"/>
      <c r="CO8" s="535"/>
      <c r="CP8" s="535"/>
      <c r="CQ8" s="535"/>
      <c r="CR8" s="535"/>
      <c r="CS8" s="535"/>
      <c r="CT8" s="535"/>
      <c r="CU8" s="535"/>
      <c r="CV8" s="535"/>
      <c r="CW8" s="535"/>
      <c r="CX8" s="535"/>
      <c r="CY8" s="535"/>
      <c r="CZ8" s="535"/>
      <c r="DA8" s="535"/>
      <c r="DB8" s="535"/>
      <c r="DC8" s="535"/>
      <c r="DD8" s="535"/>
      <c r="DE8" s="535"/>
      <c r="DF8" s="535"/>
      <c r="DG8" s="535"/>
      <c r="DH8" s="535"/>
      <c r="DI8" s="535"/>
      <c r="DJ8" s="535"/>
      <c r="DK8" s="535"/>
      <c r="DL8" s="535"/>
      <c r="DM8" s="535"/>
      <c r="DN8" s="535"/>
      <c r="DO8" s="535"/>
      <c r="DP8" s="535"/>
      <c r="DQ8" s="535"/>
      <c r="DR8" s="535"/>
      <c r="DS8" s="535"/>
      <c r="DT8" s="535"/>
      <c r="DU8" s="535"/>
      <c r="DV8" s="535"/>
      <c r="DW8" s="535"/>
      <c r="DX8" s="535"/>
      <c r="DY8" s="535"/>
      <c r="DZ8" s="535"/>
      <c r="EA8" s="535"/>
      <c r="EB8" s="535"/>
      <c r="EC8" s="535"/>
      <c r="ED8" s="535"/>
      <c r="EE8" s="535"/>
      <c r="EF8" s="535"/>
      <c r="EG8" s="535"/>
      <c r="EH8" s="535"/>
      <c r="EI8" s="535"/>
      <c r="EJ8" s="535"/>
      <c r="EK8" s="535"/>
      <c r="EL8" s="535"/>
      <c r="EM8" s="535"/>
      <c r="EN8" s="535"/>
      <c r="EO8" s="535"/>
      <c r="EP8" s="535"/>
      <c r="EQ8" s="535"/>
      <c r="ER8" s="535"/>
      <c r="ES8" s="535"/>
      <c r="ET8" s="535"/>
      <c r="EU8" s="535"/>
      <c r="EV8" s="535"/>
      <c r="EW8" s="535"/>
      <c r="EX8" s="535"/>
      <c r="EY8" s="535"/>
      <c r="EZ8" s="535"/>
      <c r="FA8" s="535"/>
      <c r="FB8" s="535"/>
      <c r="FC8" s="535"/>
    </row>
    <row r="9" spans="1:159" s="537" customFormat="1" x14ac:dyDescent="0.25">
      <c r="A9" s="563" t="s">
        <v>590</v>
      </c>
      <c r="B9" s="575" t="s">
        <v>589</v>
      </c>
      <c r="C9" s="574">
        <f>(0.1*10)*(15/1420)</f>
        <v>1.0563380281690141E-2</v>
      </c>
      <c r="D9" s="566">
        <f>(12*15)*(15/1420)</f>
        <v>1.9014084507042253</v>
      </c>
      <c r="E9" s="567">
        <f t="shared" si="4"/>
        <v>16.656338028169014</v>
      </c>
      <c r="F9" s="568" t="s">
        <v>588</v>
      </c>
      <c r="G9" s="569" t="s">
        <v>587</v>
      </c>
      <c r="H9" s="570"/>
      <c r="I9" s="535"/>
      <c r="J9" s="541" t="s">
        <v>647</v>
      </c>
      <c r="K9" s="542">
        <f>E13</f>
        <v>79.655882352941177</v>
      </c>
      <c r="L9" s="546">
        <f t="shared" si="0"/>
        <v>6.6379901960784311</v>
      </c>
      <c r="M9" s="541" t="s">
        <v>1</v>
      </c>
      <c r="N9" s="547">
        <f t="shared" si="1"/>
        <v>6637.9901960784309</v>
      </c>
      <c r="O9" s="548">
        <v>42000</v>
      </c>
      <c r="P9" s="549">
        <v>1</v>
      </c>
      <c r="Q9" s="549">
        <f t="shared" si="2"/>
        <v>6637.9901960784309</v>
      </c>
      <c r="R9" s="580">
        <f t="shared" si="3"/>
        <v>1.5093841098988373E-2</v>
      </c>
      <c r="S9" s="535"/>
      <c r="T9" s="535"/>
      <c r="U9" s="535"/>
      <c r="V9" s="535"/>
      <c r="W9" s="535"/>
      <c r="X9" s="535"/>
      <c r="Y9" s="535"/>
      <c r="Z9" s="535"/>
      <c r="AA9" s="535"/>
      <c r="AB9" s="535"/>
      <c r="AC9" s="535"/>
      <c r="AD9" s="535"/>
      <c r="AE9" s="535"/>
      <c r="AF9" s="535"/>
      <c r="AG9" s="535"/>
      <c r="AH9" s="535"/>
      <c r="AI9" s="535"/>
      <c r="AJ9" s="535"/>
      <c r="AK9" s="535"/>
      <c r="AL9" s="535"/>
      <c r="AM9" s="535"/>
      <c r="AN9" s="535"/>
      <c r="AO9" s="535"/>
      <c r="AP9" s="535"/>
      <c r="AQ9" s="535"/>
      <c r="AR9" s="535"/>
      <c r="AS9" s="535"/>
      <c r="AT9" s="535"/>
      <c r="AU9" s="535"/>
      <c r="AV9" s="535"/>
      <c r="AW9" s="535"/>
      <c r="AX9" s="535"/>
      <c r="AY9" s="535"/>
      <c r="AZ9" s="535"/>
      <c r="BA9" s="535"/>
      <c r="BB9" s="535"/>
      <c r="BC9" s="535"/>
      <c r="BD9" s="535"/>
      <c r="BE9" s="535"/>
      <c r="BF9" s="535"/>
      <c r="BG9" s="535"/>
      <c r="BH9" s="535"/>
      <c r="BI9" s="535"/>
      <c r="BJ9" s="535"/>
      <c r="BK9" s="535"/>
      <c r="BL9" s="535"/>
      <c r="BM9" s="535"/>
      <c r="BN9" s="535"/>
      <c r="BO9" s="535"/>
      <c r="BP9" s="535"/>
      <c r="BQ9" s="535"/>
      <c r="BR9" s="535"/>
      <c r="BS9" s="535"/>
      <c r="BT9" s="535"/>
      <c r="BU9" s="535"/>
      <c r="BV9" s="535"/>
      <c r="BW9" s="535"/>
      <c r="BX9" s="535"/>
      <c r="BY9" s="535"/>
      <c r="BZ9" s="535"/>
      <c r="CA9" s="535"/>
      <c r="CB9" s="535"/>
      <c r="CC9" s="535"/>
      <c r="CD9" s="535"/>
      <c r="CE9" s="535"/>
      <c r="CF9" s="535"/>
      <c r="CG9" s="535"/>
      <c r="CH9" s="535"/>
      <c r="CI9" s="535"/>
      <c r="CJ9" s="535"/>
      <c r="CK9" s="535"/>
      <c r="CL9" s="535"/>
      <c r="CM9" s="535"/>
      <c r="CN9" s="535"/>
      <c r="CO9" s="535"/>
      <c r="CP9" s="535"/>
      <c r="CQ9" s="535"/>
      <c r="CR9" s="535"/>
      <c r="CS9" s="535"/>
      <c r="CT9" s="535"/>
      <c r="CU9" s="535"/>
      <c r="CV9" s="535"/>
      <c r="CW9" s="535"/>
      <c r="CX9" s="535"/>
      <c r="CY9" s="535"/>
      <c r="CZ9" s="535"/>
      <c r="DA9" s="535"/>
      <c r="DB9" s="535"/>
      <c r="DC9" s="535"/>
      <c r="DD9" s="535"/>
      <c r="DE9" s="535"/>
      <c r="DF9" s="535"/>
      <c r="DG9" s="535"/>
      <c r="DH9" s="535"/>
      <c r="DI9" s="535"/>
      <c r="DJ9" s="535"/>
      <c r="DK9" s="535"/>
      <c r="DL9" s="535"/>
      <c r="DM9" s="535"/>
      <c r="DN9" s="535"/>
      <c r="DO9" s="535"/>
      <c r="DP9" s="535"/>
      <c r="DQ9" s="535"/>
      <c r="DR9" s="535"/>
      <c r="DS9" s="535"/>
      <c r="DT9" s="535"/>
      <c r="DU9" s="535"/>
      <c r="DV9" s="535"/>
      <c r="DW9" s="535"/>
      <c r="DX9" s="535"/>
      <c r="DY9" s="535"/>
      <c r="DZ9" s="535"/>
      <c r="EA9" s="535"/>
      <c r="EB9" s="535"/>
      <c r="EC9" s="535"/>
      <c r="ED9" s="535"/>
      <c r="EE9" s="535"/>
      <c r="EF9" s="535"/>
      <c r="EG9" s="535"/>
      <c r="EH9" s="535"/>
      <c r="EI9" s="535"/>
      <c r="EJ9" s="535"/>
      <c r="EK9" s="535"/>
      <c r="EL9" s="535"/>
      <c r="EM9" s="535"/>
      <c r="EN9" s="535"/>
      <c r="EO9" s="535"/>
      <c r="EP9" s="535"/>
      <c r="EQ9" s="535"/>
      <c r="ER9" s="535"/>
      <c r="ES9" s="535"/>
      <c r="ET9" s="535"/>
      <c r="EU9" s="535"/>
      <c r="EV9" s="535"/>
      <c r="EW9" s="535"/>
      <c r="EX9" s="535"/>
      <c r="EY9" s="535"/>
      <c r="EZ9" s="535"/>
      <c r="FA9" s="535"/>
      <c r="FB9" s="535"/>
      <c r="FC9" s="535"/>
    </row>
    <row r="10" spans="1:159" s="537" customFormat="1" x14ac:dyDescent="0.25">
      <c r="A10" s="563" t="s">
        <v>586</v>
      </c>
      <c r="B10" s="575" t="s">
        <v>585</v>
      </c>
      <c r="C10" s="571">
        <f>5*(16/1160)</f>
        <v>6.8965517241379309E-2</v>
      </c>
      <c r="D10" s="576">
        <f>30*(53/1160)</f>
        <v>1.3706896551724139</v>
      </c>
      <c r="E10" s="567">
        <f t="shared" si="4"/>
        <v>12.007241379310345</v>
      </c>
      <c r="F10" s="568" t="s">
        <v>576</v>
      </c>
      <c r="G10" s="569"/>
      <c r="H10" s="570"/>
      <c r="I10" s="535"/>
      <c r="J10" s="541" t="s">
        <v>650</v>
      </c>
      <c r="K10" s="541"/>
      <c r="L10" s="541">
        <v>55</v>
      </c>
      <c r="M10" s="541" t="s">
        <v>44</v>
      </c>
      <c r="N10" s="547">
        <f t="shared" si="1"/>
        <v>55000</v>
      </c>
      <c r="O10" s="548">
        <v>55000</v>
      </c>
      <c r="P10" s="549">
        <v>4</v>
      </c>
      <c r="Q10" s="549">
        <f t="shared" si="2"/>
        <v>220000</v>
      </c>
      <c r="R10" s="580">
        <f t="shared" si="3"/>
        <v>0.50024856073743551</v>
      </c>
      <c r="S10" s="535"/>
      <c r="T10" s="535"/>
      <c r="U10" s="535"/>
      <c r="V10" s="535"/>
      <c r="W10" s="535"/>
      <c r="X10" s="535"/>
      <c r="Y10" s="535"/>
      <c r="Z10" s="535"/>
      <c r="AA10" s="535"/>
      <c r="AB10" s="535"/>
      <c r="AC10" s="535"/>
      <c r="AD10" s="535"/>
      <c r="AE10" s="535"/>
      <c r="AF10" s="535"/>
      <c r="AG10" s="535"/>
      <c r="AH10" s="535"/>
      <c r="AI10" s="535"/>
      <c r="AJ10" s="535"/>
      <c r="AK10" s="535"/>
      <c r="AL10" s="535"/>
      <c r="AM10" s="535"/>
      <c r="AN10" s="535"/>
      <c r="AO10" s="535"/>
      <c r="AP10" s="535"/>
      <c r="AQ10" s="535"/>
      <c r="AR10" s="535"/>
      <c r="AS10" s="535"/>
      <c r="AT10" s="535"/>
      <c r="AU10" s="535"/>
      <c r="AV10" s="535"/>
      <c r="AW10" s="535"/>
      <c r="AX10" s="535"/>
      <c r="AY10" s="535"/>
      <c r="AZ10" s="535"/>
      <c r="BA10" s="535"/>
      <c r="BB10" s="535"/>
      <c r="BC10" s="535"/>
      <c r="BD10" s="535"/>
      <c r="BE10" s="535"/>
      <c r="BF10" s="535"/>
      <c r="BG10" s="535"/>
      <c r="BH10" s="535"/>
      <c r="BI10" s="535"/>
      <c r="BJ10" s="535"/>
      <c r="BK10" s="535"/>
      <c r="BL10" s="535"/>
      <c r="BM10" s="535"/>
      <c r="BN10" s="535"/>
      <c r="BO10" s="535"/>
      <c r="BP10" s="535"/>
      <c r="BQ10" s="535"/>
      <c r="BR10" s="535"/>
      <c r="BS10" s="535"/>
      <c r="BT10" s="535"/>
      <c r="BU10" s="535"/>
      <c r="BV10" s="535"/>
      <c r="BW10" s="535"/>
      <c r="BX10" s="535"/>
      <c r="BY10" s="535"/>
      <c r="BZ10" s="535"/>
      <c r="CA10" s="535"/>
      <c r="CB10" s="535"/>
      <c r="CC10" s="535"/>
      <c r="CD10" s="535"/>
      <c r="CE10" s="535"/>
      <c r="CF10" s="535"/>
      <c r="CG10" s="535"/>
      <c r="CH10" s="535"/>
      <c r="CI10" s="535"/>
      <c r="CJ10" s="535"/>
      <c r="CK10" s="535"/>
      <c r="CL10" s="535"/>
      <c r="CM10" s="535"/>
      <c r="CN10" s="535"/>
      <c r="CO10" s="535"/>
      <c r="CP10" s="535"/>
      <c r="CQ10" s="535"/>
      <c r="CR10" s="535"/>
      <c r="CS10" s="535"/>
      <c r="CT10" s="535"/>
      <c r="CU10" s="535"/>
      <c r="CV10" s="535"/>
      <c r="CW10" s="535"/>
      <c r="CX10" s="535"/>
      <c r="CY10" s="535"/>
      <c r="CZ10" s="535"/>
      <c r="DA10" s="535"/>
      <c r="DB10" s="535"/>
      <c r="DC10" s="535"/>
      <c r="DD10" s="535"/>
      <c r="DE10" s="535"/>
      <c r="DF10" s="535"/>
      <c r="DG10" s="535"/>
      <c r="DH10" s="535"/>
      <c r="DI10" s="535"/>
      <c r="DJ10" s="535"/>
      <c r="DK10" s="535"/>
      <c r="DL10" s="535"/>
      <c r="DM10" s="535"/>
      <c r="DN10" s="535"/>
      <c r="DO10" s="535"/>
      <c r="DP10" s="535"/>
      <c r="DQ10" s="535"/>
      <c r="DR10" s="535"/>
      <c r="DS10" s="535"/>
      <c r="DT10" s="535"/>
      <c r="DU10" s="535"/>
      <c r="DV10" s="535"/>
      <c r="DW10" s="535"/>
      <c r="DX10" s="535"/>
      <c r="DY10" s="535"/>
      <c r="DZ10" s="535"/>
      <c r="EA10" s="535"/>
      <c r="EB10" s="535"/>
      <c r="EC10" s="535"/>
      <c r="ED10" s="535"/>
      <c r="EE10" s="535"/>
      <c r="EF10" s="535"/>
      <c r="EG10" s="535"/>
      <c r="EH10" s="535"/>
      <c r="EI10" s="535"/>
      <c r="EJ10" s="535"/>
      <c r="EK10" s="535"/>
      <c r="EL10" s="535"/>
      <c r="EM10" s="535"/>
      <c r="EN10" s="535"/>
      <c r="EO10" s="535"/>
      <c r="EP10" s="535"/>
      <c r="EQ10" s="535"/>
      <c r="ER10" s="535"/>
      <c r="ES10" s="535"/>
      <c r="ET10" s="535"/>
      <c r="EU10" s="535"/>
      <c r="EV10" s="535"/>
      <c r="EW10" s="535"/>
      <c r="EX10" s="535"/>
      <c r="EY10" s="535"/>
      <c r="EZ10" s="535"/>
      <c r="FA10" s="535"/>
      <c r="FB10" s="535"/>
      <c r="FC10" s="535"/>
    </row>
    <row r="11" spans="1:159" s="537" customFormat="1" ht="30" x14ac:dyDescent="0.25">
      <c r="A11" s="563" t="s">
        <v>584</v>
      </c>
      <c r="B11" s="575" t="s">
        <v>583</v>
      </c>
      <c r="C11" s="571">
        <f>5*(84.3/1160)</f>
        <v>0.36336206896551726</v>
      </c>
      <c r="D11" s="576">
        <f>30*(84.3/1160)</f>
        <v>2.1801724137931036</v>
      </c>
      <c r="E11" s="567">
        <f t="shared" si="4"/>
        <v>19.098310344827588</v>
      </c>
      <c r="F11" s="568" t="s">
        <v>576</v>
      </c>
      <c r="G11" s="569"/>
      <c r="H11" s="570"/>
      <c r="I11" s="535"/>
      <c r="J11" s="543" t="s">
        <v>655</v>
      </c>
      <c r="K11" s="541"/>
      <c r="L11" s="541"/>
      <c r="M11" s="541"/>
      <c r="N11" s="547">
        <v>1000</v>
      </c>
      <c r="O11" s="541"/>
      <c r="P11" s="549">
        <v>2</v>
      </c>
      <c r="Q11" s="549">
        <f t="shared" si="2"/>
        <v>2000</v>
      </c>
      <c r="R11" s="580">
        <f t="shared" si="3"/>
        <v>4.5477141885221402E-3</v>
      </c>
      <c r="S11" s="535"/>
      <c r="T11" s="535"/>
      <c r="U11" s="535"/>
      <c r="V11" s="535"/>
      <c r="W11" s="535"/>
      <c r="X11" s="535"/>
      <c r="Y11" s="535"/>
      <c r="Z11" s="535"/>
      <c r="AA11" s="535"/>
      <c r="AB11" s="535"/>
      <c r="AC11" s="535"/>
      <c r="AD11" s="535"/>
      <c r="AE11" s="535"/>
      <c r="AF11" s="535"/>
      <c r="AG11" s="535"/>
      <c r="AH11" s="535"/>
      <c r="AI11" s="535"/>
      <c r="AJ11" s="535"/>
      <c r="AK11" s="535"/>
      <c r="AL11" s="535"/>
      <c r="AM11" s="535"/>
      <c r="AN11" s="535"/>
      <c r="AO11" s="535"/>
      <c r="AP11" s="535"/>
      <c r="AQ11" s="535"/>
      <c r="AR11" s="535"/>
      <c r="AS11" s="535"/>
      <c r="AT11" s="535"/>
      <c r="AU11" s="535"/>
      <c r="AV11" s="535"/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  <c r="BG11" s="535"/>
      <c r="BH11" s="535"/>
      <c r="BI11" s="535"/>
      <c r="BJ11" s="535"/>
      <c r="BK11" s="535"/>
      <c r="BL11" s="535"/>
      <c r="BM11" s="535"/>
      <c r="BN11" s="535"/>
      <c r="BO11" s="535"/>
      <c r="BP11" s="535"/>
      <c r="BQ11" s="535"/>
      <c r="BR11" s="535"/>
      <c r="BS11" s="535"/>
      <c r="BT11" s="535"/>
      <c r="BU11" s="535"/>
      <c r="BV11" s="535"/>
      <c r="BW11" s="535"/>
      <c r="BX11" s="535"/>
      <c r="BY11" s="535"/>
      <c r="BZ11" s="535"/>
      <c r="CA11" s="535"/>
      <c r="CB11" s="535"/>
      <c r="CC11" s="535"/>
      <c r="CD11" s="535"/>
      <c r="CE11" s="535"/>
      <c r="CF11" s="535"/>
      <c r="CG11" s="535"/>
      <c r="CH11" s="535"/>
      <c r="CI11" s="535"/>
      <c r="CJ11" s="535"/>
      <c r="CK11" s="535"/>
      <c r="CL11" s="535"/>
      <c r="CM11" s="535"/>
      <c r="CN11" s="535"/>
      <c r="CO11" s="535"/>
      <c r="CP11" s="535"/>
      <c r="CQ11" s="535"/>
      <c r="CR11" s="535"/>
      <c r="CS11" s="535"/>
      <c r="CT11" s="535"/>
      <c r="CU11" s="535"/>
      <c r="CV11" s="535"/>
      <c r="CW11" s="535"/>
      <c r="CX11" s="535"/>
      <c r="CY11" s="535"/>
      <c r="CZ11" s="535"/>
      <c r="DA11" s="535"/>
      <c r="DB11" s="535"/>
      <c r="DC11" s="535"/>
      <c r="DD11" s="535"/>
      <c r="DE11" s="535"/>
      <c r="DF11" s="535"/>
      <c r="DG11" s="535"/>
      <c r="DH11" s="535"/>
      <c r="DI11" s="535"/>
      <c r="DJ11" s="535"/>
      <c r="DK11" s="535"/>
      <c r="DL11" s="535"/>
      <c r="DM11" s="535"/>
      <c r="DN11" s="535"/>
      <c r="DO11" s="535"/>
      <c r="DP11" s="535"/>
      <c r="DQ11" s="535"/>
      <c r="DR11" s="535"/>
      <c r="DS11" s="535"/>
      <c r="DT11" s="535"/>
      <c r="DU11" s="535"/>
      <c r="DV11" s="535"/>
      <c r="DW11" s="535"/>
      <c r="DX11" s="535"/>
      <c r="DY11" s="535"/>
      <c r="DZ11" s="535"/>
      <c r="EA11" s="535"/>
      <c r="EB11" s="535"/>
      <c r="EC11" s="535"/>
      <c r="ED11" s="535"/>
      <c r="EE11" s="535"/>
      <c r="EF11" s="535"/>
      <c r="EG11" s="535"/>
      <c r="EH11" s="535"/>
      <c r="EI11" s="535"/>
      <c r="EJ11" s="535"/>
      <c r="EK11" s="535"/>
      <c r="EL11" s="535"/>
      <c r="EM11" s="535"/>
      <c r="EN11" s="535"/>
      <c r="EO11" s="535"/>
      <c r="EP11" s="535"/>
      <c r="EQ11" s="535"/>
      <c r="ER11" s="535"/>
      <c r="ES11" s="535"/>
      <c r="ET11" s="535"/>
      <c r="EU11" s="535"/>
      <c r="EV11" s="535"/>
      <c r="EW11" s="535"/>
      <c r="EX11" s="535"/>
      <c r="EY11" s="535"/>
      <c r="EZ11" s="535"/>
      <c r="FA11" s="535"/>
      <c r="FB11" s="535"/>
      <c r="FC11" s="535"/>
    </row>
    <row r="12" spans="1:159" s="537" customFormat="1" ht="30" x14ac:dyDescent="0.25">
      <c r="A12" s="563" t="s">
        <v>582</v>
      </c>
      <c r="B12" s="575" t="s">
        <v>581</v>
      </c>
      <c r="C12" s="571">
        <f>5*(132.5/1160)</f>
        <v>0.57112068965517249</v>
      </c>
      <c r="D12" s="576">
        <f>30*(132.5/1160)</f>
        <v>3.4267241379310347</v>
      </c>
      <c r="E12" s="567">
        <f t="shared" si="4"/>
        <v>30.018103448275863</v>
      </c>
      <c r="F12" s="568" t="s">
        <v>576</v>
      </c>
      <c r="G12" s="569"/>
      <c r="H12" s="570"/>
      <c r="I12" s="535"/>
      <c r="J12" s="550" t="s">
        <v>658</v>
      </c>
      <c r="K12" s="541"/>
      <c r="L12" s="541"/>
      <c r="M12" s="541"/>
      <c r="N12" s="541"/>
      <c r="O12" s="541"/>
      <c r="P12" s="541"/>
      <c r="Q12" s="549">
        <f>SUM(Q4:Q11)</f>
        <v>439781.37523412285</v>
      </c>
      <c r="R12" s="535"/>
      <c r="S12" s="535"/>
      <c r="T12" s="535"/>
      <c r="U12" s="535"/>
      <c r="V12" s="535"/>
      <c r="W12" s="535"/>
      <c r="X12" s="535"/>
      <c r="Y12" s="535"/>
      <c r="Z12" s="535"/>
      <c r="AA12" s="535"/>
      <c r="AB12" s="535"/>
      <c r="AC12" s="535"/>
      <c r="AD12" s="535"/>
      <c r="AE12" s="535"/>
      <c r="AF12" s="535"/>
      <c r="AG12" s="535"/>
      <c r="AH12" s="535"/>
      <c r="AI12" s="535"/>
      <c r="AJ12" s="535"/>
      <c r="AK12" s="535"/>
      <c r="AL12" s="535"/>
      <c r="AM12" s="535"/>
      <c r="AN12" s="535"/>
      <c r="AO12" s="535"/>
      <c r="AP12" s="535"/>
      <c r="AQ12" s="535"/>
      <c r="AR12" s="535"/>
      <c r="AS12" s="535"/>
      <c r="AT12" s="535"/>
      <c r="AU12" s="535"/>
      <c r="AV12" s="535"/>
      <c r="AW12" s="535"/>
      <c r="AX12" s="535"/>
      <c r="AY12" s="535"/>
      <c r="AZ12" s="535"/>
      <c r="BA12" s="535"/>
      <c r="BB12" s="535"/>
      <c r="BC12" s="535"/>
      <c r="BD12" s="535"/>
      <c r="BE12" s="535"/>
      <c r="BF12" s="535"/>
      <c r="BG12" s="535"/>
      <c r="BH12" s="535"/>
      <c r="BI12" s="535"/>
      <c r="BJ12" s="535"/>
      <c r="BK12" s="535"/>
      <c r="BL12" s="535"/>
      <c r="BM12" s="535"/>
      <c r="BN12" s="535"/>
      <c r="BO12" s="535"/>
      <c r="BP12" s="535"/>
      <c r="BQ12" s="535"/>
      <c r="BR12" s="535"/>
      <c r="BS12" s="535"/>
      <c r="BT12" s="535"/>
      <c r="BU12" s="535"/>
      <c r="BV12" s="535"/>
      <c r="BW12" s="535"/>
      <c r="BX12" s="535"/>
      <c r="BY12" s="535"/>
      <c r="BZ12" s="535"/>
      <c r="CA12" s="535"/>
      <c r="CB12" s="535"/>
      <c r="CC12" s="535"/>
      <c r="CD12" s="535"/>
      <c r="CE12" s="535"/>
      <c r="CF12" s="535"/>
      <c r="CG12" s="535"/>
      <c r="CH12" s="535"/>
      <c r="CI12" s="535"/>
      <c r="CJ12" s="535"/>
      <c r="CK12" s="535"/>
      <c r="CL12" s="535"/>
      <c r="CM12" s="535"/>
      <c r="CN12" s="535"/>
      <c r="CO12" s="535"/>
      <c r="CP12" s="535"/>
      <c r="CQ12" s="535"/>
      <c r="CR12" s="535"/>
      <c r="CS12" s="535"/>
      <c r="CT12" s="535"/>
      <c r="CU12" s="535"/>
      <c r="CV12" s="535"/>
      <c r="CW12" s="535"/>
      <c r="CX12" s="535"/>
      <c r="CY12" s="535"/>
      <c r="CZ12" s="535"/>
      <c r="DA12" s="535"/>
      <c r="DB12" s="535"/>
      <c r="DC12" s="535"/>
      <c r="DD12" s="535"/>
      <c r="DE12" s="535"/>
      <c r="DF12" s="535"/>
      <c r="DG12" s="535"/>
      <c r="DH12" s="535"/>
      <c r="DI12" s="535"/>
      <c r="DJ12" s="535"/>
      <c r="DK12" s="535"/>
      <c r="DL12" s="535"/>
      <c r="DM12" s="535"/>
      <c r="DN12" s="535"/>
      <c r="DO12" s="535"/>
      <c r="DP12" s="535"/>
      <c r="DQ12" s="535"/>
      <c r="DR12" s="535"/>
      <c r="DS12" s="535"/>
      <c r="DT12" s="535"/>
      <c r="DU12" s="535"/>
      <c r="DV12" s="535"/>
      <c r="DW12" s="535"/>
      <c r="DX12" s="535"/>
      <c r="DY12" s="535"/>
      <c r="DZ12" s="535"/>
      <c r="EA12" s="535"/>
      <c r="EB12" s="535"/>
      <c r="EC12" s="535"/>
      <c r="ED12" s="535"/>
      <c r="EE12" s="535"/>
      <c r="EF12" s="535"/>
      <c r="EG12" s="535"/>
      <c r="EH12" s="535"/>
      <c r="EI12" s="535"/>
      <c r="EJ12" s="535"/>
      <c r="EK12" s="535"/>
      <c r="EL12" s="535"/>
      <c r="EM12" s="535"/>
      <c r="EN12" s="535"/>
      <c r="EO12" s="535"/>
      <c r="EP12" s="535"/>
      <c r="EQ12" s="535"/>
      <c r="ER12" s="535"/>
      <c r="ES12" s="535"/>
      <c r="ET12" s="535"/>
      <c r="EU12" s="535"/>
      <c r="EV12" s="535"/>
      <c r="EW12" s="535"/>
      <c r="EX12" s="535"/>
      <c r="EY12" s="535"/>
      <c r="EZ12" s="535"/>
      <c r="FA12" s="535"/>
      <c r="FB12" s="535"/>
      <c r="FC12" s="535"/>
    </row>
    <row r="13" spans="1:159" s="537" customFormat="1" ht="30" x14ac:dyDescent="0.25">
      <c r="A13" s="563" t="s">
        <v>580</v>
      </c>
      <c r="B13" s="575" t="s">
        <v>579</v>
      </c>
      <c r="C13" s="571">
        <f>5*(132.5/1020)</f>
        <v>0.64950980392156865</v>
      </c>
      <c r="D13" s="566">
        <f>50*(53/1020)+50*(132.5/1020)</f>
        <v>9.0931372549019613</v>
      </c>
      <c r="E13" s="567">
        <f t="shared" si="4"/>
        <v>79.655882352941177</v>
      </c>
      <c r="F13" s="568" t="s">
        <v>576</v>
      </c>
      <c r="G13" s="569"/>
      <c r="H13" s="570"/>
      <c r="I13" s="535"/>
      <c r="J13" s="550" t="s">
        <v>659</v>
      </c>
      <c r="K13" s="541"/>
      <c r="L13" s="541"/>
      <c r="M13" s="541"/>
      <c r="N13" s="541"/>
      <c r="O13" s="541"/>
      <c r="P13" s="541"/>
      <c r="Q13" s="551">
        <f>Q12*'[5]Basic INFO'!$C$101*'[5]Basic INFO'!$C$103</f>
        <v>305779110637.5351</v>
      </c>
      <c r="R13" s="535"/>
      <c r="S13" s="535"/>
      <c r="T13" s="535"/>
      <c r="U13" s="535"/>
      <c r="V13" s="535"/>
      <c r="W13" s="535"/>
      <c r="X13" s="535"/>
      <c r="Y13" s="535"/>
      <c r="Z13" s="535"/>
      <c r="AA13" s="535"/>
      <c r="AB13" s="535"/>
      <c r="AC13" s="535"/>
      <c r="AD13" s="535"/>
      <c r="AE13" s="535"/>
      <c r="AF13" s="535"/>
      <c r="AG13" s="535"/>
      <c r="AH13" s="535"/>
      <c r="AI13" s="535"/>
      <c r="AJ13" s="535"/>
      <c r="AK13" s="535"/>
      <c r="AL13" s="535"/>
      <c r="AM13" s="535"/>
      <c r="AN13" s="535"/>
      <c r="AO13" s="535"/>
      <c r="AP13" s="535"/>
      <c r="AQ13" s="535"/>
      <c r="AR13" s="535"/>
      <c r="AS13" s="535"/>
      <c r="AT13" s="535"/>
      <c r="AU13" s="535"/>
      <c r="AV13" s="535"/>
      <c r="AW13" s="535"/>
      <c r="AX13" s="535"/>
      <c r="AY13" s="535"/>
      <c r="AZ13" s="535"/>
      <c r="BA13" s="535"/>
      <c r="BB13" s="535"/>
      <c r="BC13" s="535"/>
      <c r="BD13" s="535"/>
      <c r="BE13" s="535"/>
      <c r="BF13" s="535"/>
      <c r="BG13" s="535"/>
      <c r="BH13" s="535"/>
      <c r="BI13" s="535"/>
      <c r="BJ13" s="535"/>
      <c r="BK13" s="535"/>
      <c r="BL13" s="535"/>
      <c r="BM13" s="535"/>
      <c r="BN13" s="535"/>
      <c r="BO13" s="535"/>
      <c r="BP13" s="535"/>
      <c r="BQ13" s="535"/>
      <c r="BR13" s="535"/>
      <c r="BS13" s="535"/>
      <c r="BT13" s="535"/>
      <c r="BU13" s="535"/>
      <c r="BV13" s="535"/>
      <c r="BW13" s="535"/>
      <c r="BX13" s="535"/>
      <c r="BY13" s="535"/>
      <c r="BZ13" s="535"/>
      <c r="CA13" s="535"/>
      <c r="CB13" s="535"/>
      <c r="CC13" s="535"/>
      <c r="CD13" s="535"/>
      <c r="CE13" s="535"/>
      <c r="CF13" s="535"/>
      <c r="CG13" s="535"/>
      <c r="CH13" s="535"/>
      <c r="CI13" s="535"/>
      <c r="CJ13" s="535"/>
      <c r="CK13" s="535"/>
      <c r="CL13" s="535"/>
      <c r="CM13" s="535"/>
      <c r="CN13" s="535"/>
      <c r="CO13" s="535"/>
      <c r="CP13" s="535"/>
      <c r="CQ13" s="535"/>
      <c r="CR13" s="535"/>
      <c r="CS13" s="535"/>
      <c r="CT13" s="535"/>
      <c r="CU13" s="535"/>
      <c r="CV13" s="535"/>
      <c r="CW13" s="535"/>
      <c r="CX13" s="535"/>
      <c r="CY13" s="535"/>
      <c r="CZ13" s="535"/>
      <c r="DA13" s="535"/>
      <c r="DB13" s="535"/>
      <c r="DC13" s="535"/>
      <c r="DD13" s="535"/>
      <c r="DE13" s="535"/>
      <c r="DF13" s="535"/>
      <c r="DG13" s="535"/>
      <c r="DH13" s="535"/>
      <c r="DI13" s="535"/>
      <c r="DJ13" s="535"/>
      <c r="DK13" s="535"/>
      <c r="DL13" s="535"/>
      <c r="DM13" s="535"/>
      <c r="DN13" s="535"/>
      <c r="DO13" s="535"/>
      <c r="DP13" s="535"/>
      <c r="DQ13" s="535"/>
      <c r="DR13" s="535"/>
      <c r="DS13" s="535"/>
      <c r="DT13" s="535"/>
      <c r="DU13" s="535"/>
      <c r="DV13" s="535"/>
      <c r="DW13" s="535"/>
      <c r="DX13" s="535"/>
      <c r="DY13" s="535"/>
      <c r="DZ13" s="535"/>
      <c r="EA13" s="535"/>
      <c r="EB13" s="535"/>
      <c r="EC13" s="535"/>
      <c r="ED13" s="535"/>
      <c r="EE13" s="535"/>
      <c r="EF13" s="535"/>
      <c r="EG13" s="535"/>
      <c r="EH13" s="535"/>
      <c r="EI13" s="535"/>
      <c r="EJ13" s="535"/>
      <c r="EK13" s="535"/>
      <c r="EL13" s="535"/>
      <c r="EM13" s="535"/>
      <c r="EN13" s="535"/>
      <c r="EO13" s="535"/>
      <c r="EP13" s="535"/>
      <c r="EQ13" s="535"/>
      <c r="ER13" s="535"/>
      <c r="ES13" s="535"/>
      <c r="ET13" s="535"/>
      <c r="EU13" s="535"/>
      <c r="EV13" s="535"/>
      <c r="EW13" s="535"/>
      <c r="EX13" s="535"/>
      <c r="EY13" s="535"/>
      <c r="EZ13" s="535"/>
      <c r="FA13" s="535"/>
      <c r="FB13" s="535"/>
      <c r="FC13" s="535"/>
    </row>
    <row r="14" spans="1:159" s="537" customFormat="1" x14ac:dyDescent="0.25">
      <c r="A14" s="563" t="s">
        <v>578</v>
      </c>
      <c r="B14" s="575" t="s">
        <v>577</v>
      </c>
      <c r="C14" s="565">
        <f>2</f>
        <v>2</v>
      </c>
      <c r="D14" s="566">
        <f>80*(431/1000)</f>
        <v>34.479999999999997</v>
      </c>
      <c r="E14" s="567">
        <f t="shared" si="4"/>
        <v>302.04480000000001</v>
      </c>
      <c r="F14" s="568" t="s">
        <v>576</v>
      </c>
      <c r="G14" s="569"/>
      <c r="H14" s="570"/>
      <c r="I14" s="535"/>
      <c r="J14" s="552" t="s">
        <v>543</v>
      </c>
      <c r="K14" s="541"/>
      <c r="L14" s="541"/>
      <c r="M14" s="541"/>
      <c r="N14" s="541"/>
      <c r="O14" s="541"/>
      <c r="P14" s="541"/>
      <c r="Q14" s="553">
        <v>1.18</v>
      </c>
      <c r="R14" s="535"/>
      <c r="S14" s="535"/>
      <c r="T14" s="535"/>
      <c r="U14" s="535"/>
      <c r="V14" s="535"/>
      <c r="W14" s="535"/>
      <c r="X14" s="535"/>
      <c r="Y14" s="535"/>
      <c r="Z14" s="535"/>
      <c r="AA14" s="535"/>
      <c r="AB14" s="535"/>
      <c r="AC14" s="535"/>
      <c r="AD14" s="535"/>
      <c r="AE14" s="535"/>
      <c r="AF14" s="535"/>
      <c r="AG14" s="535"/>
      <c r="AH14" s="535"/>
      <c r="AI14" s="535"/>
      <c r="AJ14" s="535"/>
      <c r="AK14" s="535"/>
      <c r="AL14" s="535"/>
      <c r="AM14" s="535"/>
      <c r="AN14" s="535"/>
      <c r="AO14" s="535"/>
      <c r="AP14" s="535"/>
      <c r="AQ14" s="535"/>
      <c r="AR14" s="535"/>
      <c r="AS14" s="535"/>
      <c r="AT14" s="535"/>
      <c r="AU14" s="535"/>
      <c r="AV14" s="535"/>
      <c r="AW14" s="535"/>
      <c r="AX14" s="535"/>
      <c r="AY14" s="535"/>
      <c r="AZ14" s="535"/>
      <c r="BA14" s="535"/>
      <c r="BB14" s="535"/>
      <c r="BC14" s="535"/>
      <c r="BD14" s="535"/>
      <c r="BE14" s="535"/>
      <c r="BF14" s="535"/>
      <c r="BG14" s="535"/>
      <c r="BH14" s="535"/>
      <c r="BI14" s="535"/>
      <c r="BJ14" s="535"/>
      <c r="BK14" s="535"/>
      <c r="BL14" s="535"/>
      <c r="BM14" s="535"/>
      <c r="BN14" s="535"/>
      <c r="BO14" s="535"/>
      <c r="BP14" s="535"/>
      <c r="BQ14" s="535"/>
      <c r="BR14" s="535"/>
      <c r="BS14" s="535"/>
      <c r="BT14" s="535"/>
      <c r="BU14" s="535"/>
      <c r="BV14" s="535"/>
      <c r="BW14" s="535"/>
      <c r="BX14" s="535"/>
      <c r="BY14" s="535"/>
      <c r="BZ14" s="535"/>
      <c r="CA14" s="535"/>
      <c r="CB14" s="535"/>
      <c r="CC14" s="535"/>
      <c r="CD14" s="535"/>
      <c r="CE14" s="535"/>
      <c r="CF14" s="535"/>
      <c r="CG14" s="535"/>
      <c r="CH14" s="535"/>
      <c r="CI14" s="535"/>
      <c r="CJ14" s="535"/>
      <c r="CK14" s="535"/>
      <c r="CL14" s="535"/>
      <c r="CM14" s="535"/>
      <c r="CN14" s="535"/>
      <c r="CO14" s="535"/>
      <c r="CP14" s="535"/>
      <c r="CQ14" s="535"/>
      <c r="CR14" s="535"/>
      <c r="CS14" s="535"/>
      <c r="CT14" s="535"/>
      <c r="CU14" s="535"/>
      <c r="CV14" s="535"/>
      <c r="CW14" s="535"/>
      <c r="CX14" s="535"/>
      <c r="CY14" s="535"/>
      <c r="CZ14" s="535"/>
      <c r="DA14" s="535"/>
      <c r="DB14" s="535"/>
      <c r="DC14" s="535"/>
      <c r="DD14" s="535"/>
      <c r="DE14" s="535"/>
      <c r="DF14" s="535"/>
      <c r="DG14" s="535"/>
      <c r="DH14" s="535"/>
      <c r="DI14" s="535"/>
      <c r="DJ14" s="535"/>
      <c r="DK14" s="535"/>
      <c r="DL14" s="535"/>
      <c r="DM14" s="535"/>
      <c r="DN14" s="535"/>
      <c r="DO14" s="535"/>
      <c r="DP14" s="535"/>
      <c r="DQ14" s="535"/>
      <c r="DR14" s="535"/>
      <c r="DS14" s="535"/>
      <c r="DT14" s="535"/>
      <c r="DU14" s="535"/>
      <c r="DV14" s="535"/>
      <c r="DW14" s="535"/>
      <c r="DX14" s="535"/>
      <c r="DY14" s="535"/>
      <c r="DZ14" s="535"/>
      <c r="EA14" s="535"/>
      <c r="EB14" s="535"/>
      <c r="EC14" s="535"/>
      <c r="ED14" s="535"/>
      <c r="EE14" s="535"/>
      <c r="EF14" s="535"/>
      <c r="EG14" s="535"/>
      <c r="EH14" s="535"/>
      <c r="EI14" s="535"/>
      <c r="EJ14" s="535"/>
      <c r="EK14" s="535"/>
      <c r="EL14" s="535"/>
      <c r="EM14" s="535"/>
      <c r="EN14" s="535"/>
      <c r="EO14" s="535"/>
      <c r="EP14" s="535"/>
      <c r="EQ14" s="535"/>
      <c r="ER14" s="535"/>
      <c r="ES14" s="535"/>
      <c r="ET14" s="535"/>
      <c r="EU14" s="535"/>
      <c r="EV14" s="535"/>
      <c r="EW14" s="535"/>
      <c r="EX14" s="535"/>
      <c r="EY14" s="535"/>
      <c r="EZ14" s="535"/>
      <c r="FA14" s="535"/>
      <c r="FB14" s="535"/>
      <c r="FC14" s="535"/>
    </row>
    <row r="15" spans="1:159" s="537" customFormat="1" x14ac:dyDescent="0.25">
      <c r="A15" s="563"/>
      <c r="B15" s="577"/>
      <c r="C15" s="578"/>
      <c r="D15" s="569"/>
      <c r="E15" s="567"/>
      <c r="F15" s="568"/>
      <c r="G15" s="569"/>
      <c r="H15" s="570"/>
      <c r="I15" s="535"/>
      <c r="J15" s="552" t="s">
        <v>544</v>
      </c>
      <c r="K15" s="541"/>
      <c r="L15" s="541"/>
      <c r="M15" s="541"/>
      <c r="N15" s="541"/>
      <c r="O15" s="541"/>
      <c r="P15" s="541"/>
      <c r="Q15" s="554">
        <v>0.1</v>
      </c>
      <c r="R15" s="535"/>
      <c r="S15" s="535"/>
      <c r="T15" s="535"/>
      <c r="U15" s="535"/>
      <c r="V15" s="535"/>
      <c r="W15" s="535"/>
      <c r="X15" s="535"/>
      <c r="Y15" s="535"/>
      <c r="Z15" s="535"/>
      <c r="AA15" s="535"/>
      <c r="AB15" s="535"/>
      <c r="AC15" s="535"/>
      <c r="AD15" s="535"/>
      <c r="AE15" s="535"/>
      <c r="AF15" s="535"/>
      <c r="AG15" s="535"/>
      <c r="AH15" s="535"/>
      <c r="AI15" s="535"/>
      <c r="AJ15" s="535"/>
      <c r="AK15" s="535"/>
      <c r="AL15" s="535"/>
      <c r="AM15" s="535"/>
      <c r="AN15" s="535"/>
      <c r="AO15" s="535"/>
      <c r="AP15" s="535"/>
      <c r="AQ15" s="535"/>
      <c r="AR15" s="535"/>
      <c r="AS15" s="535"/>
      <c r="AT15" s="535"/>
      <c r="AU15" s="535"/>
      <c r="AV15" s="535"/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  <c r="BG15" s="535"/>
      <c r="BH15" s="535"/>
      <c r="BI15" s="535"/>
      <c r="BJ15" s="535"/>
      <c r="BK15" s="535"/>
      <c r="BL15" s="535"/>
      <c r="BM15" s="535"/>
      <c r="BN15" s="535"/>
      <c r="BO15" s="535"/>
      <c r="BP15" s="535"/>
      <c r="BQ15" s="535"/>
      <c r="BR15" s="535"/>
      <c r="BS15" s="535"/>
      <c r="BT15" s="535"/>
      <c r="BU15" s="535"/>
      <c r="BV15" s="535"/>
      <c r="BW15" s="535"/>
      <c r="BX15" s="535"/>
      <c r="BY15" s="535"/>
      <c r="BZ15" s="535"/>
      <c r="CA15" s="535"/>
      <c r="CB15" s="535"/>
      <c r="CC15" s="535"/>
      <c r="CD15" s="535"/>
      <c r="CE15" s="535"/>
      <c r="CF15" s="535"/>
      <c r="CG15" s="535"/>
      <c r="CH15" s="535"/>
      <c r="CI15" s="535"/>
      <c r="CJ15" s="535"/>
      <c r="CK15" s="535"/>
      <c r="CL15" s="535"/>
      <c r="CM15" s="535"/>
      <c r="CN15" s="535"/>
      <c r="CO15" s="535"/>
      <c r="CP15" s="535"/>
      <c r="CQ15" s="535"/>
      <c r="CR15" s="535"/>
      <c r="CS15" s="535"/>
      <c r="CT15" s="535"/>
      <c r="CU15" s="535"/>
      <c r="CV15" s="535"/>
      <c r="CW15" s="535"/>
      <c r="CX15" s="535"/>
      <c r="CY15" s="535"/>
      <c r="CZ15" s="535"/>
      <c r="DA15" s="535"/>
      <c r="DB15" s="535"/>
      <c r="DC15" s="535"/>
      <c r="DD15" s="535"/>
      <c r="DE15" s="535"/>
      <c r="DF15" s="535"/>
      <c r="DG15" s="535"/>
      <c r="DH15" s="535"/>
      <c r="DI15" s="535"/>
      <c r="DJ15" s="535"/>
      <c r="DK15" s="535"/>
      <c r="DL15" s="535"/>
      <c r="DM15" s="535"/>
      <c r="DN15" s="535"/>
      <c r="DO15" s="535"/>
      <c r="DP15" s="535"/>
      <c r="DQ15" s="535"/>
      <c r="DR15" s="535"/>
      <c r="DS15" s="535"/>
      <c r="DT15" s="535"/>
      <c r="DU15" s="535"/>
      <c r="DV15" s="535"/>
      <c r="DW15" s="535"/>
      <c r="DX15" s="535"/>
      <c r="DY15" s="535"/>
      <c r="DZ15" s="535"/>
      <c r="EA15" s="535"/>
      <c r="EB15" s="535"/>
      <c r="EC15" s="535"/>
      <c r="ED15" s="535"/>
      <c r="EE15" s="535"/>
      <c r="EF15" s="535"/>
      <c r="EG15" s="535"/>
      <c r="EH15" s="535"/>
      <c r="EI15" s="535"/>
      <c r="EJ15" s="535"/>
      <c r="EK15" s="535"/>
      <c r="EL15" s="535"/>
      <c r="EM15" s="535"/>
      <c r="EN15" s="535"/>
      <c r="EO15" s="535"/>
      <c r="EP15" s="535"/>
      <c r="EQ15" s="535"/>
      <c r="ER15" s="535"/>
      <c r="ES15" s="535"/>
      <c r="ET15" s="535"/>
      <c r="EU15" s="535"/>
      <c r="EV15" s="535"/>
      <c r="EW15" s="535"/>
      <c r="EX15" s="535"/>
      <c r="EY15" s="535"/>
      <c r="EZ15" s="535"/>
      <c r="FA15" s="535"/>
      <c r="FB15" s="535"/>
      <c r="FC15" s="535"/>
    </row>
    <row r="16" spans="1:159" s="537" customFormat="1" ht="30" x14ac:dyDescent="0.25">
      <c r="A16" s="563" t="s">
        <v>575</v>
      </c>
      <c r="B16" s="579"/>
      <c r="C16" s="571"/>
      <c r="D16" s="576"/>
      <c r="E16" s="567"/>
      <c r="F16" s="568"/>
      <c r="G16" s="569"/>
      <c r="H16" s="570"/>
      <c r="I16" s="535"/>
      <c r="J16" s="555" t="s">
        <v>545</v>
      </c>
      <c r="K16" s="541"/>
      <c r="L16" s="541"/>
      <c r="M16" s="541"/>
      <c r="N16" s="541"/>
      <c r="O16" s="541"/>
      <c r="P16" s="541"/>
      <c r="Q16" s="556">
        <f>ROUND((Q13*Q14*(1+Q15))/1000000,0)*1000000</f>
        <v>396901000000</v>
      </c>
      <c r="R16" s="580">
        <f>Q16/('[5]EPC subtotals'!$B$13+'[5]EPC subtotals'!$A$24*'[5]Basic INFO'!$C$101*'[5]Basic INFO'!$C$103)</f>
        <v>1.4633685142293398E-2</v>
      </c>
      <c r="S16" s="535"/>
      <c r="T16" s="535"/>
      <c r="U16" s="535"/>
      <c r="V16" s="535"/>
      <c r="W16" s="535"/>
      <c r="X16" s="535"/>
      <c r="Y16" s="535"/>
      <c r="Z16" s="535"/>
      <c r="AA16" s="535"/>
      <c r="AB16" s="535"/>
      <c r="AC16" s="535"/>
      <c r="AD16" s="535"/>
      <c r="AE16" s="535"/>
      <c r="AF16" s="535"/>
      <c r="AG16" s="535"/>
      <c r="AH16" s="535"/>
      <c r="AI16" s="535"/>
      <c r="AJ16" s="535"/>
      <c r="AK16" s="535"/>
      <c r="AL16" s="535"/>
      <c r="AM16" s="535"/>
      <c r="AN16" s="535"/>
      <c r="AO16" s="535"/>
      <c r="AP16" s="535"/>
      <c r="AQ16" s="535"/>
      <c r="AR16" s="535"/>
      <c r="AS16" s="535"/>
      <c r="AT16" s="535"/>
      <c r="AU16" s="535"/>
      <c r="AV16" s="535"/>
      <c r="AW16" s="535"/>
      <c r="AX16" s="535"/>
      <c r="AY16" s="535"/>
      <c r="AZ16" s="535"/>
      <c r="BA16" s="535"/>
      <c r="BB16" s="535"/>
      <c r="BC16" s="535"/>
      <c r="BD16" s="535"/>
      <c r="BE16" s="535"/>
      <c r="BF16" s="535"/>
      <c r="BG16" s="535"/>
      <c r="BH16" s="535"/>
      <c r="BI16" s="535"/>
      <c r="BJ16" s="535"/>
      <c r="BK16" s="535"/>
      <c r="BL16" s="535"/>
      <c r="BM16" s="535"/>
      <c r="BN16" s="535"/>
      <c r="BO16" s="535"/>
      <c r="BP16" s="535"/>
      <c r="BQ16" s="535"/>
      <c r="BR16" s="535"/>
      <c r="BS16" s="535"/>
      <c r="BT16" s="535"/>
      <c r="BU16" s="535"/>
      <c r="BV16" s="535"/>
      <c r="BW16" s="535"/>
      <c r="BX16" s="535"/>
      <c r="BY16" s="535"/>
      <c r="BZ16" s="535"/>
      <c r="CA16" s="535"/>
      <c r="CB16" s="535"/>
      <c r="CC16" s="535"/>
      <c r="CD16" s="535"/>
      <c r="CE16" s="535"/>
      <c r="CF16" s="535"/>
      <c r="CG16" s="535"/>
      <c r="CH16" s="535"/>
      <c r="CI16" s="535"/>
      <c r="CJ16" s="535"/>
      <c r="CK16" s="535"/>
      <c r="CL16" s="535"/>
      <c r="CM16" s="535"/>
      <c r="CN16" s="535"/>
      <c r="CO16" s="535"/>
      <c r="CP16" s="535"/>
      <c r="CQ16" s="535"/>
      <c r="CR16" s="535"/>
      <c r="CS16" s="535"/>
      <c r="CT16" s="535"/>
      <c r="CU16" s="535"/>
      <c r="CV16" s="535"/>
      <c r="CW16" s="535"/>
      <c r="CX16" s="535"/>
      <c r="CY16" s="535"/>
      <c r="CZ16" s="535"/>
      <c r="DA16" s="535"/>
      <c r="DB16" s="535"/>
      <c r="DC16" s="535"/>
      <c r="DD16" s="535"/>
      <c r="DE16" s="535"/>
      <c r="DF16" s="535"/>
      <c r="DG16" s="535"/>
      <c r="DH16" s="535"/>
      <c r="DI16" s="535"/>
      <c r="DJ16" s="535"/>
      <c r="DK16" s="535"/>
      <c r="DL16" s="535"/>
      <c r="DM16" s="535"/>
      <c r="DN16" s="535"/>
      <c r="DO16" s="535"/>
      <c r="DP16" s="535"/>
      <c r="DQ16" s="535"/>
      <c r="DR16" s="535"/>
      <c r="DS16" s="535"/>
      <c r="DT16" s="535"/>
      <c r="DU16" s="535"/>
      <c r="DV16" s="535"/>
      <c r="DW16" s="535"/>
      <c r="DX16" s="535"/>
      <c r="DY16" s="535"/>
      <c r="DZ16" s="535"/>
      <c r="EA16" s="535"/>
      <c r="EB16" s="535"/>
      <c r="EC16" s="535"/>
      <c r="ED16" s="535"/>
      <c r="EE16" s="535"/>
      <c r="EF16" s="535"/>
      <c r="EG16" s="535"/>
      <c r="EH16" s="535"/>
      <c r="EI16" s="535"/>
      <c r="EJ16" s="535"/>
      <c r="EK16" s="535"/>
      <c r="EL16" s="535"/>
      <c r="EM16" s="535"/>
      <c r="EN16" s="535"/>
      <c r="EO16" s="535"/>
      <c r="EP16" s="535"/>
      <c r="EQ16" s="535"/>
      <c r="ER16" s="535"/>
      <c r="ES16" s="535"/>
      <c r="ET16" s="535"/>
      <c r="EU16" s="535"/>
      <c r="EV16" s="535"/>
      <c r="EW16" s="535"/>
      <c r="EX16" s="535"/>
      <c r="EY16" s="535"/>
      <c r="EZ16" s="535"/>
      <c r="FA16" s="535"/>
      <c r="FB16" s="535"/>
      <c r="FC16" s="535"/>
    </row>
    <row r="17" spans="1:159" s="537" customFormat="1" x14ac:dyDescent="0.25">
      <c r="A17" s="646" t="s">
        <v>574</v>
      </c>
      <c r="B17" s="646"/>
      <c r="C17" s="646"/>
      <c r="D17" s="646"/>
      <c r="E17" s="646"/>
      <c r="F17" s="646"/>
      <c r="G17" s="646"/>
      <c r="H17" s="646"/>
      <c r="I17" s="535"/>
      <c r="J17" s="535"/>
      <c r="K17" s="535"/>
      <c r="L17" s="535"/>
      <c r="M17" s="535"/>
      <c r="N17" s="535"/>
      <c r="O17" s="535"/>
      <c r="P17" s="535"/>
      <c r="Q17" s="535"/>
      <c r="R17" s="535"/>
      <c r="S17" s="535"/>
      <c r="T17" s="535"/>
      <c r="U17" s="535"/>
      <c r="V17" s="535"/>
      <c r="W17" s="535"/>
      <c r="X17" s="535"/>
      <c r="Y17" s="535"/>
      <c r="Z17" s="535"/>
      <c r="AA17" s="535"/>
      <c r="AB17" s="535"/>
      <c r="AC17" s="535"/>
      <c r="AD17" s="535"/>
      <c r="AE17" s="535"/>
      <c r="AF17" s="535"/>
      <c r="AG17" s="535"/>
      <c r="AH17" s="535"/>
      <c r="AI17" s="535"/>
      <c r="AJ17" s="535"/>
      <c r="AK17" s="535"/>
      <c r="AL17" s="535"/>
      <c r="AM17" s="535"/>
      <c r="AN17" s="535"/>
      <c r="AO17" s="535"/>
      <c r="AP17" s="535"/>
      <c r="AQ17" s="535"/>
      <c r="AR17" s="535"/>
      <c r="AS17" s="535"/>
      <c r="AT17" s="535"/>
      <c r="AU17" s="535"/>
      <c r="AV17" s="535"/>
      <c r="AW17" s="535"/>
      <c r="AX17" s="535"/>
      <c r="AY17" s="535"/>
      <c r="AZ17" s="535"/>
      <c r="BA17" s="535"/>
      <c r="BB17" s="535"/>
      <c r="BC17" s="535"/>
      <c r="BD17" s="535"/>
      <c r="BE17" s="535"/>
      <c r="BF17" s="535"/>
      <c r="BG17" s="535"/>
      <c r="BH17" s="535"/>
      <c r="BI17" s="535"/>
      <c r="BJ17" s="535"/>
      <c r="BK17" s="535"/>
      <c r="BL17" s="535"/>
      <c r="BM17" s="535"/>
      <c r="BN17" s="535"/>
      <c r="BO17" s="535"/>
      <c r="BP17" s="535"/>
      <c r="BQ17" s="535"/>
      <c r="BR17" s="535"/>
      <c r="BS17" s="535"/>
      <c r="BT17" s="535"/>
      <c r="BU17" s="535"/>
      <c r="BV17" s="535"/>
      <c r="BW17" s="535"/>
      <c r="BX17" s="535"/>
      <c r="BY17" s="535"/>
      <c r="BZ17" s="535"/>
      <c r="CA17" s="535"/>
      <c r="CB17" s="535"/>
      <c r="CC17" s="535"/>
      <c r="CD17" s="535"/>
      <c r="CE17" s="535"/>
      <c r="CF17" s="535"/>
      <c r="CG17" s="535"/>
      <c r="CH17" s="535"/>
      <c r="CI17" s="535"/>
      <c r="CJ17" s="535"/>
      <c r="CK17" s="535"/>
      <c r="CL17" s="535"/>
      <c r="CM17" s="535"/>
      <c r="CN17" s="535"/>
      <c r="CO17" s="535"/>
      <c r="CP17" s="535"/>
      <c r="CQ17" s="535"/>
      <c r="CR17" s="535"/>
      <c r="CS17" s="535"/>
      <c r="CT17" s="535"/>
      <c r="CU17" s="535"/>
      <c r="CV17" s="535"/>
      <c r="CW17" s="535"/>
      <c r="CX17" s="535"/>
      <c r="CY17" s="535"/>
      <c r="CZ17" s="535"/>
      <c r="DA17" s="535"/>
      <c r="DB17" s="535"/>
      <c r="DC17" s="535"/>
      <c r="DD17" s="535"/>
      <c r="DE17" s="535"/>
      <c r="DF17" s="535"/>
      <c r="DG17" s="535"/>
      <c r="DH17" s="535"/>
      <c r="DI17" s="535"/>
      <c r="DJ17" s="535"/>
      <c r="DK17" s="535"/>
      <c r="DL17" s="535"/>
      <c r="DM17" s="535"/>
      <c r="DN17" s="535"/>
      <c r="DO17" s="535"/>
      <c r="DP17" s="535"/>
      <c r="DQ17" s="535"/>
      <c r="DR17" s="535"/>
      <c r="DS17" s="535"/>
      <c r="DT17" s="535"/>
      <c r="DU17" s="535"/>
      <c r="DV17" s="535"/>
      <c r="DW17" s="535"/>
      <c r="DX17" s="535"/>
      <c r="DY17" s="535"/>
      <c r="DZ17" s="535"/>
      <c r="EA17" s="535"/>
      <c r="EB17" s="535"/>
      <c r="EC17" s="535"/>
      <c r="ED17" s="535"/>
      <c r="EE17" s="535"/>
      <c r="EF17" s="535"/>
      <c r="EG17" s="535"/>
      <c r="EH17" s="535"/>
      <c r="EI17" s="535"/>
      <c r="EJ17" s="535"/>
      <c r="EK17" s="535"/>
      <c r="EL17" s="535"/>
      <c r="EM17" s="535"/>
      <c r="EN17" s="535"/>
      <c r="EO17" s="535"/>
      <c r="EP17" s="535"/>
      <c r="EQ17" s="535"/>
      <c r="ER17" s="535"/>
      <c r="ES17" s="535"/>
      <c r="ET17" s="535"/>
      <c r="EU17" s="535"/>
      <c r="EV17" s="535"/>
      <c r="EW17" s="535"/>
      <c r="EX17" s="535"/>
      <c r="EY17" s="535"/>
      <c r="EZ17" s="535"/>
      <c r="FA17" s="535"/>
      <c r="FB17" s="535"/>
      <c r="FC17" s="535"/>
    </row>
    <row r="18" spans="1:159" s="537" customFormat="1" x14ac:dyDescent="0.25">
      <c r="A18" s="646" t="s">
        <v>573</v>
      </c>
      <c r="B18" s="646"/>
      <c r="C18" s="646"/>
      <c r="D18" s="646"/>
      <c r="E18" s="646"/>
      <c r="F18" s="646"/>
      <c r="G18" s="646"/>
      <c r="H18" s="646"/>
      <c r="I18" s="535"/>
      <c r="J18" s="535"/>
      <c r="K18" s="535"/>
      <c r="L18" s="535"/>
      <c r="M18" s="535"/>
      <c r="N18" s="535"/>
      <c r="O18" s="535"/>
      <c r="P18" s="535"/>
      <c r="Q18" s="535"/>
      <c r="R18" s="535"/>
      <c r="S18" s="535"/>
      <c r="T18" s="535"/>
      <c r="U18" s="535"/>
      <c r="V18" s="535"/>
      <c r="W18" s="535"/>
      <c r="X18" s="535"/>
      <c r="Y18" s="535"/>
      <c r="Z18" s="535"/>
      <c r="AA18" s="535"/>
      <c r="AB18" s="535"/>
      <c r="AC18" s="535"/>
      <c r="AD18" s="535"/>
      <c r="AE18" s="535"/>
      <c r="AF18" s="535"/>
      <c r="AG18" s="535"/>
      <c r="AH18" s="535"/>
      <c r="AI18" s="535"/>
      <c r="AJ18" s="535"/>
      <c r="AK18" s="535"/>
      <c r="AL18" s="535"/>
      <c r="AM18" s="535"/>
      <c r="AN18" s="535"/>
      <c r="AO18" s="535"/>
      <c r="AP18" s="535"/>
      <c r="AQ18" s="535"/>
      <c r="AR18" s="535"/>
      <c r="AS18" s="535"/>
      <c r="AT18" s="535"/>
      <c r="AU18" s="535"/>
      <c r="AV18" s="535"/>
      <c r="AW18" s="535"/>
      <c r="AX18" s="535"/>
      <c r="AY18" s="535"/>
      <c r="AZ18" s="535"/>
      <c r="BA18" s="535"/>
      <c r="BB18" s="535"/>
      <c r="BC18" s="535"/>
      <c r="BD18" s="535"/>
      <c r="BE18" s="535"/>
      <c r="BF18" s="535"/>
      <c r="BG18" s="535"/>
      <c r="BH18" s="535"/>
      <c r="BI18" s="535"/>
      <c r="BJ18" s="535"/>
      <c r="BK18" s="535"/>
      <c r="BL18" s="535"/>
      <c r="BM18" s="535"/>
      <c r="BN18" s="535"/>
      <c r="BO18" s="535"/>
      <c r="BP18" s="535"/>
      <c r="BQ18" s="535"/>
      <c r="BR18" s="535"/>
      <c r="BS18" s="535"/>
      <c r="BT18" s="535"/>
      <c r="BU18" s="535"/>
      <c r="BV18" s="535"/>
      <c r="BW18" s="535"/>
      <c r="BX18" s="535"/>
      <c r="BY18" s="535"/>
      <c r="BZ18" s="535"/>
      <c r="CA18" s="535"/>
      <c r="CB18" s="535"/>
      <c r="CC18" s="535"/>
      <c r="CD18" s="535"/>
      <c r="CE18" s="535"/>
      <c r="CF18" s="535"/>
      <c r="CG18" s="535"/>
      <c r="CH18" s="535"/>
      <c r="CI18" s="535"/>
      <c r="CJ18" s="535"/>
      <c r="CK18" s="535"/>
      <c r="CL18" s="535"/>
      <c r="CM18" s="535"/>
      <c r="CN18" s="535"/>
      <c r="CO18" s="535"/>
      <c r="CP18" s="535"/>
      <c r="CQ18" s="535"/>
      <c r="CR18" s="535"/>
      <c r="CS18" s="535"/>
      <c r="CT18" s="535"/>
      <c r="CU18" s="535"/>
      <c r="CV18" s="535"/>
      <c r="CW18" s="535"/>
      <c r="CX18" s="535"/>
      <c r="CY18" s="535"/>
      <c r="CZ18" s="535"/>
      <c r="DA18" s="535"/>
      <c r="DB18" s="535"/>
      <c r="DC18" s="535"/>
      <c r="DD18" s="535"/>
      <c r="DE18" s="535"/>
      <c r="DF18" s="535"/>
      <c r="DG18" s="535"/>
      <c r="DH18" s="535"/>
      <c r="DI18" s="535"/>
      <c r="DJ18" s="535"/>
      <c r="DK18" s="535"/>
      <c r="DL18" s="535"/>
      <c r="DM18" s="535"/>
      <c r="DN18" s="535"/>
      <c r="DO18" s="535"/>
      <c r="DP18" s="535"/>
      <c r="DQ18" s="535"/>
      <c r="DR18" s="535"/>
      <c r="DS18" s="535"/>
      <c r="DT18" s="535"/>
      <c r="DU18" s="535"/>
      <c r="DV18" s="535"/>
      <c r="DW18" s="535"/>
      <c r="DX18" s="535"/>
      <c r="DY18" s="535"/>
      <c r="DZ18" s="535"/>
      <c r="EA18" s="535"/>
      <c r="EB18" s="535"/>
      <c r="EC18" s="535"/>
      <c r="ED18" s="535"/>
      <c r="EE18" s="535"/>
      <c r="EF18" s="535"/>
      <c r="EG18" s="535"/>
      <c r="EH18" s="535"/>
      <c r="EI18" s="535"/>
      <c r="EJ18" s="535"/>
      <c r="EK18" s="535"/>
      <c r="EL18" s="535"/>
      <c r="EM18" s="535"/>
      <c r="EN18" s="535"/>
      <c r="EO18" s="535"/>
      <c r="EP18" s="535"/>
      <c r="EQ18" s="535"/>
      <c r="ER18" s="535"/>
      <c r="ES18" s="535"/>
      <c r="ET18" s="535"/>
      <c r="EU18" s="535"/>
      <c r="EV18" s="535"/>
      <c r="EW18" s="535"/>
      <c r="EX18" s="535"/>
      <c r="EY18" s="535"/>
      <c r="EZ18" s="535"/>
      <c r="FA18" s="535"/>
      <c r="FB18" s="535"/>
      <c r="FC18" s="535"/>
    </row>
    <row r="19" spans="1:159" s="537" customFormat="1" x14ac:dyDescent="0.25">
      <c r="A19" s="646" t="s">
        <v>572</v>
      </c>
      <c r="B19" s="646"/>
      <c r="C19" s="646"/>
      <c r="D19" s="646"/>
      <c r="E19" s="646"/>
      <c r="F19" s="646"/>
      <c r="G19" s="646"/>
      <c r="H19" s="646"/>
      <c r="I19" s="535"/>
      <c r="J19" s="535"/>
      <c r="K19" s="535"/>
      <c r="L19" s="535"/>
      <c r="M19" s="535"/>
      <c r="N19" s="535"/>
      <c r="O19" s="535"/>
      <c r="P19" s="535"/>
      <c r="Q19" s="535"/>
      <c r="R19" s="535"/>
      <c r="S19" s="535"/>
      <c r="T19" s="535"/>
      <c r="U19" s="535"/>
      <c r="V19" s="535"/>
      <c r="W19" s="535"/>
      <c r="X19" s="535"/>
      <c r="Y19" s="535"/>
      <c r="Z19" s="535"/>
      <c r="AA19" s="535"/>
      <c r="AB19" s="535"/>
      <c r="AC19" s="535"/>
      <c r="AD19" s="535"/>
      <c r="AE19" s="535"/>
      <c r="AF19" s="535"/>
      <c r="AG19" s="535"/>
      <c r="AH19" s="535"/>
      <c r="AI19" s="535"/>
      <c r="AJ19" s="535"/>
      <c r="AK19" s="535"/>
      <c r="AL19" s="535"/>
      <c r="AM19" s="535"/>
      <c r="AN19" s="535"/>
      <c r="AO19" s="535"/>
      <c r="AP19" s="535"/>
      <c r="AQ19" s="535"/>
      <c r="AR19" s="535"/>
      <c r="AS19" s="535"/>
      <c r="AT19" s="535"/>
      <c r="AU19" s="535"/>
      <c r="AV19" s="535"/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  <c r="BG19" s="535"/>
      <c r="BH19" s="535"/>
      <c r="BI19" s="535"/>
      <c r="BJ19" s="535"/>
      <c r="BK19" s="535"/>
      <c r="BL19" s="535"/>
      <c r="BM19" s="535"/>
      <c r="BN19" s="535"/>
      <c r="BO19" s="535"/>
      <c r="BP19" s="535"/>
      <c r="BQ19" s="535"/>
      <c r="BR19" s="535"/>
      <c r="BS19" s="535"/>
      <c r="BT19" s="535"/>
      <c r="BU19" s="535"/>
      <c r="BV19" s="535"/>
      <c r="BW19" s="535"/>
      <c r="BX19" s="535"/>
      <c r="BY19" s="535"/>
      <c r="BZ19" s="535"/>
      <c r="CA19" s="535"/>
      <c r="CB19" s="535"/>
      <c r="CC19" s="535"/>
      <c r="CD19" s="535"/>
      <c r="CE19" s="535"/>
      <c r="CF19" s="535"/>
      <c r="CG19" s="535"/>
      <c r="CH19" s="535"/>
      <c r="CI19" s="535"/>
      <c r="CJ19" s="535"/>
      <c r="CK19" s="535"/>
      <c r="CL19" s="535"/>
      <c r="CM19" s="535"/>
      <c r="CN19" s="535"/>
      <c r="CO19" s="535"/>
      <c r="CP19" s="535"/>
      <c r="CQ19" s="535"/>
      <c r="CR19" s="535"/>
      <c r="CS19" s="535"/>
      <c r="CT19" s="535"/>
      <c r="CU19" s="535"/>
      <c r="CV19" s="535"/>
      <c r="CW19" s="535"/>
      <c r="CX19" s="535"/>
      <c r="CY19" s="535"/>
      <c r="CZ19" s="535"/>
      <c r="DA19" s="535"/>
      <c r="DB19" s="535"/>
      <c r="DC19" s="535"/>
      <c r="DD19" s="535"/>
      <c r="DE19" s="535"/>
      <c r="DF19" s="535"/>
      <c r="DG19" s="535"/>
      <c r="DH19" s="535"/>
      <c r="DI19" s="535"/>
      <c r="DJ19" s="535"/>
      <c r="DK19" s="535"/>
      <c r="DL19" s="535"/>
      <c r="DM19" s="535"/>
      <c r="DN19" s="535"/>
      <c r="DO19" s="535"/>
      <c r="DP19" s="535"/>
      <c r="DQ19" s="535"/>
      <c r="DR19" s="535"/>
      <c r="DS19" s="535"/>
      <c r="DT19" s="535"/>
      <c r="DU19" s="535"/>
      <c r="DV19" s="535"/>
      <c r="DW19" s="535"/>
      <c r="DX19" s="535"/>
      <c r="DY19" s="535"/>
      <c r="DZ19" s="535"/>
      <c r="EA19" s="535"/>
      <c r="EB19" s="535"/>
      <c r="EC19" s="535"/>
      <c r="ED19" s="535"/>
      <c r="EE19" s="535"/>
      <c r="EF19" s="535"/>
      <c r="EG19" s="535"/>
      <c r="EH19" s="535"/>
      <c r="EI19" s="535"/>
      <c r="EJ19" s="535"/>
      <c r="EK19" s="535"/>
      <c r="EL19" s="535"/>
      <c r="EM19" s="535"/>
      <c r="EN19" s="535"/>
      <c r="EO19" s="535"/>
      <c r="EP19" s="535"/>
      <c r="EQ19" s="535"/>
      <c r="ER19" s="535"/>
      <c r="ES19" s="535"/>
      <c r="ET19" s="535"/>
      <c r="EU19" s="535"/>
      <c r="EV19" s="535"/>
      <c r="EW19" s="535"/>
      <c r="EX19" s="535"/>
      <c r="EY19" s="535"/>
      <c r="EZ19" s="535"/>
      <c r="FA19" s="535"/>
      <c r="FB19" s="535"/>
      <c r="FC19" s="535"/>
    </row>
    <row r="20" spans="1:159" s="537" customFormat="1" x14ac:dyDescent="0.25">
      <c r="A20" s="646" t="s">
        <v>571</v>
      </c>
      <c r="B20" s="646"/>
      <c r="C20" s="646"/>
      <c r="D20" s="646"/>
      <c r="E20" s="646"/>
      <c r="F20" s="646"/>
      <c r="G20" s="646"/>
      <c r="H20" s="646"/>
      <c r="I20" s="535"/>
      <c r="J20" s="535"/>
      <c r="K20" s="535"/>
      <c r="L20" s="535"/>
      <c r="M20" s="535"/>
      <c r="N20" s="535"/>
      <c r="O20" s="535"/>
      <c r="P20" s="535"/>
      <c r="Q20" s="535"/>
      <c r="R20" s="535"/>
      <c r="S20" s="535"/>
      <c r="T20" s="535"/>
      <c r="U20" s="535"/>
      <c r="V20" s="535"/>
      <c r="W20" s="535"/>
      <c r="X20" s="535"/>
      <c r="Y20" s="535"/>
      <c r="Z20" s="535"/>
      <c r="AA20" s="535"/>
      <c r="AB20" s="535"/>
      <c r="AC20" s="535"/>
      <c r="AD20" s="535"/>
      <c r="AE20" s="535"/>
      <c r="AF20" s="535"/>
      <c r="AG20" s="535"/>
      <c r="AH20" s="535"/>
      <c r="AI20" s="535"/>
      <c r="AJ20" s="535"/>
      <c r="AK20" s="535"/>
      <c r="AL20" s="535"/>
      <c r="AM20" s="535"/>
      <c r="AN20" s="535"/>
      <c r="AO20" s="535"/>
      <c r="AP20" s="535"/>
      <c r="AQ20" s="535"/>
      <c r="AR20" s="535"/>
      <c r="AS20" s="535"/>
      <c r="AT20" s="535"/>
      <c r="AU20" s="535"/>
      <c r="AV20" s="535"/>
      <c r="AW20" s="535"/>
      <c r="AX20" s="535"/>
      <c r="AY20" s="535"/>
      <c r="AZ20" s="535"/>
      <c r="BA20" s="535"/>
      <c r="BB20" s="535"/>
      <c r="BC20" s="535"/>
      <c r="BD20" s="535"/>
      <c r="BE20" s="535"/>
      <c r="BF20" s="535"/>
      <c r="BG20" s="535"/>
      <c r="BH20" s="535"/>
      <c r="BI20" s="535"/>
      <c r="BJ20" s="535"/>
      <c r="BK20" s="535"/>
      <c r="BL20" s="535"/>
      <c r="BM20" s="535"/>
      <c r="BN20" s="535"/>
      <c r="BO20" s="535"/>
      <c r="BP20" s="535"/>
      <c r="BQ20" s="535"/>
      <c r="BR20" s="535"/>
      <c r="BS20" s="535"/>
      <c r="BT20" s="535"/>
      <c r="BU20" s="535"/>
      <c r="BV20" s="535"/>
      <c r="BW20" s="535"/>
      <c r="BX20" s="535"/>
      <c r="BY20" s="535"/>
      <c r="BZ20" s="535"/>
      <c r="CA20" s="535"/>
      <c r="CB20" s="535"/>
      <c r="CC20" s="535"/>
      <c r="CD20" s="535"/>
      <c r="CE20" s="535"/>
      <c r="CF20" s="535"/>
      <c r="CG20" s="535"/>
      <c r="CH20" s="535"/>
      <c r="CI20" s="535"/>
      <c r="CJ20" s="535"/>
      <c r="CK20" s="535"/>
      <c r="CL20" s="535"/>
      <c r="CM20" s="535"/>
      <c r="CN20" s="535"/>
      <c r="CO20" s="535"/>
      <c r="CP20" s="535"/>
      <c r="CQ20" s="535"/>
      <c r="CR20" s="535"/>
      <c r="CS20" s="535"/>
      <c r="CT20" s="535"/>
      <c r="CU20" s="535"/>
      <c r="CV20" s="535"/>
      <c r="CW20" s="535"/>
      <c r="CX20" s="535"/>
      <c r="CY20" s="535"/>
      <c r="CZ20" s="535"/>
      <c r="DA20" s="535"/>
      <c r="DB20" s="535"/>
      <c r="DC20" s="535"/>
      <c r="DD20" s="535"/>
      <c r="DE20" s="535"/>
      <c r="DF20" s="535"/>
      <c r="DG20" s="535"/>
      <c r="DH20" s="535"/>
      <c r="DI20" s="535"/>
      <c r="DJ20" s="535"/>
      <c r="DK20" s="535"/>
      <c r="DL20" s="535"/>
      <c r="DM20" s="535"/>
      <c r="DN20" s="535"/>
      <c r="DO20" s="535"/>
      <c r="DP20" s="535"/>
      <c r="DQ20" s="535"/>
      <c r="DR20" s="535"/>
      <c r="DS20" s="535"/>
      <c r="DT20" s="535"/>
      <c r="DU20" s="535"/>
      <c r="DV20" s="535"/>
      <c r="DW20" s="535"/>
      <c r="DX20" s="535"/>
      <c r="DY20" s="535"/>
      <c r="DZ20" s="535"/>
      <c r="EA20" s="535"/>
      <c r="EB20" s="535"/>
      <c r="EC20" s="535"/>
      <c r="ED20" s="535"/>
      <c r="EE20" s="535"/>
      <c r="EF20" s="535"/>
      <c r="EG20" s="535"/>
      <c r="EH20" s="535"/>
      <c r="EI20" s="535"/>
      <c r="EJ20" s="535"/>
      <c r="EK20" s="535"/>
      <c r="EL20" s="535"/>
      <c r="EM20" s="535"/>
      <c r="EN20" s="535"/>
      <c r="EO20" s="535"/>
      <c r="EP20" s="535"/>
      <c r="EQ20" s="535"/>
      <c r="ER20" s="535"/>
      <c r="ES20" s="535"/>
      <c r="ET20" s="535"/>
      <c r="EU20" s="535"/>
      <c r="EV20" s="535"/>
      <c r="EW20" s="535"/>
      <c r="EX20" s="535"/>
      <c r="EY20" s="535"/>
      <c r="EZ20" s="535"/>
      <c r="FA20" s="535"/>
      <c r="FB20" s="535"/>
      <c r="FC20" s="535"/>
    </row>
    <row r="21" spans="1:159" s="537" customFormat="1" x14ac:dyDescent="0.25">
      <c r="A21" s="646" t="s">
        <v>570</v>
      </c>
      <c r="B21" s="646"/>
      <c r="C21" s="646"/>
      <c r="D21" s="646"/>
      <c r="E21" s="646"/>
      <c r="F21" s="646"/>
      <c r="G21" s="646"/>
      <c r="H21" s="646"/>
      <c r="I21" s="535"/>
      <c r="J21" s="535"/>
      <c r="K21" s="535"/>
      <c r="L21" s="535"/>
      <c r="M21" s="535"/>
      <c r="N21" s="535"/>
      <c r="O21" s="535"/>
      <c r="P21" s="535"/>
      <c r="Q21" s="535"/>
      <c r="R21" s="535"/>
      <c r="S21" s="535"/>
      <c r="T21" s="535"/>
      <c r="U21" s="535"/>
      <c r="V21" s="535"/>
      <c r="W21" s="535"/>
      <c r="X21" s="535"/>
      <c r="Y21" s="535"/>
      <c r="Z21" s="535"/>
      <c r="AA21" s="535"/>
      <c r="AB21" s="535"/>
      <c r="AC21" s="535"/>
      <c r="AD21" s="535"/>
      <c r="AE21" s="535"/>
      <c r="AF21" s="535"/>
      <c r="AG21" s="535"/>
      <c r="AH21" s="535"/>
      <c r="AI21" s="535"/>
      <c r="AJ21" s="535"/>
      <c r="AK21" s="535"/>
      <c r="AL21" s="535"/>
      <c r="AM21" s="535"/>
      <c r="AN21" s="535"/>
      <c r="AO21" s="535"/>
      <c r="AP21" s="535"/>
      <c r="AQ21" s="535"/>
      <c r="AR21" s="535"/>
      <c r="AS21" s="535"/>
      <c r="AT21" s="535"/>
      <c r="AU21" s="535"/>
      <c r="AV21" s="535"/>
      <c r="AW21" s="535"/>
      <c r="AX21" s="535"/>
      <c r="AY21" s="535"/>
      <c r="AZ21" s="535"/>
      <c r="BA21" s="535"/>
      <c r="BB21" s="535"/>
      <c r="BC21" s="535"/>
      <c r="BD21" s="535"/>
      <c r="BE21" s="535"/>
      <c r="BF21" s="535"/>
      <c r="BG21" s="535"/>
      <c r="BH21" s="535"/>
      <c r="BI21" s="535"/>
      <c r="BJ21" s="535"/>
      <c r="BK21" s="535"/>
      <c r="BL21" s="535"/>
      <c r="BM21" s="535"/>
      <c r="BN21" s="535"/>
      <c r="BO21" s="535"/>
      <c r="BP21" s="535"/>
      <c r="BQ21" s="535"/>
      <c r="BR21" s="535"/>
      <c r="BS21" s="535"/>
      <c r="BT21" s="535"/>
      <c r="BU21" s="535"/>
      <c r="BV21" s="535"/>
      <c r="BW21" s="535"/>
      <c r="BX21" s="535"/>
      <c r="BY21" s="535"/>
      <c r="BZ21" s="535"/>
      <c r="CA21" s="535"/>
      <c r="CB21" s="535"/>
      <c r="CC21" s="535"/>
      <c r="CD21" s="535"/>
      <c r="CE21" s="535"/>
      <c r="CF21" s="535"/>
      <c r="CG21" s="535"/>
      <c r="CH21" s="535"/>
      <c r="CI21" s="535"/>
      <c r="CJ21" s="535"/>
      <c r="CK21" s="535"/>
      <c r="CL21" s="535"/>
      <c r="CM21" s="535"/>
      <c r="CN21" s="535"/>
      <c r="CO21" s="535"/>
      <c r="CP21" s="535"/>
      <c r="CQ21" s="535"/>
      <c r="CR21" s="535"/>
      <c r="CS21" s="535"/>
      <c r="CT21" s="535"/>
      <c r="CU21" s="535"/>
      <c r="CV21" s="535"/>
      <c r="CW21" s="535"/>
      <c r="CX21" s="535"/>
      <c r="CY21" s="535"/>
      <c r="CZ21" s="535"/>
      <c r="DA21" s="535"/>
      <c r="DB21" s="535"/>
      <c r="DC21" s="535"/>
      <c r="DD21" s="535"/>
      <c r="DE21" s="535"/>
      <c r="DF21" s="535"/>
      <c r="DG21" s="535"/>
      <c r="DH21" s="535"/>
      <c r="DI21" s="535"/>
      <c r="DJ21" s="535"/>
      <c r="DK21" s="535"/>
      <c r="DL21" s="535"/>
      <c r="DM21" s="535"/>
      <c r="DN21" s="535"/>
      <c r="DO21" s="535"/>
      <c r="DP21" s="535"/>
      <c r="DQ21" s="535"/>
      <c r="DR21" s="535"/>
      <c r="DS21" s="535"/>
      <c r="DT21" s="535"/>
      <c r="DU21" s="535"/>
      <c r="DV21" s="535"/>
      <c r="DW21" s="535"/>
      <c r="DX21" s="535"/>
      <c r="DY21" s="535"/>
      <c r="DZ21" s="535"/>
      <c r="EA21" s="535"/>
      <c r="EB21" s="535"/>
      <c r="EC21" s="535"/>
      <c r="ED21" s="535"/>
      <c r="EE21" s="535"/>
      <c r="EF21" s="535"/>
      <c r="EG21" s="535"/>
      <c r="EH21" s="535"/>
      <c r="EI21" s="535"/>
      <c r="EJ21" s="535"/>
      <c r="EK21" s="535"/>
      <c r="EL21" s="535"/>
      <c r="EM21" s="535"/>
      <c r="EN21" s="535"/>
      <c r="EO21" s="535"/>
      <c r="EP21" s="535"/>
      <c r="EQ21" s="535"/>
      <c r="ER21" s="535"/>
      <c r="ES21" s="535"/>
      <c r="ET21" s="535"/>
      <c r="EU21" s="535"/>
      <c r="EV21" s="535"/>
      <c r="EW21" s="535"/>
      <c r="EX21" s="535"/>
      <c r="EY21" s="535"/>
      <c r="EZ21" s="535"/>
      <c r="FA21" s="535"/>
      <c r="FB21" s="535"/>
      <c r="FC21" s="535"/>
    </row>
    <row r="22" spans="1:159" s="537" customFormat="1" x14ac:dyDescent="0.25">
      <c r="A22" s="646" t="s">
        <v>569</v>
      </c>
      <c r="B22" s="646"/>
      <c r="C22" s="646"/>
      <c r="D22" s="646"/>
      <c r="E22" s="646"/>
      <c r="F22" s="646"/>
      <c r="G22" s="646"/>
      <c r="H22" s="646"/>
      <c r="I22" s="535"/>
      <c r="J22" s="535"/>
      <c r="K22" s="535"/>
      <c r="L22" s="535"/>
      <c r="M22" s="535"/>
      <c r="N22" s="535"/>
      <c r="O22" s="535"/>
      <c r="P22" s="535"/>
      <c r="Q22" s="535"/>
      <c r="R22" s="535"/>
      <c r="S22" s="535"/>
      <c r="T22" s="535"/>
      <c r="U22" s="535"/>
      <c r="V22" s="535"/>
      <c r="W22" s="535"/>
      <c r="X22" s="535"/>
      <c r="Y22" s="535"/>
      <c r="Z22" s="535"/>
      <c r="AA22" s="535"/>
      <c r="AB22" s="535"/>
      <c r="AC22" s="535"/>
      <c r="AD22" s="535"/>
      <c r="AE22" s="535"/>
      <c r="AF22" s="535"/>
      <c r="AG22" s="535"/>
      <c r="AH22" s="535"/>
      <c r="AI22" s="535"/>
      <c r="AJ22" s="535"/>
      <c r="AK22" s="535"/>
      <c r="AL22" s="535"/>
      <c r="AM22" s="535"/>
      <c r="AN22" s="535"/>
      <c r="AO22" s="535"/>
      <c r="AP22" s="535"/>
      <c r="AQ22" s="535"/>
      <c r="AR22" s="535"/>
      <c r="AS22" s="535"/>
      <c r="AT22" s="535"/>
      <c r="AU22" s="535"/>
      <c r="AV22" s="535"/>
      <c r="AW22" s="535"/>
      <c r="AX22" s="535"/>
      <c r="AY22" s="535"/>
      <c r="AZ22" s="535"/>
      <c r="BA22" s="535"/>
      <c r="BB22" s="535"/>
      <c r="BC22" s="535"/>
      <c r="BD22" s="535"/>
      <c r="BE22" s="535"/>
      <c r="BF22" s="535"/>
      <c r="BG22" s="535"/>
      <c r="BH22" s="535"/>
      <c r="BI22" s="535"/>
      <c r="BJ22" s="535"/>
      <c r="BK22" s="535"/>
      <c r="BL22" s="535"/>
      <c r="BM22" s="535"/>
      <c r="BN22" s="535"/>
      <c r="BO22" s="535"/>
      <c r="BP22" s="535"/>
      <c r="BQ22" s="535"/>
      <c r="BR22" s="535"/>
      <c r="BS22" s="535"/>
      <c r="BT22" s="535"/>
      <c r="BU22" s="535"/>
      <c r="BV22" s="535"/>
      <c r="BW22" s="535"/>
      <c r="BX22" s="535"/>
      <c r="BY22" s="535"/>
      <c r="BZ22" s="535"/>
      <c r="CA22" s="535"/>
      <c r="CB22" s="535"/>
      <c r="CC22" s="535"/>
      <c r="CD22" s="535"/>
      <c r="CE22" s="535"/>
      <c r="CF22" s="535"/>
      <c r="CG22" s="535"/>
      <c r="CH22" s="535"/>
      <c r="CI22" s="535"/>
      <c r="CJ22" s="535"/>
      <c r="CK22" s="535"/>
      <c r="CL22" s="535"/>
      <c r="CM22" s="535"/>
      <c r="CN22" s="535"/>
      <c r="CO22" s="535"/>
      <c r="CP22" s="535"/>
      <c r="CQ22" s="535"/>
      <c r="CR22" s="535"/>
      <c r="CS22" s="535"/>
      <c r="CT22" s="535"/>
      <c r="CU22" s="535"/>
      <c r="CV22" s="535"/>
      <c r="CW22" s="535"/>
      <c r="CX22" s="535"/>
      <c r="CY22" s="535"/>
      <c r="CZ22" s="535"/>
      <c r="DA22" s="535"/>
      <c r="DB22" s="535"/>
      <c r="DC22" s="535"/>
      <c r="DD22" s="535"/>
      <c r="DE22" s="535"/>
      <c r="DF22" s="535"/>
      <c r="DG22" s="535"/>
      <c r="DH22" s="535"/>
      <c r="DI22" s="535"/>
      <c r="DJ22" s="535"/>
      <c r="DK22" s="535"/>
      <c r="DL22" s="535"/>
      <c r="DM22" s="535"/>
      <c r="DN22" s="535"/>
      <c r="DO22" s="535"/>
      <c r="DP22" s="535"/>
      <c r="DQ22" s="535"/>
      <c r="DR22" s="535"/>
      <c r="DS22" s="535"/>
      <c r="DT22" s="535"/>
      <c r="DU22" s="535"/>
      <c r="DV22" s="535"/>
      <c r="DW22" s="535"/>
      <c r="DX22" s="535"/>
      <c r="DY22" s="535"/>
      <c r="DZ22" s="535"/>
      <c r="EA22" s="535"/>
      <c r="EB22" s="535"/>
      <c r="EC22" s="535"/>
      <c r="ED22" s="535"/>
      <c r="EE22" s="535"/>
      <c r="EF22" s="535"/>
      <c r="EG22" s="535"/>
      <c r="EH22" s="535"/>
      <c r="EI22" s="535"/>
      <c r="EJ22" s="535"/>
      <c r="EK22" s="535"/>
      <c r="EL22" s="535"/>
      <c r="EM22" s="535"/>
      <c r="EN22" s="535"/>
      <c r="EO22" s="535"/>
      <c r="EP22" s="535"/>
      <c r="EQ22" s="535"/>
      <c r="ER22" s="535"/>
      <c r="ES22" s="535"/>
      <c r="ET22" s="535"/>
      <c r="EU22" s="535"/>
      <c r="EV22" s="535"/>
      <c r="EW22" s="535"/>
      <c r="EX22" s="535"/>
      <c r="EY22" s="535"/>
      <c r="EZ22" s="535"/>
      <c r="FA22" s="535"/>
      <c r="FB22" s="535"/>
      <c r="FC22" s="535"/>
    </row>
    <row r="23" spans="1:159" s="537" customFormat="1" x14ac:dyDescent="0.25">
      <c r="A23" s="646" t="s">
        <v>568</v>
      </c>
      <c r="B23" s="646"/>
      <c r="C23" s="646"/>
      <c r="D23" s="646"/>
      <c r="E23" s="646"/>
      <c r="F23" s="646"/>
      <c r="G23" s="646"/>
      <c r="H23" s="646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5"/>
      <c r="W23" s="535"/>
      <c r="X23" s="535"/>
      <c r="Y23" s="535"/>
      <c r="Z23" s="535"/>
      <c r="AA23" s="535"/>
      <c r="AB23" s="535"/>
      <c r="AC23" s="535"/>
      <c r="AD23" s="535"/>
      <c r="AE23" s="535"/>
      <c r="AF23" s="535"/>
      <c r="AG23" s="535"/>
      <c r="AH23" s="535"/>
      <c r="AI23" s="535"/>
      <c r="AJ23" s="535"/>
      <c r="AK23" s="535"/>
      <c r="AL23" s="535"/>
      <c r="AM23" s="535"/>
      <c r="AN23" s="535"/>
      <c r="AO23" s="535"/>
      <c r="AP23" s="535"/>
      <c r="AQ23" s="535"/>
      <c r="AR23" s="535"/>
      <c r="AS23" s="535"/>
      <c r="AT23" s="535"/>
      <c r="AU23" s="535"/>
      <c r="AV23" s="535"/>
      <c r="AW23" s="535"/>
      <c r="AX23" s="535"/>
      <c r="AY23" s="535"/>
      <c r="AZ23" s="535"/>
      <c r="BA23" s="535"/>
      <c r="BB23" s="535"/>
      <c r="BC23" s="535"/>
      <c r="BD23" s="535"/>
      <c r="BE23" s="535"/>
      <c r="BF23" s="535"/>
      <c r="BG23" s="535"/>
      <c r="BH23" s="535"/>
      <c r="BI23" s="535"/>
      <c r="BJ23" s="535"/>
      <c r="BK23" s="535"/>
      <c r="BL23" s="535"/>
      <c r="BM23" s="535"/>
      <c r="BN23" s="535"/>
      <c r="BO23" s="535"/>
      <c r="BP23" s="535"/>
      <c r="BQ23" s="535"/>
      <c r="BR23" s="535"/>
      <c r="BS23" s="535"/>
      <c r="BT23" s="535"/>
      <c r="BU23" s="535"/>
      <c r="BV23" s="535"/>
      <c r="BW23" s="535"/>
      <c r="BX23" s="535"/>
      <c r="BY23" s="535"/>
      <c r="BZ23" s="535"/>
      <c r="CA23" s="535"/>
      <c r="CB23" s="535"/>
      <c r="CC23" s="535"/>
      <c r="CD23" s="535"/>
      <c r="CE23" s="535"/>
      <c r="CF23" s="535"/>
      <c r="CG23" s="535"/>
      <c r="CH23" s="535"/>
      <c r="CI23" s="535"/>
      <c r="CJ23" s="535"/>
      <c r="CK23" s="535"/>
      <c r="CL23" s="535"/>
      <c r="CM23" s="535"/>
      <c r="CN23" s="535"/>
      <c r="CO23" s="535"/>
      <c r="CP23" s="535"/>
      <c r="CQ23" s="535"/>
      <c r="CR23" s="535"/>
      <c r="CS23" s="535"/>
      <c r="CT23" s="535"/>
      <c r="CU23" s="535"/>
      <c r="CV23" s="535"/>
      <c r="CW23" s="535"/>
      <c r="CX23" s="535"/>
      <c r="CY23" s="535"/>
      <c r="CZ23" s="535"/>
      <c r="DA23" s="535"/>
      <c r="DB23" s="535"/>
      <c r="DC23" s="535"/>
      <c r="DD23" s="535"/>
      <c r="DE23" s="535"/>
      <c r="DF23" s="535"/>
      <c r="DG23" s="535"/>
      <c r="DH23" s="535"/>
      <c r="DI23" s="535"/>
      <c r="DJ23" s="535"/>
      <c r="DK23" s="535"/>
      <c r="DL23" s="535"/>
      <c r="DM23" s="535"/>
      <c r="DN23" s="535"/>
      <c r="DO23" s="535"/>
      <c r="DP23" s="535"/>
      <c r="DQ23" s="535"/>
      <c r="DR23" s="535"/>
      <c r="DS23" s="535"/>
      <c r="DT23" s="535"/>
      <c r="DU23" s="535"/>
      <c r="DV23" s="535"/>
      <c r="DW23" s="535"/>
      <c r="DX23" s="535"/>
      <c r="DY23" s="535"/>
      <c r="DZ23" s="535"/>
      <c r="EA23" s="535"/>
      <c r="EB23" s="535"/>
      <c r="EC23" s="535"/>
      <c r="ED23" s="535"/>
      <c r="EE23" s="535"/>
      <c r="EF23" s="535"/>
      <c r="EG23" s="535"/>
      <c r="EH23" s="535"/>
      <c r="EI23" s="535"/>
      <c r="EJ23" s="535"/>
      <c r="EK23" s="535"/>
      <c r="EL23" s="535"/>
      <c r="EM23" s="535"/>
      <c r="EN23" s="535"/>
      <c r="EO23" s="535"/>
      <c r="EP23" s="535"/>
      <c r="EQ23" s="535"/>
      <c r="ER23" s="535"/>
      <c r="ES23" s="535"/>
      <c r="ET23" s="535"/>
      <c r="EU23" s="535"/>
      <c r="EV23" s="535"/>
      <c r="EW23" s="535"/>
      <c r="EX23" s="535"/>
      <c r="EY23" s="535"/>
      <c r="EZ23" s="535"/>
      <c r="FA23" s="535"/>
      <c r="FB23" s="535"/>
      <c r="FC23" s="535"/>
    </row>
    <row r="24" spans="1:159" s="538" customFormat="1" x14ac:dyDescent="0.25">
      <c r="I24" s="535"/>
      <c r="J24" s="535"/>
      <c r="K24" s="535"/>
      <c r="L24" s="535"/>
      <c r="M24" s="535"/>
      <c r="N24" s="535"/>
      <c r="O24" s="535"/>
      <c r="P24" s="535"/>
      <c r="Q24" s="535"/>
      <c r="R24" s="535"/>
      <c r="S24" s="535"/>
      <c r="T24" s="535"/>
      <c r="U24" s="535"/>
      <c r="V24" s="535"/>
      <c r="W24" s="535"/>
      <c r="X24" s="535"/>
      <c r="Y24" s="535"/>
      <c r="Z24" s="535"/>
      <c r="AA24" s="535"/>
      <c r="AB24" s="535"/>
      <c r="AC24" s="535"/>
      <c r="AD24" s="535"/>
      <c r="AE24" s="535"/>
      <c r="AF24" s="535"/>
      <c r="AG24" s="535"/>
      <c r="AH24" s="535"/>
      <c r="AI24" s="535"/>
      <c r="AJ24" s="535"/>
      <c r="AK24" s="535"/>
      <c r="AL24" s="535"/>
      <c r="AM24" s="535"/>
      <c r="AN24" s="535"/>
      <c r="AO24" s="535"/>
      <c r="AP24" s="535"/>
      <c r="AQ24" s="535"/>
      <c r="AR24" s="535"/>
      <c r="AS24" s="535"/>
      <c r="AT24" s="535"/>
      <c r="AU24" s="535"/>
      <c r="AV24" s="535"/>
      <c r="AW24" s="535"/>
      <c r="AX24" s="535"/>
      <c r="AY24" s="535"/>
      <c r="AZ24" s="535"/>
      <c r="BA24" s="535"/>
      <c r="BB24" s="535"/>
      <c r="BC24" s="535"/>
      <c r="BD24" s="535"/>
      <c r="BE24" s="535"/>
      <c r="BF24" s="535"/>
      <c r="BG24" s="535"/>
      <c r="BH24" s="535"/>
      <c r="BI24" s="535"/>
      <c r="BJ24" s="535"/>
      <c r="BK24" s="535"/>
      <c r="BL24" s="535"/>
      <c r="BM24" s="535"/>
      <c r="BN24" s="535"/>
      <c r="BO24" s="535"/>
      <c r="BP24" s="535"/>
      <c r="BQ24" s="535"/>
      <c r="BR24" s="535"/>
      <c r="BS24" s="535"/>
      <c r="BT24" s="535"/>
      <c r="BU24" s="535"/>
      <c r="BV24" s="535"/>
      <c r="BW24" s="535"/>
      <c r="BX24" s="535"/>
      <c r="BY24" s="535"/>
      <c r="BZ24" s="535"/>
      <c r="CA24" s="535"/>
      <c r="CB24" s="535"/>
      <c r="CC24" s="535"/>
      <c r="CD24" s="535"/>
      <c r="CE24" s="535"/>
      <c r="CF24" s="535"/>
      <c r="CG24" s="535"/>
      <c r="CH24" s="535"/>
      <c r="CI24" s="535"/>
      <c r="CJ24" s="535"/>
      <c r="CK24" s="535"/>
      <c r="CL24" s="535"/>
      <c r="CM24" s="535"/>
      <c r="CN24" s="535"/>
      <c r="CO24" s="535"/>
      <c r="CP24" s="535"/>
      <c r="CQ24" s="535"/>
      <c r="CR24" s="535"/>
      <c r="CS24" s="535"/>
      <c r="CT24" s="535"/>
      <c r="CU24" s="535"/>
      <c r="CV24" s="535"/>
      <c r="CW24" s="535"/>
      <c r="CX24" s="535"/>
      <c r="CY24" s="535"/>
      <c r="CZ24" s="535"/>
      <c r="DA24" s="535"/>
      <c r="DB24" s="535"/>
      <c r="DC24" s="535"/>
      <c r="DD24" s="535"/>
      <c r="DE24" s="535"/>
      <c r="DF24" s="535"/>
      <c r="DG24" s="535"/>
      <c r="DH24" s="535"/>
      <c r="DI24" s="535"/>
      <c r="DJ24" s="535"/>
      <c r="DK24" s="535"/>
      <c r="DL24" s="535"/>
      <c r="DM24" s="535"/>
      <c r="DN24" s="535"/>
      <c r="DO24" s="535"/>
      <c r="DP24" s="535"/>
      <c r="DQ24" s="535"/>
      <c r="DR24" s="535"/>
      <c r="DS24" s="535"/>
      <c r="DT24" s="535"/>
      <c r="DU24" s="535"/>
      <c r="DV24" s="535"/>
      <c r="DW24" s="535"/>
      <c r="DX24" s="535"/>
      <c r="DY24" s="535"/>
      <c r="DZ24" s="535"/>
      <c r="EA24" s="535"/>
      <c r="EB24" s="535"/>
      <c r="EC24" s="535"/>
      <c r="ED24" s="535"/>
      <c r="EE24" s="535"/>
      <c r="EF24" s="535"/>
      <c r="EG24" s="535"/>
      <c r="EH24" s="535"/>
      <c r="EI24" s="535"/>
      <c r="EJ24" s="535"/>
      <c r="EK24" s="535"/>
      <c r="EL24" s="535"/>
      <c r="EM24" s="535"/>
      <c r="EN24" s="535"/>
      <c r="EO24" s="535"/>
      <c r="EP24" s="535"/>
      <c r="EQ24" s="535"/>
      <c r="ER24" s="535"/>
      <c r="ES24" s="535"/>
      <c r="ET24" s="535"/>
      <c r="EU24" s="535"/>
      <c r="EV24" s="535"/>
      <c r="EW24" s="535"/>
      <c r="EX24" s="535"/>
      <c r="EY24" s="535"/>
      <c r="EZ24" s="535"/>
      <c r="FA24" s="535"/>
      <c r="FB24" s="535"/>
      <c r="FC24" s="535"/>
    </row>
    <row r="25" spans="1:159" s="539" customFormat="1" x14ac:dyDescent="0.25"/>
    <row r="26" spans="1:159" s="539" customFormat="1" x14ac:dyDescent="0.25"/>
    <row r="27" spans="1:159" s="539" customFormat="1" x14ac:dyDescent="0.25"/>
    <row r="28" spans="1:159" s="539" customFormat="1" x14ac:dyDescent="0.25"/>
    <row r="29" spans="1:159" s="539" customFormat="1" x14ac:dyDescent="0.25"/>
    <row r="30" spans="1:159" s="539" customFormat="1" x14ac:dyDescent="0.25"/>
    <row r="31" spans="1:159" s="539" customFormat="1" x14ac:dyDescent="0.25"/>
    <row r="32" spans="1:159" s="539" customFormat="1" x14ac:dyDescent="0.25"/>
    <row r="33" s="539" customFormat="1" x14ac:dyDescent="0.25"/>
    <row r="34" s="539" customFormat="1" x14ac:dyDescent="0.25"/>
    <row r="35" s="539" customFormat="1" x14ac:dyDescent="0.25"/>
    <row r="36" s="539" customFormat="1" x14ac:dyDescent="0.25"/>
    <row r="37" s="539" customFormat="1" x14ac:dyDescent="0.25"/>
    <row r="38" s="539" customFormat="1" x14ac:dyDescent="0.25"/>
    <row r="39" s="539" customFormat="1" x14ac:dyDescent="0.25"/>
    <row r="40" s="539" customFormat="1" x14ac:dyDescent="0.25"/>
    <row r="41" s="539" customFormat="1" x14ac:dyDescent="0.25"/>
    <row r="42" s="539" customFormat="1" x14ac:dyDescent="0.25"/>
    <row r="43" s="539" customFormat="1" x14ac:dyDescent="0.25"/>
    <row r="44" s="539" customFormat="1" x14ac:dyDescent="0.25"/>
    <row r="45" s="539" customFormat="1" x14ac:dyDescent="0.25"/>
    <row r="46" s="539" customFormat="1" x14ac:dyDescent="0.25"/>
    <row r="47" s="539" customFormat="1" x14ac:dyDescent="0.25"/>
    <row r="48" s="539" customFormat="1" x14ac:dyDescent="0.25"/>
    <row r="49" s="539" customFormat="1" x14ac:dyDescent="0.25"/>
    <row r="50" s="539" customFormat="1" x14ac:dyDescent="0.25"/>
    <row r="51" s="539" customFormat="1" x14ac:dyDescent="0.25"/>
    <row r="52" s="539" customFormat="1" x14ac:dyDescent="0.25"/>
    <row r="53" s="539" customFormat="1" x14ac:dyDescent="0.25"/>
    <row r="54" s="539" customFormat="1" x14ac:dyDescent="0.25"/>
    <row r="55" s="539" customFormat="1" x14ac:dyDescent="0.25"/>
    <row r="56" s="539" customFormat="1" x14ac:dyDescent="0.25"/>
    <row r="57" s="539" customFormat="1" x14ac:dyDescent="0.25"/>
    <row r="58" s="539" customFormat="1" x14ac:dyDescent="0.25"/>
    <row r="59" s="539" customFormat="1" x14ac:dyDescent="0.25"/>
    <row r="60" s="539" customFormat="1" x14ac:dyDescent="0.25"/>
    <row r="61" s="539" customFormat="1" x14ac:dyDescent="0.25"/>
    <row r="62" s="539" customFormat="1" x14ac:dyDescent="0.25"/>
    <row r="63" s="539" customFormat="1" x14ac:dyDescent="0.25"/>
    <row r="64" s="539" customFormat="1" x14ac:dyDescent="0.25"/>
    <row r="65" s="539" customFormat="1" x14ac:dyDescent="0.25"/>
    <row r="66" s="539" customFormat="1" x14ac:dyDescent="0.25"/>
    <row r="67" s="539" customFormat="1" x14ac:dyDescent="0.25"/>
    <row r="68" s="539" customFormat="1" x14ac:dyDescent="0.25"/>
    <row r="69" s="539" customFormat="1" x14ac:dyDescent="0.25"/>
    <row r="70" s="539" customFormat="1" x14ac:dyDescent="0.25"/>
  </sheetData>
  <mergeCells count="11">
    <mergeCell ref="A2:A3"/>
    <mergeCell ref="B2:B3"/>
    <mergeCell ref="C2:E2"/>
    <mergeCell ref="F2:H2"/>
    <mergeCell ref="A17:H17"/>
    <mergeCell ref="A23:H23"/>
    <mergeCell ref="A18:H18"/>
    <mergeCell ref="A19:H19"/>
    <mergeCell ref="A20:H20"/>
    <mergeCell ref="A21:H21"/>
    <mergeCell ref="A22:H22"/>
  </mergeCells>
  <printOptions horizontalCentered="1"/>
  <pageMargins left="0.39370078740157499" right="0.39370078740157499" top="0.39370078740157499" bottom="0.39370078740157499" header="0.39370078740157499" footer="0.39370078740157499"/>
  <pageSetup paperSize="9" scale="60" firstPageNumber="3" orientation="landscape" useFirstPageNumber="1" r:id="rId1"/>
  <headerFooter>
    <oddHeader>&amp;R
                                                                .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view="pageBreakPreview" zoomScale="110" zoomScaleNormal="130" zoomScaleSheetLayoutView="110" workbookViewId="0">
      <selection activeCell="A2" sqref="A2"/>
    </sheetView>
  </sheetViews>
  <sheetFormatPr defaultRowHeight="15" x14ac:dyDescent="0.25"/>
  <cols>
    <col min="1" max="1" width="6.5703125" bestFit="1" customWidth="1"/>
    <col min="2" max="2" width="28.28515625" bestFit="1" customWidth="1"/>
    <col min="3" max="3" width="19.85546875" customWidth="1"/>
    <col min="4" max="4" width="15.5703125" bestFit="1" customWidth="1"/>
    <col min="5" max="5" width="11.42578125" customWidth="1"/>
    <col min="6" max="6" width="19.85546875" bestFit="1" customWidth="1"/>
    <col min="7" max="7" width="14.85546875" bestFit="1" customWidth="1"/>
  </cols>
  <sheetData>
    <row r="1" spans="1:7" ht="15.75" x14ac:dyDescent="0.25">
      <c r="A1" s="766" t="s">
        <v>663</v>
      </c>
    </row>
    <row r="2" spans="1:7" s="772" customFormat="1" ht="75" x14ac:dyDescent="0.25">
      <c r="A2" s="769" t="s">
        <v>9</v>
      </c>
      <c r="B2" s="769" t="s">
        <v>334</v>
      </c>
      <c r="C2" s="770" t="s">
        <v>300</v>
      </c>
      <c r="D2" s="770" t="s">
        <v>667</v>
      </c>
      <c r="E2" s="771" t="s">
        <v>666</v>
      </c>
      <c r="F2" s="771" t="s">
        <v>664</v>
      </c>
      <c r="G2" s="771" t="s">
        <v>665</v>
      </c>
    </row>
    <row r="3" spans="1:7" x14ac:dyDescent="0.25">
      <c r="A3" s="762" t="s">
        <v>46</v>
      </c>
      <c r="B3" s="763" t="s">
        <v>335</v>
      </c>
      <c r="C3" s="475">
        <f>TOTAL!C8</f>
        <v>0</v>
      </c>
      <c r="D3" s="481">
        <f>TOTAL!D8</f>
        <v>1932650.5</v>
      </c>
      <c r="E3" s="764">
        <v>0.15</v>
      </c>
      <c r="F3" s="767">
        <f>C3*E3</f>
        <v>0</v>
      </c>
      <c r="G3" s="768">
        <f>D3*E3</f>
        <v>289897.57500000001</v>
      </c>
    </row>
    <row r="4" spans="1:7" x14ac:dyDescent="0.25">
      <c r="A4" s="762" t="s">
        <v>49</v>
      </c>
      <c r="B4" s="763" t="s">
        <v>388</v>
      </c>
      <c r="C4" s="475">
        <f>TOTAL!C9</f>
        <v>0</v>
      </c>
      <c r="D4" s="481">
        <f>TOTAL!D9</f>
        <v>3420217</v>
      </c>
      <c r="E4" s="764">
        <v>0.12</v>
      </c>
      <c r="F4" s="767">
        <f t="shared" ref="F4:F17" si="0">C4*E4</f>
        <v>0</v>
      </c>
      <c r="G4" s="768">
        <f t="shared" ref="G4:G17" si="1">D4*E4</f>
        <v>410426.04</v>
      </c>
    </row>
    <row r="5" spans="1:7" x14ac:dyDescent="0.25">
      <c r="A5" s="762" t="s">
        <v>52</v>
      </c>
      <c r="B5" s="763" t="s">
        <v>336</v>
      </c>
      <c r="C5" s="475">
        <f>TOTAL!C10</f>
        <v>104016580799.99998</v>
      </c>
      <c r="D5" s="481">
        <f>TOTAL!D10</f>
        <v>0</v>
      </c>
      <c r="E5" s="764">
        <v>0.01</v>
      </c>
      <c r="F5" s="767">
        <f t="shared" si="0"/>
        <v>1040165807.9999999</v>
      </c>
      <c r="G5" s="768">
        <f t="shared" si="1"/>
        <v>0</v>
      </c>
    </row>
    <row r="6" spans="1:7" x14ac:dyDescent="0.25">
      <c r="A6" s="762" t="s">
        <v>55</v>
      </c>
      <c r="B6" s="763" t="s">
        <v>337</v>
      </c>
      <c r="C6" s="475">
        <f>TOTAL!C11</f>
        <v>608385749999.99988</v>
      </c>
      <c r="D6" s="481">
        <f>TOTAL!D11</f>
        <v>0</v>
      </c>
      <c r="E6" s="764">
        <v>0.01</v>
      </c>
      <c r="F6" s="767">
        <f t="shared" si="0"/>
        <v>6083857499.999999</v>
      </c>
      <c r="G6" s="768">
        <f t="shared" si="1"/>
        <v>0</v>
      </c>
    </row>
    <row r="7" spans="1:7" x14ac:dyDescent="0.25">
      <c r="A7" s="762" t="s">
        <v>45</v>
      </c>
      <c r="B7" s="763" t="s">
        <v>342</v>
      </c>
      <c r="C7" s="475">
        <f>TOTAL!C12</f>
        <v>0</v>
      </c>
      <c r="D7" s="481">
        <f>TOTAL!D12</f>
        <v>38801.905816859806</v>
      </c>
      <c r="E7" s="764">
        <v>0.1</v>
      </c>
      <c r="F7" s="767">
        <f t="shared" si="0"/>
        <v>0</v>
      </c>
      <c r="G7" s="768">
        <f t="shared" si="1"/>
        <v>3880.1905816859808</v>
      </c>
    </row>
    <row r="8" spans="1:7" x14ac:dyDescent="0.25">
      <c r="A8" s="762" t="s">
        <v>62</v>
      </c>
      <c r="B8" s="763" t="s">
        <v>338</v>
      </c>
      <c r="C8" s="475">
        <f>TOTAL!C13</f>
        <v>4877884615.3846149</v>
      </c>
      <c r="D8" s="481">
        <f>TOTAL!D13</f>
        <v>2753903.8116337196</v>
      </c>
      <c r="E8" s="764">
        <v>0.25</v>
      </c>
      <c r="F8" s="767">
        <f t="shared" si="0"/>
        <v>1219471153.8461537</v>
      </c>
      <c r="G8" s="768">
        <f t="shared" si="1"/>
        <v>688475.9529084299</v>
      </c>
    </row>
    <row r="9" spans="1:7" x14ac:dyDescent="0.25">
      <c r="A9" s="762" t="s">
        <v>67</v>
      </c>
      <c r="B9" s="763" t="s">
        <v>343</v>
      </c>
      <c r="C9" s="475">
        <f>TOTAL!C14</f>
        <v>562636746866.66663</v>
      </c>
      <c r="D9" s="481">
        <f>TOTAL!D14</f>
        <v>0</v>
      </c>
      <c r="E9" s="764">
        <v>0.2</v>
      </c>
      <c r="F9" s="767">
        <f t="shared" si="0"/>
        <v>112527349373.33333</v>
      </c>
      <c r="G9" s="768">
        <f t="shared" si="1"/>
        <v>0</v>
      </c>
    </row>
    <row r="10" spans="1:7" x14ac:dyDescent="0.25">
      <c r="A10" s="762" t="s">
        <v>72</v>
      </c>
      <c r="B10" s="763" t="s">
        <v>385</v>
      </c>
      <c r="C10" s="475">
        <f>TOTAL!C15</f>
        <v>0</v>
      </c>
      <c r="D10" s="481">
        <f>TOTAL!D15</f>
        <v>1850000</v>
      </c>
      <c r="E10" s="764">
        <v>0.15</v>
      </c>
      <c r="F10" s="767">
        <f t="shared" si="0"/>
        <v>0</v>
      </c>
      <c r="G10" s="768">
        <f t="shared" si="1"/>
        <v>277500</v>
      </c>
    </row>
    <row r="11" spans="1:7" x14ac:dyDescent="0.25">
      <c r="A11" s="762" t="s">
        <v>77</v>
      </c>
      <c r="B11" s="763" t="s">
        <v>339</v>
      </c>
      <c r="C11" s="475">
        <f>TOTAL!C16</f>
        <v>0</v>
      </c>
      <c r="D11" s="481">
        <f>TOTAL!D16</f>
        <v>556479.59183673467</v>
      </c>
      <c r="E11" s="764">
        <v>0.12</v>
      </c>
      <c r="F11" s="767">
        <f t="shared" si="0"/>
        <v>0</v>
      </c>
      <c r="G11" s="768">
        <f t="shared" si="1"/>
        <v>66777.551020408166</v>
      </c>
    </row>
    <row r="12" spans="1:7" x14ac:dyDescent="0.25">
      <c r="A12" s="762" t="s">
        <v>85</v>
      </c>
      <c r="B12" s="763" t="s">
        <v>340</v>
      </c>
      <c r="C12" s="475">
        <f>TOTAL!C17</f>
        <v>16259615384.615383</v>
      </c>
      <c r="D12" s="481">
        <f>TOTAL!D17</f>
        <v>534220.40816326533</v>
      </c>
      <c r="E12" s="764">
        <v>0.04</v>
      </c>
      <c r="F12" s="767">
        <f t="shared" si="0"/>
        <v>650384615.3846153</v>
      </c>
      <c r="G12" s="768">
        <f t="shared" si="1"/>
        <v>21368.816326530614</v>
      </c>
    </row>
    <row r="13" spans="1:7" x14ac:dyDescent="0.25">
      <c r="A13" s="762" t="s">
        <v>89</v>
      </c>
      <c r="B13" s="763" t="s">
        <v>341</v>
      </c>
      <c r="C13" s="475">
        <f>TOTAL!C18</f>
        <v>126196586999.99998</v>
      </c>
      <c r="D13" s="481">
        <f>TOTAL!D18</f>
        <v>0</v>
      </c>
      <c r="E13" s="764">
        <v>0.08</v>
      </c>
      <c r="F13" s="767">
        <f t="shared" si="0"/>
        <v>10095726959.999998</v>
      </c>
      <c r="G13" s="768">
        <f t="shared" si="1"/>
        <v>0</v>
      </c>
    </row>
    <row r="14" spans="1:7" x14ac:dyDescent="0.25">
      <c r="A14" s="762" t="s">
        <v>92</v>
      </c>
      <c r="B14" s="763" t="s">
        <v>391</v>
      </c>
      <c r="C14" s="475">
        <f>TOTAL!C19</f>
        <v>73006289999.999985</v>
      </c>
      <c r="D14" s="481">
        <f>TOTAL!D19</f>
        <v>0</v>
      </c>
      <c r="E14" s="764">
        <v>0.04</v>
      </c>
      <c r="F14" s="767">
        <f t="shared" si="0"/>
        <v>2920251599.9999995</v>
      </c>
      <c r="G14" s="768">
        <f t="shared" si="1"/>
        <v>0</v>
      </c>
    </row>
    <row r="15" spans="1:7" x14ac:dyDescent="0.25">
      <c r="A15" s="762" t="s">
        <v>95</v>
      </c>
      <c r="B15" s="763" t="s">
        <v>344</v>
      </c>
      <c r="C15" s="475">
        <f>TOTAL!C20</f>
        <v>135583109999.99998</v>
      </c>
      <c r="D15" s="481">
        <f>TOTAL!D20</f>
        <v>0</v>
      </c>
      <c r="E15" s="764">
        <v>0.25</v>
      </c>
      <c r="F15" s="767">
        <f t="shared" si="0"/>
        <v>33895777499.999996</v>
      </c>
      <c r="G15" s="768">
        <f t="shared" si="1"/>
        <v>0</v>
      </c>
    </row>
    <row r="16" spans="1:7" x14ac:dyDescent="0.25">
      <c r="A16" s="762" t="s">
        <v>101</v>
      </c>
      <c r="B16" s="763" t="s">
        <v>332</v>
      </c>
      <c r="C16" s="475">
        <f>TOTAL!C21</f>
        <v>8129807692.3076916</v>
      </c>
      <c r="D16" s="481">
        <f>TOTAL!D21</f>
        <v>0</v>
      </c>
      <c r="E16" s="764">
        <v>0.1</v>
      </c>
      <c r="F16" s="767">
        <f t="shared" si="0"/>
        <v>812980769.23076916</v>
      </c>
      <c r="G16" s="768">
        <f t="shared" si="1"/>
        <v>0</v>
      </c>
    </row>
    <row r="17" spans="1:7" x14ac:dyDescent="0.25">
      <c r="A17" s="762" t="s">
        <v>105</v>
      </c>
      <c r="B17" s="763" t="s">
        <v>345</v>
      </c>
      <c r="C17" s="475">
        <f>TOTAL!C22</f>
        <v>135328531500</v>
      </c>
      <c r="D17" s="481">
        <f>TOTAL!D22</f>
        <v>0</v>
      </c>
      <c r="E17" s="764">
        <v>0.08</v>
      </c>
      <c r="F17" s="767">
        <f t="shared" si="0"/>
        <v>10826282520</v>
      </c>
      <c r="G17" s="768">
        <f t="shared" si="1"/>
        <v>0</v>
      </c>
    </row>
    <row r="18" spans="1:7" x14ac:dyDescent="0.25">
      <c r="A18" s="773" t="s">
        <v>662</v>
      </c>
      <c r="B18" s="773"/>
      <c r="C18" s="532"/>
      <c r="D18" s="532"/>
      <c r="E18" s="529"/>
      <c r="F18" s="765">
        <f>SUM(F3:F17)</f>
        <v>180072247799.79486</v>
      </c>
      <c r="G18" s="476">
        <f>SUM(G3:G17)</f>
        <v>1758326.1258370546</v>
      </c>
    </row>
  </sheetData>
  <pageMargins left="0.70866141732283472" right="0.70866141732283472" top="0.74803149606299213" bottom="0.74803149606299213" header="0.31496062992125984" footer="0.31496062992125984"/>
  <pageSetup orientation="landscape" blackAndWhite="1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N39"/>
  <sheetViews>
    <sheetView tabSelected="1" view="pageBreakPreview" zoomScale="115" zoomScaleNormal="115" zoomScaleSheetLayoutView="115" workbookViewId="0">
      <selection activeCell="D26" sqref="D26"/>
    </sheetView>
  </sheetViews>
  <sheetFormatPr defaultRowHeight="15" x14ac:dyDescent="0.25"/>
  <cols>
    <col min="1" max="1" width="7.140625" style="349" customWidth="1"/>
    <col min="2" max="2" width="42.42578125" style="349" customWidth="1"/>
    <col min="3" max="4" width="26" style="349" customWidth="1"/>
    <col min="5" max="5" width="22.42578125" style="349" bestFit="1" customWidth="1"/>
    <col min="6" max="6" width="16.85546875" style="349" bestFit="1" customWidth="1"/>
    <col min="7" max="216" width="9.140625" style="349"/>
    <col min="217" max="255" width="2.42578125" style="349" customWidth="1"/>
    <col min="256" max="256" width="3.42578125" style="349" bestFit="1" customWidth="1"/>
    <col min="257" max="472" width="9.140625" style="349"/>
    <col min="473" max="511" width="2.42578125" style="349" customWidth="1"/>
    <col min="512" max="512" width="3.42578125" style="349" bestFit="1" customWidth="1"/>
    <col min="513" max="728" width="9.140625" style="349"/>
    <col min="729" max="767" width="2.42578125" style="349" customWidth="1"/>
    <col min="768" max="768" width="3.42578125" style="349" bestFit="1" customWidth="1"/>
    <col min="769" max="984" width="9.140625" style="349"/>
    <col min="985" max="1023" width="2.42578125" style="349" customWidth="1"/>
    <col min="1024" max="1024" width="3.42578125" style="349" bestFit="1" customWidth="1"/>
    <col min="1025" max="1240" width="9.140625" style="349"/>
    <col min="1241" max="1279" width="2.42578125" style="349" customWidth="1"/>
    <col min="1280" max="1280" width="3.42578125" style="349" bestFit="1" customWidth="1"/>
    <col min="1281" max="1496" width="9.140625" style="349"/>
    <col min="1497" max="1535" width="2.42578125" style="349" customWidth="1"/>
    <col min="1536" max="1536" width="3.42578125" style="349" bestFit="1" customWidth="1"/>
    <col min="1537" max="1752" width="9.140625" style="349"/>
    <col min="1753" max="1791" width="2.42578125" style="349" customWidth="1"/>
    <col min="1792" max="1792" width="3.42578125" style="349" bestFit="1" customWidth="1"/>
    <col min="1793" max="2008" width="9.140625" style="349"/>
    <col min="2009" max="2047" width="2.42578125" style="349" customWidth="1"/>
    <col min="2048" max="2048" width="3.42578125" style="349" bestFit="1" customWidth="1"/>
    <col min="2049" max="2264" width="9.140625" style="349"/>
    <col min="2265" max="2303" width="2.42578125" style="349" customWidth="1"/>
    <col min="2304" max="2304" width="3.42578125" style="349" bestFit="1" customWidth="1"/>
    <col min="2305" max="2520" width="9.140625" style="349"/>
    <col min="2521" max="2559" width="2.42578125" style="349" customWidth="1"/>
    <col min="2560" max="2560" width="3.42578125" style="349" bestFit="1" customWidth="1"/>
    <col min="2561" max="2776" width="9.140625" style="349"/>
    <col min="2777" max="2815" width="2.42578125" style="349" customWidth="1"/>
    <col min="2816" max="2816" width="3.42578125" style="349" bestFit="1" customWidth="1"/>
    <col min="2817" max="3032" width="9.140625" style="349"/>
    <col min="3033" max="3071" width="2.42578125" style="349" customWidth="1"/>
    <col min="3072" max="3072" width="3.42578125" style="349" bestFit="1" customWidth="1"/>
    <col min="3073" max="3288" width="9.140625" style="349"/>
    <col min="3289" max="3327" width="2.42578125" style="349" customWidth="1"/>
    <col min="3328" max="3328" width="3.42578125" style="349" bestFit="1" customWidth="1"/>
    <col min="3329" max="3544" width="9.140625" style="349"/>
    <col min="3545" max="3583" width="2.42578125" style="349" customWidth="1"/>
    <col min="3584" max="3584" width="3.42578125" style="349" bestFit="1" customWidth="1"/>
    <col min="3585" max="3800" width="9.140625" style="349"/>
    <col min="3801" max="3839" width="2.42578125" style="349" customWidth="1"/>
    <col min="3840" max="3840" width="3.42578125" style="349" bestFit="1" customWidth="1"/>
    <col min="3841" max="4056" width="9.140625" style="349"/>
    <col min="4057" max="4095" width="2.42578125" style="349" customWidth="1"/>
    <col min="4096" max="4096" width="3.42578125" style="349" bestFit="1" customWidth="1"/>
    <col min="4097" max="4312" width="9.140625" style="349"/>
    <col min="4313" max="4351" width="2.42578125" style="349" customWidth="1"/>
    <col min="4352" max="4352" width="3.42578125" style="349" bestFit="1" customWidth="1"/>
    <col min="4353" max="4568" width="9.140625" style="349"/>
    <col min="4569" max="4607" width="2.42578125" style="349" customWidth="1"/>
    <col min="4608" max="4608" width="3.42578125" style="349" bestFit="1" customWidth="1"/>
    <col min="4609" max="4824" width="9.140625" style="349"/>
    <col min="4825" max="4863" width="2.42578125" style="349" customWidth="1"/>
    <col min="4864" max="4864" width="3.42578125" style="349" bestFit="1" customWidth="1"/>
    <col min="4865" max="5080" width="9.140625" style="349"/>
    <col min="5081" max="5119" width="2.42578125" style="349" customWidth="1"/>
    <col min="5120" max="5120" width="3.42578125" style="349" bestFit="1" customWidth="1"/>
    <col min="5121" max="5336" width="9.140625" style="349"/>
    <col min="5337" max="5375" width="2.42578125" style="349" customWidth="1"/>
    <col min="5376" max="5376" width="3.42578125" style="349" bestFit="1" customWidth="1"/>
    <col min="5377" max="5592" width="9.140625" style="349"/>
    <col min="5593" max="5631" width="2.42578125" style="349" customWidth="1"/>
    <col min="5632" max="5632" width="3.42578125" style="349" bestFit="1" customWidth="1"/>
    <col min="5633" max="5848" width="9.140625" style="349"/>
    <col min="5849" max="5887" width="2.42578125" style="349" customWidth="1"/>
    <col min="5888" max="5888" width="3.42578125" style="349" bestFit="1" customWidth="1"/>
    <col min="5889" max="6104" width="9.140625" style="349"/>
    <col min="6105" max="6143" width="2.42578125" style="349" customWidth="1"/>
    <col min="6144" max="6144" width="3.42578125" style="349" bestFit="1" customWidth="1"/>
    <col min="6145" max="6360" width="9.140625" style="349"/>
    <col min="6361" max="6399" width="2.42578125" style="349" customWidth="1"/>
    <col min="6400" max="6400" width="3.42578125" style="349" bestFit="1" customWidth="1"/>
    <col min="6401" max="6616" width="9.140625" style="349"/>
    <col min="6617" max="6655" width="2.42578125" style="349" customWidth="1"/>
    <col min="6656" max="6656" width="3.42578125" style="349" bestFit="1" customWidth="1"/>
    <col min="6657" max="6872" width="9.140625" style="349"/>
    <col min="6873" max="6911" width="2.42578125" style="349" customWidth="1"/>
    <col min="6912" max="6912" width="3.42578125" style="349" bestFit="1" customWidth="1"/>
    <col min="6913" max="7128" width="9.140625" style="349"/>
    <col min="7129" max="7167" width="2.42578125" style="349" customWidth="1"/>
    <col min="7168" max="7168" width="3.42578125" style="349" bestFit="1" customWidth="1"/>
    <col min="7169" max="7384" width="9.140625" style="349"/>
    <col min="7385" max="7423" width="2.42578125" style="349" customWidth="1"/>
    <col min="7424" max="7424" width="3.42578125" style="349" bestFit="1" customWidth="1"/>
    <col min="7425" max="7640" width="9.140625" style="349"/>
    <col min="7641" max="7679" width="2.42578125" style="349" customWidth="1"/>
    <col min="7680" max="7680" width="3.42578125" style="349" bestFit="1" customWidth="1"/>
    <col min="7681" max="7896" width="9.140625" style="349"/>
    <col min="7897" max="7935" width="2.42578125" style="349" customWidth="1"/>
    <col min="7936" max="7936" width="3.42578125" style="349" bestFit="1" customWidth="1"/>
    <col min="7937" max="8152" width="9.140625" style="349"/>
    <col min="8153" max="8191" width="2.42578125" style="349" customWidth="1"/>
    <col min="8192" max="8192" width="3.42578125" style="349" bestFit="1" customWidth="1"/>
    <col min="8193" max="8408" width="9.140625" style="349"/>
    <col min="8409" max="8447" width="2.42578125" style="349" customWidth="1"/>
    <col min="8448" max="8448" width="3.42578125" style="349" bestFit="1" customWidth="1"/>
    <col min="8449" max="8664" width="9.140625" style="349"/>
    <col min="8665" max="8703" width="2.42578125" style="349" customWidth="1"/>
    <col min="8704" max="8704" width="3.42578125" style="349" bestFit="1" customWidth="1"/>
    <col min="8705" max="8920" width="9.140625" style="349"/>
    <col min="8921" max="8959" width="2.42578125" style="349" customWidth="1"/>
    <col min="8960" max="8960" width="3.42578125" style="349" bestFit="1" customWidth="1"/>
    <col min="8961" max="9176" width="9.140625" style="349"/>
    <col min="9177" max="9215" width="2.42578125" style="349" customWidth="1"/>
    <col min="9216" max="9216" width="3.42578125" style="349" bestFit="1" customWidth="1"/>
    <col min="9217" max="9432" width="9.140625" style="349"/>
    <col min="9433" max="9471" width="2.42578125" style="349" customWidth="1"/>
    <col min="9472" max="9472" width="3.42578125" style="349" bestFit="1" customWidth="1"/>
    <col min="9473" max="9688" width="9.140625" style="349"/>
    <col min="9689" max="9727" width="2.42578125" style="349" customWidth="1"/>
    <col min="9728" max="9728" width="3.42578125" style="349" bestFit="1" customWidth="1"/>
    <col min="9729" max="9944" width="9.140625" style="349"/>
    <col min="9945" max="9983" width="2.42578125" style="349" customWidth="1"/>
    <col min="9984" max="9984" width="3.42578125" style="349" bestFit="1" customWidth="1"/>
    <col min="9985" max="10200" width="9.140625" style="349"/>
    <col min="10201" max="10239" width="2.42578125" style="349" customWidth="1"/>
    <col min="10240" max="10240" width="3.42578125" style="349" bestFit="1" customWidth="1"/>
    <col min="10241" max="10456" width="9.140625" style="349"/>
    <col min="10457" max="10495" width="2.42578125" style="349" customWidth="1"/>
    <col min="10496" max="10496" width="3.42578125" style="349" bestFit="1" customWidth="1"/>
    <col min="10497" max="10712" width="9.140625" style="349"/>
    <col min="10713" max="10751" width="2.42578125" style="349" customWidth="1"/>
    <col min="10752" max="10752" width="3.42578125" style="349" bestFit="1" customWidth="1"/>
    <col min="10753" max="10968" width="9.140625" style="349"/>
    <col min="10969" max="11007" width="2.42578125" style="349" customWidth="1"/>
    <col min="11008" max="11008" width="3.42578125" style="349" bestFit="1" customWidth="1"/>
    <col min="11009" max="11224" width="9.140625" style="349"/>
    <col min="11225" max="11263" width="2.42578125" style="349" customWidth="1"/>
    <col min="11264" max="11264" width="3.42578125" style="349" bestFit="1" customWidth="1"/>
    <col min="11265" max="11480" width="9.140625" style="349"/>
    <col min="11481" max="11519" width="2.42578125" style="349" customWidth="1"/>
    <col min="11520" max="11520" width="3.42578125" style="349" bestFit="1" customWidth="1"/>
    <col min="11521" max="11736" width="9.140625" style="349"/>
    <col min="11737" max="11775" width="2.42578125" style="349" customWidth="1"/>
    <col min="11776" max="11776" width="3.42578125" style="349" bestFit="1" customWidth="1"/>
    <col min="11777" max="11992" width="9.140625" style="349"/>
    <col min="11993" max="12031" width="2.42578125" style="349" customWidth="1"/>
    <col min="12032" max="12032" width="3.42578125" style="349" bestFit="1" customWidth="1"/>
    <col min="12033" max="12248" width="9.140625" style="349"/>
    <col min="12249" max="12287" width="2.42578125" style="349" customWidth="1"/>
    <col min="12288" max="12288" width="3.42578125" style="349" bestFit="1" customWidth="1"/>
    <col min="12289" max="12504" width="9.140625" style="349"/>
    <col min="12505" max="12543" width="2.42578125" style="349" customWidth="1"/>
    <col min="12544" max="12544" width="3.42578125" style="349" bestFit="1" customWidth="1"/>
    <col min="12545" max="12760" width="9.140625" style="349"/>
    <col min="12761" max="12799" width="2.42578125" style="349" customWidth="1"/>
    <col min="12800" max="12800" width="3.42578125" style="349" bestFit="1" customWidth="1"/>
    <col min="12801" max="13016" width="9.140625" style="349"/>
    <col min="13017" max="13055" width="2.42578125" style="349" customWidth="1"/>
    <col min="13056" max="13056" width="3.42578125" style="349" bestFit="1" customWidth="1"/>
    <col min="13057" max="13272" width="9.140625" style="349"/>
    <col min="13273" max="13311" width="2.42578125" style="349" customWidth="1"/>
    <col min="13312" max="13312" width="3.42578125" style="349" bestFit="1" customWidth="1"/>
    <col min="13313" max="13528" width="9.140625" style="349"/>
    <col min="13529" max="13567" width="2.42578125" style="349" customWidth="1"/>
    <col min="13568" max="13568" width="3.42578125" style="349" bestFit="1" customWidth="1"/>
    <col min="13569" max="13784" width="9.140625" style="349"/>
    <col min="13785" max="13823" width="2.42578125" style="349" customWidth="1"/>
    <col min="13824" max="13824" width="3.42578125" style="349" bestFit="1" customWidth="1"/>
    <col min="13825" max="14040" width="9.140625" style="349"/>
    <col min="14041" max="14079" width="2.42578125" style="349" customWidth="1"/>
    <col min="14080" max="14080" width="3.42578125" style="349" bestFit="1" customWidth="1"/>
    <col min="14081" max="14296" width="9.140625" style="349"/>
    <col min="14297" max="14335" width="2.42578125" style="349" customWidth="1"/>
    <col min="14336" max="14336" width="3.42578125" style="349" bestFit="1" customWidth="1"/>
    <col min="14337" max="14552" width="9.140625" style="349"/>
    <col min="14553" max="14591" width="2.42578125" style="349" customWidth="1"/>
    <col min="14592" max="14592" width="3.42578125" style="349" bestFit="1" customWidth="1"/>
    <col min="14593" max="14808" width="9.140625" style="349"/>
    <col min="14809" max="14847" width="2.42578125" style="349" customWidth="1"/>
    <col min="14848" max="14848" width="3.42578125" style="349" bestFit="1" customWidth="1"/>
    <col min="14849" max="15064" width="9.140625" style="349"/>
    <col min="15065" max="15103" width="2.42578125" style="349" customWidth="1"/>
    <col min="15104" max="15104" width="3.42578125" style="349" bestFit="1" customWidth="1"/>
    <col min="15105" max="15320" width="9.140625" style="349"/>
    <col min="15321" max="15359" width="2.42578125" style="349" customWidth="1"/>
    <col min="15360" max="15360" width="3.42578125" style="349" bestFit="1" customWidth="1"/>
    <col min="15361" max="15576" width="9.140625" style="349"/>
    <col min="15577" max="15615" width="2.42578125" style="349" customWidth="1"/>
    <col min="15616" max="15616" width="3.42578125" style="349" bestFit="1" customWidth="1"/>
    <col min="15617" max="15832" width="9.140625" style="349"/>
    <col min="15833" max="15871" width="2.42578125" style="349" customWidth="1"/>
    <col min="15872" max="15872" width="3.42578125" style="349" bestFit="1" customWidth="1"/>
    <col min="15873" max="16088" width="9.140625" style="349"/>
    <col min="16089" max="16127" width="2.42578125" style="349" customWidth="1"/>
    <col min="16128" max="16128" width="3.42578125" style="349" bestFit="1" customWidth="1"/>
    <col min="16129" max="16384" width="9.140625" style="349"/>
  </cols>
  <sheetData>
    <row r="1" spans="1:40" s="318" customFormat="1" ht="15.75" thickBot="1" x14ac:dyDescent="0.3">
      <c r="A1" s="312" t="s">
        <v>467</v>
      </c>
      <c r="B1" s="313"/>
      <c r="C1" s="314"/>
      <c r="D1" s="314"/>
      <c r="F1" s="319"/>
      <c r="G1" s="320"/>
      <c r="H1" s="320"/>
      <c r="AK1" s="321"/>
      <c r="AL1" s="322"/>
      <c r="AM1" s="314"/>
      <c r="AN1" s="316"/>
    </row>
    <row r="2" spans="1:40" s="318" customFormat="1" ht="15.75" thickBot="1" x14ac:dyDescent="0.3">
      <c r="A2" s="312" t="s">
        <v>468</v>
      </c>
      <c r="B2" s="313"/>
      <c r="C2" s="314"/>
      <c r="D2" s="314"/>
      <c r="F2" s="319"/>
      <c r="G2" s="320"/>
      <c r="H2" s="320"/>
      <c r="AK2" s="321"/>
      <c r="AL2" s="322"/>
      <c r="AM2" s="314"/>
      <c r="AN2" s="316"/>
    </row>
    <row r="3" spans="1:40" s="318" customFormat="1" ht="15.75" thickBot="1" x14ac:dyDescent="0.3">
      <c r="A3" s="312" t="s">
        <v>469</v>
      </c>
      <c r="B3" s="313"/>
      <c r="C3" s="314"/>
      <c r="D3" s="314"/>
      <c r="F3" s="319"/>
      <c r="G3" s="320"/>
      <c r="H3" s="320"/>
      <c r="AK3" s="321"/>
      <c r="AL3" s="322"/>
      <c r="AM3" s="314"/>
      <c r="AN3" s="316"/>
    </row>
    <row r="4" spans="1:40" s="318" customFormat="1" ht="15.75" thickBot="1" x14ac:dyDescent="0.3">
      <c r="A4" s="312" t="s">
        <v>470</v>
      </c>
      <c r="B4" s="313"/>
      <c r="C4" s="314"/>
      <c r="D4" s="314"/>
      <c r="F4" s="319"/>
      <c r="G4" s="320"/>
      <c r="H4" s="320"/>
      <c r="AK4" s="321"/>
      <c r="AL4" s="322"/>
      <c r="AM4" s="314"/>
      <c r="AN4" s="316"/>
    </row>
    <row r="5" spans="1:40" s="318" customFormat="1" ht="15.75" thickBot="1" x14ac:dyDescent="0.3">
      <c r="A5" s="312" t="s">
        <v>471</v>
      </c>
      <c r="B5" s="313"/>
      <c r="C5" s="314"/>
      <c r="D5" s="314"/>
      <c r="F5" s="319"/>
      <c r="G5" s="320"/>
      <c r="H5" s="320"/>
      <c r="AK5" s="321"/>
      <c r="AL5" s="322"/>
      <c r="AM5" s="314"/>
      <c r="AN5" s="316"/>
    </row>
    <row r="6" spans="1:40" x14ac:dyDescent="0.25">
      <c r="A6" s="347" t="s">
        <v>393</v>
      </c>
      <c r="B6" s="348"/>
      <c r="C6" s="348"/>
      <c r="D6" s="348"/>
    </row>
    <row r="7" spans="1:40" ht="36.75" x14ac:dyDescent="0.25">
      <c r="A7" s="477" t="s">
        <v>333</v>
      </c>
      <c r="B7" s="477" t="s">
        <v>334</v>
      </c>
      <c r="C7" s="478" t="s">
        <v>300</v>
      </c>
      <c r="D7" s="478" t="s">
        <v>387</v>
      </c>
      <c r="E7" s="526" t="s">
        <v>640</v>
      </c>
      <c r="F7" s="526" t="s">
        <v>640</v>
      </c>
    </row>
    <row r="8" spans="1:40" x14ac:dyDescent="0.25">
      <c r="A8" s="479" t="s">
        <v>46</v>
      </c>
      <c r="B8" s="480" t="s">
        <v>335</v>
      </c>
      <c r="C8" s="475">
        <f>DESALTER!G9</f>
        <v>0</v>
      </c>
      <c r="D8" s="481">
        <f>DESALTER!H9</f>
        <v>1932650.5</v>
      </c>
      <c r="E8" s="475">
        <f>DESALTER!G13</f>
        <v>0</v>
      </c>
      <c r="F8" s="481">
        <f>DESALTER!H13</f>
        <v>2509000</v>
      </c>
    </row>
    <row r="9" spans="1:40" x14ac:dyDescent="0.25">
      <c r="A9" s="479" t="s">
        <v>49</v>
      </c>
      <c r="B9" s="480" t="s">
        <v>388</v>
      </c>
      <c r="C9" s="475">
        <f>HEATERS!G10</f>
        <v>0</v>
      </c>
      <c r="D9" s="481">
        <f>HEATERS!H10</f>
        <v>3420217</v>
      </c>
      <c r="E9" s="475">
        <f>HEATERS!G14</f>
        <v>0</v>
      </c>
      <c r="F9" s="481">
        <f>HEATERS!H14</f>
        <v>4439000</v>
      </c>
    </row>
    <row r="10" spans="1:40" x14ac:dyDescent="0.25">
      <c r="A10" s="479" t="s">
        <v>52</v>
      </c>
      <c r="B10" s="480" t="s">
        <v>336</v>
      </c>
      <c r="C10" s="475">
        <f>VESSELS!G12</f>
        <v>104016580799.99998</v>
      </c>
      <c r="D10" s="481">
        <f>VESSELS!H12</f>
        <v>0</v>
      </c>
      <c r="E10" s="475">
        <f>VESSELS!G16</f>
        <v>135014000000</v>
      </c>
      <c r="F10" s="481">
        <f>VESSELS!H16</f>
        <v>0</v>
      </c>
    </row>
    <row r="11" spans="1:40" x14ac:dyDescent="0.25">
      <c r="A11" s="479" t="s">
        <v>55</v>
      </c>
      <c r="B11" s="480" t="s">
        <v>337</v>
      </c>
      <c r="C11" s="475">
        <f>TANKS!G10</f>
        <v>608385749999.99988</v>
      </c>
      <c r="D11" s="481">
        <f>TANKS!H10</f>
        <v>0</v>
      </c>
      <c r="E11" s="475">
        <f>TANKS!G14</f>
        <v>789685000000</v>
      </c>
      <c r="F11" s="481">
        <f>TANKS!H14</f>
        <v>0</v>
      </c>
    </row>
    <row r="12" spans="1:40" x14ac:dyDescent="0.25">
      <c r="A12" s="479" t="s">
        <v>45</v>
      </c>
      <c r="B12" s="480" t="s">
        <v>342</v>
      </c>
      <c r="C12" s="475">
        <f>EXCHANG.!G9</f>
        <v>0</v>
      </c>
      <c r="D12" s="481">
        <f>EXCHANG.!H9</f>
        <v>38801.905816859806</v>
      </c>
      <c r="E12" s="475">
        <f>EXCHANG.!G13</f>
        <v>0</v>
      </c>
      <c r="F12" s="481">
        <f>EXCHANG.!H13</f>
        <v>0</v>
      </c>
    </row>
    <row r="13" spans="1:40" x14ac:dyDescent="0.25">
      <c r="A13" s="479" t="s">
        <v>62</v>
      </c>
      <c r="B13" s="480" t="s">
        <v>338</v>
      </c>
      <c r="C13" s="475">
        <f>PUMPS!G29</f>
        <v>4877884615.3846149</v>
      </c>
      <c r="D13" s="481">
        <f>PUMPS!H29</f>
        <v>2753903.8116337196</v>
      </c>
      <c r="E13" s="475">
        <f>PUMPS!G33</f>
        <v>0</v>
      </c>
      <c r="F13" s="481">
        <f>PUMPS!H33</f>
        <v>3474000</v>
      </c>
    </row>
    <row r="14" spans="1:40" x14ac:dyDescent="0.25">
      <c r="A14" s="479" t="s">
        <v>67</v>
      </c>
      <c r="B14" s="480" t="s">
        <v>343</v>
      </c>
      <c r="C14" s="475">
        <f>C.I.P.!G19</f>
        <v>562636746866.66663</v>
      </c>
      <c r="D14" s="481">
        <f>C.I.P.!H19</f>
        <v>0</v>
      </c>
      <c r="E14" s="475">
        <f>C.I.P.!G23</f>
        <v>730302000000</v>
      </c>
      <c r="F14" s="481">
        <f>C.I.P.!H23</f>
        <v>0</v>
      </c>
    </row>
    <row r="15" spans="1:40" x14ac:dyDescent="0.25">
      <c r="A15" s="479" t="s">
        <v>72</v>
      </c>
      <c r="B15" s="480" t="s">
        <v>385</v>
      </c>
      <c r="C15" s="475">
        <f>DEAERATOR!G9</f>
        <v>0</v>
      </c>
      <c r="D15" s="481">
        <f>DEAERATOR!H9</f>
        <v>1850000</v>
      </c>
      <c r="E15" s="475">
        <f>DEAERATOR!G13</f>
        <v>0</v>
      </c>
      <c r="F15" s="481">
        <f>DEAERATOR!H13</f>
        <v>2401000</v>
      </c>
    </row>
    <row r="16" spans="1:40" x14ac:dyDescent="0.25">
      <c r="A16" s="479" t="s">
        <v>77</v>
      </c>
      <c r="B16" s="480" t="s">
        <v>339</v>
      </c>
      <c r="C16" s="475">
        <f>IGF!G9</f>
        <v>0</v>
      </c>
      <c r="D16" s="481">
        <f>IGF!H9</f>
        <v>556479.59183673467</v>
      </c>
      <c r="E16" s="475">
        <f>IGF!G13</f>
        <v>0</v>
      </c>
      <c r="F16" s="481">
        <f>IGF!H13</f>
        <v>722000</v>
      </c>
    </row>
    <row r="17" spans="1:6" x14ac:dyDescent="0.25">
      <c r="A17" s="479" t="s">
        <v>85</v>
      </c>
      <c r="B17" s="480" t="s">
        <v>340</v>
      </c>
      <c r="C17" s="475">
        <f>FILTERS!G10</f>
        <v>16259615384.615383</v>
      </c>
      <c r="D17" s="481">
        <f>FILTERS!H10</f>
        <v>534220.40816326533</v>
      </c>
      <c r="E17" s="475">
        <f>FILTERS!G14</f>
        <v>0</v>
      </c>
      <c r="F17" s="481">
        <f>FILTERS!H14</f>
        <v>693000</v>
      </c>
    </row>
    <row r="18" spans="1:6" x14ac:dyDescent="0.25">
      <c r="A18" s="479" t="s">
        <v>89</v>
      </c>
      <c r="B18" s="480" t="s">
        <v>341</v>
      </c>
      <c r="C18" s="475">
        <f>FLARE!G9</f>
        <v>126196586999.99998</v>
      </c>
      <c r="D18" s="481">
        <f>FLARE!H9</f>
        <v>0</v>
      </c>
      <c r="E18" s="475">
        <f>FLARE!G13</f>
        <v>163803000000</v>
      </c>
      <c r="F18" s="481">
        <f>FLARE!H13</f>
        <v>0</v>
      </c>
    </row>
    <row r="19" spans="1:6" x14ac:dyDescent="0.25">
      <c r="A19" s="479" t="s">
        <v>92</v>
      </c>
      <c r="B19" s="480" t="s">
        <v>391</v>
      </c>
      <c r="C19" s="475">
        <f>'BURN PIT'!G9</f>
        <v>73006289999.999985</v>
      </c>
      <c r="D19" s="481">
        <f>'BURN PIT'!H9</f>
        <v>0</v>
      </c>
      <c r="E19" s="475">
        <f>'BURN PIT'!G13</f>
        <v>94762000000</v>
      </c>
      <c r="F19" s="481">
        <f>'BURN PIT'!H13</f>
        <v>0</v>
      </c>
    </row>
    <row r="20" spans="1:6" x14ac:dyDescent="0.25">
      <c r="A20" s="479" t="s">
        <v>95</v>
      </c>
      <c r="B20" s="480" t="s">
        <v>344</v>
      </c>
      <c r="C20" s="475">
        <f>'AIR COMP.'!G9</f>
        <v>135583109999.99998</v>
      </c>
      <c r="D20" s="481">
        <f>'AIR COMP.'!H9</f>
        <v>0</v>
      </c>
      <c r="E20" s="475">
        <f>'AIR COMP.'!G13</f>
        <v>175987000000</v>
      </c>
      <c r="F20" s="481">
        <f>'AIR COMP.'!H13</f>
        <v>0</v>
      </c>
    </row>
    <row r="21" spans="1:6" x14ac:dyDescent="0.25">
      <c r="A21" s="479" t="s">
        <v>101</v>
      </c>
      <c r="B21" s="480" t="s">
        <v>332</v>
      </c>
      <c r="C21" s="475">
        <f>'AIR DRYER'!G9</f>
        <v>8129807692.3076916</v>
      </c>
      <c r="D21" s="481">
        <f>'AIR DRYER'!H9</f>
        <v>0</v>
      </c>
      <c r="E21" s="475">
        <f>'AIR DRYER'!G13</f>
        <v>0</v>
      </c>
      <c r="F21" s="481">
        <f>'AIR DRYER'!H13</f>
        <v>0</v>
      </c>
    </row>
    <row r="22" spans="1:6" x14ac:dyDescent="0.25">
      <c r="A22" s="479" t="s">
        <v>105</v>
      </c>
      <c r="B22" s="480" t="s">
        <v>345</v>
      </c>
      <c r="C22" s="475">
        <f>CRANES!G14</f>
        <v>135328531500</v>
      </c>
      <c r="D22" s="481">
        <f>CRANES!H14</f>
        <v>0</v>
      </c>
      <c r="E22" s="475">
        <f>CRANES!G18</f>
        <v>175656000000</v>
      </c>
      <c r="F22" s="481">
        <f>CRANES!H18</f>
        <v>0</v>
      </c>
    </row>
    <row r="23" spans="1:6" x14ac:dyDescent="0.25">
      <c r="A23" s="479" t="s">
        <v>108</v>
      </c>
      <c r="B23" s="480" t="s">
        <v>404</v>
      </c>
      <c r="C23" s="475">
        <f>'Lab Equip'!H25</f>
        <v>221000000</v>
      </c>
      <c r="D23" s="481">
        <f>'Lab Equip'!I25</f>
        <v>333000</v>
      </c>
      <c r="E23" s="475">
        <v>0</v>
      </c>
      <c r="F23" s="481">
        <v>0</v>
      </c>
    </row>
    <row r="24" spans="1:6" x14ac:dyDescent="0.25">
      <c r="A24" s="479" t="s">
        <v>111</v>
      </c>
      <c r="B24" s="480" t="s">
        <v>660</v>
      </c>
      <c r="C24" s="475">
        <f>Consumables!$Q$16</f>
        <v>396901000000</v>
      </c>
      <c r="D24" s="481">
        <v>0</v>
      </c>
      <c r="E24" s="475">
        <v>0</v>
      </c>
      <c r="F24" s="481">
        <v>0</v>
      </c>
    </row>
    <row r="25" spans="1:6" x14ac:dyDescent="0.25">
      <c r="A25" s="479" t="s">
        <v>115</v>
      </c>
      <c r="B25" s="480" t="s">
        <v>661</v>
      </c>
      <c r="C25" s="475">
        <f>'Spare parts'!F18</f>
        <v>180072247799.79486</v>
      </c>
      <c r="D25" s="481">
        <f>'Spare parts'!G18</f>
        <v>1758326.1258370546</v>
      </c>
      <c r="E25" s="475">
        <v>0</v>
      </c>
      <c r="F25" s="481">
        <v>0</v>
      </c>
    </row>
    <row r="26" spans="1:6" x14ac:dyDescent="0.25">
      <c r="A26" s="509"/>
      <c r="B26" s="458" t="s">
        <v>542</v>
      </c>
      <c r="C26" s="475">
        <f>SUM(C8:C25)</f>
        <v>2351615151658.769</v>
      </c>
      <c r="D26" s="481">
        <f>SUM(D8:D25)</f>
        <v>13177599.343287632</v>
      </c>
    </row>
    <row r="27" spans="1:6" x14ac:dyDescent="0.25">
      <c r="A27" s="509"/>
      <c r="B27" s="464" t="s">
        <v>543</v>
      </c>
      <c r="C27" s="465">
        <v>1.18</v>
      </c>
      <c r="D27" s="465">
        <v>1.18</v>
      </c>
    </row>
    <row r="28" spans="1:6" x14ac:dyDescent="0.25">
      <c r="A28" s="509"/>
      <c r="B28" s="464" t="s">
        <v>544</v>
      </c>
      <c r="C28" s="466">
        <v>0.1</v>
      </c>
      <c r="D28" s="466">
        <v>0.1</v>
      </c>
    </row>
    <row r="29" spans="1:6" x14ac:dyDescent="0.25">
      <c r="A29" s="509"/>
      <c r="B29" s="467" t="s">
        <v>545</v>
      </c>
      <c r="C29" s="468">
        <f>ROUND((C26*C27*(1+C28))/1000000,0)*1000000</f>
        <v>3052396000000</v>
      </c>
      <c r="D29" s="469">
        <f>ROUND(D26*D27*(1+D28)/1000,0)*1000</f>
        <v>17105000</v>
      </c>
      <c r="E29" s="486">
        <f>SUM(E8:E25)</f>
        <v>2265209000000</v>
      </c>
      <c r="F29" s="487">
        <f>SUM(F8:F25)</f>
        <v>14238000</v>
      </c>
    </row>
    <row r="30" spans="1:6" x14ac:dyDescent="0.25">
      <c r="A30" s="366"/>
      <c r="B30" s="403"/>
      <c r="C30" s="404"/>
      <c r="D30" s="405"/>
    </row>
    <row r="31" spans="1:6" x14ac:dyDescent="0.25">
      <c r="A31" s="366"/>
      <c r="B31" s="403"/>
      <c r="C31" s="404"/>
      <c r="D31" s="405"/>
    </row>
    <row r="32" spans="1:6" x14ac:dyDescent="0.25">
      <c r="A32" s="366"/>
      <c r="B32" s="403"/>
      <c r="C32" s="404"/>
      <c r="D32" s="405"/>
    </row>
    <row r="33" spans="1:4" x14ac:dyDescent="0.25">
      <c r="A33" s="366"/>
      <c r="B33" s="403"/>
      <c r="C33" s="404"/>
      <c r="D33" s="405"/>
    </row>
    <row r="34" spans="1:4" x14ac:dyDescent="0.25">
      <c r="A34" s="366"/>
      <c r="B34" s="403"/>
      <c r="C34" s="404"/>
      <c r="D34" s="405"/>
    </row>
    <row r="35" spans="1:4" x14ac:dyDescent="0.25">
      <c r="A35" s="366"/>
      <c r="B35" s="403"/>
      <c r="C35" s="404"/>
      <c r="D35" s="405"/>
    </row>
    <row r="36" spans="1:4" x14ac:dyDescent="0.25">
      <c r="A36" s="366"/>
      <c r="B36" s="403"/>
      <c r="C36" s="404"/>
      <c r="D36" s="405"/>
    </row>
    <row r="37" spans="1:4" x14ac:dyDescent="0.25">
      <c r="A37" s="368"/>
      <c r="B37" s="406"/>
      <c r="C37" s="370"/>
      <c r="D37" s="370"/>
    </row>
    <row r="38" spans="1:4" x14ac:dyDescent="0.25">
      <c r="A38" s="368"/>
      <c r="B38" s="406"/>
      <c r="C38" s="370"/>
      <c r="D38" s="370"/>
    </row>
    <row r="39" spans="1:4" ht="15.75" thickBot="1" x14ac:dyDescent="0.3">
      <c r="A39" s="371"/>
      <c r="B39" s="407"/>
      <c r="C39" s="372"/>
      <c r="D39" s="372"/>
    </row>
  </sheetData>
  <dataValidations disablePrompts="1" count="1">
    <dataValidation type="list" allowBlank="1" showInputMessage="1" showErrorMessage="1" sqref="WBB983059:WBC983062 IS65555:IT65558 SO65555:SP65558 ACK65555:ACL65558 AMG65555:AMH65558 AWC65555:AWD65558 BFY65555:BFZ65558 BPU65555:BPV65558 BZQ65555:BZR65558 CJM65555:CJN65558 CTI65555:CTJ65558 DDE65555:DDF65558 DNA65555:DNB65558 DWW65555:DWX65558 EGS65555:EGT65558 EQO65555:EQP65558 FAK65555:FAL65558 FKG65555:FKH65558 FUC65555:FUD65558 GDY65555:GDZ65558 GNU65555:GNV65558 GXQ65555:GXR65558 HHM65555:HHN65558 HRI65555:HRJ65558 IBE65555:IBF65558 ILA65555:ILB65558 IUW65555:IUX65558 JES65555:JET65558 JOO65555:JOP65558 JYK65555:JYL65558 KIG65555:KIH65558 KSC65555:KSD65558 LBY65555:LBZ65558 LLU65555:LLV65558 LVQ65555:LVR65558 MFM65555:MFN65558 MPI65555:MPJ65558 MZE65555:MZF65558 NJA65555:NJB65558 NSW65555:NSX65558 OCS65555:OCT65558 OMO65555:OMP65558 OWK65555:OWL65558 PGG65555:PGH65558 PQC65555:PQD65558 PZY65555:PZZ65558 QJU65555:QJV65558 QTQ65555:QTR65558 RDM65555:RDN65558 RNI65555:RNJ65558 RXE65555:RXF65558 SHA65555:SHB65558 SQW65555:SQX65558 TAS65555:TAT65558 TKO65555:TKP65558 TUK65555:TUL65558 UEG65555:UEH65558 UOC65555:UOD65558 UXY65555:UXZ65558 VHU65555:VHV65558 VRQ65555:VRR65558 WBM65555:WBN65558 WLI65555:WLJ65558 WVE65555:WVF65558 IS131091:IT131094 SO131091:SP131094 ACK131091:ACL131094 AMG131091:AMH131094 AWC131091:AWD131094 BFY131091:BFZ131094 BPU131091:BPV131094 BZQ131091:BZR131094 CJM131091:CJN131094 CTI131091:CTJ131094 DDE131091:DDF131094 DNA131091:DNB131094 DWW131091:DWX131094 EGS131091:EGT131094 EQO131091:EQP131094 FAK131091:FAL131094 FKG131091:FKH131094 FUC131091:FUD131094 GDY131091:GDZ131094 GNU131091:GNV131094 GXQ131091:GXR131094 HHM131091:HHN131094 HRI131091:HRJ131094 IBE131091:IBF131094 ILA131091:ILB131094 IUW131091:IUX131094 JES131091:JET131094 JOO131091:JOP131094 JYK131091:JYL131094 KIG131091:KIH131094 KSC131091:KSD131094 LBY131091:LBZ131094 LLU131091:LLV131094 LVQ131091:LVR131094 MFM131091:MFN131094 MPI131091:MPJ131094 MZE131091:MZF131094 NJA131091:NJB131094 NSW131091:NSX131094 OCS131091:OCT131094 OMO131091:OMP131094 OWK131091:OWL131094 PGG131091:PGH131094 PQC131091:PQD131094 PZY131091:PZZ131094 QJU131091:QJV131094 QTQ131091:QTR131094 RDM131091:RDN131094 RNI131091:RNJ131094 RXE131091:RXF131094 SHA131091:SHB131094 SQW131091:SQX131094 TAS131091:TAT131094 TKO131091:TKP131094 TUK131091:TUL131094 UEG131091:UEH131094 UOC131091:UOD131094 UXY131091:UXZ131094 VHU131091:VHV131094 VRQ131091:VRR131094 WBM131091:WBN131094 WLI131091:WLJ131094 WVE131091:WVF131094 IS196627:IT196630 SO196627:SP196630 ACK196627:ACL196630 AMG196627:AMH196630 AWC196627:AWD196630 BFY196627:BFZ196630 BPU196627:BPV196630 BZQ196627:BZR196630 CJM196627:CJN196630 CTI196627:CTJ196630 DDE196627:DDF196630 DNA196627:DNB196630 DWW196627:DWX196630 EGS196627:EGT196630 EQO196627:EQP196630 FAK196627:FAL196630 FKG196627:FKH196630 FUC196627:FUD196630 GDY196627:GDZ196630 GNU196627:GNV196630 GXQ196627:GXR196630 HHM196627:HHN196630 HRI196627:HRJ196630 IBE196627:IBF196630 ILA196627:ILB196630 IUW196627:IUX196630 JES196627:JET196630 JOO196627:JOP196630 JYK196627:JYL196630 KIG196627:KIH196630 KSC196627:KSD196630 LBY196627:LBZ196630 LLU196627:LLV196630 LVQ196627:LVR196630 MFM196627:MFN196630 MPI196627:MPJ196630 MZE196627:MZF196630 NJA196627:NJB196630 NSW196627:NSX196630 OCS196627:OCT196630 OMO196627:OMP196630 OWK196627:OWL196630 PGG196627:PGH196630 PQC196627:PQD196630 PZY196627:PZZ196630 QJU196627:QJV196630 QTQ196627:QTR196630 RDM196627:RDN196630 RNI196627:RNJ196630 RXE196627:RXF196630 SHA196627:SHB196630 SQW196627:SQX196630 TAS196627:TAT196630 TKO196627:TKP196630 TUK196627:TUL196630 UEG196627:UEH196630 UOC196627:UOD196630 UXY196627:UXZ196630 VHU196627:VHV196630 VRQ196627:VRR196630 WBM196627:WBN196630 WLI196627:WLJ196630 WVE196627:WVF196630 IS262163:IT262166 SO262163:SP262166 ACK262163:ACL262166 AMG262163:AMH262166 AWC262163:AWD262166 BFY262163:BFZ262166 BPU262163:BPV262166 BZQ262163:BZR262166 CJM262163:CJN262166 CTI262163:CTJ262166 DDE262163:DDF262166 DNA262163:DNB262166 DWW262163:DWX262166 EGS262163:EGT262166 EQO262163:EQP262166 FAK262163:FAL262166 FKG262163:FKH262166 FUC262163:FUD262166 GDY262163:GDZ262166 GNU262163:GNV262166 GXQ262163:GXR262166 HHM262163:HHN262166 HRI262163:HRJ262166 IBE262163:IBF262166 ILA262163:ILB262166 IUW262163:IUX262166 JES262163:JET262166 JOO262163:JOP262166 JYK262163:JYL262166 KIG262163:KIH262166 KSC262163:KSD262166 LBY262163:LBZ262166 LLU262163:LLV262166 LVQ262163:LVR262166 MFM262163:MFN262166 MPI262163:MPJ262166 MZE262163:MZF262166 NJA262163:NJB262166 NSW262163:NSX262166 OCS262163:OCT262166 OMO262163:OMP262166 OWK262163:OWL262166 PGG262163:PGH262166 PQC262163:PQD262166 PZY262163:PZZ262166 QJU262163:QJV262166 QTQ262163:QTR262166 RDM262163:RDN262166 RNI262163:RNJ262166 RXE262163:RXF262166 SHA262163:SHB262166 SQW262163:SQX262166 TAS262163:TAT262166 TKO262163:TKP262166 TUK262163:TUL262166 UEG262163:UEH262166 UOC262163:UOD262166 UXY262163:UXZ262166 VHU262163:VHV262166 VRQ262163:VRR262166 WBM262163:WBN262166 WLI262163:WLJ262166 WVE262163:WVF262166 IS327699:IT327702 SO327699:SP327702 ACK327699:ACL327702 AMG327699:AMH327702 AWC327699:AWD327702 BFY327699:BFZ327702 BPU327699:BPV327702 BZQ327699:BZR327702 CJM327699:CJN327702 CTI327699:CTJ327702 DDE327699:DDF327702 DNA327699:DNB327702 DWW327699:DWX327702 EGS327699:EGT327702 EQO327699:EQP327702 FAK327699:FAL327702 FKG327699:FKH327702 FUC327699:FUD327702 GDY327699:GDZ327702 GNU327699:GNV327702 GXQ327699:GXR327702 HHM327699:HHN327702 HRI327699:HRJ327702 IBE327699:IBF327702 ILA327699:ILB327702 IUW327699:IUX327702 JES327699:JET327702 JOO327699:JOP327702 JYK327699:JYL327702 KIG327699:KIH327702 KSC327699:KSD327702 LBY327699:LBZ327702 LLU327699:LLV327702 LVQ327699:LVR327702 MFM327699:MFN327702 MPI327699:MPJ327702 MZE327699:MZF327702 NJA327699:NJB327702 NSW327699:NSX327702 OCS327699:OCT327702 OMO327699:OMP327702 OWK327699:OWL327702 PGG327699:PGH327702 PQC327699:PQD327702 PZY327699:PZZ327702 QJU327699:QJV327702 QTQ327699:QTR327702 RDM327699:RDN327702 RNI327699:RNJ327702 RXE327699:RXF327702 SHA327699:SHB327702 SQW327699:SQX327702 TAS327699:TAT327702 TKO327699:TKP327702 TUK327699:TUL327702 UEG327699:UEH327702 UOC327699:UOD327702 UXY327699:UXZ327702 VHU327699:VHV327702 VRQ327699:VRR327702 WBM327699:WBN327702 WLI327699:WLJ327702 WVE327699:WVF327702 IS393235:IT393238 SO393235:SP393238 ACK393235:ACL393238 AMG393235:AMH393238 AWC393235:AWD393238 BFY393235:BFZ393238 BPU393235:BPV393238 BZQ393235:BZR393238 CJM393235:CJN393238 CTI393235:CTJ393238 DDE393235:DDF393238 DNA393235:DNB393238 DWW393235:DWX393238 EGS393235:EGT393238 EQO393235:EQP393238 FAK393235:FAL393238 FKG393235:FKH393238 FUC393235:FUD393238 GDY393235:GDZ393238 GNU393235:GNV393238 GXQ393235:GXR393238 HHM393235:HHN393238 HRI393235:HRJ393238 IBE393235:IBF393238 ILA393235:ILB393238 IUW393235:IUX393238 JES393235:JET393238 JOO393235:JOP393238 JYK393235:JYL393238 KIG393235:KIH393238 KSC393235:KSD393238 LBY393235:LBZ393238 LLU393235:LLV393238 LVQ393235:LVR393238 MFM393235:MFN393238 MPI393235:MPJ393238 MZE393235:MZF393238 NJA393235:NJB393238 NSW393235:NSX393238 OCS393235:OCT393238 OMO393235:OMP393238 OWK393235:OWL393238 PGG393235:PGH393238 PQC393235:PQD393238 PZY393235:PZZ393238 QJU393235:QJV393238 QTQ393235:QTR393238 RDM393235:RDN393238 RNI393235:RNJ393238 RXE393235:RXF393238 SHA393235:SHB393238 SQW393235:SQX393238 TAS393235:TAT393238 TKO393235:TKP393238 TUK393235:TUL393238 UEG393235:UEH393238 UOC393235:UOD393238 UXY393235:UXZ393238 VHU393235:VHV393238 VRQ393235:VRR393238 WBM393235:WBN393238 WLI393235:WLJ393238 WVE393235:WVF393238 IS458771:IT458774 SO458771:SP458774 ACK458771:ACL458774 AMG458771:AMH458774 AWC458771:AWD458774 BFY458771:BFZ458774 BPU458771:BPV458774 BZQ458771:BZR458774 CJM458771:CJN458774 CTI458771:CTJ458774 DDE458771:DDF458774 DNA458771:DNB458774 DWW458771:DWX458774 EGS458771:EGT458774 EQO458771:EQP458774 FAK458771:FAL458774 FKG458771:FKH458774 FUC458771:FUD458774 GDY458771:GDZ458774 GNU458771:GNV458774 GXQ458771:GXR458774 HHM458771:HHN458774 HRI458771:HRJ458774 IBE458771:IBF458774 ILA458771:ILB458774 IUW458771:IUX458774 JES458771:JET458774 JOO458771:JOP458774 JYK458771:JYL458774 KIG458771:KIH458774 KSC458771:KSD458774 LBY458771:LBZ458774 LLU458771:LLV458774 LVQ458771:LVR458774 MFM458771:MFN458774 MPI458771:MPJ458774 MZE458771:MZF458774 NJA458771:NJB458774 NSW458771:NSX458774 OCS458771:OCT458774 OMO458771:OMP458774 OWK458771:OWL458774 PGG458771:PGH458774 PQC458771:PQD458774 PZY458771:PZZ458774 QJU458771:QJV458774 QTQ458771:QTR458774 RDM458771:RDN458774 RNI458771:RNJ458774 RXE458771:RXF458774 SHA458771:SHB458774 SQW458771:SQX458774 TAS458771:TAT458774 TKO458771:TKP458774 TUK458771:TUL458774 UEG458771:UEH458774 UOC458771:UOD458774 UXY458771:UXZ458774 VHU458771:VHV458774 VRQ458771:VRR458774 WBM458771:WBN458774 WLI458771:WLJ458774 WVE458771:WVF458774 IS524307:IT524310 SO524307:SP524310 ACK524307:ACL524310 AMG524307:AMH524310 AWC524307:AWD524310 BFY524307:BFZ524310 BPU524307:BPV524310 BZQ524307:BZR524310 CJM524307:CJN524310 CTI524307:CTJ524310 DDE524307:DDF524310 DNA524307:DNB524310 DWW524307:DWX524310 EGS524307:EGT524310 EQO524307:EQP524310 FAK524307:FAL524310 FKG524307:FKH524310 FUC524307:FUD524310 GDY524307:GDZ524310 GNU524307:GNV524310 GXQ524307:GXR524310 HHM524307:HHN524310 HRI524307:HRJ524310 IBE524307:IBF524310 ILA524307:ILB524310 IUW524307:IUX524310 JES524307:JET524310 JOO524307:JOP524310 JYK524307:JYL524310 KIG524307:KIH524310 KSC524307:KSD524310 LBY524307:LBZ524310 LLU524307:LLV524310 LVQ524307:LVR524310 MFM524307:MFN524310 MPI524307:MPJ524310 MZE524307:MZF524310 NJA524307:NJB524310 NSW524307:NSX524310 OCS524307:OCT524310 OMO524307:OMP524310 OWK524307:OWL524310 PGG524307:PGH524310 PQC524307:PQD524310 PZY524307:PZZ524310 QJU524307:QJV524310 QTQ524307:QTR524310 RDM524307:RDN524310 RNI524307:RNJ524310 RXE524307:RXF524310 SHA524307:SHB524310 SQW524307:SQX524310 TAS524307:TAT524310 TKO524307:TKP524310 TUK524307:TUL524310 UEG524307:UEH524310 UOC524307:UOD524310 UXY524307:UXZ524310 VHU524307:VHV524310 VRQ524307:VRR524310 WBM524307:WBN524310 WLI524307:WLJ524310 WVE524307:WVF524310 IS589843:IT589846 SO589843:SP589846 ACK589843:ACL589846 AMG589843:AMH589846 AWC589843:AWD589846 BFY589843:BFZ589846 BPU589843:BPV589846 BZQ589843:BZR589846 CJM589843:CJN589846 CTI589843:CTJ589846 DDE589843:DDF589846 DNA589843:DNB589846 DWW589843:DWX589846 EGS589843:EGT589846 EQO589843:EQP589846 FAK589843:FAL589846 FKG589843:FKH589846 FUC589843:FUD589846 GDY589843:GDZ589846 GNU589843:GNV589846 GXQ589843:GXR589846 HHM589843:HHN589846 HRI589843:HRJ589846 IBE589843:IBF589846 ILA589843:ILB589846 IUW589843:IUX589846 JES589843:JET589846 JOO589843:JOP589846 JYK589843:JYL589846 KIG589843:KIH589846 KSC589843:KSD589846 LBY589843:LBZ589846 LLU589843:LLV589846 LVQ589843:LVR589846 MFM589843:MFN589846 MPI589843:MPJ589846 MZE589843:MZF589846 NJA589843:NJB589846 NSW589843:NSX589846 OCS589843:OCT589846 OMO589843:OMP589846 OWK589843:OWL589846 PGG589843:PGH589846 PQC589843:PQD589846 PZY589843:PZZ589846 QJU589843:QJV589846 QTQ589843:QTR589846 RDM589843:RDN589846 RNI589843:RNJ589846 RXE589843:RXF589846 SHA589843:SHB589846 SQW589843:SQX589846 TAS589843:TAT589846 TKO589843:TKP589846 TUK589843:TUL589846 UEG589843:UEH589846 UOC589843:UOD589846 UXY589843:UXZ589846 VHU589843:VHV589846 VRQ589843:VRR589846 WBM589843:WBN589846 WLI589843:WLJ589846 WVE589843:WVF589846 IS655379:IT655382 SO655379:SP655382 ACK655379:ACL655382 AMG655379:AMH655382 AWC655379:AWD655382 BFY655379:BFZ655382 BPU655379:BPV655382 BZQ655379:BZR655382 CJM655379:CJN655382 CTI655379:CTJ655382 DDE655379:DDF655382 DNA655379:DNB655382 DWW655379:DWX655382 EGS655379:EGT655382 EQO655379:EQP655382 FAK655379:FAL655382 FKG655379:FKH655382 FUC655379:FUD655382 GDY655379:GDZ655382 GNU655379:GNV655382 GXQ655379:GXR655382 HHM655379:HHN655382 HRI655379:HRJ655382 IBE655379:IBF655382 ILA655379:ILB655382 IUW655379:IUX655382 JES655379:JET655382 JOO655379:JOP655382 JYK655379:JYL655382 KIG655379:KIH655382 KSC655379:KSD655382 LBY655379:LBZ655382 LLU655379:LLV655382 LVQ655379:LVR655382 MFM655379:MFN655382 MPI655379:MPJ655382 MZE655379:MZF655382 NJA655379:NJB655382 NSW655379:NSX655382 OCS655379:OCT655382 OMO655379:OMP655382 OWK655379:OWL655382 PGG655379:PGH655382 PQC655379:PQD655382 PZY655379:PZZ655382 QJU655379:QJV655382 QTQ655379:QTR655382 RDM655379:RDN655382 RNI655379:RNJ655382 RXE655379:RXF655382 SHA655379:SHB655382 SQW655379:SQX655382 TAS655379:TAT655382 TKO655379:TKP655382 TUK655379:TUL655382 UEG655379:UEH655382 UOC655379:UOD655382 UXY655379:UXZ655382 VHU655379:VHV655382 VRQ655379:VRR655382 WBM655379:WBN655382 WLI655379:WLJ655382 WVE655379:WVF655382 IS720915:IT720918 SO720915:SP720918 ACK720915:ACL720918 AMG720915:AMH720918 AWC720915:AWD720918 BFY720915:BFZ720918 BPU720915:BPV720918 BZQ720915:BZR720918 CJM720915:CJN720918 CTI720915:CTJ720918 DDE720915:DDF720918 DNA720915:DNB720918 DWW720915:DWX720918 EGS720915:EGT720918 EQO720915:EQP720918 FAK720915:FAL720918 FKG720915:FKH720918 FUC720915:FUD720918 GDY720915:GDZ720918 GNU720915:GNV720918 GXQ720915:GXR720918 HHM720915:HHN720918 HRI720915:HRJ720918 IBE720915:IBF720918 ILA720915:ILB720918 IUW720915:IUX720918 JES720915:JET720918 JOO720915:JOP720918 JYK720915:JYL720918 KIG720915:KIH720918 KSC720915:KSD720918 LBY720915:LBZ720918 LLU720915:LLV720918 LVQ720915:LVR720918 MFM720915:MFN720918 MPI720915:MPJ720918 MZE720915:MZF720918 NJA720915:NJB720918 NSW720915:NSX720918 OCS720915:OCT720918 OMO720915:OMP720918 OWK720915:OWL720918 PGG720915:PGH720918 PQC720915:PQD720918 PZY720915:PZZ720918 QJU720915:QJV720918 QTQ720915:QTR720918 RDM720915:RDN720918 RNI720915:RNJ720918 RXE720915:RXF720918 SHA720915:SHB720918 SQW720915:SQX720918 TAS720915:TAT720918 TKO720915:TKP720918 TUK720915:TUL720918 UEG720915:UEH720918 UOC720915:UOD720918 UXY720915:UXZ720918 VHU720915:VHV720918 VRQ720915:VRR720918 WBM720915:WBN720918 WLI720915:WLJ720918 WVE720915:WVF720918 IS786451:IT786454 SO786451:SP786454 ACK786451:ACL786454 AMG786451:AMH786454 AWC786451:AWD786454 BFY786451:BFZ786454 BPU786451:BPV786454 BZQ786451:BZR786454 CJM786451:CJN786454 CTI786451:CTJ786454 DDE786451:DDF786454 DNA786451:DNB786454 DWW786451:DWX786454 EGS786451:EGT786454 EQO786451:EQP786454 FAK786451:FAL786454 FKG786451:FKH786454 FUC786451:FUD786454 GDY786451:GDZ786454 GNU786451:GNV786454 GXQ786451:GXR786454 HHM786451:HHN786454 HRI786451:HRJ786454 IBE786451:IBF786454 ILA786451:ILB786454 IUW786451:IUX786454 JES786451:JET786454 JOO786451:JOP786454 JYK786451:JYL786454 KIG786451:KIH786454 KSC786451:KSD786454 LBY786451:LBZ786454 LLU786451:LLV786454 LVQ786451:LVR786454 MFM786451:MFN786454 MPI786451:MPJ786454 MZE786451:MZF786454 NJA786451:NJB786454 NSW786451:NSX786454 OCS786451:OCT786454 OMO786451:OMP786454 OWK786451:OWL786454 PGG786451:PGH786454 PQC786451:PQD786454 PZY786451:PZZ786454 QJU786451:QJV786454 QTQ786451:QTR786454 RDM786451:RDN786454 RNI786451:RNJ786454 RXE786451:RXF786454 SHA786451:SHB786454 SQW786451:SQX786454 TAS786451:TAT786454 TKO786451:TKP786454 TUK786451:TUL786454 UEG786451:UEH786454 UOC786451:UOD786454 UXY786451:UXZ786454 VHU786451:VHV786454 VRQ786451:VRR786454 WBM786451:WBN786454 WLI786451:WLJ786454 WVE786451:WVF786454 IS851987:IT851990 SO851987:SP851990 ACK851987:ACL851990 AMG851987:AMH851990 AWC851987:AWD851990 BFY851987:BFZ851990 BPU851987:BPV851990 BZQ851987:BZR851990 CJM851987:CJN851990 CTI851987:CTJ851990 DDE851987:DDF851990 DNA851987:DNB851990 DWW851987:DWX851990 EGS851987:EGT851990 EQO851987:EQP851990 FAK851987:FAL851990 FKG851987:FKH851990 FUC851987:FUD851990 GDY851987:GDZ851990 GNU851987:GNV851990 GXQ851987:GXR851990 HHM851987:HHN851990 HRI851987:HRJ851990 IBE851987:IBF851990 ILA851987:ILB851990 IUW851987:IUX851990 JES851987:JET851990 JOO851987:JOP851990 JYK851987:JYL851990 KIG851987:KIH851990 KSC851987:KSD851990 LBY851987:LBZ851990 LLU851987:LLV851990 LVQ851987:LVR851990 MFM851987:MFN851990 MPI851987:MPJ851990 MZE851987:MZF851990 NJA851987:NJB851990 NSW851987:NSX851990 OCS851987:OCT851990 OMO851987:OMP851990 OWK851987:OWL851990 PGG851987:PGH851990 PQC851987:PQD851990 PZY851987:PZZ851990 QJU851987:QJV851990 QTQ851987:QTR851990 RDM851987:RDN851990 RNI851987:RNJ851990 RXE851987:RXF851990 SHA851987:SHB851990 SQW851987:SQX851990 TAS851987:TAT851990 TKO851987:TKP851990 TUK851987:TUL851990 UEG851987:UEH851990 UOC851987:UOD851990 UXY851987:UXZ851990 VHU851987:VHV851990 VRQ851987:VRR851990 WBM851987:WBN851990 WLI851987:WLJ851990 WVE851987:WVF851990 IS917523:IT917526 SO917523:SP917526 ACK917523:ACL917526 AMG917523:AMH917526 AWC917523:AWD917526 BFY917523:BFZ917526 BPU917523:BPV917526 BZQ917523:BZR917526 CJM917523:CJN917526 CTI917523:CTJ917526 DDE917523:DDF917526 DNA917523:DNB917526 DWW917523:DWX917526 EGS917523:EGT917526 EQO917523:EQP917526 FAK917523:FAL917526 FKG917523:FKH917526 FUC917523:FUD917526 GDY917523:GDZ917526 GNU917523:GNV917526 GXQ917523:GXR917526 HHM917523:HHN917526 HRI917523:HRJ917526 IBE917523:IBF917526 ILA917523:ILB917526 IUW917523:IUX917526 JES917523:JET917526 JOO917523:JOP917526 JYK917523:JYL917526 KIG917523:KIH917526 KSC917523:KSD917526 LBY917523:LBZ917526 LLU917523:LLV917526 LVQ917523:LVR917526 MFM917523:MFN917526 MPI917523:MPJ917526 MZE917523:MZF917526 NJA917523:NJB917526 NSW917523:NSX917526 OCS917523:OCT917526 OMO917523:OMP917526 OWK917523:OWL917526 PGG917523:PGH917526 PQC917523:PQD917526 PZY917523:PZZ917526 QJU917523:QJV917526 QTQ917523:QTR917526 RDM917523:RDN917526 RNI917523:RNJ917526 RXE917523:RXF917526 SHA917523:SHB917526 SQW917523:SQX917526 TAS917523:TAT917526 TKO917523:TKP917526 TUK917523:TUL917526 UEG917523:UEH917526 UOC917523:UOD917526 UXY917523:UXZ917526 VHU917523:VHV917526 VRQ917523:VRR917526 WBM917523:WBN917526 WLI917523:WLJ917526 WVE917523:WVF917526 IS983059:IT983062 SO983059:SP983062 ACK983059:ACL983062 AMG983059:AMH983062 AWC983059:AWD983062 BFY983059:BFZ983062 BPU983059:BPV983062 BZQ983059:BZR983062 CJM983059:CJN983062 CTI983059:CTJ983062 DDE983059:DDF983062 DNA983059:DNB983062 DWW983059:DWX983062 EGS983059:EGT983062 EQO983059:EQP983062 FAK983059:FAL983062 FKG983059:FKH983062 FUC983059:FUD983062 GDY983059:GDZ983062 GNU983059:GNV983062 GXQ983059:GXR983062 HHM983059:HHN983062 HRI983059:HRJ983062 IBE983059:IBF983062 ILA983059:ILB983062 IUW983059:IUX983062 JES983059:JET983062 JOO983059:JOP983062 JYK983059:JYL983062 KIG983059:KIH983062 KSC983059:KSD983062 LBY983059:LBZ983062 LLU983059:LLV983062 LVQ983059:LVR983062 MFM983059:MFN983062 MPI983059:MPJ983062 MZE983059:MZF983062 NJA983059:NJB983062 NSW983059:NSX983062 OCS983059:OCT983062 OMO983059:OMP983062 OWK983059:OWL983062 PGG983059:PGH983062 PQC983059:PQD983062 PZY983059:PZZ983062 QJU983059:QJV983062 QTQ983059:QTR983062 RDM983059:RDN983062 RNI983059:RNJ983062 RXE983059:RXF983062 SHA983059:SHB983062 SQW983059:SQX983062 TAS983059:TAT983062 TKO983059:TKP983062 TUK983059:TUL983062 UEG983059:UEH983062 UOC983059:UOD983062 UXY983059:UXZ983062 VHU983059:VHV983062 VRQ983059:VRR983062 WBM983059:WBN983062 WLI983059:WLJ983062 WVE983059:WVF983062 WKX983059:WKY983062 HW65555:HX65558 RS65555:RT65558 ABO65555:ABP65558 ALK65555:ALL65558 AVG65555:AVH65558 BFC65555:BFD65558 BOY65555:BOZ65558 BYU65555:BYV65558 CIQ65555:CIR65558 CSM65555:CSN65558 DCI65555:DCJ65558 DME65555:DMF65558 DWA65555:DWB65558 EFW65555:EFX65558 EPS65555:EPT65558 EZO65555:EZP65558 FJK65555:FJL65558 FTG65555:FTH65558 GDC65555:GDD65558 GMY65555:GMZ65558 GWU65555:GWV65558 HGQ65555:HGR65558 HQM65555:HQN65558 IAI65555:IAJ65558 IKE65555:IKF65558 IUA65555:IUB65558 JDW65555:JDX65558 JNS65555:JNT65558 JXO65555:JXP65558 KHK65555:KHL65558 KRG65555:KRH65558 LBC65555:LBD65558 LKY65555:LKZ65558 LUU65555:LUV65558 MEQ65555:MER65558 MOM65555:MON65558 MYI65555:MYJ65558 NIE65555:NIF65558 NSA65555:NSB65558 OBW65555:OBX65558 OLS65555:OLT65558 OVO65555:OVP65558 PFK65555:PFL65558 PPG65555:PPH65558 PZC65555:PZD65558 QIY65555:QIZ65558 QSU65555:QSV65558 RCQ65555:RCR65558 RMM65555:RMN65558 RWI65555:RWJ65558 SGE65555:SGF65558 SQA65555:SQB65558 SZW65555:SZX65558 TJS65555:TJT65558 TTO65555:TTP65558 UDK65555:UDL65558 UNG65555:UNH65558 UXC65555:UXD65558 VGY65555:VGZ65558 VQU65555:VQV65558 WAQ65555:WAR65558 WKM65555:WKN65558 WUI65555:WUJ65558 HW131091:HX131094 RS131091:RT131094 ABO131091:ABP131094 ALK131091:ALL131094 AVG131091:AVH131094 BFC131091:BFD131094 BOY131091:BOZ131094 BYU131091:BYV131094 CIQ131091:CIR131094 CSM131091:CSN131094 DCI131091:DCJ131094 DME131091:DMF131094 DWA131091:DWB131094 EFW131091:EFX131094 EPS131091:EPT131094 EZO131091:EZP131094 FJK131091:FJL131094 FTG131091:FTH131094 GDC131091:GDD131094 GMY131091:GMZ131094 GWU131091:GWV131094 HGQ131091:HGR131094 HQM131091:HQN131094 IAI131091:IAJ131094 IKE131091:IKF131094 IUA131091:IUB131094 JDW131091:JDX131094 JNS131091:JNT131094 JXO131091:JXP131094 KHK131091:KHL131094 KRG131091:KRH131094 LBC131091:LBD131094 LKY131091:LKZ131094 LUU131091:LUV131094 MEQ131091:MER131094 MOM131091:MON131094 MYI131091:MYJ131094 NIE131091:NIF131094 NSA131091:NSB131094 OBW131091:OBX131094 OLS131091:OLT131094 OVO131091:OVP131094 PFK131091:PFL131094 PPG131091:PPH131094 PZC131091:PZD131094 QIY131091:QIZ131094 QSU131091:QSV131094 RCQ131091:RCR131094 RMM131091:RMN131094 RWI131091:RWJ131094 SGE131091:SGF131094 SQA131091:SQB131094 SZW131091:SZX131094 TJS131091:TJT131094 TTO131091:TTP131094 UDK131091:UDL131094 UNG131091:UNH131094 UXC131091:UXD131094 VGY131091:VGZ131094 VQU131091:VQV131094 WAQ131091:WAR131094 WKM131091:WKN131094 WUI131091:WUJ131094 HW196627:HX196630 RS196627:RT196630 ABO196627:ABP196630 ALK196627:ALL196630 AVG196627:AVH196630 BFC196627:BFD196630 BOY196627:BOZ196630 BYU196627:BYV196630 CIQ196627:CIR196630 CSM196627:CSN196630 DCI196627:DCJ196630 DME196627:DMF196630 DWA196627:DWB196630 EFW196627:EFX196630 EPS196627:EPT196630 EZO196627:EZP196630 FJK196627:FJL196630 FTG196627:FTH196630 GDC196627:GDD196630 GMY196627:GMZ196630 GWU196627:GWV196630 HGQ196627:HGR196630 HQM196627:HQN196630 IAI196627:IAJ196630 IKE196627:IKF196630 IUA196627:IUB196630 JDW196627:JDX196630 JNS196627:JNT196630 JXO196627:JXP196630 KHK196627:KHL196630 KRG196627:KRH196630 LBC196627:LBD196630 LKY196627:LKZ196630 LUU196627:LUV196630 MEQ196627:MER196630 MOM196627:MON196630 MYI196627:MYJ196630 NIE196627:NIF196630 NSA196627:NSB196630 OBW196627:OBX196630 OLS196627:OLT196630 OVO196627:OVP196630 PFK196627:PFL196630 PPG196627:PPH196630 PZC196627:PZD196630 QIY196627:QIZ196630 QSU196627:QSV196630 RCQ196627:RCR196630 RMM196627:RMN196630 RWI196627:RWJ196630 SGE196627:SGF196630 SQA196627:SQB196630 SZW196627:SZX196630 TJS196627:TJT196630 TTO196627:TTP196630 UDK196627:UDL196630 UNG196627:UNH196630 UXC196627:UXD196630 VGY196627:VGZ196630 VQU196627:VQV196630 WAQ196627:WAR196630 WKM196627:WKN196630 WUI196627:WUJ196630 HW262163:HX262166 RS262163:RT262166 ABO262163:ABP262166 ALK262163:ALL262166 AVG262163:AVH262166 BFC262163:BFD262166 BOY262163:BOZ262166 BYU262163:BYV262166 CIQ262163:CIR262166 CSM262163:CSN262166 DCI262163:DCJ262166 DME262163:DMF262166 DWA262163:DWB262166 EFW262163:EFX262166 EPS262163:EPT262166 EZO262163:EZP262166 FJK262163:FJL262166 FTG262163:FTH262166 GDC262163:GDD262166 GMY262163:GMZ262166 GWU262163:GWV262166 HGQ262163:HGR262166 HQM262163:HQN262166 IAI262163:IAJ262166 IKE262163:IKF262166 IUA262163:IUB262166 JDW262163:JDX262166 JNS262163:JNT262166 JXO262163:JXP262166 KHK262163:KHL262166 KRG262163:KRH262166 LBC262163:LBD262166 LKY262163:LKZ262166 LUU262163:LUV262166 MEQ262163:MER262166 MOM262163:MON262166 MYI262163:MYJ262166 NIE262163:NIF262166 NSA262163:NSB262166 OBW262163:OBX262166 OLS262163:OLT262166 OVO262163:OVP262166 PFK262163:PFL262166 PPG262163:PPH262166 PZC262163:PZD262166 QIY262163:QIZ262166 QSU262163:QSV262166 RCQ262163:RCR262166 RMM262163:RMN262166 RWI262163:RWJ262166 SGE262163:SGF262166 SQA262163:SQB262166 SZW262163:SZX262166 TJS262163:TJT262166 TTO262163:TTP262166 UDK262163:UDL262166 UNG262163:UNH262166 UXC262163:UXD262166 VGY262163:VGZ262166 VQU262163:VQV262166 WAQ262163:WAR262166 WKM262163:WKN262166 WUI262163:WUJ262166 HW327699:HX327702 RS327699:RT327702 ABO327699:ABP327702 ALK327699:ALL327702 AVG327699:AVH327702 BFC327699:BFD327702 BOY327699:BOZ327702 BYU327699:BYV327702 CIQ327699:CIR327702 CSM327699:CSN327702 DCI327699:DCJ327702 DME327699:DMF327702 DWA327699:DWB327702 EFW327699:EFX327702 EPS327699:EPT327702 EZO327699:EZP327702 FJK327699:FJL327702 FTG327699:FTH327702 GDC327699:GDD327702 GMY327699:GMZ327702 GWU327699:GWV327702 HGQ327699:HGR327702 HQM327699:HQN327702 IAI327699:IAJ327702 IKE327699:IKF327702 IUA327699:IUB327702 JDW327699:JDX327702 JNS327699:JNT327702 JXO327699:JXP327702 KHK327699:KHL327702 KRG327699:KRH327702 LBC327699:LBD327702 LKY327699:LKZ327702 LUU327699:LUV327702 MEQ327699:MER327702 MOM327699:MON327702 MYI327699:MYJ327702 NIE327699:NIF327702 NSA327699:NSB327702 OBW327699:OBX327702 OLS327699:OLT327702 OVO327699:OVP327702 PFK327699:PFL327702 PPG327699:PPH327702 PZC327699:PZD327702 QIY327699:QIZ327702 QSU327699:QSV327702 RCQ327699:RCR327702 RMM327699:RMN327702 RWI327699:RWJ327702 SGE327699:SGF327702 SQA327699:SQB327702 SZW327699:SZX327702 TJS327699:TJT327702 TTO327699:TTP327702 UDK327699:UDL327702 UNG327699:UNH327702 UXC327699:UXD327702 VGY327699:VGZ327702 VQU327699:VQV327702 WAQ327699:WAR327702 WKM327699:WKN327702 WUI327699:WUJ327702 HW393235:HX393238 RS393235:RT393238 ABO393235:ABP393238 ALK393235:ALL393238 AVG393235:AVH393238 BFC393235:BFD393238 BOY393235:BOZ393238 BYU393235:BYV393238 CIQ393235:CIR393238 CSM393235:CSN393238 DCI393235:DCJ393238 DME393235:DMF393238 DWA393235:DWB393238 EFW393235:EFX393238 EPS393235:EPT393238 EZO393235:EZP393238 FJK393235:FJL393238 FTG393235:FTH393238 GDC393235:GDD393238 GMY393235:GMZ393238 GWU393235:GWV393238 HGQ393235:HGR393238 HQM393235:HQN393238 IAI393235:IAJ393238 IKE393235:IKF393238 IUA393235:IUB393238 JDW393235:JDX393238 JNS393235:JNT393238 JXO393235:JXP393238 KHK393235:KHL393238 KRG393235:KRH393238 LBC393235:LBD393238 LKY393235:LKZ393238 LUU393235:LUV393238 MEQ393235:MER393238 MOM393235:MON393238 MYI393235:MYJ393238 NIE393235:NIF393238 NSA393235:NSB393238 OBW393235:OBX393238 OLS393235:OLT393238 OVO393235:OVP393238 PFK393235:PFL393238 PPG393235:PPH393238 PZC393235:PZD393238 QIY393235:QIZ393238 QSU393235:QSV393238 RCQ393235:RCR393238 RMM393235:RMN393238 RWI393235:RWJ393238 SGE393235:SGF393238 SQA393235:SQB393238 SZW393235:SZX393238 TJS393235:TJT393238 TTO393235:TTP393238 UDK393235:UDL393238 UNG393235:UNH393238 UXC393235:UXD393238 VGY393235:VGZ393238 VQU393235:VQV393238 WAQ393235:WAR393238 WKM393235:WKN393238 WUI393235:WUJ393238 HW458771:HX458774 RS458771:RT458774 ABO458771:ABP458774 ALK458771:ALL458774 AVG458771:AVH458774 BFC458771:BFD458774 BOY458771:BOZ458774 BYU458771:BYV458774 CIQ458771:CIR458774 CSM458771:CSN458774 DCI458771:DCJ458774 DME458771:DMF458774 DWA458771:DWB458774 EFW458771:EFX458774 EPS458771:EPT458774 EZO458771:EZP458774 FJK458771:FJL458774 FTG458771:FTH458774 GDC458771:GDD458774 GMY458771:GMZ458774 GWU458771:GWV458774 HGQ458771:HGR458774 HQM458771:HQN458774 IAI458771:IAJ458774 IKE458771:IKF458774 IUA458771:IUB458774 JDW458771:JDX458774 JNS458771:JNT458774 JXO458771:JXP458774 KHK458771:KHL458774 KRG458771:KRH458774 LBC458771:LBD458774 LKY458771:LKZ458774 LUU458771:LUV458774 MEQ458771:MER458774 MOM458771:MON458774 MYI458771:MYJ458774 NIE458771:NIF458774 NSA458771:NSB458774 OBW458771:OBX458774 OLS458771:OLT458774 OVO458771:OVP458774 PFK458771:PFL458774 PPG458771:PPH458774 PZC458771:PZD458774 QIY458771:QIZ458774 QSU458771:QSV458774 RCQ458771:RCR458774 RMM458771:RMN458774 RWI458771:RWJ458774 SGE458771:SGF458774 SQA458771:SQB458774 SZW458771:SZX458774 TJS458771:TJT458774 TTO458771:TTP458774 UDK458771:UDL458774 UNG458771:UNH458774 UXC458771:UXD458774 VGY458771:VGZ458774 VQU458771:VQV458774 WAQ458771:WAR458774 WKM458771:WKN458774 WUI458771:WUJ458774 HW524307:HX524310 RS524307:RT524310 ABO524307:ABP524310 ALK524307:ALL524310 AVG524307:AVH524310 BFC524307:BFD524310 BOY524307:BOZ524310 BYU524307:BYV524310 CIQ524307:CIR524310 CSM524307:CSN524310 DCI524307:DCJ524310 DME524307:DMF524310 DWA524307:DWB524310 EFW524307:EFX524310 EPS524307:EPT524310 EZO524307:EZP524310 FJK524307:FJL524310 FTG524307:FTH524310 GDC524307:GDD524310 GMY524307:GMZ524310 GWU524307:GWV524310 HGQ524307:HGR524310 HQM524307:HQN524310 IAI524307:IAJ524310 IKE524307:IKF524310 IUA524307:IUB524310 JDW524307:JDX524310 JNS524307:JNT524310 JXO524307:JXP524310 KHK524307:KHL524310 KRG524307:KRH524310 LBC524307:LBD524310 LKY524307:LKZ524310 LUU524307:LUV524310 MEQ524307:MER524310 MOM524307:MON524310 MYI524307:MYJ524310 NIE524307:NIF524310 NSA524307:NSB524310 OBW524307:OBX524310 OLS524307:OLT524310 OVO524307:OVP524310 PFK524307:PFL524310 PPG524307:PPH524310 PZC524307:PZD524310 QIY524307:QIZ524310 QSU524307:QSV524310 RCQ524307:RCR524310 RMM524307:RMN524310 RWI524307:RWJ524310 SGE524307:SGF524310 SQA524307:SQB524310 SZW524307:SZX524310 TJS524307:TJT524310 TTO524307:TTP524310 UDK524307:UDL524310 UNG524307:UNH524310 UXC524307:UXD524310 VGY524307:VGZ524310 VQU524307:VQV524310 WAQ524307:WAR524310 WKM524307:WKN524310 WUI524307:WUJ524310 HW589843:HX589846 RS589843:RT589846 ABO589843:ABP589846 ALK589843:ALL589846 AVG589843:AVH589846 BFC589843:BFD589846 BOY589843:BOZ589846 BYU589843:BYV589846 CIQ589843:CIR589846 CSM589843:CSN589846 DCI589843:DCJ589846 DME589843:DMF589846 DWA589843:DWB589846 EFW589843:EFX589846 EPS589843:EPT589846 EZO589843:EZP589846 FJK589843:FJL589846 FTG589843:FTH589846 GDC589843:GDD589846 GMY589843:GMZ589846 GWU589843:GWV589846 HGQ589843:HGR589846 HQM589843:HQN589846 IAI589843:IAJ589846 IKE589843:IKF589846 IUA589843:IUB589846 JDW589843:JDX589846 JNS589843:JNT589846 JXO589843:JXP589846 KHK589843:KHL589846 KRG589843:KRH589846 LBC589843:LBD589846 LKY589843:LKZ589846 LUU589843:LUV589846 MEQ589843:MER589846 MOM589843:MON589846 MYI589843:MYJ589846 NIE589843:NIF589846 NSA589843:NSB589846 OBW589843:OBX589846 OLS589843:OLT589846 OVO589843:OVP589846 PFK589843:PFL589846 PPG589843:PPH589846 PZC589843:PZD589846 QIY589843:QIZ589846 QSU589843:QSV589846 RCQ589843:RCR589846 RMM589843:RMN589846 RWI589843:RWJ589846 SGE589843:SGF589846 SQA589843:SQB589846 SZW589843:SZX589846 TJS589843:TJT589846 TTO589843:TTP589846 UDK589843:UDL589846 UNG589843:UNH589846 UXC589843:UXD589846 VGY589843:VGZ589846 VQU589843:VQV589846 WAQ589843:WAR589846 WKM589843:WKN589846 WUI589843:WUJ589846 HW655379:HX655382 RS655379:RT655382 ABO655379:ABP655382 ALK655379:ALL655382 AVG655379:AVH655382 BFC655379:BFD655382 BOY655379:BOZ655382 BYU655379:BYV655382 CIQ655379:CIR655382 CSM655379:CSN655382 DCI655379:DCJ655382 DME655379:DMF655382 DWA655379:DWB655382 EFW655379:EFX655382 EPS655379:EPT655382 EZO655379:EZP655382 FJK655379:FJL655382 FTG655379:FTH655382 GDC655379:GDD655382 GMY655379:GMZ655382 GWU655379:GWV655382 HGQ655379:HGR655382 HQM655379:HQN655382 IAI655379:IAJ655382 IKE655379:IKF655382 IUA655379:IUB655382 JDW655379:JDX655382 JNS655379:JNT655382 JXO655379:JXP655382 KHK655379:KHL655382 KRG655379:KRH655382 LBC655379:LBD655382 LKY655379:LKZ655382 LUU655379:LUV655382 MEQ655379:MER655382 MOM655379:MON655382 MYI655379:MYJ655382 NIE655379:NIF655382 NSA655379:NSB655382 OBW655379:OBX655382 OLS655379:OLT655382 OVO655379:OVP655382 PFK655379:PFL655382 PPG655379:PPH655382 PZC655379:PZD655382 QIY655379:QIZ655382 QSU655379:QSV655382 RCQ655379:RCR655382 RMM655379:RMN655382 RWI655379:RWJ655382 SGE655379:SGF655382 SQA655379:SQB655382 SZW655379:SZX655382 TJS655379:TJT655382 TTO655379:TTP655382 UDK655379:UDL655382 UNG655379:UNH655382 UXC655379:UXD655382 VGY655379:VGZ655382 VQU655379:VQV655382 WAQ655379:WAR655382 WKM655379:WKN655382 WUI655379:WUJ655382 HW720915:HX720918 RS720915:RT720918 ABO720915:ABP720918 ALK720915:ALL720918 AVG720915:AVH720918 BFC720915:BFD720918 BOY720915:BOZ720918 BYU720915:BYV720918 CIQ720915:CIR720918 CSM720915:CSN720918 DCI720915:DCJ720918 DME720915:DMF720918 DWA720915:DWB720918 EFW720915:EFX720918 EPS720915:EPT720918 EZO720915:EZP720918 FJK720915:FJL720918 FTG720915:FTH720918 GDC720915:GDD720918 GMY720915:GMZ720918 GWU720915:GWV720918 HGQ720915:HGR720918 HQM720915:HQN720918 IAI720915:IAJ720918 IKE720915:IKF720918 IUA720915:IUB720918 JDW720915:JDX720918 JNS720915:JNT720918 JXO720915:JXP720918 KHK720915:KHL720918 KRG720915:KRH720918 LBC720915:LBD720918 LKY720915:LKZ720918 LUU720915:LUV720918 MEQ720915:MER720918 MOM720915:MON720918 MYI720915:MYJ720918 NIE720915:NIF720918 NSA720915:NSB720918 OBW720915:OBX720918 OLS720915:OLT720918 OVO720915:OVP720918 PFK720915:PFL720918 PPG720915:PPH720918 PZC720915:PZD720918 QIY720915:QIZ720918 QSU720915:QSV720918 RCQ720915:RCR720918 RMM720915:RMN720918 RWI720915:RWJ720918 SGE720915:SGF720918 SQA720915:SQB720918 SZW720915:SZX720918 TJS720915:TJT720918 TTO720915:TTP720918 UDK720915:UDL720918 UNG720915:UNH720918 UXC720915:UXD720918 VGY720915:VGZ720918 VQU720915:VQV720918 WAQ720915:WAR720918 WKM720915:WKN720918 WUI720915:WUJ720918 HW786451:HX786454 RS786451:RT786454 ABO786451:ABP786454 ALK786451:ALL786454 AVG786451:AVH786454 BFC786451:BFD786454 BOY786451:BOZ786454 BYU786451:BYV786454 CIQ786451:CIR786454 CSM786451:CSN786454 DCI786451:DCJ786454 DME786451:DMF786454 DWA786451:DWB786454 EFW786451:EFX786454 EPS786451:EPT786454 EZO786451:EZP786454 FJK786451:FJL786454 FTG786451:FTH786454 GDC786451:GDD786454 GMY786451:GMZ786454 GWU786451:GWV786454 HGQ786451:HGR786454 HQM786451:HQN786454 IAI786451:IAJ786454 IKE786451:IKF786454 IUA786451:IUB786454 JDW786451:JDX786454 JNS786451:JNT786454 JXO786451:JXP786454 KHK786451:KHL786454 KRG786451:KRH786454 LBC786451:LBD786454 LKY786451:LKZ786454 LUU786451:LUV786454 MEQ786451:MER786454 MOM786451:MON786454 MYI786451:MYJ786454 NIE786451:NIF786454 NSA786451:NSB786454 OBW786451:OBX786454 OLS786451:OLT786454 OVO786451:OVP786454 PFK786451:PFL786454 PPG786451:PPH786454 PZC786451:PZD786454 QIY786451:QIZ786454 QSU786451:QSV786454 RCQ786451:RCR786454 RMM786451:RMN786454 RWI786451:RWJ786454 SGE786451:SGF786454 SQA786451:SQB786454 SZW786451:SZX786454 TJS786451:TJT786454 TTO786451:TTP786454 UDK786451:UDL786454 UNG786451:UNH786454 UXC786451:UXD786454 VGY786451:VGZ786454 VQU786451:VQV786454 WAQ786451:WAR786454 WKM786451:WKN786454 WUI786451:WUJ786454 HW851987:HX851990 RS851987:RT851990 ABO851987:ABP851990 ALK851987:ALL851990 AVG851987:AVH851990 BFC851987:BFD851990 BOY851987:BOZ851990 BYU851987:BYV851990 CIQ851987:CIR851990 CSM851987:CSN851990 DCI851987:DCJ851990 DME851987:DMF851990 DWA851987:DWB851990 EFW851987:EFX851990 EPS851987:EPT851990 EZO851987:EZP851990 FJK851987:FJL851990 FTG851987:FTH851990 GDC851987:GDD851990 GMY851987:GMZ851990 GWU851987:GWV851990 HGQ851987:HGR851990 HQM851987:HQN851990 IAI851987:IAJ851990 IKE851987:IKF851990 IUA851987:IUB851990 JDW851987:JDX851990 JNS851987:JNT851990 JXO851987:JXP851990 KHK851987:KHL851990 KRG851987:KRH851990 LBC851987:LBD851990 LKY851987:LKZ851990 LUU851987:LUV851990 MEQ851987:MER851990 MOM851987:MON851990 MYI851987:MYJ851990 NIE851987:NIF851990 NSA851987:NSB851990 OBW851987:OBX851990 OLS851987:OLT851990 OVO851987:OVP851990 PFK851987:PFL851990 PPG851987:PPH851990 PZC851987:PZD851990 QIY851987:QIZ851990 QSU851987:QSV851990 RCQ851987:RCR851990 RMM851987:RMN851990 RWI851987:RWJ851990 SGE851987:SGF851990 SQA851987:SQB851990 SZW851987:SZX851990 TJS851987:TJT851990 TTO851987:TTP851990 UDK851987:UDL851990 UNG851987:UNH851990 UXC851987:UXD851990 VGY851987:VGZ851990 VQU851987:VQV851990 WAQ851987:WAR851990 WKM851987:WKN851990 WUI851987:WUJ851990 HW917523:HX917526 RS917523:RT917526 ABO917523:ABP917526 ALK917523:ALL917526 AVG917523:AVH917526 BFC917523:BFD917526 BOY917523:BOZ917526 BYU917523:BYV917526 CIQ917523:CIR917526 CSM917523:CSN917526 DCI917523:DCJ917526 DME917523:DMF917526 DWA917523:DWB917526 EFW917523:EFX917526 EPS917523:EPT917526 EZO917523:EZP917526 FJK917523:FJL917526 FTG917523:FTH917526 GDC917523:GDD917526 GMY917523:GMZ917526 GWU917523:GWV917526 HGQ917523:HGR917526 HQM917523:HQN917526 IAI917523:IAJ917526 IKE917523:IKF917526 IUA917523:IUB917526 JDW917523:JDX917526 JNS917523:JNT917526 JXO917523:JXP917526 KHK917523:KHL917526 KRG917523:KRH917526 LBC917523:LBD917526 LKY917523:LKZ917526 LUU917523:LUV917526 MEQ917523:MER917526 MOM917523:MON917526 MYI917523:MYJ917526 NIE917523:NIF917526 NSA917523:NSB917526 OBW917523:OBX917526 OLS917523:OLT917526 OVO917523:OVP917526 PFK917523:PFL917526 PPG917523:PPH917526 PZC917523:PZD917526 QIY917523:QIZ917526 QSU917523:QSV917526 RCQ917523:RCR917526 RMM917523:RMN917526 RWI917523:RWJ917526 SGE917523:SGF917526 SQA917523:SQB917526 SZW917523:SZX917526 TJS917523:TJT917526 TTO917523:TTP917526 UDK917523:UDL917526 UNG917523:UNH917526 UXC917523:UXD917526 VGY917523:VGZ917526 VQU917523:VQV917526 WAQ917523:WAR917526 WKM917523:WKN917526 WUI917523:WUJ917526 HW983059:HX983062 RS983059:RT983062 ABO983059:ABP983062 ALK983059:ALL983062 AVG983059:AVH983062 BFC983059:BFD983062 BOY983059:BOZ983062 BYU983059:BYV983062 CIQ983059:CIR983062 CSM983059:CSN983062 DCI983059:DCJ983062 DME983059:DMF983062 DWA983059:DWB983062 EFW983059:EFX983062 EPS983059:EPT983062 EZO983059:EZP983062 FJK983059:FJL983062 FTG983059:FTH983062 GDC983059:GDD983062 GMY983059:GMZ983062 GWU983059:GWV983062 HGQ983059:HGR983062 HQM983059:HQN983062 IAI983059:IAJ983062 IKE983059:IKF983062 IUA983059:IUB983062 JDW983059:JDX983062 JNS983059:JNT983062 JXO983059:JXP983062 KHK983059:KHL983062 KRG983059:KRH983062 LBC983059:LBD983062 LKY983059:LKZ983062 LUU983059:LUV983062 MEQ983059:MER983062 MOM983059:MON983062 MYI983059:MYJ983062 NIE983059:NIF983062 NSA983059:NSB983062 OBW983059:OBX983062 OLS983059:OLT983062 OVO983059:OVP983062 PFK983059:PFL983062 PPG983059:PPH983062 PZC983059:PZD983062 QIY983059:QIZ983062 QSU983059:QSV983062 RCQ983059:RCR983062 RMM983059:RMN983062 RWI983059:RWJ983062 SGE983059:SGF983062 SQA983059:SQB983062 SZW983059:SZX983062 TJS983059:TJT983062 TTO983059:TTP983062 UDK983059:UDL983062 UNG983059:UNH983062 UXC983059:UXD983062 VGY983059:VGZ983062 VQU983059:VQV983062 WAQ983059:WAR983062 WKM983059:WKN983062 WUI983059:WUJ983062 WUT983059:WUU983062 VRF983059:VRG983062 IH65555:II65558 SD65555:SE65558 ABZ65555:ACA65558 ALV65555:ALW65558 AVR65555:AVS65558 BFN65555:BFO65558 BPJ65555:BPK65558 BZF65555:BZG65558 CJB65555:CJC65558 CSX65555:CSY65558 DCT65555:DCU65558 DMP65555:DMQ65558 DWL65555:DWM65558 EGH65555:EGI65558 EQD65555:EQE65558 EZZ65555:FAA65558 FJV65555:FJW65558 FTR65555:FTS65558 GDN65555:GDO65558 GNJ65555:GNK65558 GXF65555:GXG65558 HHB65555:HHC65558 HQX65555:HQY65558 IAT65555:IAU65558 IKP65555:IKQ65558 IUL65555:IUM65558 JEH65555:JEI65558 JOD65555:JOE65558 JXZ65555:JYA65558 KHV65555:KHW65558 KRR65555:KRS65558 LBN65555:LBO65558 LLJ65555:LLK65558 LVF65555:LVG65558 MFB65555:MFC65558 MOX65555:MOY65558 MYT65555:MYU65558 NIP65555:NIQ65558 NSL65555:NSM65558 OCH65555:OCI65558 OMD65555:OME65558 OVZ65555:OWA65558 PFV65555:PFW65558 PPR65555:PPS65558 PZN65555:PZO65558 QJJ65555:QJK65558 QTF65555:QTG65558 RDB65555:RDC65558 RMX65555:RMY65558 RWT65555:RWU65558 SGP65555:SGQ65558 SQL65555:SQM65558 TAH65555:TAI65558 TKD65555:TKE65558 TTZ65555:TUA65558 UDV65555:UDW65558 UNR65555:UNS65558 UXN65555:UXO65558 VHJ65555:VHK65558 VRF65555:VRG65558 WBB65555:WBC65558 WKX65555:WKY65558 WUT65555:WUU65558 IH131091:II131094 SD131091:SE131094 ABZ131091:ACA131094 ALV131091:ALW131094 AVR131091:AVS131094 BFN131091:BFO131094 BPJ131091:BPK131094 BZF131091:BZG131094 CJB131091:CJC131094 CSX131091:CSY131094 DCT131091:DCU131094 DMP131091:DMQ131094 DWL131091:DWM131094 EGH131091:EGI131094 EQD131091:EQE131094 EZZ131091:FAA131094 FJV131091:FJW131094 FTR131091:FTS131094 GDN131091:GDO131094 GNJ131091:GNK131094 GXF131091:GXG131094 HHB131091:HHC131094 HQX131091:HQY131094 IAT131091:IAU131094 IKP131091:IKQ131094 IUL131091:IUM131094 JEH131091:JEI131094 JOD131091:JOE131094 JXZ131091:JYA131094 KHV131091:KHW131094 KRR131091:KRS131094 LBN131091:LBO131094 LLJ131091:LLK131094 LVF131091:LVG131094 MFB131091:MFC131094 MOX131091:MOY131094 MYT131091:MYU131094 NIP131091:NIQ131094 NSL131091:NSM131094 OCH131091:OCI131094 OMD131091:OME131094 OVZ131091:OWA131094 PFV131091:PFW131094 PPR131091:PPS131094 PZN131091:PZO131094 QJJ131091:QJK131094 QTF131091:QTG131094 RDB131091:RDC131094 RMX131091:RMY131094 RWT131091:RWU131094 SGP131091:SGQ131094 SQL131091:SQM131094 TAH131091:TAI131094 TKD131091:TKE131094 TTZ131091:TUA131094 UDV131091:UDW131094 UNR131091:UNS131094 UXN131091:UXO131094 VHJ131091:VHK131094 VRF131091:VRG131094 WBB131091:WBC131094 WKX131091:WKY131094 WUT131091:WUU131094 IH196627:II196630 SD196627:SE196630 ABZ196627:ACA196630 ALV196627:ALW196630 AVR196627:AVS196630 BFN196627:BFO196630 BPJ196627:BPK196630 BZF196627:BZG196630 CJB196627:CJC196630 CSX196627:CSY196630 DCT196627:DCU196630 DMP196627:DMQ196630 DWL196627:DWM196630 EGH196627:EGI196630 EQD196627:EQE196630 EZZ196627:FAA196630 FJV196627:FJW196630 FTR196627:FTS196630 GDN196627:GDO196630 GNJ196627:GNK196630 GXF196627:GXG196630 HHB196627:HHC196630 HQX196627:HQY196630 IAT196627:IAU196630 IKP196627:IKQ196630 IUL196627:IUM196630 JEH196627:JEI196630 JOD196627:JOE196630 JXZ196627:JYA196630 KHV196627:KHW196630 KRR196627:KRS196630 LBN196627:LBO196630 LLJ196627:LLK196630 LVF196627:LVG196630 MFB196627:MFC196630 MOX196627:MOY196630 MYT196627:MYU196630 NIP196627:NIQ196630 NSL196627:NSM196630 OCH196627:OCI196630 OMD196627:OME196630 OVZ196627:OWA196630 PFV196627:PFW196630 PPR196627:PPS196630 PZN196627:PZO196630 QJJ196627:QJK196630 QTF196627:QTG196630 RDB196627:RDC196630 RMX196627:RMY196630 RWT196627:RWU196630 SGP196627:SGQ196630 SQL196627:SQM196630 TAH196627:TAI196630 TKD196627:TKE196630 TTZ196627:TUA196630 UDV196627:UDW196630 UNR196627:UNS196630 UXN196627:UXO196630 VHJ196627:VHK196630 VRF196627:VRG196630 WBB196627:WBC196630 WKX196627:WKY196630 WUT196627:WUU196630 IH262163:II262166 SD262163:SE262166 ABZ262163:ACA262166 ALV262163:ALW262166 AVR262163:AVS262166 BFN262163:BFO262166 BPJ262163:BPK262166 BZF262163:BZG262166 CJB262163:CJC262166 CSX262163:CSY262166 DCT262163:DCU262166 DMP262163:DMQ262166 DWL262163:DWM262166 EGH262163:EGI262166 EQD262163:EQE262166 EZZ262163:FAA262166 FJV262163:FJW262166 FTR262163:FTS262166 GDN262163:GDO262166 GNJ262163:GNK262166 GXF262163:GXG262166 HHB262163:HHC262166 HQX262163:HQY262166 IAT262163:IAU262166 IKP262163:IKQ262166 IUL262163:IUM262166 JEH262163:JEI262166 JOD262163:JOE262166 JXZ262163:JYA262166 KHV262163:KHW262166 KRR262163:KRS262166 LBN262163:LBO262166 LLJ262163:LLK262166 LVF262163:LVG262166 MFB262163:MFC262166 MOX262163:MOY262166 MYT262163:MYU262166 NIP262163:NIQ262166 NSL262163:NSM262166 OCH262163:OCI262166 OMD262163:OME262166 OVZ262163:OWA262166 PFV262163:PFW262166 PPR262163:PPS262166 PZN262163:PZO262166 QJJ262163:QJK262166 QTF262163:QTG262166 RDB262163:RDC262166 RMX262163:RMY262166 RWT262163:RWU262166 SGP262163:SGQ262166 SQL262163:SQM262166 TAH262163:TAI262166 TKD262163:TKE262166 TTZ262163:TUA262166 UDV262163:UDW262166 UNR262163:UNS262166 UXN262163:UXO262166 VHJ262163:VHK262166 VRF262163:VRG262166 WBB262163:WBC262166 WKX262163:WKY262166 WUT262163:WUU262166 IH327699:II327702 SD327699:SE327702 ABZ327699:ACA327702 ALV327699:ALW327702 AVR327699:AVS327702 BFN327699:BFO327702 BPJ327699:BPK327702 BZF327699:BZG327702 CJB327699:CJC327702 CSX327699:CSY327702 DCT327699:DCU327702 DMP327699:DMQ327702 DWL327699:DWM327702 EGH327699:EGI327702 EQD327699:EQE327702 EZZ327699:FAA327702 FJV327699:FJW327702 FTR327699:FTS327702 GDN327699:GDO327702 GNJ327699:GNK327702 GXF327699:GXG327702 HHB327699:HHC327702 HQX327699:HQY327702 IAT327699:IAU327702 IKP327699:IKQ327702 IUL327699:IUM327702 JEH327699:JEI327702 JOD327699:JOE327702 JXZ327699:JYA327702 KHV327699:KHW327702 KRR327699:KRS327702 LBN327699:LBO327702 LLJ327699:LLK327702 LVF327699:LVG327702 MFB327699:MFC327702 MOX327699:MOY327702 MYT327699:MYU327702 NIP327699:NIQ327702 NSL327699:NSM327702 OCH327699:OCI327702 OMD327699:OME327702 OVZ327699:OWA327702 PFV327699:PFW327702 PPR327699:PPS327702 PZN327699:PZO327702 QJJ327699:QJK327702 QTF327699:QTG327702 RDB327699:RDC327702 RMX327699:RMY327702 RWT327699:RWU327702 SGP327699:SGQ327702 SQL327699:SQM327702 TAH327699:TAI327702 TKD327699:TKE327702 TTZ327699:TUA327702 UDV327699:UDW327702 UNR327699:UNS327702 UXN327699:UXO327702 VHJ327699:VHK327702 VRF327699:VRG327702 WBB327699:WBC327702 WKX327699:WKY327702 WUT327699:WUU327702 IH393235:II393238 SD393235:SE393238 ABZ393235:ACA393238 ALV393235:ALW393238 AVR393235:AVS393238 BFN393235:BFO393238 BPJ393235:BPK393238 BZF393235:BZG393238 CJB393235:CJC393238 CSX393235:CSY393238 DCT393235:DCU393238 DMP393235:DMQ393238 DWL393235:DWM393238 EGH393235:EGI393238 EQD393235:EQE393238 EZZ393235:FAA393238 FJV393235:FJW393238 FTR393235:FTS393238 GDN393235:GDO393238 GNJ393235:GNK393238 GXF393235:GXG393238 HHB393235:HHC393238 HQX393235:HQY393238 IAT393235:IAU393238 IKP393235:IKQ393238 IUL393235:IUM393238 JEH393235:JEI393238 JOD393235:JOE393238 JXZ393235:JYA393238 KHV393235:KHW393238 KRR393235:KRS393238 LBN393235:LBO393238 LLJ393235:LLK393238 LVF393235:LVG393238 MFB393235:MFC393238 MOX393235:MOY393238 MYT393235:MYU393238 NIP393235:NIQ393238 NSL393235:NSM393238 OCH393235:OCI393238 OMD393235:OME393238 OVZ393235:OWA393238 PFV393235:PFW393238 PPR393235:PPS393238 PZN393235:PZO393238 QJJ393235:QJK393238 QTF393235:QTG393238 RDB393235:RDC393238 RMX393235:RMY393238 RWT393235:RWU393238 SGP393235:SGQ393238 SQL393235:SQM393238 TAH393235:TAI393238 TKD393235:TKE393238 TTZ393235:TUA393238 UDV393235:UDW393238 UNR393235:UNS393238 UXN393235:UXO393238 VHJ393235:VHK393238 VRF393235:VRG393238 WBB393235:WBC393238 WKX393235:WKY393238 WUT393235:WUU393238 IH458771:II458774 SD458771:SE458774 ABZ458771:ACA458774 ALV458771:ALW458774 AVR458771:AVS458774 BFN458771:BFO458774 BPJ458771:BPK458774 BZF458771:BZG458774 CJB458771:CJC458774 CSX458771:CSY458774 DCT458771:DCU458774 DMP458771:DMQ458774 DWL458771:DWM458774 EGH458771:EGI458774 EQD458771:EQE458774 EZZ458771:FAA458774 FJV458771:FJW458774 FTR458771:FTS458774 GDN458771:GDO458774 GNJ458771:GNK458774 GXF458771:GXG458774 HHB458771:HHC458774 HQX458771:HQY458774 IAT458771:IAU458774 IKP458771:IKQ458774 IUL458771:IUM458774 JEH458771:JEI458774 JOD458771:JOE458774 JXZ458771:JYA458774 KHV458771:KHW458774 KRR458771:KRS458774 LBN458771:LBO458774 LLJ458771:LLK458774 LVF458771:LVG458774 MFB458771:MFC458774 MOX458771:MOY458774 MYT458771:MYU458774 NIP458771:NIQ458774 NSL458771:NSM458774 OCH458771:OCI458774 OMD458771:OME458774 OVZ458771:OWA458774 PFV458771:PFW458774 PPR458771:PPS458774 PZN458771:PZO458774 QJJ458771:QJK458774 QTF458771:QTG458774 RDB458771:RDC458774 RMX458771:RMY458774 RWT458771:RWU458774 SGP458771:SGQ458774 SQL458771:SQM458774 TAH458771:TAI458774 TKD458771:TKE458774 TTZ458771:TUA458774 UDV458771:UDW458774 UNR458771:UNS458774 UXN458771:UXO458774 VHJ458771:VHK458774 VRF458771:VRG458774 WBB458771:WBC458774 WKX458771:WKY458774 WUT458771:WUU458774 IH524307:II524310 SD524307:SE524310 ABZ524307:ACA524310 ALV524307:ALW524310 AVR524307:AVS524310 BFN524307:BFO524310 BPJ524307:BPK524310 BZF524307:BZG524310 CJB524307:CJC524310 CSX524307:CSY524310 DCT524307:DCU524310 DMP524307:DMQ524310 DWL524307:DWM524310 EGH524307:EGI524310 EQD524307:EQE524310 EZZ524307:FAA524310 FJV524307:FJW524310 FTR524307:FTS524310 GDN524307:GDO524310 GNJ524307:GNK524310 GXF524307:GXG524310 HHB524307:HHC524310 HQX524307:HQY524310 IAT524307:IAU524310 IKP524307:IKQ524310 IUL524307:IUM524310 JEH524307:JEI524310 JOD524307:JOE524310 JXZ524307:JYA524310 KHV524307:KHW524310 KRR524307:KRS524310 LBN524307:LBO524310 LLJ524307:LLK524310 LVF524307:LVG524310 MFB524307:MFC524310 MOX524307:MOY524310 MYT524307:MYU524310 NIP524307:NIQ524310 NSL524307:NSM524310 OCH524307:OCI524310 OMD524307:OME524310 OVZ524307:OWA524310 PFV524307:PFW524310 PPR524307:PPS524310 PZN524307:PZO524310 QJJ524307:QJK524310 QTF524307:QTG524310 RDB524307:RDC524310 RMX524307:RMY524310 RWT524307:RWU524310 SGP524307:SGQ524310 SQL524307:SQM524310 TAH524307:TAI524310 TKD524307:TKE524310 TTZ524307:TUA524310 UDV524307:UDW524310 UNR524307:UNS524310 UXN524307:UXO524310 VHJ524307:VHK524310 VRF524307:VRG524310 WBB524307:WBC524310 WKX524307:WKY524310 WUT524307:WUU524310 IH589843:II589846 SD589843:SE589846 ABZ589843:ACA589846 ALV589843:ALW589846 AVR589843:AVS589846 BFN589843:BFO589846 BPJ589843:BPK589846 BZF589843:BZG589846 CJB589843:CJC589846 CSX589843:CSY589846 DCT589843:DCU589846 DMP589843:DMQ589846 DWL589843:DWM589846 EGH589843:EGI589846 EQD589843:EQE589846 EZZ589843:FAA589846 FJV589843:FJW589846 FTR589843:FTS589846 GDN589843:GDO589846 GNJ589843:GNK589846 GXF589843:GXG589846 HHB589843:HHC589846 HQX589843:HQY589846 IAT589843:IAU589846 IKP589843:IKQ589846 IUL589843:IUM589846 JEH589843:JEI589846 JOD589843:JOE589846 JXZ589843:JYA589846 KHV589843:KHW589846 KRR589843:KRS589846 LBN589843:LBO589846 LLJ589843:LLK589846 LVF589843:LVG589846 MFB589843:MFC589846 MOX589843:MOY589846 MYT589843:MYU589846 NIP589843:NIQ589846 NSL589843:NSM589846 OCH589843:OCI589846 OMD589843:OME589846 OVZ589843:OWA589846 PFV589843:PFW589846 PPR589843:PPS589846 PZN589843:PZO589846 QJJ589843:QJK589846 QTF589843:QTG589846 RDB589843:RDC589846 RMX589843:RMY589846 RWT589843:RWU589846 SGP589843:SGQ589846 SQL589843:SQM589846 TAH589843:TAI589846 TKD589843:TKE589846 TTZ589843:TUA589846 UDV589843:UDW589846 UNR589843:UNS589846 UXN589843:UXO589846 VHJ589843:VHK589846 VRF589843:VRG589846 WBB589843:WBC589846 WKX589843:WKY589846 WUT589843:WUU589846 IH655379:II655382 SD655379:SE655382 ABZ655379:ACA655382 ALV655379:ALW655382 AVR655379:AVS655382 BFN655379:BFO655382 BPJ655379:BPK655382 BZF655379:BZG655382 CJB655379:CJC655382 CSX655379:CSY655382 DCT655379:DCU655382 DMP655379:DMQ655382 DWL655379:DWM655382 EGH655379:EGI655382 EQD655379:EQE655382 EZZ655379:FAA655382 FJV655379:FJW655382 FTR655379:FTS655382 GDN655379:GDO655382 GNJ655379:GNK655382 GXF655379:GXG655382 HHB655379:HHC655382 HQX655379:HQY655382 IAT655379:IAU655382 IKP655379:IKQ655382 IUL655379:IUM655382 JEH655379:JEI655382 JOD655379:JOE655382 JXZ655379:JYA655382 KHV655379:KHW655382 KRR655379:KRS655382 LBN655379:LBO655382 LLJ655379:LLK655382 LVF655379:LVG655382 MFB655379:MFC655382 MOX655379:MOY655382 MYT655379:MYU655382 NIP655379:NIQ655382 NSL655379:NSM655382 OCH655379:OCI655382 OMD655379:OME655382 OVZ655379:OWA655382 PFV655379:PFW655382 PPR655379:PPS655382 PZN655379:PZO655382 QJJ655379:QJK655382 QTF655379:QTG655382 RDB655379:RDC655382 RMX655379:RMY655382 RWT655379:RWU655382 SGP655379:SGQ655382 SQL655379:SQM655382 TAH655379:TAI655382 TKD655379:TKE655382 TTZ655379:TUA655382 UDV655379:UDW655382 UNR655379:UNS655382 UXN655379:UXO655382 VHJ655379:VHK655382 VRF655379:VRG655382 WBB655379:WBC655382 WKX655379:WKY655382 WUT655379:WUU655382 IH720915:II720918 SD720915:SE720918 ABZ720915:ACA720918 ALV720915:ALW720918 AVR720915:AVS720918 BFN720915:BFO720918 BPJ720915:BPK720918 BZF720915:BZG720918 CJB720915:CJC720918 CSX720915:CSY720918 DCT720915:DCU720918 DMP720915:DMQ720918 DWL720915:DWM720918 EGH720915:EGI720918 EQD720915:EQE720918 EZZ720915:FAA720918 FJV720915:FJW720918 FTR720915:FTS720918 GDN720915:GDO720918 GNJ720915:GNK720918 GXF720915:GXG720918 HHB720915:HHC720918 HQX720915:HQY720918 IAT720915:IAU720918 IKP720915:IKQ720918 IUL720915:IUM720918 JEH720915:JEI720918 JOD720915:JOE720918 JXZ720915:JYA720918 KHV720915:KHW720918 KRR720915:KRS720918 LBN720915:LBO720918 LLJ720915:LLK720918 LVF720915:LVG720918 MFB720915:MFC720918 MOX720915:MOY720918 MYT720915:MYU720918 NIP720915:NIQ720918 NSL720915:NSM720918 OCH720915:OCI720918 OMD720915:OME720918 OVZ720915:OWA720918 PFV720915:PFW720918 PPR720915:PPS720918 PZN720915:PZO720918 QJJ720915:QJK720918 QTF720915:QTG720918 RDB720915:RDC720918 RMX720915:RMY720918 RWT720915:RWU720918 SGP720915:SGQ720918 SQL720915:SQM720918 TAH720915:TAI720918 TKD720915:TKE720918 TTZ720915:TUA720918 UDV720915:UDW720918 UNR720915:UNS720918 UXN720915:UXO720918 VHJ720915:VHK720918 VRF720915:VRG720918 WBB720915:WBC720918 WKX720915:WKY720918 WUT720915:WUU720918 IH786451:II786454 SD786451:SE786454 ABZ786451:ACA786454 ALV786451:ALW786454 AVR786451:AVS786454 BFN786451:BFO786454 BPJ786451:BPK786454 BZF786451:BZG786454 CJB786451:CJC786454 CSX786451:CSY786454 DCT786451:DCU786454 DMP786451:DMQ786454 DWL786451:DWM786454 EGH786451:EGI786454 EQD786451:EQE786454 EZZ786451:FAA786454 FJV786451:FJW786454 FTR786451:FTS786454 GDN786451:GDO786454 GNJ786451:GNK786454 GXF786451:GXG786454 HHB786451:HHC786454 HQX786451:HQY786454 IAT786451:IAU786454 IKP786451:IKQ786454 IUL786451:IUM786454 JEH786451:JEI786454 JOD786451:JOE786454 JXZ786451:JYA786454 KHV786451:KHW786454 KRR786451:KRS786454 LBN786451:LBO786454 LLJ786451:LLK786454 LVF786451:LVG786454 MFB786451:MFC786454 MOX786451:MOY786454 MYT786451:MYU786454 NIP786451:NIQ786454 NSL786451:NSM786454 OCH786451:OCI786454 OMD786451:OME786454 OVZ786451:OWA786454 PFV786451:PFW786454 PPR786451:PPS786454 PZN786451:PZO786454 QJJ786451:QJK786454 QTF786451:QTG786454 RDB786451:RDC786454 RMX786451:RMY786454 RWT786451:RWU786454 SGP786451:SGQ786454 SQL786451:SQM786454 TAH786451:TAI786454 TKD786451:TKE786454 TTZ786451:TUA786454 UDV786451:UDW786454 UNR786451:UNS786454 UXN786451:UXO786454 VHJ786451:VHK786454 VRF786451:VRG786454 WBB786451:WBC786454 WKX786451:WKY786454 WUT786451:WUU786454 IH851987:II851990 SD851987:SE851990 ABZ851987:ACA851990 ALV851987:ALW851990 AVR851987:AVS851990 BFN851987:BFO851990 BPJ851987:BPK851990 BZF851987:BZG851990 CJB851987:CJC851990 CSX851987:CSY851990 DCT851987:DCU851990 DMP851987:DMQ851990 DWL851987:DWM851990 EGH851987:EGI851990 EQD851987:EQE851990 EZZ851987:FAA851990 FJV851987:FJW851990 FTR851987:FTS851990 GDN851987:GDO851990 GNJ851987:GNK851990 GXF851987:GXG851990 HHB851987:HHC851990 HQX851987:HQY851990 IAT851987:IAU851990 IKP851987:IKQ851990 IUL851987:IUM851990 JEH851987:JEI851990 JOD851987:JOE851990 JXZ851987:JYA851990 KHV851987:KHW851990 KRR851987:KRS851990 LBN851987:LBO851990 LLJ851987:LLK851990 LVF851987:LVG851990 MFB851987:MFC851990 MOX851987:MOY851990 MYT851987:MYU851990 NIP851987:NIQ851990 NSL851987:NSM851990 OCH851987:OCI851990 OMD851987:OME851990 OVZ851987:OWA851990 PFV851987:PFW851990 PPR851987:PPS851990 PZN851987:PZO851990 QJJ851987:QJK851990 QTF851987:QTG851990 RDB851987:RDC851990 RMX851987:RMY851990 RWT851987:RWU851990 SGP851987:SGQ851990 SQL851987:SQM851990 TAH851987:TAI851990 TKD851987:TKE851990 TTZ851987:TUA851990 UDV851987:UDW851990 UNR851987:UNS851990 UXN851987:UXO851990 VHJ851987:VHK851990 VRF851987:VRG851990 WBB851987:WBC851990 WKX851987:WKY851990 WUT851987:WUU851990 IH917523:II917526 SD917523:SE917526 ABZ917523:ACA917526 ALV917523:ALW917526 AVR917523:AVS917526 BFN917523:BFO917526 BPJ917523:BPK917526 BZF917523:BZG917526 CJB917523:CJC917526 CSX917523:CSY917526 DCT917523:DCU917526 DMP917523:DMQ917526 DWL917523:DWM917526 EGH917523:EGI917526 EQD917523:EQE917526 EZZ917523:FAA917526 FJV917523:FJW917526 FTR917523:FTS917526 GDN917523:GDO917526 GNJ917523:GNK917526 GXF917523:GXG917526 HHB917523:HHC917526 HQX917523:HQY917526 IAT917523:IAU917526 IKP917523:IKQ917526 IUL917523:IUM917526 JEH917523:JEI917526 JOD917523:JOE917526 JXZ917523:JYA917526 KHV917523:KHW917526 KRR917523:KRS917526 LBN917523:LBO917526 LLJ917523:LLK917526 LVF917523:LVG917526 MFB917523:MFC917526 MOX917523:MOY917526 MYT917523:MYU917526 NIP917523:NIQ917526 NSL917523:NSM917526 OCH917523:OCI917526 OMD917523:OME917526 OVZ917523:OWA917526 PFV917523:PFW917526 PPR917523:PPS917526 PZN917523:PZO917526 QJJ917523:QJK917526 QTF917523:QTG917526 RDB917523:RDC917526 RMX917523:RMY917526 RWT917523:RWU917526 SGP917523:SGQ917526 SQL917523:SQM917526 TAH917523:TAI917526 TKD917523:TKE917526 TTZ917523:TUA917526 UDV917523:UDW917526 UNR917523:UNS917526 UXN917523:UXO917526 VHJ917523:VHK917526 VRF917523:VRG917526 WBB917523:WBC917526 WKX917523:WKY917526 WUT917523:WUU917526 IH983059:II983062 SD983059:SE983062 ABZ983059:ACA983062 ALV983059:ALW983062 AVR983059:AVS983062 BFN983059:BFO983062 BPJ983059:BPK983062 BZF983059:BZG983062 CJB983059:CJC983062 CSX983059:CSY983062 DCT983059:DCU983062 DMP983059:DMQ983062 DWL983059:DWM983062 EGH983059:EGI983062 EQD983059:EQE983062 EZZ983059:FAA983062 FJV983059:FJW983062 FTR983059:FTS983062 GDN983059:GDO983062 GNJ983059:GNK983062 GXF983059:GXG983062 HHB983059:HHC983062 HQX983059:HQY983062 IAT983059:IAU983062 IKP983059:IKQ983062 IUL983059:IUM983062 JEH983059:JEI983062 JOD983059:JOE983062 JXZ983059:JYA983062 KHV983059:KHW983062 KRR983059:KRS983062 LBN983059:LBO983062 LLJ983059:LLK983062 LVF983059:LVG983062 MFB983059:MFC983062 MOX983059:MOY983062 MYT983059:MYU983062 NIP983059:NIQ983062 NSL983059:NSM983062 OCH983059:OCI983062 OMD983059:OME983062 OVZ983059:OWA983062 PFV983059:PFW983062 PPR983059:PPS983062 PZN983059:PZO983062 QJJ983059:QJK983062 QTF983059:QTG983062 RDB983059:RDC983062 RMX983059:RMY983062 RWT983059:RWU983062 SGP983059:SGQ983062 SQL983059:SQM983062 TAH983059:TAI983062 TKD983059:TKE983062 TTZ983059:TUA983062 UDV983059:UDW983062 UNR983059:UNS983062 UXN983059:UXO983062 VHJ983059:VHK983062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blackAndWhite="1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BA74"/>
  <sheetViews>
    <sheetView view="pageBreakPreview" topLeftCell="A16" zoomScale="115" zoomScaleNormal="115" zoomScaleSheetLayoutView="115" workbookViewId="0">
      <selection activeCell="A13" sqref="A13:AN13"/>
    </sheetView>
  </sheetViews>
  <sheetFormatPr defaultRowHeight="12" customHeight="1" x14ac:dyDescent="0.2"/>
  <cols>
    <col min="1" max="39" width="2.42578125" style="28" customWidth="1"/>
    <col min="40" max="40" width="7.7109375" style="28" customWidth="1"/>
    <col min="41" max="41" width="9.140625" style="28" hidden="1" customWidth="1"/>
    <col min="42" max="256" width="9.140625" style="28"/>
    <col min="257" max="295" width="2.42578125" style="28" customWidth="1"/>
    <col min="296" max="296" width="7.7109375" style="28" customWidth="1"/>
    <col min="297" max="297" width="0" style="28" hidden="1" customWidth="1"/>
    <col min="298" max="512" width="9.140625" style="28"/>
    <col min="513" max="551" width="2.42578125" style="28" customWidth="1"/>
    <col min="552" max="552" width="7.7109375" style="28" customWidth="1"/>
    <col min="553" max="553" width="0" style="28" hidden="1" customWidth="1"/>
    <col min="554" max="768" width="9.140625" style="28"/>
    <col min="769" max="807" width="2.42578125" style="28" customWidth="1"/>
    <col min="808" max="808" width="7.7109375" style="28" customWidth="1"/>
    <col min="809" max="809" width="0" style="28" hidden="1" customWidth="1"/>
    <col min="810" max="1024" width="9.140625" style="28"/>
    <col min="1025" max="1063" width="2.42578125" style="28" customWidth="1"/>
    <col min="1064" max="1064" width="7.7109375" style="28" customWidth="1"/>
    <col min="1065" max="1065" width="0" style="28" hidden="1" customWidth="1"/>
    <col min="1066" max="1280" width="9.140625" style="28"/>
    <col min="1281" max="1319" width="2.42578125" style="28" customWidth="1"/>
    <col min="1320" max="1320" width="7.7109375" style="28" customWidth="1"/>
    <col min="1321" max="1321" width="0" style="28" hidden="1" customWidth="1"/>
    <col min="1322" max="1536" width="9.140625" style="28"/>
    <col min="1537" max="1575" width="2.42578125" style="28" customWidth="1"/>
    <col min="1576" max="1576" width="7.7109375" style="28" customWidth="1"/>
    <col min="1577" max="1577" width="0" style="28" hidden="1" customWidth="1"/>
    <col min="1578" max="1792" width="9.140625" style="28"/>
    <col min="1793" max="1831" width="2.42578125" style="28" customWidth="1"/>
    <col min="1832" max="1832" width="7.7109375" style="28" customWidth="1"/>
    <col min="1833" max="1833" width="0" style="28" hidden="1" customWidth="1"/>
    <col min="1834" max="2048" width="9.140625" style="28"/>
    <col min="2049" max="2087" width="2.42578125" style="28" customWidth="1"/>
    <col min="2088" max="2088" width="7.7109375" style="28" customWidth="1"/>
    <col min="2089" max="2089" width="0" style="28" hidden="1" customWidth="1"/>
    <col min="2090" max="2304" width="9.140625" style="28"/>
    <col min="2305" max="2343" width="2.42578125" style="28" customWidth="1"/>
    <col min="2344" max="2344" width="7.7109375" style="28" customWidth="1"/>
    <col min="2345" max="2345" width="0" style="28" hidden="1" customWidth="1"/>
    <col min="2346" max="2560" width="9.140625" style="28"/>
    <col min="2561" max="2599" width="2.42578125" style="28" customWidth="1"/>
    <col min="2600" max="2600" width="7.7109375" style="28" customWidth="1"/>
    <col min="2601" max="2601" width="0" style="28" hidden="1" customWidth="1"/>
    <col min="2602" max="2816" width="9.140625" style="28"/>
    <col min="2817" max="2855" width="2.42578125" style="28" customWidth="1"/>
    <col min="2856" max="2856" width="7.7109375" style="28" customWidth="1"/>
    <col min="2857" max="2857" width="0" style="28" hidden="1" customWidth="1"/>
    <col min="2858" max="3072" width="9.140625" style="28"/>
    <col min="3073" max="3111" width="2.42578125" style="28" customWidth="1"/>
    <col min="3112" max="3112" width="7.7109375" style="28" customWidth="1"/>
    <col min="3113" max="3113" width="0" style="28" hidden="1" customWidth="1"/>
    <col min="3114" max="3328" width="9.140625" style="28"/>
    <col min="3329" max="3367" width="2.42578125" style="28" customWidth="1"/>
    <col min="3368" max="3368" width="7.7109375" style="28" customWidth="1"/>
    <col min="3369" max="3369" width="0" style="28" hidden="1" customWidth="1"/>
    <col min="3370" max="3584" width="9.140625" style="28"/>
    <col min="3585" max="3623" width="2.42578125" style="28" customWidth="1"/>
    <col min="3624" max="3624" width="7.7109375" style="28" customWidth="1"/>
    <col min="3625" max="3625" width="0" style="28" hidden="1" customWidth="1"/>
    <col min="3626" max="3840" width="9.140625" style="28"/>
    <col min="3841" max="3879" width="2.42578125" style="28" customWidth="1"/>
    <col min="3880" max="3880" width="7.7109375" style="28" customWidth="1"/>
    <col min="3881" max="3881" width="0" style="28" hidden="1" customWidth="1"/>
    <col min="3882" max="4096" width="9.140625" style="28"/>
    <col min="4097" max="4135" width="2.42578125" style="28" customWidth="1"/>
    <col min="4136" max="4136" width="7.7109375" style="28" customWidth="1"/>
    <col min="4137" max="4137" width="0" style="28" hidden="1" customWidth="1"/>
    <col min="4138" max="4352" width="9.140625" style="28"/>
    <col min="4353" max="4391" width="2.42578125" style="28" customWidth="1"/>
    <col min="4392" max="4392" width="7.7109375" style="28" customWidth="1"/>
    <col min="4393" max="4393" width="0" style="28" hidden="1" customWidth="1"/>
    <col min="4394" max="4608" width="9.140625" style="28"/>
    <col min="4609" max="4647" width="2.42578125" style="28" customWidth="1"/>
    <col min="4648" max="4648" width="7.7109375" style="28" customWidth="1"/>
    <col min="4649" max="4649" width="0" style="28" hidden="1" customWidth="1"/>
    <col min="4650" max="4864" width="9.140625" style="28"/>
    <col min="4865" max="4903" width="2.42578125" style="28" customWidth="1"/>
    <col min="4904" max="4904" width="7.7109375" style="28" customWidth="1"/>
    <col min="4905" max="4905" width="0" style="28" hidden="1" customWidth="1"/>
    <col min="4906" max="5120" width="9.140625" style="28"/>
    <col min="5121" max="5159" width="2.42578125" style="28" customWidth="1"/>
    <col min="5160" max="5160" width="7.7109375" style="28" customWidth="1"/>
    <col min="5161" max="5161" width="0" style="28" hidden="1" customWidth="1"/>
    <col min="5162" max="5376" width="9.140625" style="28"/>
    <col min="5377" max="5415" width="2.42578125" style="28" customWidth="1"/>
    <col min="5416" max="5416" width="7.7109375" style="28" customWidth="1"/>
    <col min="5417" max="5417" width="0" style="28" hidden="1" customWidth="1"/>
    <col min="5418" max="5632" width="9.140625" style="28"/>
    <col min="5633" max="5671" width="2.42578125" style="28" customWidth="1"/>
    <col min="5672" max="5672" width="7.7109375" style="28" customWidth="1"/>
    <col min="5673" max="5673" width="0" style="28" hidden="1" customWidth="1"/>
    <col min="5674" max="5888" width="9.140625" style="28"/>
    <col min="5889" max="5927" width="2.42578125" style="28" customWidth="1"/>
    <col min="5928" max="5928" width="7.7109375" style="28" customWidth="1"/>
    <col min="5929" max="5929" width="0" style="28" hidden="1" customWidth="1"/>
    <col min="5930" max="6144" width="9.140625" style="28"/>
    <col min="6145" max="6183" width="2.42578125" style="28" customWidth="1"/>
    <col min="6184" max="6184" width="7.7109375" style="28" customWidth="1"/>
    <col min="6185" max="6185" width="0" style="28" hidden="1" customWidth="1"/>
    <col min="6186" max="6400" width="9.140625" style="28"/>
    <col min="6401" max="6439" width="2.42578125" style="28" customWidth="1"/>
    <col min="6440" max="6440" width="7.7109375" style="28" customWidth="1"/>
    <col min="6441" max="6441" width="0" style="28" hidden="1" customWidth="1"/>
    <col min="6442" max="6656" width="9.140625" style="28"/>
    <col min="6657" max="6695" width="2.42578125" style="28" customWidth="1"/>
    <col min="6696" max="6696" width="7.7109375" style="28" customWidth="1"/>
    <col min="6697" max="6697" width="0" style="28" hidden="1" customWidth="1"/>
    <col min="6698" max="6912" width="9.140625" style="28"/>
    <col min="6913" max="6951" width="2.42578125" style="28" customWidth="1"/>
    <col min="6952" max="6952" width="7.7109375" style="28" customWidth="1"/>
    <col min="6953" max="6953" width="0" style="28" hidden="1" customWidth="1"/>
    <col min="6954" max="7168" width="9.140625" style="28"/>
    <col min="7169" max="7207" width="2.42578125" style="28" customWidth="1"/>
    <col min="7208" max="7208" width="7.7109375" style="28" customWidth="1"/>
    <col min="7209" max="7209" width="0" style="28" hidden="1" customWidth="1"/>
    <col min="7210" max="7424" width="9.140625" style="28"/>
    <col min="7425" max="7463" width="2.42578125" style="28" customWidth="1"/>
    <col min="7464" max="7464" width="7.7109375" style="28" customWidth="1"/>
    <col min="7465" max="7465" width="0" style="28" hidden="1" customWidth="1"/>
    <col min="7466" max="7680" width="9.140625" style="28"/>
    <col min="7681" max="7719" width="2.42578125" style="28" customWidth="1"/>
    <col min="7720" max="7720" width="7.7109375" style="28" customWidth="1"/>
    <col min="7721" max="7721" width="0" style="28" hidden="1" customWidth="1"/>
    <col min="7722" max="7936" width="9.140625" style="28"/>
    <col min="7937" max="7975" width="2.42578125" style="28" customWidth="1"/>
    <col min="7976" max="7976" width="7.7109375" style="28" customWidth="1"/>
    <col min="7977" max="7977" width="0" style="28" hidden="1" customWidth="1"/>
    <col min="7978" max="8192" width="9.140625" style="28"/>
    <col min="8193" max="8231" width="2.42578125" style="28" customWidth="1"/>
    <col min="8232" max="8232" width="7.7109375" style="28" customWidth="1"/>
    <col min="8233" max="8233" width="0" style="28" hidden="1" customWidth="1"/>
    <col min="8234" max="8448" width="9.140625" style="28"/>
    <col min="8449" max="8487" width="2.42578125" style="28" customWidth="1"/>
    <col min="8488" max="8488" width="7.7109375" style="28" customWidth="1"/>
    <col min="8489" max="8489" width="0" style="28" hidden="1" customWidth="1"/>
    <col min="8490" max="8704" width="9.140625" style="28"/>
    <col min="8705" max="8743" width="2.42578125" style="28" customWidth="1"/>
    <col min="8744" max="8744" width="7.7109375" style="28" customWidth="1"/>
    <col min="8745" max="8745" width="0" style="28" hidden="1" customWidth="1"/>
    <col min="8746" max="8960" width="9.140625" style="28"/>
    <col min="8961" max="8999" width="2.42578125" style="28" customWidth="1"/>
    <col min="9000" max="9000" width="7.7109375" style="28" customWidth="1"/>
    <col min="9001" max="9001" width="0" style="28" hidden="1" customWidth="1"/>
    <col min="9002" max="9216" width="9.140625" style="28"/>
    <col min="9217" max="9255" width="2.42578125" style="28" customWidth="1"/>
    <col min="9256" max="9256" width="7.7109375" style="28" customWidth="1"/>
    <col min="9257" max="9257" width="0" style="28" hidden="1" customWidth="1"/>
    <col min="9258" max="9472" width="9.140625" style="28"/>
    <col min="9473" max="9511" width="2.42578125" style="28" customWidth="1"/>
    <col min="9512" max="9512" width="7.7109375" style="28" customWidth="1"/>
    <col min="9513" max="9513" width="0" style="28" hidden="1" customWidth="1"/>
    <col min="9514" max="9728" width="9.140625" style="28"/>
    <col min="9729" max="9767" width="2.42578125" style="28" customWidth="1"/>
    <col min="9768" max="9768" width="7.7109375" style="28" customWidth="1"/>
    <col min="9769" max="9769" width="0" style="28" hidden="1" customWidth="1"/>
    <col min="9770" max="9984" width="9.140625" style="28"/>
    <col min="9985" max="10023" width="2.42578125" style="28" customWidth="1"/>
    <col min="10024" max="10024" width="7.7109375" style="28" customWidth="1"/>
    <col min="10025" max="10025" width="0" style="28" hidden="1" customWidth="1"/>
    <col min="10026" max="10240" width="9.140625" style="28"/>
    <col min="10241" max="10279" width="2.42578125" style="28" customWidth="1"/>
    <col min="10280" max="10280" width="7.7109375" style="28" customWidth="1"/>
    <col min="10281" max="10281" width="0" style="28" hidden="1" customWidth="1"/>
    <col min="10282" max="10496" width="9.140625" style="28"/>
    <col min="10497" max="10535" width="2.42578125" style="28" customWidth="1"/>
    <col min="10536" max="10536" width="7.7109375" style="28" customWidth="1"/>
    <col min="10537" max="10537" width="0" style="28" hidden="1" customWidth="1"/>
    <col min="10538" max="10752" width="9.140625" style="28"/>
    <col min="10753" max="10791" width="2.42578125" style="28" customWidth="1"/>
    <col min="10792" max="10792" width="7.7109375" style="28" customWidth="1"/>
    <col min="10793" max="10793" width="0" style="28" hidden="1" customWidth="1"/>
    <col min="10794" max="11008" width="9.140625" style="28"/>
    <col min="11009" max="11047" width="2.42578125" style="28" customWidth="1"/>
    <col min="11048" max="11048" width="7.7109375" style="28" customWidth="1"/>
    <col min="11049" max="11049" width="0" style="28" hidden="1" customWidth="1"/>
    <col min="11050" max="11264" width="9.140625" style="28"/>
    <col min="11265" max="11303" width="2.42578125" style="28" customWidth="1"/>
    <col min="11304" max="11304" width="7.7109375" style="28" customWidth="1"/>
    <col min="11305" max="11305" width="0" style="28" hidden="1" customWidth="1"/>
    <col min="11306" max="11520" width="9.140625" style="28"/>
    <col min="11521" max="11559" width="2.42578125" style="28" customWidth="1"/>
    <col min="11560" max="11560" width="7.7109375" style="28" customWidth="1"/>
    <col min="11561" max="11561" width="0" style="28" hidden="1" customWidth="1"/>
    <col min="11562" max="11776" width="9.140625" style="28"/>
    <col min="11777" max="11815" width="2.42578125" style="28" customWidth="1"/>
    <col min="11816" max="11816" width="7.7109375" style="28" customWidth="1"/>
    <col min="11817" max="11817" width="0" style="28" hidden="1" customWidth="1"/>
    <col min="11818" max="12032" width="9.140625" style="28"/>
    <col min="12033" max="12071" width="2.42578125" style="28" customWidth="1"/>
    <col min="12072" max="12072" width="7.7109375" style="28" customWidth="1"/>
    <col min="12073" max="12073" width="0" style="28" hidden="1" customWidth="1"/>
    <col min="12074" max="12288" width="9.140625" style="28"/>
    <col min="12289" max="12327" width="2.42578125" style="28" customWidth="1"/>
    <col min="12328" max="12328" width="7.7109375" style="28" customWidth="1"/>
    <col min="12329" max="12329" width="0" style="28" hidden="1" customWidth="1"/>
    <col min="12330" max="12544" width="9.140625" style="28"/>
    <col min="12545" max="12583" width="2.42578125" style="28" customWidth="1"/>
    <col min="12584" max="12584" width="7.7109375" style="28" customWidth="1"/>
    <col min="12585" max="12585" width="0" style="28" hidden="1" customWidth="1"/>
    <col min="12586" max="12800" width="9.140625" style="28"/>
    <col min="12801" max="12839" width="2.42578125" style="28" customWidth="1"/>
    <col min="12840" max="12840" width="7.7109375" style="28" customWidth="1"/>
    <col min="12841" max="12841" width="0" style="28" hidden="1" customWidth="1"/>
    <col min="12842" max="13056" width="9.140625" style="28"/>
    <col min="13057" max="13095" width="2.42578125" style="28" customWidth="1"/>
    <col min="13096" max="13096" width="7.7109375" style="28" customWidth="1"/>
    <col min="13097" max="13097" width="0" style="28" hidden="1" customWidth="1"/>
    <col min="13098" max="13312" width="9.140625" style="28"/>
    <col min="13313" max="13351" width="2.42578125" style="28" customWidth="1"/>
    <col min="13352" max="13352" width="7.7109375" style="28" customWidth="1"/>
    <col min="13353" max="13353" width="0" style="28" hidden="1" customWidth="1"/>
    <col min="13354" max="13568" width="9.140625" style="28"/>
    <col min="13569" max="13607" width="2.42578125" style="28" customWidth="1"/>
    <col min="13608" max="13608" width="7.7109375" style="28" customWidth="1"/>
    <col min="13609" max="13609" width="0" style="28" hidden="1" customWidth="1"/>
    <col min="13610" max="13824" width="9.140625" style="28"/>
    <col min="13825" max="13863" width="2.42578125" style="28" customWidth="1"/>
    <col min="13864" max="13864" width="7.7109375" style="28" customWidth="1"/>
    <col min="13865" max="13865" width="0" style="28" hidden="1" customWidth="1"/>
    <col min="13866" max="14080" width="9.140625" style="28"/>
    <col min="14081" max="14119" width="2.42578125" style="28" customWidth="1"/>
    <col min="14120" max="14120" width="7.7109375" style="28" customWidth="1"/>
    <col min="14121" max="14121" width="0" style="28" hidden="1" customWidth="1"/>
    <col min="14122" max="14336" width="9.140625" style="28"/>
    <col min="14337" max="14375" width="2.42578125" style="28" customWidth="1"/>
    <col min="14376" max="14376" width="7.7109375" style="28" customWidth="1"/>
    <col min="14377" max="14377" width="0" style="28" hidden="1" customWidth="1"/>
    <col min="14378" max="14592" width="9.140625" style="28"/>
    <col min="14593" max="14631" width="2.42578125" style="28" customWidth="1"/>
    <col min="14632" max="14632" width="7.7109375" style="28" customWidth="1"/>
    <col min="14633" max="14633" width="0" style="28" hidden="1" customWidth="1"/>
    <col min="14634" max="14848" width="9.140625" style="28"/>
    <col min="14849" max="14887" width="2.42578125" style="28" customWidth="1"/>
    <col min="14888" max="14888" width="7.7109375" style="28" customWidth="1"/>
    <col min="14889" max="14889" width="0" style="28" hidden="1" customWidth="1"/>
    <col min="14890" max="15104" width="9.140625" style="28"/>
    <col min="15105" max="15143" width="2.42578125" style="28" customWidth="1"/>
    <col min="15144" max="15144" width="7.7109375" style="28" customWidth="1"/>
    <col min="15145" max="15145" width="0" style="28" hidden="1" customWidth="1"/>
    <col min="15146" max="15360" width="9.140625" style="28"/>
    <col min="15361" max="15399" width="2.42578125" style="28" customWidth="1"/>
    <col min="15400" max="15400" width="7.7109375" style="28" customWidth="1"/>
    <col min="15401" max="15401" width="0" style="28" hidden="1" customWidth="1"/>
    <col min="15402" max="15616" width="9.140625" style="28"/>
    <col min="15617" max="15655" width="2.42578125" style="28" customWidth="1"/>
    <col min="15656" max="15656" width="7.7109375" style="28" customWidth="1"/>
    <col min="15657" max="15657" width="0" style="28" hidden="1" customWidth="1"/>
    <col min="15658" max="15872" width="9.140625" style="28"/>
    <col min="15873" max="15911" width="2.42578125" style="28" customWidth="1"/>
    <col min="15912" max="15912" width="7.7109375" style="28" customWidth="1"/>
    <col min="15913" max="15913" width="0" style="28" hidden="1" customWidth="1"/>
    <col min="15914" max="16128" width="9.140625" style="28"/>
    <col min="16129" max="16167" width="2.42578125" style="28" customWidth="1"/>
    <col min="16168" max="16168" width="7.7109375" style="28" customWidth="1"/>
    <col min="16169" max="16169" width="0" style="28" hidden="1" customWidth="1"/>
    <col min="16170" max="16384" width="9.140625" style="28"/>
  </cols>
  <sheetData>
    <row r="1" spans="1:41" ht="11.65" customHeight="1" x14ac:dyDescent="0.2">
      <c r="A1" s="26"/>
      <c r="B1" s="217"/>
      <c r="C1" s="217"/>
      <c r="D1" s="217"/>
      <c r="E1" s="217"/>
      <c r="F1" s="217"/>
      <c r="G1" s="217"/>
      <c r="H1" s="217"/>
      <c r="I1" s="217"/>
      <c r="J1" s="217"/>
      <c r="K1" s="27"/>
      <c r="L1" s="650" t="s">
        <v>279</v>
      </c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6"/>
      <c r="AF1" s="657"/>
      <c r="AG1" s="657"/>
      <c r="AH1" s="657"/>
      <c r="AI1" s="657"/>
      <c r="AJ1" s="657"/>
      <c r="AK1" s="657"/>
      <c r="AL1" s="657"/>
      <c r="AM1" s="657"/>
      <c r="AN1" s="658"/>
    </row>
    <row r="2" spans="1:41" ht="11.65" customHeight="1" x14ac:dyDescent="0.2">
      <c r="A2" s="29"/>
      <c r="B2" s="218"/>
      <c r="C2" s="218"/>
      <c r="D2" s="218"/>
      <c r="E2" s="218"/>
      <c r="F2" s="218"/>
      <c r="G2" s="218"/>
      <c r="H2" s="218"/>
      <c r="I2" s="218"/>
      <c r="J2" s="218"/>
      <c r="K2" s="30"/>
      <c r="L2" s="652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9"/>
      <c r="AF2" s="660"/>
      <c r="AG2" s="660"/>
      <c r="AH2" s="660"/>
      <c r="AI2" s="660"/>
      <c r="AJ2" s="660"/>
      <c r="AK2" s="660"/>
      <c r="AL2" s="660"/>
      <c r="AM2" s="660"/>
      <c r="AN2" s="661"/>
    </row>
    <row r="3" spans="1:41" ht="11.65" customHeight="1" x14ac:dyDescent="0.2">
      <c r="A3" s="29"/>
      <c r="B3" s="218"/>
      <c r="C3" s="218"/>
      <c r="D3" s="218"/>
      <c r="E3" s="218"/>
      <c r="F3" s="218"/>
      <c r="G3" s="218"/>
      <c r="H3" s="218"/>
      <c r="I3" s="218"/>
      <c r="J3" s="218"/>
      <c r="K3" s="30"/>
      <c r="L3" s="652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653"/>
      <c r="AA3" s="653"/>
      <c r="AB3" s="653"/>
      <c r="AC3" s="653"/>
      <c r="AD3" s="653"/>
      <c r="AE3" s="659"/>
      <c r="AF3" s="660"/>
      <c r="AG3" s="660"/>
      <c r="AH3" s="660"/>
      <c r="AI3" s="660"/>
      <c r="AJ3" s="660"/>
      <c r="AK3" s="660"/>
      <c r="AL3" s="660"/>
      <c r="AM3" s="660"/>
      <c r="AN3" s="661"/>
    </row>
    <row r="4" spans="1:41" ht="11.65" customHeight="1" x14ac:dyDescent="0.2">
      <c r="A4" s="29"/>
      <c r="B4" s="218"/>
      <c r="C4" s="218"/>
      <c r="D4" s="218"/>
      <c r="E4" s="218"/>
      <c r="F4" s="218"/>
      <c r="G4" s="218"/>
      <c r="H4" s="218"/>
      <c r="I4" s="218"/>
      <c r="J4" s="218"/>
      <c r="K4" s="30"/>
      <c r="L4" s="652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3"/>
      <c r="AB4" s="653"/>
      <c r="AC4" s="653"/>
      <c r="AD4" s="653"/>
      <c r="AE4" s="659"/>
      <c r="AF4" s="660"/>
      <c r="AG4" s="660"/>
      <c r="AH4" s="660"/>
      <c r="AI4" s="660"/>
      <c r="AJ4" s="660"/>
      <c r="AK4" s="660"/>
      <c r="AL4" s="660"/>
      <c r="AM4" s="660"/>
      <c r="AN4" s="661"/>
    </row>
    <row r="5" spans="1:41" ht="11.65" customHeight="1" x14ac:dyDescent="0.2">
      <c r="A5" s="662" t="s">
        <v>0</v>
      </c>
      <c r="B5" s="663"/>
      <c r="C5" s="663"/>
      <c r="D5" s="663"/>
      <c r="E5" s="663"/>
      <c r="F5" s="663"/>
      <c r="G5" s="663"/>
      <c r="H5" s="663"/>
      <c r="I5" s="663"/>
      <c r="J5" s="663"/>
      <c r="K5" s="664"/>
      <c r="L5" s="652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  <c r="Y5" s="653"/>
      <c r="Z5" s="653"/>
      <c r="AA5" s="653"/>
      <c r="AB5" s="653"/>
      <c r="AC5" s="653"/>
      <c r="AD5" s="653"/>
      <c r="AE5" s="665" t="s">
        <v>1</v>
      </c>
      <c r="AF5" s="666"/>
      <c r="AG5" s="666"/>
      <c r="AH5" s="666"/>
      <c r="AI5" s="666"/>
      <c r="AJ5" s="666"/>
      <c r="AK5" s="666"/>
      <c r="AL5" s="666"/>
      <c r="AM5" s="666"/>
      <c r="AN5" s="667"/>
    </row>
    <row r="6" spans="1:41" ht="11.65" customHeight="1" x14ac:dyDescent="0.2">
      <c r="A6" s="662"/>
      <c r="B6" s="663"/>
      <c r="C6" s="663"/>
      <c r="D6" s="663"/>
      <c r="E6" s="663"/>
      <c r="F6" s="663"/>
      <c r="G6" s="663"/>
      <c r="H6" s="663"/>
      <c r="I6" s="663"/>
      <c r="J6" s="663"/>
      <c r="K6" s="664"/>
      <c r="L6" s="654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68"/>
      <c r="AF6" s="669"/>
      <c r="AG6" s="669"/>
      <c r="AH6" s="669"/>
      <c r="AI6" s="669"/>
      <c r="AJ6" s="669"/>
      <c r="AK6" s="669"/>
      <c r="AL6" s="669"/>
      <c r="AM6" s="669"/>
      <c r="AN6" s="670"/>
    </row>
    <row r="7" spans="1:41" ht="11.65" customHeight="1" x14ac:dyDescent="0.2">
      <c r="A7" s="671" t="s">
        <v>2</v>
      </c>
      <c r="B7" s="672"/>
      <c r="C7" s="672"/>
      <c r="D7" s="672"/>
      <c r="E7" s="672"/>
      <c r="F7" s="672"/>
      <c r="G7" s="672"/>
      <c r="H7" s="672"/>
      <c r="I7" s="672"/>
      <c r="J7" s="672"/>
      <c r="K7" s="673"/>
      <c r="L7" s="677" t="s">
        <v>281</v>
      </c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  <c r="AB7" s="678"/>
      <c r="AC7" s="678"/>
      <c r="AD7" s="678"/>
      <c r="AE7" s="683" t="s">
        <v>3</v>
      </c>
      <c r="AF7" s="672"/>
      <c r="AG7" s="672"/>
      <c r="AH7" s="672"/>
      <c r="AI7" s="672"/>
      <c r="AJ7" s="672"/>
      <c r="AK7" s="672"/>
      <c r="AL7" s="672"/>
      <c r="AM7" s="672"/>
      <c r="AN7" s="684"/>
    </row>
    <row r="8" spans="1:41" ht="11.65" customHeight="1" x14ac:dyDescent="0.2">
      <c r="A8" s="674"/>
      <c r="B8" s="675"/>
      <c r="C8" s="675"/>
      <c r="D8" s="675"/>
      <c r="E8" s="675"/>
      <c r="F8" s="675"/>
      <c r="G8" s="675"/>
      <c r="H8" s="675"/>
      <c r="I8" s="675"/>
      <c r="J8" s="675"/>
      <c r="K8" s="676"/>
      <c r="L8" s="679"/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  <c r="Y8" s="680"/>
      <c r="Z8" s="680"/>
      <c r="AA8" s="680"/>
      <c r="AB8" s="680"/>
      <c r="AC8" s="680"/>
      <c r="AD8" s="680"/>
      <c r="AE8" s="685"/>
      <c r="AF8" s="675"/>
      <c r="AG8" s="675"/>
      <c r="AH8" s="675"/>
      <c r="AI8" s="675"/>
      <c r="AJ8" s="675"/>
      <c r="AK8" s="675"/>
      <c r="AL8" s="675"/>
      <c r="AM8" s="675"/>
      <c r="AN8" s="686"/>
    </row>
    <row r="9" spans="1:41" s="31" customFormat="1" ht="11.65" customHeight="1" x14ac:dyDescent="0.2">
      <c r="A9" s="674"/>
      <c r="B9" s="675"/>
      <c r="C9" s="675"/>
      <c r="D9" s="675"/>
      <c r="E9" s="675"/>
      <c r="F9" s="675"/>
      <c r="G9" s="675"/>
      <c r="H9" s="675"/>
      <c r="I9" s="675"/>
      <c r="J9" s="675"/>
      <c r="K9" s="676"/>
      <c r="L9" s="681"/>
      <c r="M9" s="682"/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7"/>
      <c r="AF9" s="688"/>
      <c r="AG9" s="688"/>
      <c r="AH9" s="688"/>
      <c r="AI9" s="688"/>
      <c r="AJ9" s="688"/>
      <c r="AK9" s="688"/>
      <c r="AL9" s="688"/>
      <c r="AM9" s="688"/>
      <c r="AN9" s="689"/>
    </row>
    <row r="10" spans="1:41" ht="11.65" customHeight="1" x14ac:dyDescent="0.2">
      <c r="A10" s="698" t="s">
        <v>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700"/>
      <c r="L10" s="692" t="s">
        <v>5</v>
      </c>
      <c r="M10" s="692"/>
      <c r="N10" s="692"/>
      <c r="O10" s="692"/>
      <c r="P10" s="692" t="s">
        <v>6</v>
      </c>
      <c r="Q10" s="692"/>
      <c r="R10" s="692"/>
      <c r="S10" s="692" t="s">
        <v>7</v>
      </c>
      <c r="T10" s="692"/>
      <c r="U10" s="692"/>
      <c r="V10" s="692" t="s">
        <v>8</v>
      </c>
      <c r="W10" s="692"/>
      <c r="X10" s="692"/>
      <c r="Y10" s="692" t="s">
        <v>9</v>
      </c>
      <c r="Z10" s="692"/>
      <c r="AA10" s="692"/>
      <c r="AB10" s="692" t="s">
        <v>10</v>
      </c>
      <c r="AC10" s="692"/>
      <c r="AD10" s="692"/>
      <c r="AE10" s="693" t="s">
        <v>40</v>
      </c>
      <c r="AF10" s="693"/>
      <c r="AG10" s="693"/>
      <c r="AH10" s="693"/>
      <c r="AI10" s="693"/>
      <c r="AJ10" s="693"/>
      <c r="AK10" s="693"/>
      <c r="AL10" s="693"/>
      <c r="AM10" s="693"/>
      <c r="AN10" s="694"/>
    </row>
    <row r="11" spans="1:41" ht="11.65" customHeight="1" thickBot="1" x14ac:dyDescent="0.25">
      <c r="A11" s="701"/>
      <c r="B11" s="702"/>
      <c r="C11" s="702"/>
      <c r="D11" s="702"/>
      <c r="E11" s="702"/>
      <c r="F11" s="702"/>
      <c r="G11" s="702"/>
      <c r="H11" s="702"/>
      <c r="I11" s="702"/>
      <c r="J11" s="702"/>
      <c r="K11" s="703"/>
      <c r="L11" s="697">
        <v>91215</v>
      </c>
      <c r="M11" s="697"/>
      <c r="N11" s="697"/>
      <c r="O11" s="697"/>
      <c r="P11" s="697" t="s">
        <v>280</v>
      </c>
      <c r="Q11" s="697"/>
      <c r="R11" s="697"/>
      <c r="S11" s="697" t="s">
        <v>11</v>
      </c>
      <c r="T11" s="697"/>
      <c r="U11" s="697"/>
      <c r="V11" s="697" t="s">
        <v>12</v>
      </c>
      <c r="W11" s="697"/>
      <c r="X11" s="697"/>
      <c r="Y11" s="697">
        <v>463</v>
      </c>
      <c r="Z11" s="697"/>
      <c r="AA11" s="697"/>
      <c r="AB11" s="697" t="s">
        <v>13</v>
      </c>
      <c r="AC11" s="697"/>
      <c r="AD11" s="697"/>
      <c r="AE11" s="695"/>
      <c r="AF11" s="695"/>
      <c r="AG11" s="695"/>
      <c r="AH11" s="695"/>
      <c r="AI11" s="695"/>
      <c r="AJ11" s="695"/>
      <c r="AK11" s="695"/>
      <c r="AL11" s="695"/>
      <c r="AM11" s="695"/>
      <c r="AN11" s="696"/>
    </row>
    <row r="12" spans="1:41" ht="11.65" customHeight="1" thickBot="1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2"/>
      <c r="V12" s="12"/>
      <c r="W12" s="13"/>
      <c r="X12" s="14"/>
      <c r="Y12" s="14"/>
      <c r="Z12" s="14"/>
      <c r="AA12" s="14"/>
      <c r="AB12" s="14"/>
      <c r="AC12" s="11"/>
      <c r="AD12" s="12"/>
      <c r="AE12" s="12"/>
      <c r="AF12" s="14"/>
      <c r="AG12" s="14"/>
      <c r="AH12" s="14"/>
      <c r="AI12" s="14"/>
      <c r="AJ12" s="14"/>
      <c r="AK12" s="14"/>
      <c r="AL12" s="15"/>
      <c r="AM12" s="12"/>
      <c r="AN12" s="10"/>
    </row>
    <row r="13" spans="1:41" ht="15" customHeight="1" x14ac:dyDescent="0.2">
      <c r="A13" s="704" t="s">
        <v>288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705"/>
      <c r="W13" s="705"/>
      <c r="X13" s="705"/>
      <c r="Y13" s="705"/>
      <c r="Z13" s="705"/>
      <c r="AA13" s="705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/>
      <c r="AN13" s="706"/>
      <c r="AO13" s="50"/>
    </row>
    <row r="14" spans="1:41" ht="15" customHeight="1" thickBot="1" x14ac:dyDescent="0.25">
      <c r="A14" s="707" t="s">
        <v>285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/>
      <c r="O14" s="708"/>
      <c r="P14" s="708"/>
      <c r="Q14" s="708"/>
      <c r="R14" s="708"/>
      <c r="S14" s="708"/>
      <c r="T14" s="708"/>
      <c r="U14" s="708"/>
      <c r="V14" s="708"/>
      <c r="W14" s="708"/>
      <c r="X14" s="708"/>
      <c r="Y14" s="708"/>
      <c r="Z14" s="708"/>
      <c r="AA14" s="708"/>
      <c r="AB14" s="708"/>
      <c r="AC14" s="708"/>
      <c r="AD14" s="708"/>
      <c r="AE14" s="708"/>
      <c r="AF14" s="708"/>
      <c r="AG14" s="708"/>
      <c r="AH14" s="708"/>
      <c r="AI14" s="708"/>
      <c r="AJ14" s="708"/>
      <c r="AK14" s="708"/>
      <c r="AL14" s="708"/>
      <c r="AM14" s="708"/>
      <c r="AN14" s="709"/>
      <c r="AO14" s="62"/>
    </row>
    <row r="15" spans="1:41" ht="15" customHeight="1" thickBot="1" x14ac:dyDescent="0.2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62"/>
    </row>
    <row r="16" spans="1:41" ht="12.95" customHeight="1" x14ac:dyDescent="0.2">
      <c r="A16" s="247"/>
      <c r="B16" s="248"/>
      <c r="C16" s="249"/>
      <c r="D16" s="249"/>
      <c r="E16" s="249"/>
      <c r="F16" s="249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50"/>
      <c r="U16" s="251"/>
      <c r="V16" s="251"/>
      <c r="W16" s="252"/>
      <c r="X16" s="253"/>
      <c r="Y16" s="253"/>
      <c r="Z16" s="253"/>
      <c r="AA16" s="253"/>
      <c r="AB16" s="253"/>
      <c r="AC16" s="250"/>
      <c r="AD16" s="251"/>
      <c r="AE16" s="251"/>
      <c r="AF16" s="253"/>
      <c r="AG16" s="253"/>
      <c r="AH16" s="253"/>
      <c r="AI16" s="253"/>
      <c r="AJ16" s="253"/>
      <c r="AK16" s="253"/>
      <c r="AL16" s="254"/>
      <c r="AM16" s="251"/>
      <c r="AN16" s="255"/>
      <c r="AO16" s="62"/>
    </row>
    <row r="17" spans="1:53" ht="12.95" customHeight="1" x14ac:dyDescent="0.2">
      <c r="A17" s="256" t="s">
        <v>46</v>
      </c>
      <c r="B17" s="40" t="s">
        <v>47</v>
      </c>
      <c r="C17" s="41"/>
      <c r="D17" s="41"/>
      <c r="E17" s="227"/>
      <c r="F17" s="42"/>
      <c r="G17" s="42"/>
      <c r="H17" s="42"/>
      <c r="I17" s="43"/>
      <c r="J17" s="42"/>
      <c r="K17" s="44"/>
      <c r="L17" s="44"/>
      <c r="M17" s="42"/>
      <c r="N17" s="42"/>
      <c r="O17" s="45"/>
      <c r="P17" s="42"/>
      <c r="Q17" s="42"/>
      <c r="R17" s="42"/>
      <c r="S17" s="42"/>
      <c r="T17" s="46"/>
      <c r="U17" s="40" t="s">
        <v>48</v>
      </c>
      <c r="V17" s="47"/>
      <c r="W17" s="47"/>
      <c r="X17" s="48"/>
      <c r="Y17" s="48"/>
      <c r="Z17" s="49"/>
      <c r="AA17" s="49"/>
      <c r="AB17" s="49"/>
      <c r="AC17" s="49"/>
      <c r="AD17" s="49"/>
      <c r="AE17" s="49"/>
      <c r="AF17" s="49"/>
      <c r="AG17" s="49"/>
      <c r="AH17" s="49"/>
      <c r="AI17" s="49" t="s">
        <v>33</v>
      </c>
      <c r="AJ17" s="49"/>
      <c r="AK17" s="49"/>
      <c r="AL17" s="49"/>
      <c r="AM17" s="43"/>
      <c r="AN17" s="257"/>
      <c r="AO17" s="77"/>
    </row>
    <row r="18" spans="1:53" ht="12.95" customHeight="1" x14ac:dyDescent="0.2">
      <c r="A18" s="258" t="s">
        <v>49</v>
      </c>
      <c r="B18" s="51" t="s">
        <v>50</v>
      </c>
      <c r="C18" s="52"/>
      <c r="D18" s="52"/>
      <c r="E18" s="228"/>
      <c r="F18" s="53"/>
      <c r="G18" s="53"/>
      <c r="H18" s="53"/>
      <c r="I18" s="54"/>
      <c r="J18" s="53"/>
      <c r="K18" s="55"/>
      <c r="L18" s="55"/>
      <c r="M18" s="53"/>
      <c r="N18" s="53"/>
      <c r="O18" s="56"/>
      <c r="P18" s="53"/>
      <c r="Q18" s="53"/>
      <c r="R18" s="53"/>
      <c r="S18" s="53"/>
      <c r="T18" s="57"/>
      <c r="U18" s="58" t="s">
        <v>51</v>
      </c>
      <c r="V18" s="59"/>
      <c r="W18" s="59"/>
      <c r="X18" s="59"/>
      <c r="Y18" s="59"/>
      <c r="Z18" s="60"/>
      <c r="AA18" s="61"/>
      <c r="AB18" s="60"/>
      <c r="AC18" s="60"/>
      <c r="AD18" s="60"/>
      <c r="AE18" s="61"/>
      <c r="AF18" s="60"/>
      <c r="AG18" s="60"/>
      <c r="AH18" s="61"/>
      <c r="AI18" s="60" t="s">
        <v>33</v>
      </c>
      <c r="AJ18" s="60"/>
      <c r="AK18" s="60"/>
      <c r="AL18" s="56"/>
      <c r="AM18" s="62"/>
      <c r="AN18" s="259"/>
    </row>
    <row r="19" spans="1:53" ht="12.95" customHeight="1" x14ac:dyDescent="0.2">
      <c r="A19" s="258" t="s">
        <v>52</v>
      </c>
      <c r="B19" s="51" t="s">
        <v>53</v>
      </c>
      <c r="C19" s="52"/>
      <c r="D19" s="52"/>
      <c r="E19" s="228"/>
      <c r="F19" s="53"/>
      <c r="G19" s="53"/>
      <c r="H19" s="53"/>
      <c r="I19" s="54"/>
      <c r="J19" s="63"/>
      <c r="K19" s="55"/>
      <c r="L19" s="55"/>
      <c r="M19" s="53"/>
      <c r="N19" s="53"/>
      <c r="O19" s="56"/>
      <c r="P19" s="53"/>
      <c r="Q19" s="53"/>
      <c r="R19" s="53"/>
      <c r="S19" s="53"/>
      <c r="T19" s="57"/>
      <c r="U19" s="58" t="s">
        <v>54</v>
      </c>
      <c r="V19" s="64"/>
      <c r="W19" s="64"/>
      <c r="X19" s="65"/>
      <c r="Y19" s="64"/>
      <c r="Z19" s="60"/>
      <c r="AA19" s="66"/>
      <c r="AB19" s="66"/>
      <c r="AC19" s="66"/>
      <c r="AD19" s="66"/>
      <c r="AE19" s="66"/>
      <c r="AF19" s="66"/>
      <c r="AG19" s="66"/>
      <c r="AH19" s="66"/>
      <c r="AI19" s="60" t="s">
        <v>33</v>
      </c>
      <c r="AJ19" s="53"/>
      <c r="AK19" s="53"/>
      <c r="AL19" s="56"/>
      <c r="AM19" s="62"/>
      <c r="AN19" s="259"/>
      <c r="AO19" s="216"/>
    </row>
    <row r="20" spans="1:53" ht="12.95" customHeight="1" x14ac:dyDescent="0.2">
      <c r="A20" s="258" t="s">
        <v>55</v>
      </c>
      <c r="B20" s="67" t="s">
        <v>56</v>
      </c>
      <c r="C20" s="68"/>
      <c r="D20" s="68"/>
      <c r="E20" s="68"/>
      <c r="F20" s="69" t="s">
        <v>57</v>
      </c>
      <c r="G20" s="70"/>
      <c r="H20" s="70"/>
      <c r="I20" s="70"/>
      <c r="J20" s="71"/>
      <c r="K20" s="72"/>
      <c r="L20" s="72"/>
      <c r="M20" s="70"/>
      <c r="N20" s="70"/>
      <c r="O20" s="73"/>
      <c r="P20" s="70"/>
      <c r="Q20" s="70"/>
      <c r="R20" s="70"/>
      <c r="S20" s="70"/>
      <c r="T20" s="74"/>
      <c r="U20" s="58"/>
      <c r="V20" s="64"/>
      <c r="W20" s="64"/>
      <c r="X20" s="64"/>
      <c r="Y20" s="65"/>
      <c r="Z20" s="70"/>
      <c r="AA20" s="70"/>
      <c r="AB20" s="70"/>
      <c r="AC20" s="69"/>
      <c r="AD20" s="75"/>
      <c r="AE20" s="76"/>
      <c r="AF20" s="70"/>
      <c r="AG20" s="70"/>
      <c r="AH20" s="76"/>
      <c r="AI20" s="70"/>
      <c r="AJ20" s="70"/>
      <c r="AK20" s="70"/>
      <c r="AL20" s="73"/>
      <c r="AM20" s="77"/>
      <c r="AN20" s="260"/>
      <c r="AO20" s="221"/>
    </row>
    <row r="21" spans="1:53" ht="12.95" customHeight="1" x14ac:dyDescent="0.2">
      <c r="A21" s="261"/>
      <c r="B21" s="710" t="s">
        <v>58</v>
      </c>
      <c r="C21" s="711"/>
      <c r="D21" s="711"/>
      <c r="E21" s="711"/>
      <c r="F21" s="711"/>
      <c r="G21" s="711"/>
      <c r="H21" s="711"/>
      <c r="I21" s="711"/>
      <c r="J21" s="711"/>
      <c r="K21" s="711"/>
      <c r="L21" s="711"/>
      <c r="M21" s="711"/>
      <c r="N21" s="711"/>
      <c r="O21" s="711"/>
      <c r="P21" s="711"/>
      <c r="Q21" s="711"/>
      <c r="R21" s="711"/>
      <c r="S21" s="711"/>
      <c r="T21" s="711"/>
      <c r="U21" s="711"/>
      <c r="V21" s="711"/>
      <c r="W21" s="711"/>
      <c r="X21" s="711"/>
      <c r="Y21" s="711"/>
      <c r="Z21" s="711"/>
      <c r="AA21" s="711"/>
      <c r="AB21" s="711"/>
      <c r="AC21" s="711"/>
      <c r="AD21" s="711"/>
      <c r="AE21" s="711"/>
      <c r="AF21" s="711"/>
      <c r="AG21" s="711"/>
      <c r="AH21" s="711"/>
      <c r="AI21" s="711"/>
      <c r="AJ21" s="711"/>
      <c r="AK21" s="711"/>
      <c r="AL21" s="711"/>
      <c r="AM21" s="711"/>
      <c r="AN21" s="712"/>
      <c r="AO21" s="221"/>
    </row>
    <row r="22" spans="1:53" ht="12.95" customHeight="1" x14ac:dyDescent="0.2">
      <c r="A22" s="262" t="s">
        <v>45</v>
      </c>
      <c r="B22" s="78" t="s">
        <v>59</v>
      </c>
      <c r="C22" s="79"/>
      <c r="D22" s="79"/>
      <c r="E22" s="79"/>
      <c r="F22" s="79"/>
      <c r="G22" s="80"/>
      <c r="H22" s="79"/>
      <c r="I22" s="63"/>
      <c r="J22" s="713"/>
      <c r="K22" s="713"/>
      <c r="L22" s="713"/>
      <c r="M22" s="713"/>
      <c r="N22" s="713"/>
      <c r="O22" s="713"/>
      <c r="P22" s="713"/>
      <c r="Q22" s="713"/>
      <c r="R22" s="713"/>
      <c r="S22" s="713"/>
      <c r="T22" s="714"/>
      <c r="U22" s="81" t="s">
        <v>60</v>
      </c>
      <c r="V22" s="79"/>
      <c r="W22" s="79"/>
      <c r="X22" s="80"/>
      <c r="Y22" s="79"/>
      <c r="Z22" s="63"/>
      <c r="AA22" s="63"/>
      <c r="AB22" s="82" t="s">
        <v>61</v>
      </c>
      <c r="AC22" s="83"/>
      <c r="AD22" s="215" t="s">
        <v>33</v>
      </c>
      <c r="AE22" s="215"/>
      <c r="AF22" s="215"/>
      <c r="AG22" s="215"/>
      <c r="AH22" s="215"/>
      <c r="AI22" s="215"/>
      <c r="AJ22" s="215"/>
      <c r="AK22" s="215"/>
      <c r="AL22" s="215"/>
      <c r="AM22" s="215"/>
      <c r="AN22" s="263"/>
      <c r="AO22" s="221"/>
    </row>
    <row r="23" spans="1:53" ht="12.95" customHeight="1" x14ac:dyDescent="0.2">
      <c r="A23" s="262" t="s">
        <v>62</v>
      </c>
      <c r="B23" s="78" t="s">
        <v>63</v>
      </c>
      <c r="C23" s="79"/>
      <c r="D23" s="79"/>
      <c r="E23" s="79"/>
      <c r="F23" s="80"/>
      <c r="G23" s="79"/>
      <c r="H23" s="84" t="s">
        <v>64</v>
      </c>
      <c r="I23" s="63"/>
      <c r="J23" s="715"/>
      <c r="K23" s="715"/>
      <c r="L23" s="715"/>
      <c r="M23" s="715"/>
      <c r="N23" s="715"/>
      <c r="O23" s="715"/>
      <c r="P23" s="715"/>
      <c r="Q23" s="715"/>
      <c r="R23" s="715"/>
      <c r="S23" s="715"/>
      <c r="T23" s="716"/>
      <c r="U23" s="81" t="s">
        <v>278</v>
      </c>
      <c r="V23" s="79"/>
      <c r="W23" s="79"/>
      <c r="X23" s="79"/>
      <c r="Y23" s="79"/>
      <c r="Z23" s="79"/>
      <c r="AA23" s="79"/>
      <c r="AB23" s="85" t="s">
        <v>66</v>
      </c>
      <c r="AC23" s="86"/>
      <c r="AD23" s="220" t="s">
        <v>44</v>
      </c>
      <c r="AE23" s="220"/>
      <c r="AF23" s="220"/>
      <c r="AG23" s="220"/>
      <c r="AH23" s="220"/>
      <c r="AI23" s="220"/>
      <c r="AJ23" s="220"/>
      <c r="AK23" s="220"/>
      <c r="AL23" s="220"/>
      <c r="AM23" s="220"/>
      <c r="AN23" s="264"/>
      <c r="AO23" s="223"/>
    </row>
    <row r="24" spans="1:53" ht="12.95" customHeight="1" x14ac:dyDescent="0.2">
      <c r="A24" s="262" t="s">
        <v>67</v>
      </c>
      <c r="B24" s="78" t="s">
        <v>68</v>
      </c>
      <c r="C24" s="79"/>
      <c r="D24" s="79"/>
      <c r="E24" s="79"/>
      <c r="F24" s="79"/>
      <c r="G24" s="79"/>
      <c r="H24" s="82" t="s">
        <v>69</v>
      </c>
      <c r="I24" s="63"/>
      <c r="J24" s="690" t="s">
        <v>70</v>
      </c>
      <c r="K24" s="690"/>
      <c r="L24" s="690"/>
      <c r="M24" s="690"/>
      <c r="N24" s="690"/>
      <c r="O24" s="690"/>
      <c r="P24" s="690"/>
      <c r="Q24" s="690"/>
      <c r="R24" s="690"/>
      <c r="S24" s="690"/>
      <c r="T24" s="691"/>
      <c r="U24" s="81" t="s">
        <v>71</v>
      </c>
      <c r="V24" s="79"/>
      <c r="W24" s="79"/>
      <c r="X24" s="79"/>
      <c r="Y24" s="79"/>
      <c r="Z24" s="80"/>
      <c r="AA24" s="79"/>
      <c r="AB24" s="63"/>
      <c r="AC24" s="86"/>
      <c r="AD24" s="220" t="s">
        <v>65</v>
      </c>
      <c r="AE24" s="220"/>
      <c r="AF24" s="220"/>
      <c r="AG24" s="220"/>
      <c r="AH24" s="220"/>
      <c r="AI24" s="220"/>
      <c r="AJ24" s="220"/>
      <c r="AK24" s="220"/>
      <c r="AL24" s="220"/>
      <c r="AM24" s="220"/>
      <c r="AN24" s="264"/>
      <c r="AO24" s="35"/>
    </row>
    <row r="25" spans="1:53" ht="12.95" customHeight="1" x14ac:dyDescent="0.2">
      <c r="A25" s="265" t="s">
        <v>72</v>
      </c>
      <c r="B25" s="78" t="s">
        <v>73</v>
      </c>
      <c r="C25" s="79"/>
      <c r="D25" s="87"/>
      <c r="E25" s="79"/>
      <c r="F25" s="79"/>
      <c r="G25" s="79"/>
      <c r="H25" s="82" t="s">
        <v>74</v>
      </c>
      <c r="I25" s="63"/>
      <c r="J25" s="719" t="s">
        <v>33</v>
      </c>
      <c r="K25" s="719"/>
      <c r="L25" s="719"/>
      <c r="M25" s="719"/>
      <c r="N25" s="719"/>
      <c r="O25" s="719"/>
      <c r="P25" s="719"/>
      <c r="Q25" s="719"/>
      <c r="R25" s="719"/>
      <c r="S25" s="719"/>
      <c r="T25" s="720"/>
      <c r="U25" s="81" t="s">
        <v>75</v>
      </c>
      <c r="V25" s="87"/>
      <c r="W25" s="79"/>
      <c r="X25" s="79"/>
      <c r="Y25" s="79"/>
      <c r="Z25" s="63"/>
      <c r="AA25" s="63"/>
      <c r="AB25" s="82" t="s">
        <v>76</v>
      </c>
      <c r="AC25" s="88"/>
      <c r="AD25" s="220" t="s">
        <v>65</v>
      </c>
      <c r="AE25" s="220"/>
      <c r="AF25" s="220"/>
      <c r="AG25" s="220"/>
      <c r="AH25" s="220"/>
      <c r="AI25" s="220"/>
      <c r="AJ25" s="220"/>
      <c r="AK25" s="220"/>
      <c r="AL25" s="220"/>
      <c r="AM25" s="220"/>
      <c r="AN25" s="264"/>
      <c r="AO25" s="219"/>
    </row>
    <row r="26" spans="1:53" ht="12.95" customHeight="1" x14ac:dyDescent="0.2">
      <c r="A26" s="265" t="s">
        <v>77</v>
      </c>
      <c r="B26" s="78" t="s">
        <v>78</v>
      </c>
      <c r="C26" s="79"/>
      <c r="D26" s="79"/>
      <c r="E26" s="79"/>
      <c r="F26" s="79"/>
      <c r="G26" s="79"/>
      <c r="H26" s="89" t="s">
        <v>79</v>
      </c>
      <c r="I26" s="63"/>
      <c r="J26" s="721" t="s">
        <v>80</v>
      </c>
      <c r="K26" s="721"/>
      <c r="L26" s="721"/>
      <c r="M26" s="721"/>
      <c r="N26" s="721"/>
      <c r="O26" s="721"/>
      <c r="P26" s="721"/>
      <c r="Q26" s="721"/>
      <c r="R26" s="721"/>
      <c r="S26" s="721"/>
      <c r="T26" s="722"/>
      <c r="U26" s="81" t="s">
        <v>81</v>
      </c>
      <c r="V26" s="81"/>
      <c r="W26" s="79"/>
      <c r="X26" s="79"/>
      <c r="Y26" s="79"/>
      <c r="Z26" s="79"/>
      <c r="AA26" s="80"/>
      <c r="AB26" s="90"/>
      <c r="AC26" s="91"/>
      <c r="AD26" s="222" t="s">
        <v>82</v>
      </c>
      <c r="AE26" s="222"/>
      <c r="AF26" s="222"/>
      <c r="AG26" s="222"/>
      <c r="AH26" s="222"/>
      <c r="AI26" s="222" t="s">
        <v>83</v>
      </c>
      <c r="AJ26" s="222"/>
      <c r="AK26" s="222"/>
      <c r="AL26" s="222"/>
      <c r="AM26" s="222"/>
      <c r="AN26" s="266"/>
      <c r="AO26" s="214"/>
    </row>
    <row r="27" spans="1:53" ht="12.95" customHeight="1" x14ac:dyDescent="0.2">
      <c r="A27" s="258"/>
      <c r="B27" s="710" t="s">
        <v>84</v>
      </c>
      <c r="C27" s="711"/>
      <c r="D27" s="711"/>
      <c r="E27" s="711"/>
      <c r="F27" s="711"/>
      <c r="G27" s="711"/>
      <c r="H27" s="711"/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Y27" s="711"/>
      <c r="Z27" s="711"/>
      <c r="AA27" s="711"/>
      <c r="AB27" s="711"/>
      <c r="AC27" s="711"/>
      <c r="AD27" s="711"/>
      <c r="AE27" s="711"/>
      <c r="AF27" s="711"/>
      <c r="AG27" s="711"/>
      <c r="AH27" s="711"/>
      <c r="AI27" s="711"/>
      <c r="AJ27" s="711"/>
      <c r="AK27" s="711"/>
      <c r="AL27" s="711"/>
      <c r="AM27" s="711"/>
      <c r="AN27" s="712"/>
      <c r="AO27" s="21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ht="12.95" customHeight="1" x14ac:dyDescent="0.2">
      <c r="A28" s="258" t="s">
        <v>85</v>
      </c>
      <c r="B28" s="78" t="s">
        <v>86</v>
      </c>
      <c r="C28" s="79"/>
      <c r="D28" s="79"/>
      <c r="E28" s="79"/>
      <c r="F28" s="79"/>
      <c r="G28" s="92"/>
      <c r="H28" s="84" t="s">
        <v>64</v>
      </c>
      <c r="I28" s="63"/>
      <c r="J28" s="723"/>
      <c r="K28" s="723"/>
      <c r="L28" s="723"/>
      <c r="M28" s="723"/>
      <c r="N28" s="723"/>
      <c r="O28" s="723"/>
      <c r="P28" s="723"/>
      <c r="Q28" s="723"/>
      <c r="R28" s="723"/>
      <c r="S28" s="723"/>
      <c r="T28" s="724"/>
      <c r="U28" s="93" t="s">
        <v>87</v>
      </c>
      <c r="V28" s="79"/>
      <c r="W28" s="79"/>
      <c r="X28" s="79"/>
      <c r="Y28" s="79"/>
      <c r="Z28" s="80"/>
      <c r="AA28" s="79"/>
      <c r="AB28" s="79"/>
      <c r="AC28" s="63"/>
      <c r="AD28" s="219" t="s">
        <v>88</v>
      </c>
      <c r="AE28" s="219"/>
      <c r="AF28" s="219"/>
      <c r="AG28" s="219"/>
      <c r="AH28" s="219"/>
      <c r="AI28" s="219"/>
      <c r="AJ28" s="219"/>
      <c r="AK28" s="219"/>
      <c r="AL28" s="219"/>
      <c r="AM28" s="219"/>
      <c r="AN28" s="267"/>
      <c r="AO28" s="214"/>
      <c r="AP28" s="37"/>
      <c r="AQ28" s="37"/>
      <c r="AR28" s="37"/>
      <c r="AS28" s="38"/>
      <c r="AT28" s="38"/>
      <c r="AU28" s="38"/>
      <c r="AV28" s="38"/>
      <c r="AW28" s="38"/>
      <c r="AX28" s="38"/>
      <c r="AY28" s="38"/>
      <c r="AZ28" s="38"/>
      <c r="BA28" s="38"/>
    </row>
    <row r="29" spans="1:53" ht="12.95" customHeight="1" x14ac:dyDescent="0.2">
      <c r="A29" s="258" t="s">
        <v>89</v>
      </c>
      <c r="B29" s="78" t="s">
        <v>90</v>
      </c>
      <c r="C29" s="79"/>
      <c r="D29" s="79"/>
      <c r="E29" s="79"/>
      <c r="F29" s="79"/>
      <c r="G29" s="79"/>
      <c r="H29" s="82" t="s">
        <v>69</v>
      </c>
      <c r="I29" s="63"/>
      <c r="J29" s="725"/>
      <c r="K29" s="725"/>
      <c r="L29" s="725"/>
      <c r="M29" s="725"/>
      <c r="N29" s="725"/>
      <c r="O29" s="725"/>
      <c r="P29" s="725"/>
      <c r="Q29" s="725"/>
      <c r="R29" s="725"/>
      <c r="S29" s="725"/>
      <c r="T29" s="726"/>
      <c r="U29" s="78" t="s">
        <v>91</v>
      </c>
      <c r="V29" s="79"/>
      <c r="W29" s="79"/>
      <c r="X29" s="79"/>
      <c r="Y29" s="80"/>
      <c r="Z29" s="79"/>
      <c r="AA29" s="79"/>
      <c r="AB29" s="82" t="s">
        <v>74</v>
      </c>
      <c r="AC29" s="63"/>
      <c r="AD29" s="214" t="s">
        <v>33</v>
      </c>
      <c r="AE29" s="214"/>
      <c r="AF29" s="214"/>
      <c r="AG29" s="214"/>
      <c r="AH29" s="214"/>
      <c r="AI29" s="214"/>
      <c r="AJ29" s="214"/>
      <c r="AK29" s="214"/>
      <c r="AL29" s="214"/>
      <c r="AM29" s="214"/>
      <c r="AN29" s="268"/>
      <c r="AO29" s="214"/>
      <c r="AP29" s="37"/>
      <c r="AQ29" s="37"/>
      <c r="AR29" s="37"/>
      <c r="AS29" s="38"/>
      <c r="AT29" s="38"/>
      <c r="AU29" s="38"/>
      <c r="AV29" s="38"/>
      <c r="AW29" s="38"/>
      <c r="AX29" s="38"/>
      <c r="AY29" s="38"/>
      <c r="AZ29" s="38"/>
      <c r="BA29" s="38"/>
    </row>
    <row r="30" spans="1:53" ht="12.95" customHeight="1" x14ac:dyDescent="0.2">
      <c r="A30" s="258" t="s">
        <v>92</v>
      </c>
      <c r="B30" s="78" t="s">
        <v>93</v>
      </c>
      <c r="C30" s="79"/>
      <c r="D30" s="79"/>
      <c r="E30" s="79"/>
      <c r="F30" s="79"/>
      <c r="G30" s="79"/>
      <c r="H30" s="82" t="s">
        <v>69</v>
      </c>
      <c r="I30" s="63"/>
      <c r="J30" s="727"/>
      <c r="K30" s="727"/>
      <c r="L30" s="727"/>
      <c r="M30" s="727"/>
      <c r="N30" s="727"/>
      <c r="O30" s="727"/>
      <c r="P30" s="727"/>
      <c r="Q30" s="727"/>
      <c r="R30" s="727"/>
      <c r="S30" s="727"/>
      <c r="T30" s="728"/>
      <c r="U30" s="78" t="s">
        <v>94</v>
      </c>
      <c r="V30" s="79"/>
      <c r="W30" s="79"/>
      <c r="X30" s="79"/>
      <c r="Y30" s="79"/>
      <c r="Z30" s="79"/>
      <c r="AA30" s="79"/>
      <c r="AB30" s="82" t="s">
        <v>74</v>
      </c>
      <c r="AC30" s="63"/>
      <c r="AD30" s="214" t="s">
        <v>33</v>
      </c>
      <c r="AE30" s="214"/>
      <c r="AF30" s="214"/>
      <c r="AG30" s="214"/>
      <c r="AH30" s="214"/>
      <c r="AI30" s="214"/>
      <c r="AJ30" s="214"/>
      <c r="AK30" s="214"/>
      <c r="AL30" s="214"/>
      <c r="AM30" s="214"/>
      <c r="AN30" s="268"/>
      <c r="AO30" s="214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4"/>
      <c r="BA30" s="34"/>
    </row>
    <row r="31" spans="1:53" ht="12.95" customHeight="1" x14ac:dyDescent="0.2">
      <c r="A31" s="258" t="s">
        <v>95</v>
      </c>
      <c r="B31" s="78" t="s">
        <v>96</v>
      </c>
      <c r="C31" s="79"/>
      <c r="D31" s="79"/>
      <c r="E31" s="79"/>
      <c r="F31" s="79"/>
      <c r="G31" s="79"/>
      <c r="H31" s="82" t="s">
        <v>97</v>
      </c>
      <c r="I31" s="63"/>
      <c r="J31" s="729" t="s">
        <v>98</v>
      </c>
      <c r="K31" s="729"/>
      <c r="L31" s="729"/>
      <c r="M31" s="729"/>
      <c r="N31" s="729"/>
      <c r="O31" s="729"/>
      <c r="P31" s="729"/>
      <c r="Q31" s="729"/>
      <c r="R31" s="729"/>
      <c r="S31" s="729"/>
      <c r="T31" s="730"/>
      <c r="U31" s="78" t="s">
        <v>99</v>
      </c>
      <c r="V31" s="79"/>
      <c r="W31" s="79"/>
      <c r="X31" s="79"/>
      <c r="Y31" s="79"/>
      <c r="Z31" s="79"/>
      <c r="AA31" s="80"/>
      <c r="AB31" s="82" t="s">
        <v>100</v>
      </c>
      <c r="AC31" s="63"/>
      <c r="AD31" s="214" t="s">
        <v>33</v>
      </c>
      <c r="AE31" s="214"/>
      <c r="AF31" s="214"/>
      <c r="AG31" s="214"/>
      <c r="AH31" s="214"/>
      <c r="AI31" s="214"/>
      <c r="AJ31" s="214"/>
      <c r="AK31" s="214"/>
      <c r="AL31" s="214"/>
      <c r="AM31" s="214"/>
      <c r="AN31" s="268"/>
      <c r="AO31" s="214"/>
    </row>
    <row r="32" spans="1:53" ht="12.95" customHeight="1" x14ac:dyDescent="0.2">
      <c r="A32" s="258" t="s">
        <v>101</v>
      </c>
      <c r="B32" s="78" t="s">
        <v>102</v>
      </c>
      <c r="C32" s="79"/>
      <c r="D32" s="79"/>
      <c r="E32" s="79"/>
      <c r="F32" s="79"/>
      <c r="G32" s="79"/>
      <c r="H32" s="82" t="s">
        <v>103</v>
      </c>
      <c r="I32" s="63"/>
      <c r="J32" s="731" t="s">
        <v>33</v>
      </c>
      <c r="K32" s="731"/>
      <c r="L32" s="731"/>
      <c r="M32" s="731"/>
      <c r="N32" s="731"/>
      <c r="O32" s="731"/>
      <c r="P32" s="731"/>
      <c r="Q32" s="731"/>
      <c r="R32" s="731"/>
      <c r="S32" s="731"/>
      <c r="T32" s="732"/>
      <c r="U32" s="78" t="s">
        <v>104</v>
      </c>
      <c r="V32" s="79"/>
      <c r="W32" s="79"/>
      <c r="X32" s="79"/>
      <c r="Y32" s="79"/>
      <c r="Z32" s="80"/>
      <c r="AA32" s="79"/>
      <c r="AB32" s="82" t="s">
        <v>100</v>
      </c>
      <c r="AC32" s="63"/>
      <c r="AD32" s="214" t="s">
        <v>33</v>
      </c>
      <c r="AE32" s="214"/>
      <c r="AF32" s="214"/>
      <c r="AG32" s="214"/>
      <c r="AH32" s="214"/>
      <c r="AI32" s="214"/>
      <c r="AJ32" s="214"/>
      <c r="AK32" s="214"/>
      <c r="AL32" s="214"/>
      <c r="AM32" s="214"/>
      <c r="AN32" s="268"/>
      <c r="AO32" s="214"/>
    </row>
    <row r="33" spans="1:41" ht="12.95" customHeight="1" x14ac:dyDescent="0.2">
      <c r="A33" s="258" t="s">
        <v>105</v>
      </c>
      <c r="B33" s="78" t="s">
        <v>106</v>
      </c>
      <c r="C33" s="79"/>
      <c r="D33" s="79"/>
      <c r="E33" s="79"/>
      <c r="F33" s="79"/>
      <c r="G33" s="79"/>
      <c r="H33" s="82" t="s">
        <v>103</v>
      </c>
      <c r="I33" s="63"/>
      <c r="J33" s="731" t="s">
        <v>33</v>
      </c>
      <c r="K33" s="731"/>
      <c r="L33" s="731"/>
      <c r="M33" s="731"/>
      <c r="N33" s="731"/>
      <c r="O33" s="731"/>
      <c r="P33" s="731"/>
      <c r="Q33" s="731"/>
      <c r="R33" s="731"/>
      <c r="S33" s="731"/>
      <c r="T33" s="732"/>
      <c r="U33" s="78" t="s">
        <v>107</v>
      </c>
      <c r="V33" s="79"/>
      <c r="W33" s="79"/>
      <c r="X33" s="79"/>
      <c r="Y33" s="79"/>
      <c r="Z33" s="79"/>
      <c r="AA33" s="79"/>
      <c r="AB33" s="82" t="s">
        <v>100</v>
      </c>
      <c r="AC33" s="63"/>
      <c r="AD33" s="214" t="s">
        <v>33</v>
      </c>
      <c r="AE33" s="214"/>
      <c r="AF33" s="214"/>
      <c r="AG33" s="214"/>
      <c r="AH33" s="214"/>
      <c r="AI33" s="214"/>
      <c r="AJ33" s="214"/>
      <c r="AK33" s="214"/>
      <c r="AL33" s="214"/>
      <c r="AM33" s="214"/>
      <c r="AN33" s="268"/>
      <c r="AO33" s="214"/>
    </row>
    <row r="34" spans="1:41" ht="12.95" customHeight="1" x14ac:dyDescent="0.2">
      <c r="A34" s="258" t="s">
        <v>108</v>
      </c>
      <c r="B34" s="78" t="s">
        <v>109</v>
      </c>
      <c r="C34" s="79"/>
      <c r="D34" s="79"/>
      <c r="E34" s="79"/>
      <c r="F34" s="79"/>
      <c r="G34" s="79"/>
      <c r="H34" s="82" t="s">
        <v>103</v>
      </c>
      <c r="I34" s="63"/>
      <c r="J34" s="733" t="s">
        <v>33</v>
      </c>
      <c r="K34" s="733"/>
      <c r="L34" s="733"/>
      <c r="M34" s="733"/>
      <c r="N34" s="733"/>
      <c r="O34" s="733"/>
      <c r="P34" s="733"/>
      <c r="Q34" s="733"/>
      <c r="R34" s="733"/>
      <c r="S34" s="733"/>
      <c r="T34" s="734"/>
      <c r="U34" s="78" t="s">
        <v>110</v>
      </c>
      <c r="V34" s="79"/>
      <c r="W34" s="79"/>
      <c r="X34" s="80"/>
      <c r="Y34" s="79"/>
      <c r="Z34" s="79"/>
      <c r="AA34" s="79"/>
      <c r="AB34" s="82"/>
      <c r="AC34" s="63"/>
      <c r="AD34" s="214" t="s">
        <v>33</v>
      </c>
      <c r="AE34" s="214"/>
      <c r="AF34" s="214"/>
      <c r="AG34" s="214"/>
      <c r="AH34" s="214"/>
      <c r="AI34" s="214"/>
      <c r="AJ34" s="214"/>
      <c r="AK34" s="214"/>
      <c r="AL34" s="214"/>
      <c r="AM34" s="214"/>
      <c r="AN34" s="268"/>
      <c r="AO34" s="214"/>
    </row>
    <row r="35" spans="1:41" ht="12.95" customHeight="1" x14ac:dyDescent="0.2">
      <c r="A35" s="258" t="s">
        <v>111</v>
      </c>
      <c r="B35" s="78" t="s">
        <v>112</v>
      </c>
      <c r="C35" s="79"/>
      <c r="D35" s="79"/>
      <c r="E35" s="79"/>
      <c r="F35" s="79"/>
      <c r="G35" s="80"/>
      <c r="H35" s="82" t="s">
        <v>103</v>
      </c>
      <c r="I35" s="63"/>
      <c r="J35" s="733" t="s">
        <v>33</v>
      </c>
      <c r="K35" s="733"/>
      <c r="L35" s="733"/>
      <c r="M35" s="733"/>
      <c r="N35" s="733"/>
      <c r="O35" s="733"/>
      <c r="P35" s="733"/>
      <c r="Q35" s="733"/>
      <c r="R35" s="733"/>
      <c r="S35" s="733"/>
      <c r="T35" s="734"/>
      <c r="U35" s="94" t="s">
        <v>113</v>
      </c>
      <c r="V35" s="79"/>
      <c r="W35" s="79"/>
      <c r="X35" s="79"/>
      <c r="Y35" s="79"/>
      <c r="Z35" s="79"/>
      <c r="AA35" s="79"/>
      <c r="AB35" s="82" t="s">
        <v>114</v>
      </c>
      <c r="AC35" s="63"/>
      <c r="AD35" s="214" t="s">
        <v>34</v>
      </c>
      <c r="AE35" s="214"/>
      <c r="AF35" s="214"/>
      <c r="AG35" s="214"/>
      <c r="AH35" s="214"/>
      <c r="AI35" s="214"/>
      <c r="AJ35" s="214"/>
      <c r="AK35" s="214"/>
      <c r="AL35" s="214"/>
      <c r="AM35" s="214"/>
      <c r="AN35" s="268"/>
      <c r="AO35" s="213"/>
    </row>
    <row r="36" spans="1:41" ht="12.95" customHeight="1" x14ac:dyDescent="0.2">
      <c r="A36" s="258" t="s">
        <v>115</v>
      </c>
      <c r="B36" s="78" t="s">
        <v>116</v>
      </c>
      <c r="C36" s="79"/>
      <c r="D36" s="79"/>
      <c r="E36" s="79"/>
      <c r="F36" s="79"/>
      <c r="G36" s="79"/>
      <c r="H36" s="82" t="s">
        <v>103</v>
      </c>
      <c r="I36" s="63"/>
      <c r="J36" s="717">
        <v>3.2</v>
      </c>
      <c r="K36" s="717"/>
      <c r="L36" s="717"/>
      <c r="M36" s="717"/>
      <c r="N36" s="717"/>
      <c r="O36" s="717"/>
      <c r="P36" s="717"/>
      <c r="Q36" s="717"/>
      <c r="R36" s="717"/>
      <c r="S36" s="717"/>
      <c r="T36" s="718"/>
      <c r="U36" s="78" t="s">
        <v>117</v>
      </c>
      <c r="V36" s="79"/>
      <c r="W36" s="79"/>
      <c r="X36" s="79"/>
      <c r="Y36" s="79"/>
      <c r="Z36" s="79"/>
      <c r="AA36" s="79"/>
      <c r="AB36" s="82"/>
      <c r="AC36" s="63"/>
      <c r="AD36" s="214" t="s">
        <v>34</v>
      </c>
      <c r="AE36" s="214"/>
      <c r="AF36" s="214"/>
      <c r="AG36" s="214"/>
      <c r="AH36" s="214"/>
      <c r="AI36" s="214"/>
      <c r="AJ36" s="214"/>
      <c r="AK36" s="214"/>
      <c r="AL36" s="214"/>
      <c r="AM36" s="214"/>
      <c r="AN36" s="268"/>
    </row>
    <row r="37" spans="1:41" ht="12.95" customHeight="1" x14ac:dyDescent="0.2">
      <c r="A37" s="258" t="s">
        <v>118</v>
      </c>
      <c r="B37" s="78" t="s">
        <v>119</v>
      </c>
      <c r="C37" s="79"/>
      <c r="D37" s="79"/>
      <c r="E37" s="79"/>
      <c r="F37" s="79"/>
      <c r="G37" s="79"/>
      <c r="H37" s="82"/>
      <c r="I37" s="63"/>
      <c r="J37" s="737" t="s">
        <v>33</v>
      </c>
      <c r="K37" s="737"/>
      <c r="L37" s="737"/>
      <c r="M37" s="737"/>
      <c r="N37" s="737"/>
      <c r="O37" s="737"/>
      <c r="P37" s="737"/>
      <c r="Q37" s="737"/>
      <c r="R37" s="737"/>
      <c r="S37" s="737"/>
      <c r="T37" s="738"/>
      <c r="U37" s="94" t="s">
        <v>120</v>
      </c>
      <c r="V37" s="79"/>
      <c r="W37" s="79"/>
      <c r="X37" s="79"/>
      <c r="Y37" s="86"/>
      <c r="Z37" s="86"/>
      <c r="AA37" s="86"/>
      <c r="AB37" s="82" t="s">
        <v>121</v>
      </c>
      <c r="AC37" s="63"/>
      <c r="AD37" s="229" t="s">
        <v>284</v>
      </c>
      <c r="AE37" s="214"/>
      <c r="AF37" s="214"/>
      <c r="AG37" s="214"/>
      <c r="AH37" s="214"/>
      <c r="AI37" s="214"/>
      <c r="AJ37" s="214"/>
      <c r="AK37" s="214"/>
      <c r="AL37" s="214"/>
      <c r="AM37" s="214"/>
      <c r="AN37" s="268"/>
      <c r="AO37" s="105"/>
    </row>
    <row r="38" spans="1:41" ht="12.95" customHeight="1" x14ac:dyDescent="0.2">
      <c r="A38" s="258" t="s">
        <v>122</v>
      </c>
      <c r="B38" s="78" t="s">
        <v>123</v>
      </c>
      <c r="C38" s="79"/>
      <c r="D38" s="79"/>
      <c r="E38" s="79"/>
      <c r="F38" s="79"/>
      <c r="G38" s="79"/>
      <c r="H38" s="95"/>
      <c r="I38" s="79"/>
      <c r="J38" s="739"/>
      <c r="K38" s="739"/>
      <c r="L38" s="739"/>
      <c r="M38" s="739"/>
      <c r="N38" s="739"/>
      <c r="O38" s="739"/>
      <c r="P38" s="739"/>
      <c r="Q38" s="739"/>
      <c r="R38" s="739"/>
      <c r="S38" s="739"/>
      <c r="T38" s="740"/>
      <c r="U38" s="96" t="s">
        <v>124</v>
      </c>
      <c r="V38" s="79"/>
      <c r="W38" s="79"/>
      <c r="X38" s="79"/>
      <c r="Y38" s="80"/>
      <c r="Z38" s="79"/>
      <c r="AA38" s="79"/>
      <c r="AB38" s="82" t="s">
        <v>103</v>
      </c>
      <c r="AC38" s="63"/>
      <c r="AD38" s="213" t="s">
        <v>125</v>
      </c>
      <c r="AE38" s="213"/>
      <c r="AF38" s="213"/>
      <c r="AG38" s="213"/>
      <c r="AH38" s="213"/>
      <c r="AI38" s="213"/>
      <c r="AJ38" s="213"/>
      <c r="AK38" s="213"/>
      <c r="AL38" s="213"/>
      <c r="AM38" s="213"/>
      <c r="AN38" s="269"/>
    </row>
    <row r="39" spans="1:41" ht="12.95" customHeight="1" x14ac:dyDescent="0.2">
      <c r="A39" s="258"/>
      <c r="B39" s="710" t="s">
        <v>126</v>
      </c>
      <c r="C39" s="711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711"/>
      <c r="R39" s="711"/>
      <c r="S39" s="711"/>
      <c r="T39" s="711"/>
      <c r="U39" s="711"/>
      <c r="V39" s="711"/>
      <c r="W39" s="711"/>
      <c r="X39" s="711"/>
      <c r="Y39" s="711"/>
      <c r="Z39" s="711"/>
      <c r="AA39" s="711"/>
      <c r="AB39" s="711"/>
      <c r="AC39" s="711"/>
      <c r="AD39" s="711"/>
      <c r="AE39" s="711"/>
      <c r="AF39" s="711"/>
      <c r="AG39" s="711"/>
      <c r="AH39" s="711"/>
      <c r="AI39" s="711"/>
      <c r="AJ39" s="711"/>
      <c r="AK39" s="711"/>
      <c r="AL39" s="711"/>
      <c r="AM39" s="711"/>
      <c r="AN39" s="712"/>
      <c r="AO39" s="224"/>
    </row>
    <row r="40" spans="1:41" ht="12.95" customHeight="1" x14ac:dyDescent="0.2">
      <c r="A40" s="258" t="s">
        <v>127</v>
      </c>
      <c r="B40" s="97" t="s">
        <v>128</v>
      </c>
      <c r="C40" s="98"/>
      <c r="D40" s="98"/>
      <c r="E40" s="98"/>
      <c r="F40" s="98"/>
      <c r="G40" s="98"/>
      <c r="H40" s="98"/>
      <c r="I40" s="98"/>
      <c r="J40" s="98" t="s">
        <v>129</v>
      </c>
      <c r="K40" s="99"/>
      <c r="L40" s="98"/>
      <c r="M40" s="98"/>
      <c r="N40" s="98"/>
      <c r="O40" s="100"/>
      <c r="P40" s="101"/>
      <c r="Q40" s="98"/>
      <c r="R40" s="98"/>
      <c r="S40" s="98"/>
      <c r="T40" s="102"/>
      <c r="U40" s="103" t="s">
        <v>130</v>
      </c>
      <c r="V40" s="104"/>
      <c r="W40" s="98"/>
      <c r="X40" s="98"/>
      <c r="Y40" s="98"/>
      <c r="Z40" s="98"/>
      <c r="AA40" s="98"/>
      <c r="AB40" s="98"/>
      <c r="AC40" s="98" t="s">
        <v>131</v>
      </c>
      <c r="AD40" s="99"/>
      <c r="AE40" s="98"/>
      <c r="AF40" s="98"/>
      <c r="AG40" s="98"/>
      <c r="AH40" s="99"/>
      <c r="AI40" s="98"/>
      <c r="AJ40" s="98"/>
      <c r="AK40" s="105"/>
      <c r="AL40" s="105"/>
      <c r="AM40" s="105"/>
      <c r="AN40" s="270"/>
      <c r="AO40" s="225"/>
    </row>
    <row r="41" spans="1:41" ht="12.95" customHeight="1" x14ac:dyDescent="0.2">
      <c r="A41" s="258"/>
      <c r="B41" s="710" t="s">
        <v>132</v>
      </c>
      <c r="C41" s="711"/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711"/>
      <c r="O41" s="711"/>
      <c r="P41" s="711"/>
      <c r="Q41" s="711"/>
      <c r="R41" s="711"/>
      <c r="S41" s="711"/>
      <c r="T41" s="711"/>
      <c r="U41" s="711"/>
      <c r="V41" s="711"/>
      <c r="W41" s="711"/>
      <c r="X41" s="711"/>
      <c r="Y41" s="711"/>
      <c r="Z41" s="711"/>
      <c r="AA41" s="711"/>
      <c r="AB41" s="711"/>
      <c r="AC41" s="711"/>
      <c r="AD41" s="711"/>
      <c r="AE41" s="711"/>
      <c r="AF41" s="711"/>
      <c r="AG41" s="711"/>
      <c r="AH41" s="711"/>
      <c r="AI41" s="711"/>
      <c r="AJ41" s="711"/>
      <c r="AK41" s="711"/>
      <c r="AL41" s="711"/>
      <c r="AM41" s="711"/>
      <c r="AN41" s="712"/>
      <c r="AO41" s="225"/>
    </row>
    <row r="42" spans="1:41" ht="12.95" customHeight="1" x14ac:dyDescent="0.2">
      <c r="A42" s="258" t="s">
        <v>133</v>
      </c>
      <c r="B42" s="78" t="s">
        <v>134</v>
      </c>
      <c r="C42" s="79"/>
      <c r="D42" s="79"/>
      <c r="E42" s="79"/>
      <c r="F42" s="79"/>
      <c r="G42" s="79"/>
      <c r="H42" s="63"/>
      <c r="I42" s="63"/>
      <c r="J42" s="741" t="s">
        <v>135</v>
      </c>
      <c r="K42" s="741"/>
      <c r="L42" s="741"/>
      <c r="M42" s="741"/>
      <c r="N42" s="741"/>
      <c r="O42" s="741"/>
      <c r="P42" s="741"/>
      <c r="Q42" s="741"/>
      <c r="R42" s="741"/>
      <c r="S42" s="741"/>
      <c r="T42" s="742"/>
      <c r="U42" s="93" t="s">
        <v>136</v>
      </c>
      <c r="V42" s="63"/>
      <c r="W42" s="79"/>
      <c r="X42" s="79"/>
      <c r="Y42" s="79"/>
      <c r="Z42" s="79"/>
      <c r="AA42" s="79"/>
      <c r="AB42" s="230" t="s">
        <v>137</v>
      </c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71"/>
      <c r="AO42" s="225"/>
    </row>
    <row r="43" spans="1:41" ht="12.95" customHeight="1" x14ac:dyDescent="0.2">
      <c r="A43" s="258" t="s">
        <v>138</v>
      </c>
      <c r="B43" s="78" t="s">
        <v>139</v>
      </c>
      <c r="C43" s="79"/>
      <c r="D43" s="79"/>
      <c r="E43" s="79"/>
      <c r="F43" s="79"/>
      <c r="G43" s="87"/>
      <c r="H43" s="63"/>
      <c r="I43" s="63"/>
      <c r="J43" s="735" t="s">
        <v>140</v>
      </c>
      <c r="K43" s="735"/>
      <c r="L43" s="735"/>
      <c r="M43" s="735"/>
      <c r="N43" s="735"/>
      <c r="O43" s="735"/>
      <c r="P43" s="735"/>
      <c r="Q43" s="735"/>
      <c r="R43" s="735"/>
      <c r="S43" s="735"/>
      <c r="T43" s="736"/>
      <c r="U43" s="78" t="s">
        <v>141</v>
      </c>
      <c r="V43" s="63"/>
      <c r="W43" s="79"/>
      <c r="X43" s="79"/>
      <c r="Y43" s="79" t="s">
        <v>142</v>
      </c>
      <c r="Z43" s="63"/>
      <c r="AA43" s="80"/>
      <c r="AB43" s="231" t="s">
        <v>143</v>
      </c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39"/>
      <c r="AO43" s="225"/>
    </row>
    <row r="44" spans="1:41" ht="12.95" customHeight="1" x14ac:dyDescent="0.2">
      <c r="A44" s="258" t="s">
        <v>144</v>
      </c>
      <c r="B44" s="106" t="s">
        <v>145</v>
      </c>
      <c r="C44" s="79"/>
      <c r="D44" s="79"/>
      <c r="E44" s="79"/>
      <c r="F44" s="79"/>
      <c r="G44" s="79"/>
      <c r="H44" s="63"/>
      <c r="I44" s="63"/>
      <c r="J44" s="743" t="s">
        <v>146</v>
      </c>
      <c r="K44" s="743"/>
      <c r="L44" s="743"/>
      <c r="M44" s="743"/>
      <c r="N44" s="743"/>
      <c r="O44" s="743"/>
      <c r="P44" s="743"/>
      <c r="Q44" s="743"/>
      <c r="R44" s="743"/>
      <c r="S44" s="743"/>
      <c r="T44" s="744"/>
      <c r="U44" s="78" t="s">
        <v>147</v>
      </c>
      <c r="V44" s="63"/>
      <c r="W44" s="79"/>
      <c r="X44" s="79"/>
      <c r="Y44" s="79" t="s">
        <v>148</v>
      </c>
      <c r="Z44" s="63"/>
      <c r="AA44" s="79"/>
      <c r="AB44" s="231" t="s">
        <v>149</v>
      </c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39"/>
      <c r="AO44" s="225"/>
    </row>
    <row r="45" spans="1:41" ht="12.95" customHeight="1" x14ac:dyDescent="0.2">
      <c r="A45" s="258" t="s">
        <v>150</v>
      </c>
      <c r="B45" s="106" t="s">
        <v>151</v>
      </c>
      <c r="C45" s="79"/>
      <c r="D45" s="79"/>
      <c r="E45" s="79" t="s">
        <v>152</v>
      </c>
      <c r="F45" s="79"/>
      <c r="G45" s="79"/>
      <c r="H45" s="63"/>
      <c r="I45" s="63"/>
      <c r="J45" s="743" t="s">
        <v>34</v>
      </c>
      <c r="K45" s="743"/>
      <c r="L45" s="743"/>
      <c r="M45" s="743"/>
      <c r="N45" s="743"/>
      <c r="O45" s="743"/>
      <c r="P45" s="743"/>
      <c r="Q45" s="743"/>
      <c r="R45" s="743"/>
      <c r="S45" s="743"/>
      <c r="T45" s="744"/>
      <c r="U45" s="78"/>
      <c r="V45" s="63"/>
      <c r="W45" s="79"/>
      <c r="X45" s="79"/>
      <c r="Y45" s="79" t="s">
        <v>153</v>
      </c>
      <c r="Z45" s="63"/>
      <c r="AA45" s="79"/>
      <c r="AB45" s="231" t="s">
        <v>137</v>
      </c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39"/>
      <c r="AO45" s="225"/>
    </row>
    <row r="46" spans="1:41" ht="12.95" customHeight="1" x14ac:dyDescent="0.2">
      <c r="A46" s="258" t="s">
        <v>154</v>
      </c>
      <c r="B46" s="106"/>
      <c r="C46" s="79"/>
      <c r="D46" s="79"/>
      <c r="E46" s="79" t="s">
        <v>155</v>
      </c>
      <c r="F46" s="79"/>
      <c r="G46" s="79"/>
      <c r="H46" s="63"/>
      <c r="I46" s="63"/>
      <c r="J46" s="735" t="s">
        <v>140</v>
      </c>
      <c r="K46" s="735"/>
      <c r="L46" s="735"/>
      <c r="M46" s="735"/>
      <c r="N46" s="735"/>
      <c r="O46" s="735"/>
      <c r="P46" s="735"/>
      <c r="Q46" s="735"/>
      <c r="R46" s="735"/>
      <c r="S46" s="735"/>
      <c r="T46" s="736"/>
      <c r="U46" s="78" t="s">
        <v>156</v>
      </c>
      <c r="V46" s="63"/>
      <c r="W46" s="79"/>
      <c r="X46" s="79"/>
      <c r="Y46" s="79"/>
      <c r="Z46" s="79"/>
      <c r="AA46" s="79"/>
      <c r="AB46" s="231" t="s">
        <v>157</v>
      </c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39"/>
      <c r="AO46" s="225"/>
    </row>
    <row r="47" spans="1:41" ht="12.95" customHeight="1" x14ac:dyDescent="0.2">
      <c r="A47" s="258" t="s">
        <v>158</v>
      </c>
      <c r="B47" s="106" t="s">
        <v>159</v>
      </c>
      <c r="C47" s="107"/>
      <c r="D47" s="79"/>
      <c r="E47" s="79"/>
      <c r="F47" s="79"/>
      <c r="G47" s="79"/>
      <c r="H47" s="63"/>
      <c r="I47" s="63"/>
      <c r="J47" s="735" t="s">
        <v>160</v>
      </c>
      <c r="K47" s="735"/>
      <c r="L47" s="735"/>
      <c r="M47" s="735"/>
      <c r="N47" s="735"/>
      <c r="O47" s="735"/>
      <c r="P47" s="735"/>
      <c r="Q47" s="735"/>
      <c r="R47" s="735"/>
      <c r="S47" s="735"/>
      <c r="T47" s="736"/>
      <c r="U47" s="78" t="s">
        <v>161</v>
      </c>
      <c r="V47" s="63"/>
      <c r="W47" s="79"/>
      <c r="X47" s="79"/>
      <c r="Y47" s="87"/>
      <c r="Z47" s="108"/>
      <c r="AA47" s="79"/>
      <c r="AB47" s="231" t="s">
        <v>162</v>
      </c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39"/>
      <c r="AO47" s="212"/>
    </row>
    <row r="48" spans="1:41" ht="12.95" customHeight="1" x14ac:dyDescent="0.2">
      <c r="A48" s="258" t="s">
        <v>163</v>
      </c>
      <c r="B48" s="78" t="s">
        <v>164</v>
      </c>
      <c r="C48" s="79"/>
      <c r="D48" s="79"/>
      <c r="E48" s="79"/>
      <c r="F48" s="79"/>
      <c r="G48" s="79"/>
      <c r="H48" s="63"/>
      <c r="I48" s="63"/>
      <c r="J48" s="735" t="s">
        <v>165</v>
      </c>
      <c r="K48" s="735"/>
      <c r="L48" s="735"/>
      <c r="M48" s="735"/>
      <c r="N48" s="735"/>
      <c r="O48" s="735"/>
      <c r="P48" s="735"/>
      <c r="Q48" s="735"/>
      <c r="R48" s="735"/>
      <c r="S48" s="735"/>
      <c r="T48" s="736"/>
      <c r="U48" s="78" t="s">
        <v>166</v>
      </c>
      <c r="V48" s="63"/>
      <c r="W48" s="79"/>
      <c r="X48" s="79"/>
      <c r="Y48" s="79"/>
      <c r="Z48" s="87"/>
      <c r="AA48" s="79"/>
      <c r="AB48" s="231" t="s">
        <v>167</v>
      </c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39"/>
    </row>
    <row r="49" spans="1:48" ht="12.95" customHeight="1" x14ac:dyDescent="0.2">
      <c r="A49" s="258" t="s">
        <v>168</v>
      </c>
      <c r="B49" s="78" t="s">
        <v>169</v>
      </c>
      <c r="C49" s="79"/>
      <c r="D49" s="79"/>
      <c r="E49" s="79"/>
      <c r="F49" s="107"/>
      <c r="G49" s="79"/>
      <c r="H49" s="63"/>
      <c r="I49" s="63"/>
      <c r="J49" s="735" t="s">
        <v>170</v>
      </c>
      <c r="K49" s="735"/>
      <c r="L49" s="735"/>
      <c r="M49" s="735"/>
      <c r="N49" s="735"/>
      <c r="O49" s="735"/>
      <c r="P49" s="735"/>
      <c r="Q49" s="735"/>
      <c r="R49" s="735"/>
      <c r="S49" s="735"/>
      <c r="T49" s="736"/>
      <c r="U49" s="78" t="s">
        <v>171</v>
      </c>
      <c r="V49" s="63"/>
      <c r="W49" s="79"/>
      <c r="X49" s="79"/>
      <c r="Y49" s="79"/>
      <c r="Z49" s="87"/>
      <c r="AA49" s="79"/>
      <c r="AB49" s="231" t="s">
        <v>172</v>
      </c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39"/>
      <c r="AO49" s="109"/>
    </row>
    <row r="50" spans="1:48" ht="12.95" customHeight="1" x14ac:dyDescent="0.2">
      <c r="A50" s="258" t="s">
        <v>173</v>
      </c>
      <c r="B50" s="78" t="s">
        <v>174</v>
      </c>
      <c r="C50" s="79"/>
      <c r="D50" s="79"/>
      <c r="E50" s="80"/>
      <c r="F50" s="79"/>
      <c r="G50" s="79"/>
      <c r="H50" s="63"/>
      <c r="I50" s="63"/>
      <c r="J50" s="745" t="s">
        <v>140</v>
      </c>
      <c r="K50" s="745"/>
      <c r="L50" s="745"/>
      <c r="M50" s="745"/>
      <c r="N50" s="745"/>
      <c r="O50" s="745"/>
      <c r="P50" s="745"/>
      <c r="Q50" s="745"/>
      <c r="R50" s="745"/>
      <c r="S50" s="745"/>
      <c r="T50" s="746"/>
      <c r="U50" s="96" t="s">
        <v>175</v>
      </c>
      <c r="V50" s="63"/>
      <c r="W50" s="79"/>
      <c r="X50" s="79"/>
      <c r="Y50" s="79"/>
      <c r="Z50" s="87"/>
      <c r="AA50" s="79"/>
      <c r="AB50" s="232" t="s">
        <v>176</v>
      </c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72"/>
      <c r="AO50" s="62"/>
    </row>
    <row r="51" spans="1:48" ht="12.95" customHeight="1" x14ac:dyDescent="0.2">
      <c r="A51" s="258"/>
      <c r="B51" s="710" t="s">
        <v>177</v>
      </c>
      <c r="C51" s="711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1"/>
      <c r="O51" s="711"/>
      <c r="P51" s="711"/>
      <c r="Q51" s="711"/>
      <c r="R51" s="711"/>
      <c r="S51" s="711"/>
      <c r="T51" s="711"/>
      <c r="U51" s="711"/>
      <c r="V51" s="711"/>
      <c r="W51" s="711"/>
      <c r="X51" s="711"/>
      <c r="Y51" s="711"/>
      <c r="Z51" s="711"/>
      <c r="AA51" s="711"/>
      <c r="AB51" s="711"/>
      <c r="AC51" s="711"/>
      <c r="AD51" s="711"/>
      <c r="AE51" s="711"/>
      <c r="AF51" s="711"/>
      <c r="AG51" s="711"/>
      <c r="AH51" s="711"/>
      <c r="AI51" s="711"/>
      <c r="AJ51" s="711"/>
      <c r="AK51" s="711"/>
      <c r="AL51" s="711"/>
      <c r="AM51" s="711"/>
      <c r="AN51" s="712"/>
      <c r="AO51" s="62"/>
    </row>
    <row r="52" spans="1:48" ht="12.95" customHeight="1" x14ac:dyDescent="0.2">
      <c r="A52" s="258" t="s">
        <v>178</v>
      </c>
      <c r="B52" s="78" t="s">
        <v>179</v>
      </c>
      <c r="C52" s="79"/>
      <c r="D52" s="79"/>
      <c r="E52" s="79"/>
      <c r="F52" s="80"/>
      <c r="G52" s="79"/>
      <c r="H52" s="79"/>
      <c r="I52" s="79"/>
      <c r="J52" s="741" t="s">
        <v>180</v>
      </c>
      <c r="K52" s="741"/>
      <c r="L52" s="741"/>
      <c r="M52" s="741"/>
      <c r="N52" s="741"/>
      <c r="O52" s="741"/>
      <c r="P52" s="741"/>
      <c r="Q52" s="741"/>
      <c r="R52" s="741"/>
      <c r="S52" s="741"/>
      <c r="T52" s="742"/>
      <c r="U52" s="93" t="s">
        <v>181</v>
      </c>
      <c r="V52" s="63"/>
      <c r="W52" s="79"/>
      <c r="X52" s="79"/>
      <c r="Y52" s="79"/>
      <c r="Z52" s="79"/>
      <c r="AA52" s="63"/>
      <c r="AB52" s="741" t="s">
        <v>182</v>
      </c>
      <c r="AC52" s="741"/>
      <c r="AD52" s="741"/>
      <c r="AE52" s="741"/>
      <c r="AF52" s="741"/>
      <c r="AG52" s="741"/>
      <c r="AH52" s="741"/>
      <c r="AI52" s="741"/>
      <c r="AJ52" s="741"/>
      <c r="AK52" s="741"/>
      <c r="AL52" s="741"/>
      <c r="AM52" s="741"/>
      <c r="AN52" s="747"/>
      <c r="AO52" s="62"/>
    </row>
    <row r="53" spans="1:48" ht="12.95" customHeight="1" x14ac:dyDescent="0.2">
      <c r="A53" s="258" t="s">
        <v>42</v>
      </c>
      <c r="B53" s="78" t="s">
        <v>183</v>
      </c>
      <c r="C53" s="79"/>
      <c r="D53" s="79"/>
      <c r="E53" s="79"/>
      <c r="F53" s="80"/>
      <c r="G53" s="79"/>
      <c r="H53" s="79"/>
      <c r="I53" s="79"/>
      <c r="J53" s="735" t="s">
        <v>182</v>
      </c>
      <c r="K53" s="735"/>
      <c r="L53" s="735"/>
      <c r="M53" s="735"/>
      <c r="N53" s="735"/>
      <c r="O53" s="735"/>
      <c r="P53" s="735"/>
      <c r="Q53" s="735"/>
      <c r="R53" s="735"/>
      <c r="S53" s="735"/>
      <c r="T53" s="736"/>
      <c r="U53" s="78" t="s">
        <v>37</v>
      </c>
      <c r="V53" s="63"/>
      <c r="W53" s="79"/>
      <c r="X53" s="79"/>
      <c r="Y53" s="79"/>
      <c r="Z53" s="79"/>
      <c r="AA53" s="63"/>
      <c r="AB53" s="735" t="s">
        <v>182</v>
      </c>
      <c r="AC53" s="735"/>
      <c r="AD53" s="735"/>
      <c r="AE53" s="735"/>
      <c r="AF53" s="735"/>
      <c r="AG53" s="735"/>
      <c r="AH53" s="735"/>
      <c r="AI53" s="735"/>
      <c r="AJ53" s="735"/>
      <c r="AK53" s="735"/>
      <c r="AL53" s="735"/>
      <c r="AM53" s="735"/>
      <c r="AN53" s="748"/>
      <c r="AO53" s="110"/>
    </row>
    <row r="54" spans="1:48" ht="12.95" customHeight="1" x14ac:dyDescent="0.2">
      <c r="A54" s="258" t="s">
        <v>184</v>
      </c>
      <c r="B54" s="78" t="s">
        <v>185</v>
      </c>
      <c r="C54" s="79"/>
      <c r="D54" s="79"/>
      <c r="E54" s="79"/>
      <c r="F54" s="80"/>
      <c r="G54" s="79"/>
      <c r="H54" s="79"/>
      <c r="I54" s="79"/>
      <c r="J54" s="735" t="s">
        <v>182</v>
      </c>
      <c r="K54" s="735"/>
      <c r="L54" s="735"/>
      <c r="M54" s="735"/>
      <c r="N54" s="735"/>
      <c r="O54" s="735"/>
      <c r="P54" s="735"/>
      <c r="Q54" s="735"/>
      <c r="R54" s="735"/>
      <c r="S54" s="735"/>
      <c r="T54" s="736"/>
      <c r="U54" s="78" t="s">
        <v>186</v>
      </c>
      <c r="V54" s="63"/>
      <c r="W54" s="79"/>
      <c r="X54" s="80"/>
      <c r="Y54" s="79"/>
      <c r="Z54" s="79"/>
      <c r="AA54" s="63"/>
      <c r="AB54" s="751" t="s">
        <v>34</v>
      </c>
      <c r="AC54" s="751"/>
      <c r="AD54" s="751"/>
      <c r="AE54" s="751"/>
      <c r="AF54" s="751"/>
      <c r="AG54" s="751"/>
      <c r="AH54" s="751"/>
      <c r="AI54" s="751"/>
      <c r="AJ54" s="751"/>
      <c r="AK54" s="751"/>
      <c r="AL54" s="751"/>
      <c r="AM54" s="751"/>
      <c r="AN54" s="752"/>
    </row>
    <row r="55" spans="1:48" ht="12.95" customHeight="1" x14ac:dyDescent="0.2">
      <c r="A55" s="258" t="s">
        <v>187</v>
      </c>
      <c r="B55" s="78" t="s">
        <v>38</v>
      </c>
      <c r="C55" s="79"/>
      <c r="D55" s="79"/>
      <c r="E55" s="79"/>
      <c r="F55" s="79"/>
      <c r="G55" s="79"/>
      <c r="H55" s="79"/>
      <c r="I55" s="87"/>
      <c r="J55" s="753">
        <v>1</v>
      </c>
      <c r="K55" s="735"/>
      <c r="L55" s="735"/>
      <c r="M55" s="735"/>
      <c r="N55" s="735"/>
      <c r="O55" s="735"/>
      <c r="P55" s="735"/>
      <c r="Q55" s="735"/>
      <c r="R55" s="735"/>
      <c r="S55" s="735"/>
      <c r="T55" s="736"/>
      <c r="U55" s="78" t="s">
        <v>188</v>
      </c>
      <c r="V55" s="63"/>
      <c r="W55" s="79"/>
      <c r="X55" s="80"/>
      <c r="Y55" s="79"/>
      <c r="Z55" s="79"/>
      <c r="AA55" s="63"/>
      <c r="AB55" s="735" t="s">
        <v>182</v>
      </c>
      <c r="AC55" s="735"/>
      <c r="AD55" s="735"/>
      <c r="AE55" s="735"/>
      <c r="AF55" s="735"/>
      <c r="AG55" s="735"/>
      <c r="AH55" s="735"/>
      <c r="AI55" s="735"/>
      <c r="AJ55" s="735"/>
      <c r="AK55" s="735"/>
      <c r="AL55" s="735"/>
      <c r="AM55" s="735"/>
      <c r="AN55" s="748"/>
    </row>
    <row r="56" spans="1:48" ht="12.95" customHeight="1" x14ac:dyDescent="0.2">
      <c r="A56" s="258" t="s">
        <v>189</v>
      </c>
      <c r="B56" s="78" t="s">
        <v>190</v>
      </c>
      <c r="C56" s="79"/>
      <c r="D56" s="79"/>
      <c r="E56" s="79"/>
      <c r="F56" s="79"/>
      <c r="G56" s="79"/>
      <c r="H56" s="79"/>
      <c r="I56" s="79"/>
      <c r="J56" s="754" t="s">
        <v>182</v>
      </c>
      <c r="K56" s="754"/>
      <c r="L56" s="754"/>
      <c r="M56" s="754"/>
      <c r="N56" s="754"/>
      <c r="O56" s="754"/>
      <c r="P56" s="754"/>
      <c r="Q56" s="754"/>
      <c r="R56" s="754"/>
      <c r="S56" s="754"/>
      <c r="T56" s="755"/>
      <c r="U56" s="78" t="s">
        <v>191</v>
      </c>
      <c r="V56" s="81"/>
      <c r="W56" s="79"/>
      <c r="X56" s="79"/>
      <c r="Y56" s="79"/>
      <c r="Z56" s="79"/>
      <c r="AA56" s="63"/>
      <c r="AB56" s="735" t="s">
        <v>182</v>
      </c>
      <c r="AC56" s="735"/>
      <c r="AD56" s="735"/>
      <c r="AE56" s="735"/>
      <c r="AF56" s="735"/>
      <c r="AG56" s="735"/>
      <c r="AH56" s="735"/>
      <c r="AI56" s="735"/>
      <c r="AJ56" s="735"/>
      <c r="AK56" s="735"/>
      <c r="AL56" s="735"/>
      <c r="AM56" s="735"/>
      <c r="AN56" s="748"/>
      <c r="AO56" s="224"/>
    </row>
    <row r="57" spans="1:48" ht="12.95" customHeight="1" x14ac:dyDescent="0.2">
      <c r="A57" s="258" t="s">
        <v>192</v>
      </c>
      <c r="B57" s="78" t="s">
        <v>193</v>
      </c>
      <c r="C57" s="79"/>
      <c r="D57" s="79"/>
      <c r="E57" s="79"/>
      <c r="F57" s="87"/>
      <c r="G57" s="108"/>
      <c r="H57" s="108"/>
      <c r="I57" s="111"/>
      <c r="J57" s="112" t="s">
        <v>194</v>
      </c>
      <c r="K57" s="113"/>
      <c r="L57" s="113"/>
      <c r="M57" s="113"/>
      <c r="N57" s="113"/>
      <c r="O57" s="113"/>
      <c r="P57" s="113"/>
      <c r="Q57" s="113"/>
      <c r="R57" s="113"/>
      <c r="S57" s="114"/>
      <c r="T57" s="115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273"/>
      <c r="AO57" s="225"/>
    </row>
    <row r="58" spans="1:48" ht="12.95" customHeight="1" x14ac:dyDescent="0.2">
      <c r="A58" s="258"/>
      <c r="B58" s="710" t="s">
        <v>195</v>
      </c>
      <c r="C58" s="711"/>
      <c r="D58" s="711"/>
      <c r="E58" s="711"/>
      <c r="F58" s="711"/>
      <c r="G58" s="711"/>
      <c r="H58" s="711"/>
      <c r="I58" s="711"/>
      <c r="J58" s="711"/>
      <c r="K58" s="711"/>
      <c r="L58" s="711"/>
      <c r="M58" s="711"/>
      <c r="N58" s="711"/>
      <c r="O58" s="711"/>
      <c r="P58" s="711"/>
      <c r="Q58" s="711"/>
      <c r="R58" s="711"/>
      <c r="S58" s="711"/>
      <c r="T58" s="711"/>
      <c r="U58" s="711"/>
      <c r="V58" s="711"/>
      <c r="W58" s="711"/>
      <c r="X58" s="711"/>
      <c r="Y58" s="711"/>
      <c r="Z58" s="711"/>
      <c r="AA58" s="711"/>
      <c r="AB58" s="711"/>
      <c r="AC58" s="711"/>
      <c r="AD58" s="711"/>
      <c r="AE58" s="711"/>
      <c r="AF58" s="711"/>
      <c r="AG58" s="711"/>
      <c r="AH58" s="711"/>
      <c r="AI58" s="711"/>
      <c r="AJ58" s="711"/>
      <c r="AK58" s="711"/>
      <c r="AL58" s="711"/>
      <c r="AM58" s="711"/>
      <c r="AN58" s="712"/>
      <c r="AO58" s="77"/>
    </row>
    <row r="59" spans="1:48" ht="12.95" customHeight="1" x14ac:dyDescent="0.2">
      <c r="A59" s="258" t="s">
        <v>196</v>
      </c>
      <c r="B59" s="117" t="s">
        <v>197</v>
      </c>
      <c r="C59" s="79"/>
      <c r="D59" s="79"/>
      <c r="E59" s="79"/>
      <c r="F59" s="79"/>
      <c r="G59" s="79"/>
      <c r="H59" s="79" t="s">
        <v>198</v>
      </c>
      <c r="I59" s="63"/>
      <c r="J59" s="749" t="s">
        <v>199</v>
      </c>
      <c r="K59" s="749"/>
      <c r="L59" s="749"/>
      <c r="M59" s="749"/>
      <c r="N59" s="749"/>
      <c r="O59" s="749"/>
      <c r="P59" s="749"/>
      <c r="Q59" s="749"/>
      <c r="R59" s="749"/>
      <c r="S59" s="749"/>
      <c r="T59" s="749"/>
      <c r="U59" s="79"/>
      <c r="V59" s="63"/>
      <c r="W59" s="79"/>
      <c r="X59" s="63"/>
      <c r="Y59" s="63"/>
      <c r="Z59" s="86" t="s">
        <v>200</v>
      </c>
      <c r="AA59" s="83"/>
      <c r="AB59" s="83"/>
      <c r="AC59" s="230" t="s">
        <v>201</v>
      </c>
      <c r="AD59" s="224"/>
      <c r="AE59" s="224"/>
      <c r="AF59" s="224"/>
      <c r="AG59" s="224"/>
      <c r="AH59" s="224"/>
      <c r="AI59" s="224"/>
      <c r="AJ59" s="224"/>
      <c r="AK59" s="224"/>
      <c r="AL59" s="224"/>
      <c r="AM59" s="224"/>
      <c r="AN59" s="271"/>
      <c r="AO59" s="131"/>
      <c r="AP59" s="132"/>
      <c r="AQ59" s="132"/>
      <c r="AR59" s="132"/>
      <c r="AS59" s="132"/>
      <c r="AT59" s="132"/>
      <c r="AU59" s="132"/>
      <c r="AV59" s="132"/>
    </row>
    <row r="60" spans="1:48" ht="12.95" customHeight="1" x14ac:dyDescent="0.2">
      <c r="A60" s="258" t="s">
        <v>202</v>
      </c>
      <c r="B60" s="78" t="s">
        <v>203</v>
      </c>
      <c r="C60" s="79"/>
      <c r="D60" s="79"/>
      <c r="E60" s="79"/>
      <c r="F60" s="79"/>
      <c r="G60" s="79"/>
      <c r="H60" s="118" t="s">
        <v>198</v>
      </c>
      <c r="I60" s="63"/>
      <c r="J60" s="750" t="s">
        <v>34</v>
      </c>
      <c r="K60" s="750"/>
      <c r="L60" s="750"/>
      <c r="M60" s="750"/>
      <c r="N60" s="750"/>
      <c r="O60" s="750"/>
      <c r="P60" s="750"/>
      <c r="Q60" s="750"/>
      <c r="R60" s="750"/>
      <c r="S60" s="750"/>
      <c r="T60" s="750"/>
      <c r="U60" s="79"/>
      <c r="V60" s="63"/>
      <c r="W60" s="79"/>
      <c r="X60" s="63"/>
      <c r="Y60" s="63"/>
      <c r="Z60" s="86" t="s">
        <v>200</v>
      </c>
      <c r="AA60" s="83"/>
      <c r="AB60" s="83"/>
      <c r="AC60" s="233" t="s">
        <v>201</v>
      </c>
      <c r="AD60" s="225"/>
      <c r="AE60" s="225"/>
      <c r="AF60" s="225"/>
      <c r="AG60" s="225"/>
      <c r="AH60" s="225"/>
      <c r="AI60" s="225"/>
      <c r="AJ60" s="225"/>
      <c r="AK60" s="225"/>
      <c r="AL60" s="225"/>
      <c r="AM60" s="225"/>
      <c r="AN60" s="239"/>
      <c r="AO60" s="62"/>
      <c r="AP60" s="132"/>
      <c r="AQ60" s="132"/>
      <c r="AR60" s="132"/>
      <c r="AS60" s="132"/>
      <c r="AT60" s="132"/>
      <c r="AU60" s="132"/>
      <c r="AV60" s="132"/>
    </row>
    <row r="61" spans="1:48" ht="12.95" customHeight="1" x14ac:dyDescent="0.2">
      <c r="A61" s="258" t="s">
        <v>204</v>
      </c>
      <c r="B61" s="119"/>
      <c r="C61" s="90"/>
      <c r="D61" s="91"/>
      <c r="E61" s="91"/>
      <c r="F61" s="91"/>
      <c r="G61" s="91"/>
      <c r="H61" s="91"/>
      <c r="I61" s="91"/>
      <c r="J61" s="91"/>
      <c r="K61" s="91"/>
      <c r="L61" s="120"/>
      <c r="M61" s="120"/>
      <c r="N61" s="91"/>
      <c r="O61" s="121"/>
      <c r="P61" s="120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122"/>
      <c r="AD61" s="122"/>
      <c r="AE61" s="123"/>
      <c r="AF61" s="122"/>
      <c r="AG61" s="122"/>
      <c r="AH61" s="122"/>
      <c r="AI61" s="122"/>
      <c r="AJ61" s="122"/>
      <c r="AK61" s="122"/>
      <c r="AL61" s="122"/>
      <c r="AM61" s="122"/>
      <c r="AN61" s="274"/>
      <c r="AO61" s="141"/>
      <c r="AP61" s="142"/>
      <c r="AQ61" s="132"/>
      <c r="AR61" s="132"/>
      <c r="AS61" s="132"/>
      <c r="AT61" s="132"/>
      <c r="AU61" s="132"/>
      <c r="AV61" s="132"/>
    </row>
    <row r="62" spans="1:48" ht="12.95" customHeight="1" x14ac:dyDescent="0.2">
      <c r="A62" s="258"/>
      <c r="B62" s="124"/>
      <c r="C62" s="125"/>
      <c r="D62" s="126"/>
      <c r="E62" s="126"/>
      <c r="F62" s="126"/>
      <c r="G62" s="126"/>
      <c r="H62" s="126"/>
      <c r="I62" s="126"/>
      <c r="J62" s="126"/>
      <c r="K62" s="126"/>
      <c r="L62" s="127"/>
      <c r="M62" s="127"/>
      <c r="N62" s="126"/>
      <c r="O62" s="128"/>
      <c r="P62" s="127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9"/>
      <c r="AD62" s="129"/>
      <c r="AE62" s="130"/>
      <c r="AF62" s="129"/>
      <c r="AG62" s="129"/>
      <c r="AH62" s="129"/>
      <c r="AI62" s="129"/>
      <c r="AJ62" s="129"/>
      <c r="AK62" s="129"/>
      <c r="AL62" s="129"/>
      <c r="AM62" s="129"/>
      <c r="AN62" s="275"/>
      <c r="AO62" s="62"/>
      <c r="AP62" s="132"/>
      <c r="AQ62" s="132"/>
      <c r="AR62" s="132"/>
      <c r="AS62" s="132"/>
      <c r="AT62" s="132"/>
      <c r="AU62" s="132"/>
      <c r="AV62" s="132"/>
    </row>
    <row r="63" spans="1:48" ht="12.95" customHeight="1" x14ac:dyDescent="0.2">
      <c r="A63" s="258" t="s">
        <v>205</v>
      </c>
      <c r="B63" s="276" t="s">
        <v>206</v>
      </c>
      <c r="C63" s="63"/>
      <c r="D63" s="63"/>
      <c r="E63" s="133"/>
      <c r="F63" s="133"/>
      <c r="G63" s="133"/>
      <c r="H63" s="133"/>
      <c r="I63" s="133"/>
      <c r="J63" s="133"/>
      <c r="K63" s="133"/>
      <c r="L63" s="134"/>
      <c r="M63" s="134"/>
      <c r="N63" s="133"/>
      <c r="O63" s="135"/>
      <c r="P63" s="134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5"/>
      <c r="AF63" s="133"/>
      <c r="AG63" s="133"/>
      <c r="AH63" s="133"/>
      <c r="AI63" s="133"/>
      <c r="AJ63" s="133"/>
      <c r="AK63" s="133"/>
      <c r="AL63" s="133"/>
      <c r="AM63" s="133"/>
      <c r="AN63" s="277"/>
      <c r="AO63" s="54"/>
      <c r="AP63" s="132"/>
      <c r="AQ63" s="132"/>
      <c r="AR63" s="132"/>
      <c r="AS63" s="132"/>
      <c r="AT63" s="132"/>
      <c r="AU63" s="132"/>
      <c r="AV63" s="132"/>
    </row>
    <row r="64" spans="1:48" ht="12.95" customHeight="1" x14ac:dyDescent="0.2">
      <c r="A64" s="258" t="s">
        <v>207</v>
      </c>
      <c r="B64" s="136">
        <v>1</v>
      </c>
      <c r="C64" s="137" t="s">
        <v>208</v>
      </c>
      <c r="D64" s="138"/>
      <c r="E64" s="138"/>
      <c r="F64" s="138"/>
      <c r="G64" s="138"/>
      <c r="H64" s="138"/>
      <c r="I64" s="138"/>
      <c r="J64" s="138"/>
      <c r="K64" s="138"/>
      <c r="L64" s="139"/>
      <c r="M64" s="139"/>
      <c r="N64" s="138"/>
      <c r="O64" s="140"/>
      <c r="P64" s="139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40"/>
      <c r="AF64" s="138"/>
      <c r="AG64" s="138"/>
      <c r="AH64" s="138"/>
      <c r="AI64" s="138"/>
      <c r="AJ64" s="138"/>
      <c r="AK64" s="138"/>
      <c r="AL64" s="138"/>
      <c r="AM64" s="138"/>
      <c r="AN64" s="278"/>
      <c r="AO64" s="54"/>
      <c r="AP64" s="132"/>
      <c r="AQ64" s="132"/>
      <c r="AR64" s="132"/>
      <c r="AS64" s="132"/>
      <c r="AT64" s="132"/>
      <c r="AU64" s="132"/>
      <c r="AV64" s="132"/>
    </row>
    <row r="65" spans="1:48" ht="12.95" customHeight="1" x14ac:dyDescent="0.2">
      <c r="A65" s="258" t="s">
        <v>209</v>
      </c>
      <c r="B65" s="143">
        <v>2</v>
      </c>
      <c r="C65" s="144" t="s">
        <v>210</v>
      </c>
      <c r="D65" s="133"/>
      <c r="E65" s="133"/>
      <c r="F65" s="133"/>
      <c r="G65" s="133"/>
      <c r="H65" s="133"/>
      <c r="I65" s="133"/>
      <c r="J65" s="133"/>
      <c r="K65" s="133"/>
      <c r="L65" s="134"/>
      <c r="M65" s="134"/>
      <c r="N65" s="144"/>
      <c r="O65" s="135"/>
      <c r="P65" s="134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5"/>
      <c r="AF65" s="133"/>
      <c r="AG65" s="133"/>
      <c r="AH65" s="133"/>
      <c r="AI65" s="133"/>
      <c r="AJ65" s="133"/>
      <c r="AK65" s="133"/>
      <c r="AL65" s="62"/>
      <c r="AM65" s="62"/>
      <c r="AN65" s="259"/>
      <c r="AO65" s="146"/>
      <c r="AP65" s="147"/>
      <c r="AQ65" s="147"/>
      <c r="AR65" s="132"/>
      <c r="AS65" s="132"/>
      <c r="AT65" s="132"/>
      <c r="AU65" s="132"/>
      <c r="AV65" s="132"/>
    </row>
    <row r="66" spans="1:48" ht="12.95" customHeight="1" x14ac:dyDescent="0.2">
      <c r="A66" s="258" t="s">
        <v>211</v>
      </c>
      <c r="B66" s="143">
        <v>3</v>
      </c>
      <c r="C66" s="54" t="s">
        <v>212</v>
      </c>
      <c r="D66" s="133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241"/>
      <c r="AO66" s="54"/>
      <c r="AP66" s="132"/>
      <c r="AQ66" s="132"/>
      <c r="AR66" s="132"/>
      <c r="AS66" s="132"/>
      <c r="AT66" s="132"/>
      <c r="AU66" s="132"/>
      <c r="AV66" s="132"/>
    </row>
    <row r="67" spans="1:48" ht="12.95" customHeight="1" x14ac:dyDescent="0.2">
      <c r="A67" s="258" t="s">
        <v>213</v>
      </c>
      <c r="B67" s="143"/>
      <c r="C67" s="144" t="s">
        <v>214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241"/>
      <c r="AO67" s="54"/>
      <c r="AP67" s="132"/>
      <c r="AQ67" s="132"/>
      <c r="AR67" s="132"/>
      <c r="AS67" s="132"/>
      <c r="AT67" s="132"/>
      <c r="AU67" s="132"/>
      <c r="AV67" s="132"/>
    </row>
    <row r="68" spans="1:48" ht="12.95" customHeight="1" x14ac:dyDescent="0.2">
      <c r="A68" s="258" t="s">
        <v>215</v>
      </c>
      <c r="B68" s="145">
        <v>4</v>
      </c>
      <c r="C68" s="146" t="s">
        <v>282</v>
      </c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279"/>
      <c r="AO68" s="54"/>
      <c r="AP68" s="132"/>
      <c r="AQ68" s="132"/>
      <c r="AR68" s="132"/>
      <c r="AS68" s="132"/>
      <c r="AT68" s="132"/>
      <c r="AU68" s="132"/>
      <c r="AV68" s="132"/>
    </row>
    <row r="69" spans="1:48" ht="12.95" customHeight="1" x14ac:dyDescent="0.2">
      <c r="A69" s="258" t="s">
        <v>216</v>
      </c>
      <c r="B69" s="143"/>
      <c r="C69" s="144" t="s">
        <v>283</v>
      </c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241"/>
      <c r="AO69" s="54"/>
      <c r="AP69" s="132"/>
      <c r="AQ69" s="132"/>
      <c r="AR69" s="132"/>
      <c r="AS69" s="132"/>
      <c r="AT69" s="132"/>
      <c r="AU69" s="132"/>
      <c r="AV69" s="132"/>
    </row>
    <row r="70" spans="1:48" ht="12.95" customHeight="1" x14ac:dyDescent="0.2">
      <c r="A70" s="258" t="s">
        <v>217</v>
      </c>
      <c r="B70" s="143"/>
      <c r="C70" s="54"/>
      <c r="D70" s="54"/>
      <c r="E70" s="54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241"/>
      <c r="AO70" s="71"/>
      <c r="AP70" s="132"/>
      <c r="AQ70" s="132"/>
      <c r="AR70" s="132"/>
      <c r="AS70" s="132"/>
      <c r="AT70" s="132"/>
      <c r="AU70" s="132"/>
      <c r="AV70" s="132"/>
    </row>
    <row r="71" spans="1:48" ht="12.95" customHeight="1" x14ac:dyDescent="0.2">
      <c r="A71" s="258" t="s">
        <v>43</v>
      </c>
      <c r="B71" s="143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241"/>
    </row>
    <row r="72" spans="1:48" ht="12.95" customHeight="1" x14ac:dyDescent="0.2">
      <c r="A72" s="258" t="s">
        <v>218</v>
      </c>
      <c r="B72" s="149"/>
      <c r="C72" s="63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241"/>
    </row>
    <row r="73" spans="1:48" ht="12.95" customHeight="1" thickBot="1" x14ac:dyDescent="0.25">
      <c r="A73" s="280" t="s">
        <v>219</v>
      </c>
      <c r="B73" s="28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3"/>
    </row>
    <row r="74" spans="1:48" ht="12" customHeight="1" x14ac:dyDescent="0.2">
      <c r="A74" s="150"/>
      <c r="B74" s="39"/>
      <c r="C74" s="39"/>
      <c r="D74" s="39"/>
      <c r="E74" s="39"/>
      <c r="F74" s="39"/>
      <c r="G74" s="39"/>
      <c r="H74" s="39"/>
      <c r="I74" s="39"/>
      <c r="J74" s="39"/>
    </row>
  </sheetData>
  <mergeCells count="66">
    <mergeCell ref="B58:AN58"/>
    <mergeCell ref="J59:T59"/>
    <mergeCell ref="J60:T60"/>
    <mergeCell ref="J54:T54"/>
    <mergeCell ref="AB54:AN54"/>
    <mergeCell ref="J55:T55"/>
    <mergeCell ref="AB55:AN55"/>
    <mergeCell ref="J56:T56"/>
    <mergeCell ref="AB56:AN56"/>
    <mergeCell ref="J50:T50"/>
    <mergeCell ref="B51:AN51"/>
    <mergeCell ref="J52:T52"/>
    <mergeCell ref="AB52:AN52"/>
    <mergeCell ref="J53:T53"/>
    <mergeCell ref="AB53:AN53"/>
    <mergeCell ref="J49:T49"/>
    <mergeCell ref="J37:T37"/>
    <mergeCell ref="J38:T38"/>
    <mergeCell ref="B39:AN39"/>
    <mergeCell ref="B41:AN41"/>
    <mergeCell ref="J42:T42"/>
    <mergeCell ref="J43:T43"/>
    <mergeCell ref="J44:T44"/>
    <mergeCell ref="J45:T45"/>
    <mergeCell ref="J46:T46"/>
    <mergeCell ref="J47:T47"/>
    <mergeCell ref="J48:T48"/>
    <mergeCell ref="A14:AN14"/>
    <mergeCell ref="B21:AN21"/>
    <mergeCell ref="J22:T22"/>
    <mergeCell ref="J23:T23"/>
    <mergeCell ref="J36:T36"/>
    <mergeCell ref="J25:T25"/>
    <mergeCell ref="J26:T26"/>
    <mergeCell ref="B27:AN27"/>
    <mergeCell ref="J28:T28"/>
    <mergeCell ref="J29:T29"/>
    <mergeCell ref="J30:T30"/>
    <mergeCell ref="J31:T31"/>
    <mergeCell ref="J32:T32"/>
    <mergeCell ref="J33:T33"/>
    <mergeCell ref="J34:T34"/>
    <mergeCell ref="J35:T35"/>
    <mergeCell ref="J24:T24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A13:AN13"/>
    <mergeCell ref="L1:AD6"/>
    <mergeCell ref="AE1:AN4"/>
    <mergeCell ref="A5:K6"/>
    <mergeCell ref="AE5:AN6"/>
    <mergeCell ref="A7:K9"/>
    <mergeCell ref="L7:AD9"/>
    <mergeCell ref="AE7:AN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7" orientation="portrait" verticalDpi="300" r:id="rId1"/>
  <colBreaks count="1" manualBreakCount="1">
    <brk id="40" max="72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O74"/>
  <sheetViews>
    <sheetView view="pageBreakPreview" topLeftCell="A4" zoomScale="130" zoomScaleNormal="115" zoomScaleSheetLayoutView="130" workbookViewId="0">
      <selection activeCell="A13" sqref="A13:AN13"/>
    </sheetView>
  </sheetViews>
  <sheetFormatPr defaultRowHeight="12" customHeight="1" x14ac:dyDescent="0.2"/>
  <cols>
    <col min="1" max="39" width="2.42578125" style="28" customWidth="1"/>
    <col min="40" max="40" width="5" style="28" customWidth="1"/>
    <col min="41" max="41" width="9.140625" style="28" hidden="1" customWidth="1"/>
    <col min="42" max="256" width="9.140625" style="28"/>
    <col min="257" max="295" width="2.42578125" style="28" customWidth="1"/>
    <col min="296" max="296" width="5" style="28" customWidth="1"/>
    <col min="297" max="297" width="0" style="28" hidden="1" customWidth="1"/>
    <col min="298" max="512" width="9.140625" style="28"/>
    <col min="513" max="551" width="2.42578125" style="28" customWidth="1"/>
    <col min="552" max="552" width="5" style="28" customWidth="1"/>
    <col min="553" max="553" width="0" style="28" hidden="1" customWidth="1"/>
    <col min="554" max="768" width="9.140625" style="28"/>
    <col min="769" max="807" width="2.42578125" style="28" customWidth="1"/>
    <col min="808" max="808" width="5" style="28" customWidth="1"/>
    <col min="809" max="809" width="0" style="28" hidden="1" customWidth="1"/>
    <col min="810" max="1024" width="9.140625" style="28"/>
    <col min="1025" max="1063" width="2.42578125" style="28" customWidth="1"/>
    <col min="1064" max="1064" width="5" style="28" customWidth="1"/>
    <col min="1065" max="1065" width="0" style="28" hidden="1" customWidth="1"/>
    <col min="1066" max="1280" width="9.140625" style="28"/>
    <col min="1281" max="1319" width="2.42578125" style="28" customWidth="1"/>
    <col min="1320" max="1320" width="5" style="28" customWidth="1"/>
    <col min="1321" max="1321" width="0" style="28" hidden="1" customWidth="1"/>
    <col min="1322" max="1536" width="9.140625" style="28"/>
    <col min="1537" max="1575" width="2.42578125" style="28" customWidth="1"/>
    <col min="1576" max="1576" width="5" style="28" customWidth="1"/>
    <col min="1577" max="1577" width="0" style="28" hidden="1" customWidth="1"/>
    <col min="1578" max="1792" width="9.140625" style="28"/>
    <col min="1793" max="1831" width="2.42578125" style="28" customWidth="1"/>
    <col min="1832" max="1832" width="5" style="28" customWidth="1"/>
    <col min="1833" max="1833" width="0" style="28" hidden="1" customWidth="1"/>
    <col min="1834" max="2048" width="9.140625" style="28"/>
    <col min="2049" max="2087" width="2.42578125" style="28" customWidth="1"/>
    <col min="2088" max="2088" width="5" style="28" customWidth="1"/>
    <col min="2089" max="2089" width="0" style="28" hidden="1" customWidth="1"/>
    <col min="2090" max="2304" width="9.140625" style="28"/>
    <col min="2305" max="2343" width="2.42578125" style="28" customWidth="1"/>
    <col min="2344" max="2344" width="5" style="28" customWidth="1"/>
    <col min="2345" max="2345" width="0" style="28" hidden="1" customWidth="1"/>
    <col min="2346" max="2560" width="9.140625" style="28"/>
    <col min="2561" max="2599" width="2.42578125" style="28" customWidth="1"/>
    <col min="2600" max="2600" width="5" style="28" customWidth="1"/>
    <col min="2601" max="2601" width="0" style="28" hidden="1" customWidth="1"/>
    <col min="2602" max="2816" width="9.140625" style="28"/>
    <col min="2817" max="2855" width="2.42578125" style="28" customWidth="1"/>
    <col min="2856" max="2856" width="5" style="28" customWidth="1"/>
    <col min="2857" max="2857" width="0" style="28" hidden="1" customWidth="1"/>
    <col min="2858" max="3072" width="9.140625" style="28"/>
    <col min="3073" max="3111" width="2.42578125" style="28" customWidth="1"/>
    <col min="3112" max="3112" width="5" style="28" customWidth="1"/>
    <col min="3113" max="3113" width="0" style="28" hidden="1" customWidth="1"/>
    <col min="3114" max="3328" width="9.140625" style="28"/>
    <col min="3329" max="3367" width="2.42578125" style="28" customWidth="1"/>
    <col min="3368" max="3368" width="5" style="28" customWidth="1"/>
    <col min="3369" max="3369" width="0" style="28" hidden="1" customWidth="1"/>
    <col min="3370" max="3584" width="9.140625" style="28"/>
    <col min="3585" max="3623" width="2.42578125" style="28" customWidth="1"/>
    <col min="3624" max="3624" width="5" style="28" customWidth="1"/>
    <col min="3625" max="3625" width="0" style="28" hidden="1" customWidth="1"/>
    <col min="3626" max="3840" width="9.140625" style="28"/>
    <col min="3841" max="3879" width="2.42578125" style="28" customWidth="1"/>
    <col min="3880" max="3880" width="5" style="28" customWidth="1"/>
    <col min="3881" max="3881" width="0" style="28" hidden="1" customWidth="1"/>
    <col min="3882" max="4096" width="9.140625" style="28"/>
    <col min="4097" max="4135" width="2.42578125" style="28" customWidth="1"/>
    <col min="4136" max="4136" width="5" style="28" customWidth="1"/>
    <col min="4137" max="4137" width="0" style="28" hidden="1" customWidth="1"/>
    <col min="4138" max="4352" width="9.140625" style="28"/>
    <col min="4353" max="4391" width="2.42578125" style="28" customWidth="1"/>
    <col min="4392" max="4392" width="5" style="28" customWidth="1"/>
    <col min="4393" max="4393" width="0" style="28" hidden="1" customWidth="1"/>
    <col min="4394" max="4608" width="9.140625" style="28"/>
    <col min="4609" max="4647" width="2.42578125" style="28" customWidth="1"/>
    <col min="4648" max="4648" width="5" style="28" customWidth="1"/>
    <col min="4649" max="4649" width="0" style="28" hidden="1" customWidth="1"/>
    <col min="4650" max="4864" width="9.140625" style="28"/>
    <col min="4865" max="4903" width="2.42578125" style="28" customWidth="1"/>
    <col min="4904" max="4904" width="5" style="28" customWidth="1"/>
    <col min="4905" max="4905" width="0" style="28" hidden="1" customWidth="1"/>
    <col min="4906" max="5120" width="9.140625" style="28"/>
    <col min="5121" max="5159" width="2.42578125" style="28" customWidth="1"/>
    <col min="5160" max="5160" width="5" style="28" customWidth="1"/>
    <col min="5161" max="5161" width="0" style="28" hidden="1" customWidth="1"/>
    <col min="5162" max="5376" width="9.140625" style="28"/>
    <col min="5377" max="5415" width="2.42578125" style="28" customWidth="1"/>
    <col min="5416" max="5416" width="5" style="28" customWidth="1"/>
    <col min="5417" max="5417" width="0" style="28" hidden="1" customWidth="1"/>
    <col min="5418" max="5632" width="9.140625" style="28"/>
    <col min="5633" max="5671" width="2.42578125" style="28" customWidth="1"/>
    <col min="5672" max="5672" width="5" style="28" customWidth="1"/>
    <col min="5673" max="5673" width="0" style="28" hidden="1" customWidth="1"/>
    <col min="5674" max="5888" width="9.140625" style="28"/>
    <col min="5889" max="5927" width="2.42578125" style="28" customWidth="1"/>
    <col min="5928" max="5928" width="5" style="28" customWidth="1"/>
    <col min="5929" max="5929" width="0" style="28" hidden="1" customWidth="1"/>
    <col min="5930" max="6144" width="9.140625" style="28"/>
    <col min="6145" max="6183" width="2.42578125" style="28" customWidth="1"/>
    <col min="6184" max="6184" width="5" style="28" customWidth="1"/>
    <col min="6185" max="6185" width="0" style="28" hidden="1" customWidth="1"/>
    <col min="6186" max="6400" width="9.140625" style="28"/>
    <col min="6401" max="6439" width="2.42578125" style="28" customWidth="1"/>
    <col min="6440" max="6440" width="5" style="28" customWidth="1"/>
    <col min="6441" max="6441" width="0" style="28" hidden="1" customWidth="1"/>
    <col min="6442" max="6656" width="9.140625" style="28"/>
    <col min="6657" max="6695" width="2.42578125" style="28" customWidth="1"/>
    <col min="6696" max="6696" width="5" style="28" customWidth="1"/>
    <col min="6697" max="6697" width="0" style="28" hidden="1" customWidth="1"/>
    <col min="6698" max="6912" width="9.140625" style="28"/>
    <col min="6913" max="6951" width="2.42578125" style="28" customWidth="1"/>
    <col min="6952" max="6952" width="5" style="28" customWidth="1"/>
    <col min="6953" max="6953" width="0" style="28" hidden="1" customWidth="1"/>
    <col min="6954" max="7168" width="9.140625" style="28"/>
    <col min="7169" max="7207" width="2.42578125" style="28" customWidth="1"/>
    <col min="7208" max="7208" width="5" style="28" customWidth="1"/>
    <col min="7209" max="7209" width="0" style="28" hidden="1" customWidth="1"/>
    <col min="7210" max="7424" width="9.140625" style="28"/>
    <col min="7425" max="7463" width="2.42578125" style="28" customWidth="1"/>
    <col min="7464" max="7464" width="5" style="28" customWidth="1"/>
    <col min="7465" max="7465" width="0" style="28" hidden="1" customWidth="1"/>
    <col min="7466" max="7680" width="9.140625" style="28"/>
    <col min="7681" max="7719" width="2.42578125" style="28" customWidth="1"/>
    <col min="7720" max="7720" width="5" style="28" customWidth="1"/>
    <col min="7721" max="7721" width="0" style="28" hidden="1" customWidth="1"/>
    <col min="7722" max="7936" width="9.140625" style="28"/>
    <col min="7937" max="7975" width="2.42578125" style="28" customWidth="1"/>
    <col min="7976" max="7976" width="5" style="28" customWidth="1"/>
    <col min="7977" max="7977" width="0" style="28" hidden="1" customWidth="1"/>
    <col min="7978" max="8192" width="9.140625" style="28"/>
    <col min="8193" max="8231" width="2.42578125" style="28" customWidth="1"/>
    <col min="8232" max="8232" width="5" style="28" customWidth="1"/>
    <col min="8233" max="8233" width="0" style="28" hidden="1" customWidth="1"/>
    <col min="8234" max="8448" width="9.140625" style="28"/>
    <col min="8449" max="8487" width="2.42578125" style="28" customWidth="1"/>
    <col min="8488" max="8488" width="5" style="28" customWidth="1"/>
    <col min="8489" max="8489" width="0" style="28" hidden="1" customWidth="1"/>
    <col min="8490" max="8704" width="9.140625" style="28"/>
    <col min="8705" max="8743" width="2.42578125" style="28" customWidth="1"/>
    <col min="8744" max="8744" width="5" style="28" customWidth="1"/>
    <col min="8745" max="8745" width="0" style="28" hidden="1" customWidth="1"/>
    <col min="8746" max="8960" width="9.140625" style="28"/>
    <col min="8961" max="8999" width="2.42578125" style="28" customWidth="1"/>
    <col min="9000" max="9000" width="5" style="28" customWidth="1"/>
    <col min="9001" max="9001" width="0" style="28" hidden="1" customWidth="1"/>
    <col min="9002" max="9216" width="9.140625" style="28"/>
    <col min="9217" max="9255" width="2.42578125" style="28" customWidth="1"/>
    <col min="9256" max="9256" width="5" style="28" customWidth="1"/>
    <col min="9257" max="9257" width="0" style="28" hidden="1" customWidth="1"/>
    <col min="9258" max="9472" width="9.140625" style="28"/>
    <col min="9473" max="9511" width="2.42578125" style="28" customWidth="1"/>
    <col min="9512" max="9512" width="5" style="28" customWidth="1"/>
    <col min="9513" max="9513" width="0" style="28" hidden="1" customWidth="1"/>
    <col min="9514" max="9728" width="9.140625" style="28"/>
    <col min="9729" max="9767" width="2.42578125" style="28" customWidth="1"/>
    <col min="9768" max="9768" width="5" style="28" customWidth="1"/>
    <col min="9769" max="9769" width="0" style="28" hidden="1" customWidth="1"/>
    <col min="9770" max="9984" width="9.140625" style="28"/>
    <col min="9985" max="10023" width="2.42578125" style="28" customWidth="1"/>
    <col min="10024" max="10024" width="5" style="28" customWidth="1"/>
    <col min="10025" max="10025" width="0" style="28" hidden="1" customWidth="1"/>
    <col min="10026" max="10240" width="9.140625" style="28"/>
    <col min="10241" max="10279" width="2.42578125" style="28" customWidth="1"/>
    <col min="10280" max="10280" width="5" style="28" customWidth="1"/>
    <col min="10281" max="10281" width="0" style="28" hidden="1" customWidth="1"/>
    <col min="10282" max="10496" width="9.140625" style="28"/>
    <col min="10497" max="10535" width="2.42578125" style="28" customWidth="1"/>
    <col min="10536" max="10536" width="5" style="28" customWidth="1"/>
    <col min="10537" max="10537" width="0" style="28" hidden="1" customWidth="1"/>
    <col min="10538" max="10752" width="9.140625" style="28"/>
    <col min="10753" max="10791" width="2.42578125" style="28" customWidth="1"/>
    <col min="10792" max="10792" width="5" style="28" customWidth="1"/>
    <col min="10793" max="10793" width="0" style="28" hidden="1" customWidth="1"/>
    <col min="10794" max="11008" width="9.140625" style="28"/>
    <col min="11009" max="11047" width="2.42578125" style="28" customWidth="1"/>
    <col min="11048" max="11048" width="5" style="28" customWidth="1"/>
    <col min="11049" max="11049" width="0" style="28" hidden="1" customWidth="1"/>
    <col min="11050" max="11264" width="9.140625" style="28"/>
    <col min="11265" max="11303" width="2.42578125" style="28" customWidth="1"/>
    <col min="11304" max="11304" width="5" style="28" customWidth="1"/>
    <col min="11305" max="11305" width="0" style="28" hidden="1" customWidth="1"/>
    <col min="11306" max="11520" width="9.140625" style="28"/>
    <col min="11521" max="11559" width="2.42578125" style="28" customWidth="1"/>
    <col min="11560" max="11560" width="5" style="28" customWidth="1"/>
    <col min="11561" max="11561" width="0" style="28" hidden="1" customWidth="1"/>
    <col min="11562" max="11776" width="9.140625" style="28"/>
    <col min="11777" max="11815" width="2.42578125" style="28" customWidth="1"/>
    <col min="11816" max="11816" width="5" style="28" customWidth="1"/>
    <col min="11817" max="11817" width="0" style="28" hidden="1" customWidth="1"/>
    <col min="11818" max="12032" width="9.140625" style="28"/>
    <col min="12033" max="12071" width="2.42578125" style="28" customWidth="1"/>
    <col min="12072" max="12072" width="5" style="28" customWidth="1"/>
    <col min="12073" max="12073" width="0" style="28" hidden="1" customWidth="1"/>
    <col min="12074" max="12288" width="9.140625" style="28"/>
    <col min="12289" max="12327" width="2.42578125" style="28" customWidth="1"/>
    <col min="12328" max="12328" width="5" style="28" customWidth="1"/>
    <col min="12329" max="12329" width="0" style="28" hidden="1" customWidth="1"/>
    <col min="12330" max="12544" width="9.140625" style="28"/>
    <col min="12545" max="12583" width="2.42578125" style="28" customWidth="1"/>
    <col min="12584" max="12584" width="5" style="28" customWidth="1"/>
    <col min="12585" max="12585" width="0" style="28" hidden="1" customWidth="1"/>
    <col min="12586" max="12800" width="9.140625" style="28"/>
    <col min="12801" max="12839" width="2.42578125" style="28" customWidth="1"/>
    <col min="12840" max="12840" width="5" style="28" customWidth="1"/>
    <col min="12841" max="12841" width="0" style="28" hidden="1" customWidth="1"/>
    <col min="12842" max="13056" width="9.140625" style="28"/>
    <col min="13057" max="13095" width="2.42578125" style="28" customWidth="1"/>
    <col min="13096" max="13096" width="5" style="28" customWidth="1"/>
    <col min="13097" max="13097" width="0" style="28" hidden="1" customWidth="1"/>
    <col min="13098" max="13312" width="9.140625" style="28"/>
    <col min="13313" max="13351" width="2.42578125" style="28" customWidth="1"/>
    <col min="13352" max="13352" width="5" style="28" customWidth="1"/>
    <col min="13353" max="13353" width="0" style="28" hidden="1" customWidth="1"/>
    <col min="13354" max="13568" width="9.140625" style="28"/>
    <col min="13569" max="13607" width="2.42578125" style="28" customWidth="1"/>
    <col min="13608" max="13608" width="5" style="28" customWidth="1"/>
    <col min="13609" max="13609" width="0" style="28" hidden="1" customWidth="1"/>
    <col min="13610" max="13824" width="9.140625" style="28"/>
    <col min="13825" max="13863" width="2.42578125" style="28" customWidth="1"/>
    <col min="13864" max="13864" width="5" style="28" customWidth="1"/>
    <col min="13865" max="13865" width="0" style="28" hidden="1" customWidth="1"/>
    <col min="13866" max="14080" width="9.140625" style="28"/>
    <col min="14081" max="14119" width="2.42578125" style="28" customWidth="1"/>
    <col min="14120" max="14120" width="5" style="28" customWidth="1"/>
    <col min="14121" max="14121" width="0" style="28" hidden="1" customWidth="1"/>
    <col min="14122" max="14336" width="9.140625" style="28"/>
    <col min="14337" max="14375" width="2.42578125" style="28" customWidth="1"/>
    <col min="14376" max="14376" width="5" style="28" customWidth="1"/>
    <col min="14377" max="14377" width="0" style="28" hidden="1" customWidth="1"/>
    <col min="14378" max="14592" width="9.140625" style="28"/>
    <col min="14593" max="14631" width="2.42578125" style="28" customWidth="1"/>
    <col min="14632" max="14632" width="5" style="28" customWidth="1"/>
    <col min="14633" max="14633" width="0" style="28" hidden="1" customWidth="1"/>
    <col min="14634" max="14848" width="9.140625" style="28"/>
    <col min="14849" max="14887" width="2.42578125" style="28" customWidth="1"/>
    <col min="14888" max="14888" width="5" style="28" customWidth="1"/>
    <col min="14889" max="14889" width="0" style="28" hidden="1" customWidth="1"/>
    <col min="14890" max="15104" width="9.140625" style="28"/>
    <col min="15105" max="15143" width="2.42578125" style="28" customWidth="1"/>
    <col min="15144" max="15144" width="5" style="28" customWidth="1"/>
    <col min="15145" max="15145" width="0" style="28" hidden="1" customWidth="1"/>
    <col min="15146" max="15360" width="9.140625" style="28"/>
    <col min="15361" max="15399" width="2.42578125" style="28" customWidth="1"/>
    <col min="15400" max="15400" width="5" style="28" customWidth="1"/>
    <col min="15401" max="15401" width="0" style="28" hidden="1" customWidth="1"/>
    <col min="15402" max="15616" width="9.140625" style="28"/>
    <col min="15617" max="15655" width="2.42578125" style="28" customWidth="1"/>
    <col min="15656" max="15656" width="5" style="28" customWidth="1"/>
    <col min="15657" max="15657" width="0" style="28" hidden="1" customWidth="1"/>
    <col min="15658" max="15872" width="9.140625" style="28"/>
    <col min="15873" max="15911" width="2.42578125" style="28" customWidth="1"/>
    <col min="15912" max="15912" width="5" style="28" customWidth="1"/>
    <col min="15913" max="15913" width="0" style="28" hidden="1" customWidth="1"/>
    <col min="15914" max="16128" width="9.140625" style="28"/>
    <col min="16129" max="16167" width="2.42578125" style="28" customWidth="1"/>
    <col min="16168" max="16168" width="5" style="28" customWidth="1"/>
    <col min="16169" max="16169" width="0" style="28" hidden="1" customWidth="1"/>
    <col min="16170" max="16384" width="9.140625" style="28"/>
  </cols>
  <sheetData>
    <row r="1" spans="1:40" ht="11.65" customHeight="1" x14ac:dyDescent="0.2">
      <c r="A1" s="26"/>
      <c r="B1" s="217"/>
      <c r="C1" s="217"/>
      <c r="D1" s="217"/>
      <c r="E1" s="217"/>
      <c r="F1" s="217"/>
      <c r="G1" s="217"/>
      <c r="H1" s="217"/>
      <c r="I1" s="217"/>
      <c r="J1" s="217"/>
      <c r="K1" s="27"/>
      <c r="L1" s="650" t="s">
        <v>279</v>
      </c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6"/>
      <c r="AF1" s="657"/>
      <c r="AG1" s="657"/>
      <c r="AH1" s="657"/>
      <c r="AI1" s="657"/>
      <c r="AJ1" s="657"/>
      <c r="AK1" s="657"/>
      <c r="AL1" s="657"/>
      <c r="AM1" s="657"/>
      <c r="AN1" s="658"/>
    </row>
    <row r="2" spans="1:40" ht="11.65" customHeight="1" x14ac:dyDescent="0.2">
      <c r="A2" s="29"/>
      <c r="B2" s="218"/>
      <c r="C2" s="218"/>
      <c r="D2" s="218"/>
      <c r="E2" s="218"/>
      <c r="F2" s="218"/>
      <c r="G2" s="218"/>
      <c r="H2" s="218"/>
      <c r="I2" s="218"/>
      <c r="J2" s="218"/>
      <c r="K2" s="30"/>
      <c r="L2" s="652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9"/>
      <c r="AF2" s="660"/>
      <c r="AG2" s="660"/>
      <c r="AH2" s="660"/>
      <c r="AI2" s="660"/>
      <c r="AJ2" s="660"/>
      <c r="AK2" s="660"/>
      <c r="AL2" s="660"/>
      <c r="AM2" s="660"/>
      <c r="AN2" s="661"/>
    </row>
    <row r="3" spans="1:40" ht="11.65" customHeight="1" x14ac:dyDescent="0.2">
      <c r="A3" s="29"/>
      <c r="B3" s="218"/>
      <c r="C3" s="218"/>
      <c r="D3" s="218"/>
      <c r="E3" s="218"/>
      <c r="F3" s="218"/>
      <c r="G3" s="218"/>
      <c r="H3" s="218"/>
      <c r="I3" s="218"/>
      <c r="J3" s="218"/>
      <c r="K3" s="30"/>
      <c r="L3" s="652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653"/>
      <c r="AA3" s="653"/>
      <c r="AB3" s="653"/>
      <c r="AC3" s="653"/>
      <c r="AD3" s="653"/>
      <c r="AE3" s="659"/>
      <c r="AF3" s="660"/>
      <c r="AG3" s="660"/>
      <c r="AH3" s="660"/>
      <c r="AI3" s="660"/>
      <c r="AJ3" s="660"/>
      <c r="AK3" s="660"/>
      <c r="AL3" s="660"/>
      <c r="AM3" s="660"/>
      <c r="AN3" s="661"/>
    </row>
    <row r="4" spans="1:40" ht="11.65" customHeight="1" x14ac:dyDescent="0.2">
      <c r="A4" s="29"/>
      <c r="B4" s="218"/>
      <c r="C4" s="218"/>
      <c r="D4" s="218"/>
      <c r="E4" s="218"/>
      <c r="F4" s="218"/>
      <c r="G4" s="218"/>
      <c r="H4" s="218"/>
      <c r="I4" s="218"/>
      <c r="J4" s="218"/>
      <c r="K4" s="30"/>
      <c r="L4" s="652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3"/>
      <c r="AB4" s="653"/>
      <c r="AC4" s="653"/>
      <c r="AD4" s="653"/>
      <c r="AE4" s="659"/>
      <c r="AF4" s="660"/>
      <c r="AG4" s="660"/>
      <c r="AH4" s="660"/>
      <c r="AI4" s="660"/>
      <c r="AJ4" s="660"/>
      <c r="AK4" s="660"/>
      <c r="AL4" s="660"/>
      <c r="AM4" s="660"/>
      <c r="AN4" s="661"/>
    </row>
    <row r="5" spans="1:40" ht="11.65" customHeight="1" x14ac:dyDescent="0.2">
      <c r="A5" s="662" t="s">
        <v>0</v>
      </c>
      <c r="B5" s="663"/>
      <c r="C5" s="663"/>
      <c r="D5" s="663"/>
      <c r="E5" s="663"/>
      <c r="F5" s="663"/>
      <c r="G5" s="663"/>
      <c r="H5" s="663"/>
      <c r="I5" s="663"/>
      <c r="J5" s="663"/>
      <c r="K5" s="664"/>
      <c r="L5" s="652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  <c r="Y5" s="653"/>
      <c r="Z5" s="653"/>
      <c r="AA5" s="653"/>
      <c r="AB5" s="653"/>
      <c r="AC5" s="653"/>
      <c r="AD5" s="653"/>
      <c r="AE5" s="665" t="s">
        <v>1</v>
      </c>
      <c r="AF5" s="666"/>
      <c r="AG5" s="666"/>
      <c r="AH5" s="666"/>
      <c r="AI5" s="666"/>
      <c r="AJ5" s="666"/>
      <c r="AK5" s="666"/>
      <c r="AL5" s="666"/>
      <c r="AM5" s="666"/>
      <c r="AN5" s="667"/>
    </row>
    <row r="6" spans="1:40" ht="11.65" customHeight="1" x14ac:dyDescent="0.2">
      <c r="A6" s="662"/>
      <c r="B6" s="663"/>
      <c r="C6" s="663"/>
      <c r="D6" s="663"/>
      <c r="E6" s="663"/>
      <c r="F6" s="663"/>
      <c r="G6" s="663"/>
      <c r="H6" s="663"/>
      <c r="I6" s="663"/>
      <c r="J6" s="663"/>
      <c r="K6" s="664"/>
      <c r="L6" s="654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68"/>
      <c r="AF6" s="669"/>
      <c r="AG6" s="669"/>
      <c r="AH6" s="669"/>
      <c r="AI6" s="669"/>
      <c r="AJ6" s="669"/>
      <c r="AK6" s="669"/>
      <c r="AL6" s="669"/>
      <c r="AM6" s="669"/>
      <c r="AN6" s="670"/>
    </row>
    <row r="7" spans="1:40" ht="11.65" customHeight="1" x14ac:dyDescent="0.2">
      <c r="A7" s="671" t="s">
        <v>2</v>
      </c>
      <c r="B7" s="672"/>
      <c r="C7" s="672"/>
      <c r="D7" s="672"/>
      <c r="E7" s="672"/>
      <c r="F7" s="672"/>
      <c r="G7" s="672"/>
      <c r="H7" s="672"/>
      <c r="I7" s="672"/>
      <c r="J7" s="672"/>
      <c r="K7" s="673"/>
      <c r="L7" s="677" t="s">
        <v>281</v>
      </c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  <c r="AB7" s="678"/>
      <c r="AC7" s="678"/>
      <c r="AD7" s="678"/>
      <c r="AE7" s="683" t="s">
        <v>3</v>
      </c>
      <c r="AF7" s="672"/>
      <c r="AG7" s="672"/>
      <c r="AH7" s="672"/>
      <c r="AI7" s="672"/>
      <c r="AJ7" s="672"/>
      <c r="AK7" s="672"/>
      <c r="AL7" s="672"/>
      <c r="AM7" s="672"/>
      <c r="AN7" s="684"/>
    </row>
    <row r="8" spans="1:40" ht="11.65" customHeight="1" x14ac:dyDescent="0.2">
      <c r="A8" s="674"/>
      <c r="B8" s="675"/>
      <c r="C8" s="675"/>
      <c r="D8" s="675"/>
      <c r="E8" s="675"/>
      <c r="F8" s="675"/>
      <c r="G8" s="675"/>
      <c r="H8" s="675"/>
      <c r="I8" s="675"/>
      <c r="J8" s="675"/>
      <c r="K8" s="676"/>
      <c r="L8" s="679"/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  <c r="Y8" s="680"/>
      <c r="Z8" s="680"/>
      <c r="AA8" s="680"/>
      <c r="AB8" s="680"/>
      <c r="AC8" s="680"/>
      <c r="AD8" s="680"/>
      <c r="AE8" s="685"/>
      <c r="AF8" s="675"/>
      <c r="AG8" s="675"/>
      <c r="AH8" s="675"/>
      <c r="AI8" s="675"/>
      <c r="AJ8" s="675"/>
      <c r="AK8" s="675"/>
      <c r="AL8" s="675"/>
      <c r="AM8" s="675"/>
      <c r="AN8" s="686"/>
    </row>
    <row r="9" spans="1:40" s="31" customFormat="1" ht="11.65" customHeight="1" x14ac:dyDescent="0.2">
      <c r="A9" s="674"/>
      <c r="B9" s="675"/>
      <c r="C9" s="675"/>
      <c r="D9" s="675"/>
      <c r="E9" s="675"/>
      <c r="F9" s="675"/>
      <c r="G9" s="675"/>
      <c r="H9" s="675"/>
      <c r="I9" s="675"/>
      <c r="J9" s="675"/>
      <c r="K9" s="676"/>
      <c r="L9" s="681"/>
      <c r="M9" s="682"/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7"/>
      <c r="AF9" s="688"/>
      <c r="AG9" s="688"/>
      <c r="AH9" s="688"/>
      <c r="AI9" s="688"/>
      <c r="AJ9" s="688"/>
      <c r="AK9" s="688"/>
      <c r="AL9" s="688"/>
      <c r="AM9" s="688"/>
      <c r="AN9" s="689"/>
    </row>
    <row r="10" spans="1:40" ht="11.65" customHeight="1" x14ac:dyDescent="0.2">
      <c r="A10" s="698" t="s">
        <v>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700"/>
      <c r="L10" s="692" t="s">
        <v>5</v>
      </c>
      <c r="M10" s="692"/>
      <c r="N10" s="692"/>
      <c r="O10" s="692"/>
      <c r="P10" s="692" t="s">
        <v>6</v>
      </c>
      <c r="Q10" s="692"/>
      <c r="R10" s="692"/>
      <c r="S10" s="692" t="s">
        <v>7</v>
      </c>
      <c r="T10" s="692"/>
      <c r="U10" s="692"/>
      <c r="V10" s="692" t="s">
        <v>8</v>
      </c>
      <c r="W10" s="692"/>
      <c r="X10" s="692"/>
      <c r="Y10" s="692" t="s">
        <v>9</v>
      </c>
      <c r="Z10" s="692"/>
      <c r="AA10" s="692"/>
      <c r="AB10" s="692" t="s">
        <v>10</v>
      </c>
      <c r="AC10" s="692"/>
      <c r="AD10" s="692"/>
      <c r="AE10" s="693" t="s">
        <v>40</v>
      </c>
      <c r="AF10" s="693"/>
      <c r="AG10" s="693"/>
      <c r="AH10" s="693"/>
      <c r="AI10" s="693"/>
      <c r="AJ10" s="693"/>
      <c r="AK10" s="693"/>
      <c r="AL10" s="693"/>
      <c r="AM10" s="693"/>
      <c r="AN10" s="694"/>
    </row>
    <row r="11" spans="1:40" ht="11.65" customHeight="1" thickBot="1" x14ac:dyDescent="0.25">
      <c r="A11" s="701"/>
      <c r="B11" s="702"/>
      <c r="C11" s="702"/>
      <c r="D11" s="702"/>
      <c r="E11" s="702"/>
      <c r="F11" s="702"/>
      <c r="G11" s="702"/>
      <c r="H11" s="702"/>
      <c r="I11" s="702"/>
      <c r="J11" s="702"/>
      <c r="K11" s="703"/>
      <c r="L11" s="697">
        <v>91215</v>
      </c>
      <c r="M11" s="697"/>
      <c r="N11" s="697"/>
      <c r="O11" s="697"/>
      <c r="P11" s="697" t="s">
        <v>280</v>
      </c>
      <c r="Q11" s="697"/>
      <c r="R11" s="697"/>
      <c r="S11" s="697" t="s">
        <v>11</v>
      </c>
      <c r="T11" s="697"/>
      <c r="U11" s="697"/>
      <c r="V11" s="697" t="s">
        <v>12</v>
      </c>
      <c r="W11" s="697"/>
      <c r="X11" s="697"/>
      <c r="Y11" s="697">
        <v>463</v>
      </c>
      <c r="Z11" s="697"/>
      <c r="AA11" s="697"/>
      <c r="AB11" s="697" t="s">
        <v>13</v>
      </c>
      <c r="AC11" s="697"/>
      <c r="AD11" s="697"/>
      <c r="AE11" s="695"/>
      <c r="AF11" s="695"/>
      <c r="AG11" s="695"/>
      <c r="AH11" s="695"/>
      <c r="AI11" s="695"/>
      <c r="AJ11" s="695"/>
      <c r="AK11" s="695"/>
      <c r="AL11" s="695"/>
      <c r="AM11" s="695"/>
      <c r="AN11" s="696"/>
    </row>
    <row r="12" spans="1:40" ht="15" customHeight="1" thickBot="1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2"/>
      <c r="V12" s="12"/>
      <c r="W12" s="13"/>
      <c r="X12" s="14"/>
      <c r="Y12" s="14"/>
      <c r="Z12" s="14"/>
      <c r="AA12" s="14"/>
      <c r="AB12" s="14"/>
      <c r="AC12" s="11"/>
      <c r="AD12" s="12"/>
      <c r="AE12" s="12"/>
      <c r="AF12" s="14"/>
      <c r="AG12" s="14"/>
      <c r="AH12" s="14"/>
      <c r="AI12" s="14"/>
      <c r="AJ12" s="14"/>
      <c r="AK12" s="14"/>
      <c r="AL12" s="15"/>
      <c r="AM12" s="12"/>
      <c r="AN12" s="10"/>
    </row>
    <row r="13" spans="1:40" ht="15" customHeight="1" x14ac:dyDescent="0.2">
      <c r="A13" s="704" t="s">
        <v>289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705"/>
      <c r="W13" s="705"/>
      <c r="X13" s="705"/>
      <c r="Y13" s="705"/>
      <c r="Z13" s="705"/>
      <c r="AA13" s="705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/>
      <c r="AN13" s="706"/>
    </row>
    <row r="14" spans="1:40" ht="15" customHeight="1" thickBot="1" x14ac:dyDescent="0.25">
      <c r="A14" s="707" t="s">
        <v>286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/>
      <c r="O14" s="708"/>
      <c r="P14" s="708"/>
      <c r="Q14" s="708"/>
      <c r="R14" s="708"/>
      <c r="S14" s="708"/>
      <c r="T14" s="708"/>
      <c r="U14" s="708"/>
      <c r="V14" s="708"/>
      <c r="W14" s="708"/>
      <c r="X14" s="708"/>
      <c r="Y14" s="708"/>
      <c r="Z14" s="708"/>
      <c r="AA14" s="708"/>
      <c r="AB14" s="708"/>
      <c r="AC14" s="708"/>
      <c r="AD14" s="708"/>
      <c r="AE14" s="708"/>
      <c r="AF14" s="708"/>
      <c r="AG14" s="708"/>
      <c r="AH14" s="708"/>
      <c r="AI14" s="708"/>
      <c r="AJ14" s="708"/>
      <c r="AK14" s="708"/>
      <c r="AL14" s="708"/>
      <c r="AM14" s="708"/>
      <c r="AN14" s="709"/>
    </row>
    <row r="15" spans="1:40" ht="15" customHeight="1" thickBot="1" x14ac:dyDescent="0.2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</row>
    <row r="16" spans="1:40" ht="12.95" customHeight="1" x14ac:dyDescent="0.25">
      <c r="A16" s="756" t="s">
        <v>220</v>
      </c>
      <c r="B16" s="757"/>
      <c r="C16" s="757"/>
      <c r="D16" s="757"/>
      <c r="E16" s="757"/>
      <c r="F16" s="757"/>
      <c r="G16" s="757"/>
      <c r="H16" s="757"/>
      <c r="I16" s="757"/>
      <c r="J16" s="757"/>
      <c r="K16" s="757"/>
      <c r="L16" s="757"/>
      <c r="M16" s="757"/>
      <c r="N16" s="757"/>
      <c r="O16" s="757"/>
      <c r="P16" s="757"/>
      <c r="Q16" s="757"/>
      <c r="R16" s="757"/>
      <c r="S16" s="757"/>
      <c r="T16" s="757"/>
      <c r="U16" s="757"/>
      <c r="V16" s="757"/>
      <c r="W16" s="757"/>
      <c r="X16" s="757"/>
      <c r="Y16" s="757"/>
      <c r="Z16" s="757"/>
      <c r="AA16" s="757"/>
      <c r="AB16" s="757"/>
      <c r="AC16" s="757"/>
      <c r="AD16" s="757"/>
      <c r="AE16" s="757"/>
      <c r="AF16" s="757"/>
      <c r="AG16" s="757"/>
      <c r="AH16" s="757"/>
      <c r="AI16" s="757"/>
      <c r="AJ16" s="757"/>
      <c r="AK16" s="757"/>
      <c r="AL16" s="757"/>
      <c r="AM16" s="757"/>
      <c r="AN16" s="758"/>
    </row>
    <row r="17" spans="1:40" ht="12.95" customHeight="1" x14ac:dyDescent="0.2">
      <c r="A17" s="291"/>
      <c r="B17" s="211"/>
      <c r="C17" s="151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1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211"/>
      <c r="AL17" s="211"/>
      <c r="AM17" s="211"/>
      <c r="AN17" s="244"/>
    </row>
    <row r="18" spans="1:40" ht="12.95" customHeight="1" x14ac:dyDescent="0.2">
      <c r="A18" s="291"/>
      <c r="B18" s="211"/>
      <c r="C18" s="153"/>
      <c r="D18" s="154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5"/>
      <c r="T18" s="153"/>
      <c r="U18" s="153"/>
      <c r="V18" s="153"/>
      <c r="W18" s="154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211"/>
      <c r="AL18" s="211"/>
      <c r="AM18" s="211"/>
      <c r="AN18" s="244"/>
    </row>
    <row r="19" spans="1:40" ht="12.95" customHeight="1" x14ac:dyDescent="0.2">
      <c r="A19" s="291"/>
      <c r="B19" s="211"/>
      <c r="C19" s="152"/>
      <c r="D19" s="152"/>
      <c r="E19" s="152"/>
      <c r="F19" s="151"/>
      <c r="G19" s="152"/>
      <c r="H19" s="152"/>
      <c r="I19" s="152"/>
      <c r="J19" s="152"/>
      <c r="K19" s="152"/>
      <c r="L19" s="152"/>
      <c r="M19" s="152"/>
      <c r="N19" s="151"/>
      <c r="O19" s="152"/>
      <c r="P19" s="152"/>
      <c r="Q19" s="152"/>
      <c r="R19" s="152"/>
      <c r="S19" s="156"/>
      <c r="T19" s="152"/>
      <c r="U19" s="152"/>
      <c r="V19" s="152"/>
      <c r="W19" s="151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211"/>
      <c r="AL19" s="211"/>
      <c r="AM19" s="211"/>
      <c r="AN19" s="244"/>
    </row>
    <row r="20" spans="1:40" ht="12.95" customHeight="1" x14ac:dyDescent="0.2">
      <c r="A20" s="291"/>
      <c r="B20" s="211"/>
      <c r="C20" s="152"/>
      <c r="D20" s="152"/>
      <c r="E20" s="151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6"/>
      <c r="T20" s="152"/>
      <c r="U20" s="152"/>
      <c r="V20" s="152"/>
      <c r="W20" s="152"/>
      <c r="X20" s="152"/>
      <c r="Y20" s="151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211"/>
      <c r="AL20" s="211"/>
      <c r="AM20" s="211"/>
      <c r="AN20" s="244"/>
    </row>
    <row r="21" spans="1:40" ht="12.95" customHeight="1" x14ac:dyDescent="0.2">
      <c r="A21" s="291"/>
      <c r="B21" s="211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6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211"/>
      <c r="AL21" s="211"/>
      <c r="AM21" s="211"/>
      <c r="AN21" s="244"/>
    </row>
    <row r="22" spans="1:40" ht="12.95" customHeight="1" x14ac:dyDescent="0.2">
      <c r="A22" s="291"/>
      <c r="B22" s="211"/>
      <c r="C22" s="157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6"/>
      <c r="T22" s="152"/>
      <c r="U22" s="157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211"/>
      <c r="AL22" s="211"/>
      <c r="AM22" s="211"/>
      <c r="AN22" s="244"/>
    </row>
    <row r="23" spans="1:40" ht="12.95" customHeight="1" x14ac:dyDescent="0.2">
      <c r="A23" s="291"/>
      <c r="B23" s="211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6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211"/>
      <c r="AL23" s="211"/>
      <c r="AM23" s="211"/>
      <c r="AN23" s="244"/>
    </row>
    <row r="24" spans="1:40" ht="12.95" customHeight="1" x14ac:dyDescent="0.2">
      <c r="A24" s="291"/>
      <c r="B24" s="211"/>
      <c r="C24" s="152"/>
      <c r="D24" s="152"/>
      <c r="E24" s="152"/>
      <c r="F24" s="152"/>
      <c r="G24" s="152"/>
      <c r="H24" s="152"/>
      <c r="I24" s="158"/>
      <c r="J24" s="152"/>
      <c r="K24" s="151"/>
      <c r="L24" s="152"/>
      <c r="M24" s="158"/>
      <c r="N24" s="152"/>
      <c r="O24" s="151"/>
      <c r="P24" s="152"/>
      <c r="Q24" s="152"/>
      <c r="R24" s="152"/>
      <c r="S24" s="152"/>
      <c r="T24" s="152"/>
      <c r="U24" s="152"/>
      <c r="V24" s="152"/>
      <c r="W24" s="152"/>
      <c r="X24" s="159"/>
      <c r="Y24" s="157"/>
      <c r="Z24" s="160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211"/>
      <c r="AL24" s="211"/>
      <c r="AM24" s="211"/>
      <c r="AN24" s="244"/>
    </row>
    <row r="25" spans="1:40" ht="12.95" customHeight="1" x14ac:dyDescent="0.2">
      <c r="A25" s="291"/>
      <c r="B25" s="211"/>
      <c r="C25" s="153"/>
      <c r="D25" s="153"/>
      <c r="E25" s="153"/>
      <c r="F25" s="153"/>
      <c r="G25" s="153"/>
      <c r="H25" s="153"/>
      <c r="I25" s="155"/>
      <c r="J25" s="153"/>
      <c r="K25" s="154"/>
      <c r="L25" s="153"/>
      <c r="M25" s="155"/>
      <c r="N25" s="153"/>
      <c r="O25" s="154"/>
      <c r="P25" s="153"/>
      <c r="Q25" s="153"/>
      <c r="R25" s="153"/>
      <c r="S25" s="153"/>
      <c r="T25" s="153"/>
      <c r="U25" s="153"/>
      <c r="V25" s="153"/>
      <c r="W25" s="153"/>
      <c r="X25" s="161"/>
      <c r="Y25" s="162"/>
      <c r="Z25" s="16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211"/>
      <c r="AL25" s="211"/>
      <c r="AM25" s="211"/>
      <c r="AN25" s="244"/>
    </row>
    <row r="26" spans="1:40" ht="12.95" customHeight="1" x14ac:dyDescent="0.3">
      <c r="A26" s="291"/>
      <c r="B26" s="211"/>
      <c r="C26" s="152"/>
      <c r="D26" s="152"/>
      <c r="E26" s="152"/>
      <c r="F26" s="164"/>
      <c r="G26" s="152"/>
      <c r="H26" s="151"/>
      <c r="I26" s="152"/>
      <c r="J26" s="152"/>
      <c r="K26" s="152"/>
      <c r="L26" s="164"/>
      <c r="M26" s="158"/>
      <c r="N26" s="151"/>
      <c r="O26" s="152"/>
      <c r="P26" s="152"/>
      <c r="Q26" s="152"/>
      <c r="R26" s="152"/>
      <c r="S26" s="156"/>
      <c r="T26" s="152"/>
      <c r="U26" s="152"/>
      <c r="V26" s="152"/>
      <c r="W26" s="152"/>
      <c r="X26" s="152"/>
      <c r="Y26" s="151"/>
      <c r="Z26" s="152"/>
      <c r="AA26" s="152"/>
      <c r="AB26" s="152"/>
      <c r="AC26" s="152"/>
      <c r="AD26" s="151"/>
      <c r="AE26" s="152"/>
      <c r="AF26" s="152"/>
      <c r="AG26" s="152"/>
      <c r="AH26" s="152"/>
      <c r="AI26" s="152"/>
      <c r="AJ26" s="152"/>
      <c r="AK26" s="211"/>
      <c r="AL26" s="211"/>
      <c r="AM26" s="211"/>
      <c r="AN26" s="244"/>
    </row>
    <row r="27" spans="1:40" ht="12.95" customHeight="1" x14ac:dyDescent="0.2">
      <c r="A27" s="291"/>
      <c r="B27" s="211"/>
      <c r="C27" s="152"/>
      <c r="D27" s="152"/>
      <c r="E27" s="152"/>
      <c r="F27" s="152"/>
      <c r="G27" s="151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6"/>
      <c r="T27" s="152"/>
      <c r="U27" s="152"/>
      <c r="V27" s="152"/>
      <c r="W27" s="152"/>
      <c r="X27" s="151"/>
      <c r="Y27" s="152"/>
      <c r="Z27" s="152"/>
      <c r="AA27" s="152"/>
      <c r="AB27" s="152"/>
      <c r="AC27" s="152"/>
      <c r="AD27" s="151"/>
      <c r="AE27" s="152"/>
      <c r="AF27" s="152"/>
      <c r="AG27" s="152"/>
      <c r="AH27" s="152"/>
      <c r="AI27" s="152"/>
      <c r="AJ27" s="152"/>
      <c r="AK27" s="211"/>
      <c r="AL27" s="211"/>
      <c r="AM27" s="211"/>
      <c r="AN27" s="244"/>
    </row>
    <row r="28" spans="1:40" ht="12.95" customHeight="1" x14ac:dyDescent="0.2">
      <c r="A28" s="291"/>
      <c r="B28" s="211"/>
      <c r="C28" s="152"/>
      <c r="D28" s="152"/>
      <c r="E28" s="152"/>
      <c r="F28" s="152"/>
      <c r="G28" s="152"/>
      <c r="H28" s="152"/>
      <c r="I28" s="152"/>
      <c r="J28" s="152"/>
      <c r="K28" s="151"/>
      <c r="L28" s="152"/>
      <c r="M28" s="152"/>
      <c r="N28" s="152"/>
      <c r="O28" s="152"/>
      <c r="P28" s="158"/>
      <c r="Q28" s="152"/>
      <c r="R28" s="152"/>
      <c r="S28" s="156"/>
      <c r="T28" s="152"/>
      <c r="U28" s="152"/>
      <c r="V28" s="152"/>
      <c r="W28" s="152"/>
      <c r="X28" s="152"/>
      <c r="Y28" s="152"/>
      <c r="Z28" s="152"/>
      <c r="AA28" s="152"/>
      <c r="AB28" s="158"/>
      <c r="AC28" s="152"/>
      <c r="AD28" s="152"/>
      <c r="AE28" s="152"/>
      <c r="AF28" s="152"/>
      <c r="AG28" s="152"/>
      <c r="AH28" s="152"/>
      <c r="AI28" s="152"/>
      <c r="AJ28" s="152"/>
      <c r="AK28" s="211"/>
      <c r="AL28" s="211"/>
      <c r="AM28" s="211"/>
      <c r="AN28" s="244"/>
    </row>
    <row r="29" spans="1:40" ht="12.95" customHeight="1" x14ac:dyDescent="0.2">
      <c r="A29" s="291"/>
      <c r="B29" s="211"/>
      <c r="C29" s="152"/>
      <c r="D29" s="152"/>
      <c r="E29" s="152"/>
      <c r="F29" s="152"/>
      <c r="G29" s="151"/>
      <c r="H29" s="152"/>
      <c r="I29" s="152"/>
      <c r="J29" s="152"/>
      <c r="K29" s="152"/>
      <c r="L29" s="151"/>
      <c r="M29" s="152"/>
      <c r="N29" s="152"/>
      <c r="O29" s="152"/>
      <c r="P29" s="152"/>
      <c r="Q29" s="152"/>
      <c r="R29" s="152"/>
      <c r="S29" s="156"/>
      <c r="T29" s="152"/>
      <c r="U29" s="152"/>
      <c r="V29" s="152"/>
      <c r="W29" s="152"/>
      <c r="X29" s="152"/>
      <c r="Y29" s="152"/>
      <c r="Z29" s="151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211"/>
      <c r="AL29" s="211"/>
      <c r="AM29" s="211"/>
      <c r="AN29" s="244"/>
    </row>
    <row r="30" spans="1:40" ht="12.95" customHeight="1" x14ac:dyDescent="0.3">
      <c r="A30" s="299"/>
      <c r="B30" s="34"/>
      <c r="C30" s="152"/>
      <c r="D30" s="152"/>
      <c r="E30" s="152"/>
      <c r="F30" s="152"/>
      <c r="G30" s="151"/>
      <c r="H30" s="152"/>
      <c r="I30" s="152"/>
      <c r="J30" s="152"/>
      <c r="K30" s="157"/>
      <c r="L30" s="164"/>
      <c r="M30" s="152"/>
      <c r="N30" s="152"/>
      <c r="O30" s="157"/>
      <c r="P30" s="152"/>
      <c r="Q30" s="152"/>
      <c r="R30" s="152"/>
      <c r="S30" s="156"/>
      <c r="T30" s="152"/>
      <c r="U30" s="152"/>
      <c r="V30" s="152"/>
      <c r="W30" s="152"/>
      <c r="X30" s="152"/>
      <c r="Y30" s="151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211"/>
      <c r="AL30" s="211"/>
      <c r="AM30" s="211"/>
      <c r="AN30" s="244"/>
    </row>
    <row r="31" spans="1:40" ht="12.95" customHeight="1" x14ac:dyDescent="0.3">
      <c r="A31" s="300"/>
      <c r="B31" s="38"/>
      <c r="C31" s="152"/>
      <c r="D31" s="152"/>
      <c r="E31" s="152"/>
      <c r="F31" s="152"/>
      <c r="G31" s="152"/>
      <c r="H31" s="152"/>
      <c r="I31" s="152"/>
      <c r="J31" s="152"/>
      <c r="K31" s="151"/>
      <c r="L31" s="152"/>
      <c r="M31" s="152"/>
      <c r="N31" s="152"/>
      <c r="O31" s="152"/>
      <c r="P31" s="152"/>
      <c r="Q31" s="164"/>
      <c r="R31" s="152"/>
      <c r="S31" s="156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211"/>
      <c r="AL31" s="211"/>
      <c r="AM31" s="211"/>
      <c r="AN31" s="244"/>
    </row>
    <row r="32" spans="1:40" ht="12.95" customHeight="1" x14ac:dyDescent="0.2">
      <c r="A32" s="300"/>
      <c r="B32" s="38"/>
      <c r="C32" s="152"/>
      <c r="D32" s="152"/>
      <c r="E32" s="152"/>
      <c r="F32" s="152"/>
      <c r="G32" s="152"/>
      <c r="H32" s="152"/>
      <c r="I32" s="151"/>
      <c r="J32" s="152"/>
      <c r="K32" s="152"/>
      <c r="L32" s="152"/>
      <c r="M32" s="152"/>
      <c r="N32" s="152"/>
      <c r="O32" s="152"/>
      <c r="P32" s="152"/>
      <c r="Q32" s="152"/>
      <c r="R32" s="152"/>
      <c r="S32" s="156"/>
      <c r="T32" s="152"/>
      <c r="U32" s="152"/>
      <c r="V32" s="152"/>
      <c r="W32" s="151"/>
      <c r="X32" s="152"/>
      <c r="Y32" s="152"/>
      <c r="Z32" s="152"/>
      <c r="AA32" s="152"/>
      <c r="AB32" s="152"/>
      <c r="AC32" s="152"/>
      <c r="AD32" s="152"/>
      <c r="AE32" s="152"/>
      <c r="AF32" s="151"/>
      <c r="AG32" s="152"/>
      <c r="AH32" s="152"/>
      <c r="AI32" s="152"/>
      <c r="AJ32" s="152"/>
      <c r="AK32" s="211"/>
      <c r="AL32" s="211"/>
      <c r="AM32" s="211"/>
      <c r="AN32" s="244"/>
    </row>
    <row r="33" spans="1:40" ht="12.95" customHeight="1" x14ac:dyDescent="0.2">
      <c r="A33" s="301"/>
      <c r="B33" s="36"/>
      <c r="C33" s="152"/>
      <c r="D33" s="152"/>
      <c r="E33" s="152"/>
      <c r="F33" s="151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6"/>
      <c r="T33" s="152"/>
      <c r="U33" s="152"/>
      <c r="V33" s="152"/>
      <c r="W33" s="152"/>
      <c r="X33" s="152"/>
      <c r="Y33" s="152"/>
      <c r="Z33" s="152"/>
      <c r="AA33" s="152"/>
      <c r="AB33" s="151"/>
      <c r="AC33" s="152"/>
      <c r="AD33" s="152"/>
      <c r="AE33" s="152"/>
      <c r="AF33" s="152"/>
      <c r="AG33" s="152"/>
      <c r="AH33" s="152"/>
      <c r="AI33" s="152"/>
      <c r="AJ33" s="152"/>
      <c r="AK33" s="211"/>
      <c r="AL33" s="211"/>
      <c r="AM33" s="211"/>
      <c r="AN33" s="244"/>
    </row>
    <row r="34" spans="1:40" ht="12.95" customHeight="1" x14ac:dyDescent="0.2">
      <c r="A34" s="291"/>
      <c r="B34" s="211"/>
      <c r="C34" s="152"/>
      <c r="D34" s="152"/>
      <c r="E34" s="152"/>
      <c r="F34" s="152"/>
      <c r="G34" s="152"/>
      <c r="H34" s="152"/>
      <c r="I34" s="151"/>
      <c r="J34" s="152"/>
      <c r="K34" s="152"/>
      <c r="L34" s="152"/>
      <c r="M34" s="152"/>
      <c r="N34" s="152"/>
      <c r="O34" s="152"/>
      <c r="P34" s="152"/>
      <c r="Q34" s="152"/>
      <c r="R34" s="152"/>
      <c r="S34" s="156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211"/>
      <c r="AL34" s="211"/>
      <c r="AM34" s="211"/>
      <c r="AN34" s="244"/>
    </row>
    <row r="35" spans="1:40" ht="12.95" customHeight="1" x14ac:dyDescent="0.2">
      <c r="A35" s="291"/>
      <c r="B35" s="211"/>
      <c r="C35" s="152"/>
      <c r="D35" s="152"/>
      <c r="E35" s="152"/>
      <c r="F35" s="152"/>
      <c r="G35" s="152"/>
      <c r="H35" s="152"/>
      <c r="I35" s="152"/>
      <c r="J35" s="152"/>
      <c r="K35" s="151"/>
      <c r="L35" s="152"/>
      <c r="M35" s="152"/>
      <c r="N35" s="165"/>
      <c r="O35" s="151"/>
      <c r="P35" s="152"/>
      <c r="Q35" s="152"/>
      <c r="R35" s="152"/>
      <c r="S35" s="156"/>
      <c r="T35" s="152"/>
      <c r="U35" s="152"/>
      <c r="V35" s="152"/>
      <c r="W35" s="152"/>
      <c r="X35" s="166"/>
      <c r="Y35" s="166"/>
      <c r="Z35" s="166"/>
      <c r="AA35" s="166"/>
      <c r="AB35" s="166"/>
      <c r="AC35" s="152"/>
      <c r="AD35" s="152"/>
      <c r="AE35" s="152"/>
      <c r="AF35" s="167"/>
      <c r="AG35" s="166"/>
      <c r="AH35" s="166"/>
      <c r="AI35" s="166"/>
      <c r="AJ35" s="166"/>
      <c r="AK35" s="211"/>
      <c r="AL35" s="211"/>
      <c r="AM35" s="211"/>
      <c r="AN35" s="244"/>
    </row>
    <row r="36" spans="1:40" ht="12.95" customHeight="1" x14ac:dyDescent="0.2">
      <c r="A36" s="291"/>
      <c r="B36" s="211"/>
      <c r="C36" s="152"/>
      <c r="D36" s="152"/>
      <c r="E36" s="152"/>
      <c r="F36" s="152"/>
      <c r="G36" s="152"/>
      <c r="H36" s="152"/>
      <c r="I36" s="152"/>
      <c r="J36" s="152"/>
      <c r="K36" s="151"/>
      <c r="L36" s="152"/>
      <c r="M36" s="152"/>
      <c r="N36" s="165"/>
      <c r="O36" s="151"/>
      <c r="P36" s="152"/>
      <c r="Q36" s="152"/>
      <c r="R36" s="152"/>
      <c r="S36" s="156"/>
      <c r="T36" s="152"/>
      <c r="U36" s="152"/>
      <c r="V36" s="152"/>
      <c r="W36" s="152"/>
      <c r="X36" s="166"/>
      <c r="Y36" s="166"/>
      <c r="Z36" s="166"/>
      <c r="AA36" s="166"/>
      <c r="AB36" s="166"/>
      <c r="AC36" s="152"/>
      <c r="AD36" s="152"/>
      <c r="AE36" s="152"/>
      <c r="AF36" s="167"/>
      <c r="AG36" s="166"/>
      <c r="AH36" s="166"/>
      <c r="AI36" s="166"/>
      <c r="AJ36" s="166"/>
      <c r="AK36" s="211"/>
      <c r="AL36" s="211"/>
      <c r="AM36" s="211"/>
      <c r="AN36" s="244"/>
    </row>
    <row r="37" spans="1:40" ht="12.95" customHeight="1" x14ac:dyDescent="0.2">
      <c r="A37" s="291"/>
      <c r="B37" s="211"/>
      <c r="C37" s="152"/>
      <c r="D37" s="152"/>
      <c r="E37" s="152"/>
      <c r="F37" s="152"/>
      <c r="G37" s="152"/>
      <c r="H37" s="152"/>
      <c r="I37" s="152"/>
      <c r="J37" s="152"/>
      <c r="K37" s="151"/>
      <c r="L37" s="152"/>
      <c r="M37" s="152"/>
      <c r="N37" s="165"/>
      <c r="O37" s="151"/>
      <c r="P37" s="152"/>
      <c r="Q37" s="152"/>
      <c r="R37" s="152"/>
      <c r="S37" s="156"/>
      <c r="T37" s="152"/>
      <c r="U37" s="152"/>
      <c r="V37" s="152"/>
      <c r="W37" s="152"/>
      <c r="X37" s="166"/>
      <c r="Y37" s="166"/>
      <c r="Z37" s="166"/>
      <c r="AA37" s="166"/>
      <c r="AB37" s="166"/>
      <c r="AC37" s="152"/>
      <c r="AD37" s="152"/>
      <c r="AE37" s="152"/>
      <c r="AF37" s="167"/>
      <c r="AG37" s="166"/>
      <c r="AH37" s="166"/>
      <c r="AI37" s="166"/>
      <c r="AJ37" s="166"/>
      <c r="AK37" s="211"/>
      <c r="AL37" s="211"/>
      <c r="AM37" s="211"/>
      <c r="AN37" s="244"/>
    </row>
    <row r="38" spans="1:40" ht="12.95" customHeight="1" x14ac:dyDescent="0.2">
      <c r="A38" s="291"/>
      <c r="B38" s="211"/>
      <c r="C38" s="152"/>
      <c r="D38" s="152"/>
      <c r="E38" s="152"/>
      <c r="F38" s="152"/>
      <c r="G38" s="152"/>
      <c r="H38" s="152"/>
      <c r="I38" s="152"/>
      <c r="J38" s="152"/>
      <c r="K38" s="151"/>
      <c r="L38" s="152"/>
      <c r="M38" s="152"/>
      <c r="N38" s="152"/>
      <c r="O38" s="152"/>
      <c r="P38" s="152"/>
      <c r="Q38" s="152"/>
      <c r="R38" s="152"/>
      <c r="S38" s="156"/>
      <c r="T38" s="152"/>
      <c r="U38" s="152"/>
      <c r="V38" s="152"/>
      <c r="W38" s="152"/>
      <c r="X38" s="151"/>
      <c r="Y38" s="152"/>
      <c r="Z38" s="152"/>
      <c r="AA38" s="152"/>
      <c r="AB38" s="152"/>
      <c r="AC38" s="152"/>
      <c r="AD38" s="152"/>
      <c r="AE38" s="152"/>
      <c r="AF38" s="151"/>
      <c r="AG38" s="152"/>
      <c r="AH38" s="152"/>
      <c r="AI38" s="152"/>
      <c r="AJ38" s="152"/>
      <c r="AK38" s="211"/>
      <c r="AL38" s="211"/>
      <c r="AM38" s="211"/>
      <c r="AN38" s="244"/>
    </row>
    <row r="39" spans="1:40" ht="12.95" customHeight="1" x14ac:dyDescent="0.3">
      <c r="A39" s="291"/>
      <c r="B39" s="211"/>
      <c r="C39" s="152"/>
      <c r="D39" s="152"/>
      <c r="E39" s="152"/>
      <c r="F39" s="152"/>
      <c r="G39" s="152"/>
      <c r="H39" s="152"/>
      <c r="I39" s="152"/>
      <c r="J39" s="152"/>
      <c r="K39" s="164"/>
      <c r="L39" s="164"/>
      <c r="M39" s="152"/>
      <c r="N39" s="157"/>
      <c r="O39" s="164"/>
      <c r="P39" s="152"/>
      <c r="Q39" s="152"/>
      <c r="R39" s="152"/>
      <c r="S39" s="156"/>
      <c r="T39" s="158"/>
      <c r="U39" s="152"/>
      <c r="V39" s="152"/>
      <c r="W39" s="152"/>
      <c r="X39" s="151"/>
      <c r="Y39" s="152"/>
      <c r="Z39" s="152"/>
      <c r="AA39" s="152"/>
      <c r="AB39" s="152"/>
      <c r="AC39" s="152"/>
      <c r="AD39" s="152"/>
      <c r="AE39" s="152"/>
      <c r="AF39" s="151"/>
      <c r="AG39" s="152"/>
      <c r="AH39" s="152"/>
      <c r="AI39" s="152"/>
      <c r="AJ39" s="152"/>
      <c r="AK39" s="211"/>
      <c r="AL39" s="211"/>
      <c r="AM39" s="211"/>
      <c r="AN39" s="244"/>
    </row>
    <row r="40" spans="1:40" ht="12.95" customHeight="1" x14ac:dyDescent="0.3">
      <c r="A40" s="291"/>
      <c r="B40" s="211"/>
      <c r="C40" s="153"/>
      <c r="D40" s="153"/>
      <c r="E40" s="153"/>
      <c r="F40" s="153"/>
      <c r="G40" s="153"/>
      <c r="H40" s="153"/>
      <c r="I40" s="153"/>
      <c r="J40" s="153"/>
      <c r="K40" s="168"/>
      <c r="L40" s="168"/>
      <c r="M40" s="153"/>
      <c r="N40" s="162"/>
      <c r="O40" s="168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4"/>
      <c r="AE40" s="153"/>
      <c r="AF40" s="153"/>
      <c r="AG40" s="153"/>
      <c r="AH40" s="153"/>
      <c r="AI40" s="153"/>
      <c r="AJ40" s="153"/>
      <c r="AK40" s="211"/>
      <c r="AL40" s="211"/>
      <c r="AM40" s="211"/>
      <c r="AN40" s="244"/>
    </row>
    <row r="41" spans="1:40" ht="12.95" customHeight="1" x14ac:dyDescent="0.3">
      <c r="A41" s="291"/>
      <c r="B41" s="211"/>
      <c r="C41" s="152"/>
      <c r="D41" s="152"/>
      <c r="E41" s="157"/>
      <c r="F41" s="152"/>
      <c r="G41" s="152"/>
      <c r="H41" s="152"/>
      <c r="I41" s="152"/>
      <c r="J41" s="157"/>
      <c r="K41" s="152"/>
      <c r="L41" s="152"/>
      <c r="M41" s="152"/>
      <c r="N41" s="157"/>
      <c r="O41" s="164"/>
      <c r="P41" s="152"/>
      <c r="Q41" s="152"/>
      <c r="R41" s="152"/>
      <c r="S41" s="156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1"/>
      <c r="AE41" s="152"/>
      <c r="AF41" s="152"/>
      <c r="AG41" s="152"/>
      <c r="AH41" s="151"/>
      <c r="AI41" s="152"/>
      <c r="AJ41" s="152"/>
      <c r="AK41" s="211"/>
      <c r="AL41" s="211"/>
      <c r="AM41" s="211"/>
      <c r="AN41" s="244"/>
    </row>
    <row r="42" spans="1:40" ht="12.95" customHeight="1" x14ac:dyDescent="0.3">
      <c r="A42" s="291"/>
      <c r="B42" s="211"/>
      <c r="C42" s="164"/>
      <c r="D42" s="152"/>
      <c r="E42" s="152"/>
      <c r="F42" s="152"/>
      <c r="G42" s="157"/>
      <c r="H42" s="164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6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211"/>
      <c r="AL42" s="211"/>
      <c r="AM42" s="211"/>
      <c r="AN42" s="244"/>
    </row>
    <row r="43" spans="1:40" ht="12.95" customHeight="1" x14ac:dyDescent="0.2">
      <c r="A43" s="291"/>
      <c r="B43" s="211"/>
      <c r="C43" s="152"/>
      <c r="D43" s="152"/>
      <c r="E43" s="152"/>
      <c r="F43" s="152"/>
      <c r="G43" s="152"/>
      <c r="H43" s="151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1"/>
      <c r="W43" s="152"/>
      <c r="X43" s="152"/>
      <c r="Y43" s="152"/>
      <c r="Z43" s="152"/>
      <c r="AA43" s="152"/>
      <c r="AB43" s="152"/>
      <c r="AC43" s="152"/>
      <c r="AD43" s="151"/>
      <c r="AE43" s="152"/>
      <c r="AF43" s="152"/>
      <c r="AG43" s="152"/>
      <c r="AH43" s="152"/>
      <c r="AI43" s="152"/>
      <c r="AJ43" s="152"/>
      <c r="AK43" s="211"/>
      <c r="AL43" s="211"/>
      <c r="AM43" s="211"/>
      <c r="AN43" s="244"/>
    </row>
    <row r="44" spans="1:40" ht="12.95" customHeight="1" x14ac:dyDescent="0.3">
      <c r="A44" s="291"/>
      <c r="B44" s="211"/>
      <c r="C44" s="153"/>
      <c r="D44" s="153"/>
      <c r="E44" s="153"/>
      <c r="F44" s="153"/>
      <c r="G44" s="153"/>
      <c r="H44" s="153"/>
      <c r="I44" s="153"/>
      <c r="J44" s="153"/>
      <c r="K44" s="168"/>
      <c r="L44" s="168"/>
      <c r="M44" s="153"/>
      <c r="N44" s="162"/>
      <c r="O44" s="168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4"/>
      <c r="AE44" s="153"/>
      <c r="AF44" s="153"/>
      <c r="AG44" s="153"/>
      <c r="AH44" s="153"/>
      <c r="AI44" s="153"/>
      <c r="AJ44" s="153"/>
      <c r="AK44" s="211"/>
      <c r="AL44" s="211"/>
      <c r="AM44" s="211"/>
      <c r="AN44" s="244"/>
    </row>
    <row r="45" spans="1:40" ht="12.95" customHeight="1" x14ac:dyDescent="0.2">
      <c r="A45" s="291"/>
      <c r="B45" s="211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6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211"/>
      <c r="AL45" s="211"/>
      <c r="AM45" s="211"/>
      <c r="AN45" s="244"/>
    </row>
    <row r="46" spans="1:40" ht="12.95" customHeight="1" x14ac:dyDescent="0.2">
      <c r="A46" s="291"/>
      <c r="B46" s="211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211"/>
      <c r="AL46" s="211"/>
      <c r="AM46" s="211"/>
      <c r="AN46" s="244"/>
    </row>
    <row r="47" spans="1:40" ht="12.95" customHeight="1" x14ac:dyDescent="0.3">
      <c r="A47" s="291"/>
      <c r="B47" s="211"/>
      <c r="C47" s="153"/>
      <c r="D47" s="153"/>
      <c r="E47" s="153"/>
      <c r="F47" s="153"/>
      <c r="G47" s="153"/>
      <c r="H47" s="153"/>
      <c r="I47" s="153"/>
      <c r="J47" s="153"/>
      <c r="K47" s="168"/>
      <c r="L47" s="168"/>
      <c r="M47" s="153"/>
      <c r="N47" s="162"/>
      <c r="O47" s="168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4"/>
      <c r="AE47" s="153"/>
      <c r="AF47" s="153"/>
      <c r="AG47" s="153"/>
      <c r="AH47" s="153"/>
      <c r="AI47" s="153"/>
      <c r="AJ47" s="153"/>
      <c r="AK47" s="211"/>
      <c r="AL47" s="211"/>
      <c r="AM47" s="211"/>
      <c r="AN47" s="244"/>
    </row>
    <row r="48" spans="1:40" ht="12.95" customHeight="1" x14ac:dyDescent="0.3">
      <c r="A48" s="291"/>
      <c r="B48" s="211"/>
      <c r="C48" s="153"/>
      <c r="D48" s="153"/>
      <c r="E48" s="154"/>
      <c r="F48" s="153"/>
      <c r="G48" s="153"/>
      <c r="H48" s="153"/>
      <c r="I48" s="153"/>
      <c r="J48" s="153"/>
      <c r="K48" s="153"/>
      <c r="L48" s="153"/>
      <c r="M48" s="154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Y48" s="153"/>
      <c r="Z48" s="153"/>
      <c r="AA48" s="153"/>
      <c r="AB48" s="153"/>
      <c r="AC48" s="153"/>
      <c r="AD48" s="153"/>
      <c r="AE48" s="153"/>
      <c r="AF48" s="154"/>
      <c r="AG48" s="153"/>
      <c r="AH48" s="153"/>
      <c r="AI48" s="153"/>
      <c r="AJ48" s="168"/>
      <c r="AK48" s="211"/>
      <c r="AL48" s="211"/>
      <c r="AM48" s="211"/>
      <c r="AN48" s="244"/>
    </row>
    <row r="49" spans="1:40" ht="12.95" customHeight="1" x14ac:dyDescent="0.2">
      <c r="A49" s="291"/>
      <c r="B49" s="211"/>
      <c r="C49" s="153"/>
      <c r="D49" s="153"/>
      <c r="E49" s="154"/>
      <c r="F49" s="153"/>
      <c r="G49" s="153"/>
      <c r="H49" s="153"/>
      <c r="I49" s="153"/>
      <c r="J49" s="153"/>
      <c r="K49" s="153"/>
      <c r="L49" s="153"/>
      <c r="M49" s="154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4"/>
      <c r="Y49" s="153"/>
      <c r="Z49" s="153"/>
      <c r="AA49" s="153"/>
      <c r="AB49" s="153"/>
      <c r="AC49" s="154"/>
      <c r="AD49" s="153"/>
      <c r="AE49" s="152"/>
      <c r="AF49" s="152"/>
      <c r="AG49" s="152"/>
      <c r="AH49" s="152"/>
      <c r="AI49" s="152"/>
      <c r="AJ49" s="152"/>
      <c r="AK49" s="211"/>
      <c r="AL49" s="211"/>
      <c r="AM49" s="211"/>
      <c r="AN49" s="244"/>
    </row>
    <row r="50" spans="1:40" ht="12.95" customHeight="1" x14ac:dyDescent="0.2">
      <c r="A50" s="291"/>
      <c r="B50" s="211"/>
      <c r="C50" s="152"/>
      <c r="D50" s="152"/>
      <c r="E50" s="151"/>
      <c r="F50" s="152"/>
      <c r="G50" s="152"/>
      <c r="H50" s="152"/>
      <c r="I50" s="152"/>
      <c r="J50" s="152"/>
      <c r="K50" s="152"/>
      <c r="L50" s="152"/>
      <c r="M50" s="151"/>
      <c r="N50" s="152"/>
      <c r="O50" s="152"/>
      <c r="P50" s="152"/>
      <c r="Q50" s="152"/>
      <c r="R50" s="152"/>
      <c r="S50" s="156"/>
      <c r="T50" s="152"/>
      <c r="U50" s="152"/>
      <c r="V50" s="151"/>
      <c r="W50" s="152"/>
      <c r="X50" s="152"/>
      <c r="Y50" s="158"/>
      <c r="Z50" s="152"/>
      <c r="AA50" s="152"/>
      <c r="AB50" s="152"/>
      <c r="AC50" s="152"/>
      <c r="AD50" s="152"/>
      <c r="AE50" s="152"/>
      <c r="AF50" s="152"/>
      <c r="AG50" s="152"/>
      <c r="AH50" s="152"/>
      <c r="AI50" s="151"/>
      <c r="AJ50" s="152"/>
      <c r="AK50" s="211"/>
      <c r="AL50" s="211"/>
      <c r="AM50" s="211"/>
      <c r="AN50" s="244"/>
    </row>
    <row r="51" spans="1:40" ht="12.95" customHeight="1" x14ac:dyDescent="0.2">
      <c r="A51" s="291"/>
      <c r="B51" s="211"/>
      <c r="C51" s="152"/>
      <c r="D51" s="152"/>
      <c r="E51" s="152"/>
      <c r="F51" s="152"/>
      <c r="G51" s="152"/>
      <c r="H51" s="157"/>
      <c r="I51" s="152"/>
      <c r="J51" s="152"/>
      <c r="K51" s="157"/>
      <c r="L51" s="152"/>
      <c r="M51" s="152"/>
      <c r="N51" s="152"/>
      <c r="O51" s="157"/>
      <c r="P51" s="151"/>
      <c r="Q51" s="152"/>
      <c r="R51" s="152"/>
      <c r="S51" s="156"/>
      <c r="T51" s="152"/>
      <c r="U51" s="152"/>
      <c r="V51" s="151"/>
      <c r="W51" s="152"/>
      <c r="X51" s="152"/>
      <c r="Y51" s="152"/>
      <c r="Z51" s="152"/>
      <c r="AA51" s="152"/>
      <c r="AB51" s="152"/>
      <c r="AC51" s="151"/>
      <c r="AD51" s="152"/>
      <c r="AE51" s="152"/>
      <c r="AF51" s="152"/>
      <c r="AG51" s="152"/>
      <c r="AH51" s="152"/>
      <c r="AI51" s="152"/>
      <c r="AJ51" s="152"/>
      <c r="AK51" s="211"/>
      <c r="AL51" s="211"/>
      <c r="AM51" s="211"/>
      <c r="AN51" s="244"/>
    </row>
    <row r="52" spans="1:40" ht="12.95" customHeight="1" x14ac:dyDescent="0.2">
      <c r="A52" s="291"/>
      <c r="B52" s="211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6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211"/>
      <c r="AL52" s="211"/>
      <c r="AM52" s="211"/>
      <c r="AN52" s="244"/>
    </row>
    <row r="53" spans="1:40" ht="12.95" customHeight="1" x14ac:dyDescent="0.3">
      <c r="A53" s="291"/>
      <c r="B53" s="211"/>
      <c r="C53" s="153"/>
      <c r="D53" s="153"/>
      <c r="E53" s="153"/>
      <c r="F53" s="153"/>
      <c r="G53" s="153"/>
      <c r="H53" s="153"/>
      <c r="I53" s="153"/>
      <c r="J53" s="153"/>
      <c r="K53" s="168"/>
      <c r="L53" s="168"/>
      <c r="M53" s="153"/>
      <c r="N53" s="162"/>
      <c r="O53" s="168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4"/>
      <c r="AE53" s="153"/>
      <c r="AF53" s="153"/>
      <c r="AG53" s="153"/>
      <c r="AH53" s="153"/>
      <c r="AI53" s="153"/>
      <c r="AJ53" s="153"/>
      <c r="AK53" s="211"/>
      <c r="AL53" s="211"/>
      <c r="AM53" s="211"/>
      <c r="AN53" s="244"/>
    </row>
    <row r="54" spans="1:40" ht="12.95" customHeight="1" x14ac:dyDescent="0.2">
      <c r="A54" s="291"/>
      <c r="B54" s="21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1"/>
      <c r="AC54" s="152"/>
      <c r="AD54" s="152"/>
      <c r="AE54" s="152"/>
      <c r="AF54" s="152"/>
      <c r="AG54" s="152"/>
      <c r="AH54" s="152"/>
      <c r="AI54" s="152"/>
      <c r="AJ54" s="152"/>
      <c r="AK54" s="211"/>
      <c r="AL54" s="211"/>
      <c r="AM54" s="211"/>
      <c r="AN54" s="244"/>
    </row>
    <row r="55" spans="1:40" ht="12.95" customHeight="1" x14ac:dyDescent="0.2">
      <c r="A55" s="291"/>
      <c r="B55" s="211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1"/>
      <c r="AB55" s="152"/>
      <c r="AC55" s="152"/>
      <c r="AD55" s="152"/>
      <c r="AE55" s="152"/>
      <c r="AF55" s="152"/>
      <c r="AG55" s="152"/>
      <c r="AH55" s="152"/>
      <c r="AI55" s="152"/>
      <c r="AJ55" s="152"/>
      <c r="AK55" s="211"/>
      <c r="AL55" s="211"/>
      <c r="AM55" s="211"/>
      <c r="AN55" s="244"/>
    </row>
    <row r="56" spans="1:40" ht="12.95" customHeight="1" x14ac:dyDescent="0.2">
      <c r="A56" s="291"/>
      <c r="B56" s="211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1"/>
      <c r="AC56" s="152"/>
      <c r="AD56" s="152"/>
      <c r="AE56" s="152"/>
      <c r="AF56" s="152"/>
      <c r="AG56" s="152"/>
      <c r="AH56" s="152"/>
      <c r="AI56" s="152"/>
      <c r="AJ56" s="152"/>
      <c r="AK56" s="211"/>
      <c r="AL56" s="211"/>
      <c r="AM56" s="211"/>
      <c r="AN56" s="244"/>
    </row>
    <row r="57" spans="1:40" ht="12.95" customHeight="1" x14ac:dyDescent="0.3">
      <c r="A57" s="291"/>
      <c r="B57" s="211"/>
      <c r="C57" s="153"/>
      <c r="D57" s="153"/>
      <c r="E57" s="153"/>
      <c r="F57" s="153"/>
      <c r="G57" s="153"/>
      <c r="H57" s="153"/>
      <c r="I57" s="153"/>
      <c r="J57" s="153"/>
      <c r="K57" s="168"/>
      <c r="L57" s="168"/>
      <c r="M57" s="153"/>
      <c r="N57" s="162"/>
      <c r="O57" s="168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4"/>
      <c r="AE57" s="153"/>
      <c r="AF57" s="153"/>
      <c r="AG57" s="153"/>
      <c r="AH57" s="153"/>
      <c r="AI57" s="153"/>
      <c r="AJ57" s="153"/>
      <c r="AK57" s="211"/>
      <c r="AL57" s="211"/>
      <c r="AM57" s="211"/>
      <c r="AN57" s="244"/>
    </row>
    <row r="58" spans="1:40" ht="12.95" customHeight="1" x14ac:dyDescent="0.3">
      <c r="A58" s="291"/>
      <c r="B58" s="211"/>
      <c r="C58" s="153"/>
      <c r="D58" s="153"/>
      <c r="E58" s="153"/>
      <c r="F58" s="153"/>
      <c r="G58" s="153"/>
      <c r="H58" s="153"/>
      <c r="I58" s="153"/>
      <c r="J58" s="153"/>
      <c r="K58" s="168"/>
      <c r="L58" s="168"/>
      <c r="M58" s="153"/>
      <c r="N58" s="162"/>
      <c r="O58" s="168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4"/>
      <c r="AE58" s="153"/>
      <c r="AF58" s="153"/>
      <c r="AG58" s="153"/>
      <c r="AH58" s="153"/>
      <c r="AI58" s="153"/>
      <c r="AJ58" s="153"/>
      <c r="AK58" s="211"/>
      <c r="AL58" s="211"/>
      <c r="AM58" s="211"/>
      <c r="AN58" s="244"/>
    </row>
    <row r="59" spans="1:40" ht="12.95" customHeight="1" x14ac:dyDescent="0.3">
      <c r="A59" s="291"/>
      <c r="B59" s="211"/>
      <c r="C59" s="153"/>
      <c r="D59" s="153"/>
      <c r="E59" s="153"/>
      <c r="F59" s="153"/>
      <c r="G59" s="153"/>
      <c r="H59" s="153"/>
      <c r="I59" s="153"/>
      <c r="J59" s="153"/>
      <c r="K59" s="168"/>
      <c r="L59" s="168"/>
      <c r="M59" s="153"/>
      <c r="N59" s="162"/>
      <c r="O59" s="168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4"/>
      <c r="AE59" s="153"/>
      <c r="AF59" s="153"/>
      <c r="AG59" s="153"/>
      <c r="AH59" s="153"/>
      <c r="AI59" s="153"/>
      <c r="AJ59" s="153"/>
      <c r="AK59" s="211"/>
      <c r="AL59" s="211"/>
      <c r="AM59" s="211"/>
      <c r="AN59" s="244"/>
    </row>
    <row r="60" spans="1:40" ht="12.95" customHeight="1" x14ac:dyDescent="0.3">
      <c r="A60" s="291"/>
      <c r="B60" s="211"/>
      <c r="C60" s="153"/>
      <c r="D60" s="153"/>
      <c r="E60" s="153"/>
      <c r="F60" s="153"/>
      <c r="G60" s="153"/>
      <c r="H60" s="153"/>
      <c r="I60" s="153"/>
      <c r="J60" s="153"/>
      <c r="K60" s="168"/>
      <c r="L60" s="168"/>
      <c r="M60" s="153"/>
      <c r="N60" s="162"/>
      <c r="O60" s="168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4"/>
      <c r="AE60" s="153"/>
      <c r="AF60" s="153"/>
      <c r="AG60" s="153"/>
      <c r="AH60" s="153"/>
      <c r="AI60" s="153"/>
      <c r="AJ60" s="153"/>
      <c r="AK60" s="211"/>
      <c r="AL60" s="211"/>
      <c r="AM60" s="211"/>
      <c r="AN60" s="244"/>
    </row>
    <row r="61" spans="1:40" ht="12.95" customHeight="1" x14ac:dyDescent="0.3">
      <c r="A61" s="291"/>
      <c r="B61" s="211"/>
      <c r="C61" s="153"/>
      <c r="D61" s="153"/>
      <c r="E61" s="153"/>
      <c r="F61" s="153"/>
      <c r="G61" s="153"/>
      <c r="H61" s="153"/>
      <c r="I61" s="153"/>
      <c r="J61" s="153"/>
      <c r="K61" s="168"/>
      <c r="L61" s="168"/>
      <c r="M61" s="153"/>
      <c r="N61" s="162"/>
      <c r="O61" s="168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4"/>
      <c r="AE61" s="153"/>
      <c r="AF61" s="153"/>
      <c r="AG61" s="153"/>
      <c r="AH61" s="153"/>
      <c r="AI61" s="153"/>
      <c r="AJ61" s="153"/>
      <c r="AK61" s="211"/>
      <c r="AL61" s="211"/>
      <c r="AM61" s="211"/>
      <c r="AN61" s="244"/>
    </row>
    <row r="62" spans="1:40" ht="12.95" customHeight="1" x14ac:dyDescent="0.3">
      <c r="A62" s="292"/>
      <c r="B62" s="63"/>
      <c r="C62" s="153"/>
      <c r="D62" s="153"/>
      <c r="E62" s="153"/>
      <c r="F62" s="153"/>
      <c r="G62" s="153"/>
      <c r="H62" s="153"/>
      <c r="I62" s="153"/>
      <c r="J62" s="153"/>
      <c r="K62" s="168"/>
      <c r="L62" s="168"/>
      <c r="M62" s="153"/>
      <c r="N62" s="162"/>
      <c r="O62" s="168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4"/>
      <c r="AE62" s="153"/>
      <c r="AF62" s="153"/>
      <c r="AG62" s="153"/>
      <c r="AH62" s="153"/>
      <c r="AI62" s="153"/>
      <c r="AJ62" s="153"/>
      <c r="AK62" s="211"/>
      <c r="AL62" s="211"/>
      <c r="AM62" s="211"/>
      <c r="AN62" s="244"/>
    </row>
    <row r="63" spans="1:40" ht="12.95" customHeight="1" x14ac:dyDescent="0.3">
      <c r="A63" s="292"/>
      <c r="B63" s="63"/>
      <c r="C63" s="153"/>
      <c r="D63" s="153"/>
      <c r="E63" s="153"/>
      <c r="F63" s="153"/>
      <c r="G63" s="153"/>
      <c r="H63" s="153"/>
      <c r="I63" s="153"/>
      <c r="J63" s="153"/>
      <c r="K63" s="168"/>
      <c r="L63" s="168"/>
      <c r="M63" s="153"/>
      <c r="N63" s="162"/>
      <c r="O63" s="168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4"/>
      <c r="AE63" s="153"/>
      <c r="AF63" s="153"/>
      <c r="AG63" s="153"/>
      <c r="AH63" s="153"/>
      <c r="AI63" s="153"/>
      <c r="AJ63" s="153"/>
      <c r="AK63" s="211"/>
      <c r="AL63" s="211"/>
      <c r="AM63" s="211"/>
      <c r="AN63" s="244"/>
    </row>
    <row r="64" spans="1:40" ht="12.95" customHeight="1" x14ac:dyDescent="0.3">
      <c r="A64" s="292"/>
      <c r="B64" s="63"/>
      <c r="C64" s="153"/>
      <c r="D64" s="153"/>
      <c r="E64" s="153"/>
      <c r="F64" s="153"/>
      <c r="G64" s="153"/>
      <c r="H64" s="153"/>
      <c r="I64" s="153"/>
      <c r="J64" s="153"/>
      <c r="K64" s="168"/>
      <c r="L64" s="168"/>
      <c r="M64" s="153"/>
      <c r="N64" s="162"/>
      <c r="O64" s="168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4"/>
      <c r="AE64" s="153"/>
      <c r="AF64" s="153"/>
      <c r="AG64" s="153"/>
      <c r="AH64" s="153"/>
      <c r="AI64" s="153"/>
      <c r="AJ64" s="153"/>
      <c r="AK64" s="211"/>
      <c r="AL64" s="211"/>
      <c r="AM64" s="211"/>
      <c r="AN64" s="244"/>
    </row>
    <row r="65" spans="1:40" ht="12.95" customHeight="1" x14ac:dyDescent="0.3">
      <c r="A65" s="292"/>
      <c r="B65" s="63"/>
      <c r="C65" s="153"/>
      <c r="D65" s="153"/>
      <c r="E65" s="153"/>
      <c r="F65" s="153"/>
      <c r="G65" s="153"/>
      <c r="H65" s="153"/>
      <c r="I65" s="153"/>
      <c r="J65" s="153"/>
      <c r="K65" s="168"/>
      <c r="L65" s="168"/>
      <c r="M65" s="153"/>
      <c r="N65" s="162"/>
      <c r="O65" s="168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4"/>
      <c r="AE65" s="153"/>
      <c r="AF65" s="153"/>
      <c r="AG65" s="153"/>
      <c r="AH65" s="153"/>
      <c r="AI65" s="153"/>
      <c r="AJ65" s="153"/>
      <c r="AK65" s="211"/>
      <c r="AL65" s="211"/>
      <c r="AM65" s="211"/>
      <c r="AN65" s="244"/>
    </row>
    <row r="66" spans="1:40" ht="12.95" customHeight="1" x14ac:dyDescent="0.3">
      <c r="A66" s="292"/>
      <c r="B66" s="63"/>
      <c r="C66" s="153"/>
      <c r="D66" s="153"/>
      <c r="E66" s="153"/>
      <c r="F66" s="153"/>
      <c r="G66" s="153"/>
      <c r="H66" s="153"/>
      <c r="I66" s="153"/>
      <c r="J66" s="153"/>
      <c r="K66" s="168"/>
      <c r="L66" s="168"/>
      <c r="M66" s="153"/>
      <c r="N66" s="162"/>
      <c r="O66" s="168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4"/>
      <c r="AE66" s="153"/>
      <c r="AF66" s="153"/>
      <c r="AG66" s="153"/>
      <c r="AH66" s="153"/>
      <c r="AI66" s="153"/>
      <c r="AJ66" s="153"/>
      <c r="AK66" s="211"/>
      <c r="AL66" s="211"/>
      <c r="AM66" s="211"/>
      <c r="AN66" s="244"/>
    </row>
    <row r="67" spans="1:40" ht="12.95" customHeight="1" x14ac:dyDescent="0.3">
      <c r="A67" s="292"/>
      <c r="B67" s="63"/>
      <c r="C67" s="153"/>
      <c r="D67" s="153"/>
      <c r="E67" s="153"/>
      <c r="F67" s="153"/>
      <c r="G67" s="153"/>
      <c r="H67" s="153"/>
      <c r="I67" s="153"/>
      <c r="J67" s="153"/>
      <c r="K67" s="168"/>
      <c r="L67" s="168"/>
      <c r="M67" s="153"/>
      <c r="N67" s="162"/>
      <c r="O67" s="168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9"/>
      <c r="AE67" s="153"/>
      <c r="AF67" s="153"/>
      <c r="AG67" s="153"/>
      <c r="AH67" s="153"/>
      <c r="AI67" s="153"/>
      <c r="AJ67" s="153"/>
      <c r="AK67" s="211"/>
      <c r="AL67" s="211"/>
      <c r="AM67" s="211"/>
      <c r="AN67" s="244"/>
    </row>
    <row r="68" spans="1:40" ht="12.95" customHeight="1" x14ac:dyDescent="0.2">
      <c r="A68" s="292"/>
      <c r="B68" s="63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7"/>
      <c r="AB68" s="152"/>
      <c r="AC68" s="152"/>
      <c r="AD68" s="159"/>
      <c r="AE68" s="157"/>
      <c r="AF68" s="152"/>
      <c r="AG68" s="152"/>
      <c r="AH68" s="152"/>
      <c r="AI68" s="152"/>
      <c r="AJ68" s="152"/>
      <c r="AK68" s="211"/>
      <c r="AL68" s="211"/>
      <c r="AM68" s="211"/>
      <c r="AN68" s="244"/>
    </row>
    <row r="69" spans="1:40" ht="12.95" customHeight="1" x14ac:dyDescent="0.2">
      <c r="A69" s="292"/>
      <c r="B69" s="63"/>
      <c r="C69" s="169" t="s">
        <v>221</v>
      </c>
      <c r="D69" s="152"/>
      <c r="E69" s="151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9"/>
      <c r="AE69" s="153"/>
      <c r="AF69" s="153"/>
      <c r="AG69" s="153"/>
      <c r="AH69" s="153"/>
      <c r="AI69" s="153"/>
      <c r="AJ69" s="153"/>
      <c r="AK69" s="211"/>
      <c r="AL69" s="211"/>
      <c r="AM69" s="211"/>
      <c r="AN69" s="244"/>
    </row>
    <row r="70" spans="1:40" ht="12.95" customHeight="1" x14ac:dyDescent="0.2">
      <c r="A70" s="292"/>
      <c r="B70" s="63"/>
      <c r="C70" s="152">
        <v>1</v>
      </c>
      <c r="D70" s="152" t="s">
        <v>222</v>
      </c>
      <c r="E70" s="151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3"/>
      <c r="T70" s="153"/>
      <c r="U70" s="153"/>
      <c r="V70" s="153"/>
      <c r="W70" s="153"/>
      <c r="X70" s="153"/>
      <c r="Y70" s="153"/>
      <c r="Z70" s="153"/>
      <c r="AA70" s="153"/>
      <c r="AB70" s="161"/>
      <c r="AC70" s="153"/>
      <c r="AD70" s="159"/>
      <c r="AE70" s="153"/>
      <c r="AF70" s="153"/>
      <c r="AG70" s="153"/>
      <c r="AH70" s="153"/>
      <c r="AI70" s="153"/>
      <c r="AJ70" s="153"/>
      <c r="AK70" s="211"/>
      <c r="AL70" s="211"/>
      <c r="AM70" s="211"/>
      <c r="AN70" s="244"/>
    </row>
    <row r="71" spans="1:40" ht="12.95" customHeight="1" x14ac:dyDescent="0.2">
      <c r="A71" s="292"/>
      <c r="B71" s="63"/>
      <c r="C71" s="152">
        <v>2</v>
      </c>
      <c r="D71" s="152" t="s">
        <v>223</v>
      </c>
      <c r="E71" s="151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3"/>
      <c r="T71" s="153"/>
      <c r="U71" s="153"/>
      <c r="V71" s="153"/>
      <c r="W71" s="153"/>
      <c r="X71" s="153"/>
      <c r="Y71" s="153"/>
      <c r="Z71" s="153"/>
      <c r="AA71" s="153"/>
      <c r="AB71" s="161"/>
      <c r="AC71" s="153"/>
      <c r="AD71" s="153"/>
      <c r="AE71" s="153"/>
      <c r="AF71" s="153"/>
      <c r="AG71" s="153"/>
      <c r="AH71" s="153"/>
      <c r="AI71" s="153"/>
      <c r="AJ71" s="153"/>
      <c r="AK71" s="211"/>
      <c r="AL71" s="211"/>
      <c r="AM71" s="211"/>
      <c r="AN71" s="244"/>
    </row>
    <row r="72" spans="1:40" ht="12.95" customHeight="1" x14ac:dyDescent="0.2">
      <c r="A72" s="292"/>
      <c r="B72" s="63"/>
      <c r="C72" s="152">
        <v>3</v>
      </c>
      <c r="D72" s="152" t="s">
        <v>224</v>
      </c>
      <c r="E72" s="151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3"/>
      <c r="T72" s="153"/>
      <c r="U72" s="153"/>
      <c r="V72" s="153"/>
      <c r="W72" s="153"/>
      <c r="X72" s="153"/>
      <c r="Y72" s="153"/>
      <c r="Z72" s="153"/>
      <c r="AA72" s="153"/>
      <c r="AB72" s="161"/>
      <c r="AC72" s="153"/>
      <c r="AD72" s="153"/>
      <c r="AE72" s="153"/>
      <c r="AF72" s="153"/>
      <c r="AG72" s="153"/>
      <c r="AH72" s="153"/>
      <c r="AI72" s="153"/>
      <c r="AJ72" s="153"/>
      <c r="AK72" s="211"/>
      <c r="AL72" s="211"/>
      <c r="AM72" s="211"/>
      <c r="AN72" s="244"/>
    </row>
    <row r="73" spans="1:40" ht="12.95" customHeight="1" thickBot="1" x14ac:dyDescent="0.35">
      <c r="A73" s="293"/>
      <c r="B73" s="294"/>
      <c r="C73" s="295">
        <v>4</v>
      </c>
      <c r="D73" s="295" t="s">
        <v>225</v>
      </c>
      <c r="E73" s="296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7"/>
      <c r="T73" s="297"/>
      <c r="U73" s="297"/>
      <c r="V73" s="297"/>
      <c r="W73" s="297"/>
      <c r="X73" s="297"/>
      <c r="Y73" s="297"/>
      <c r="Z73" s="297"/>
      <c r="AA73" s="297"/>
      <c r="AB73" s="298"/>
      <c r="AC73" s="298"/>
      <c r="AD73" s="297"/>
      <c r="AE73" s="297"/>
      <c r="AF73" s="297"/>
      <c r="AG73" s="297"/>
      <c r="AH73" s="297"/>
      <c r="AI73" s="297"/>
      <c r="AJ73" s="297"/>
      <c r="AK73" s="245"/>
      <c r="AL73" s="245"/>
      <c r="AM73" s="245"/>
      <c r="AN73" s="246"/>
    </row>
    <row r="74" spans="1:40" ht="12" customHeight="1" x14ac:dyDescent="0.2">
      <c r="A74" s="39"/>
      <c r="B74" s="39"/>
      <c r="C74" s="39"/>
      <c r="D74" s="39"/>
      <c r="E74" s="39"/>
      <c r="F74" s="39"/>
      <c r="G74" s="39"/>
    </row>
  </sheetData>
  <mergeCells count="24"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L1:AD6"/>
    <mergeCell ref="AE1:AN4"/>
    <mergeCell ref="A5:K6"/>
    <mergeCell ref="AE5:AN6"/>
    <mergeCell ref="A7:K9"/>
    <mergeCell ref="L7:AD9"/>
    <mergeCell ref="AE7:AN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O74"/>
  <sheetViews>
    <sheetView view="pageBreakPreview" zoomScale="130" zoomScaleNormal="115" zoomScaleSheetLayoutView="130" workbookViewId="0">
      <selection activeCell="A13" sqref="A13:AN13"/>
    </sheetView>
  </sheetViews>
  <sheetFormatPr defaultRowHeight="12" customHeight="1" x14ac:dyDescent="0.2"/>
  <cols>
    <col min="1" max="39" width="2.42578125" style="28" customWidth="1"/>
    <col min="40" max="40" width="5" style="28" customWidth="1"/>
    <col min="41" max="41" width="9.140625" style="28" hidden="1" customWidth="1"/>
    <col min="42" max="256" width="9.140625" style="28"/>
    <col min="257" max="295" width="2.42578125" style="28" customWidth="1"/>
    <col min="296" max="296" width="5" style="28" customWidth="1"/>
    <col min="297" max="297" width="0" style="28" hidden="1" customWidth="1"/>
    <col min="298" max="512" width="9.140625" style="28"/>
    <col min="513" max="551" width="2.42578125" style="28" customWidth="1"/>
    <col min="552" max="552" width="5" style="28" customWidth="1"/>
    <col min="553" max="553" width="0" style="28" hidden="1" customWidth="1"/>
    <col min="554" max="768" width="9.140625" style="28"/>
    <col min="769" max="807" width="2.42578125" style="28" customWidth="1"/>
    <col min="808" max="808" width="5" style="28" customWidth="1"/>
    <col min="809" max="809" width="0" style="28" hidden="1" customWidth="1"/>
    <col min="810" max="1024" width="9.140625" style="28"/>
    <col min="1025" max="1063" width="2.42578125" style="28" customWidth="1"/>
    <col min="1064" max="1064" width="5" style="28" customWidth="1"/>
    <col min="1065" max="1065" width="0" style="28" hidden="1" customWidth="1"/>
    <col min="1066" max="1280" width="9.140625" style="28"/>
    <col min="1281" max="1319" width="2.42578125" style="28" customWidth="1"/>
    <col min="1320" max="1320" width="5" style="28" customWidth="1"/>
    <col min="1321" max="1321" width="0" style="28" hidden="1" customWidth="1"/>
    <col min="1322" max="1536" width="9.140625" style="28"/>
    <col min="1537" max="1575" width="2.42578125" style="28" customWidth="1"/>
    <col min="1576" max="1576" width="5" style="28" customWidth="1"/>
    <col min="1577" max="1577" width="0" style="28" hidden="1" customWidth="1"/>
    <col min="1578" max="1792" width="9.140625" style="28"/>
    <col min="1793" max="1831" width="2.42578125" style="28" customWidth="1"/>
    <col min="1832" max="1832" width="5" style="28" customWidth="1"/>
    <col min="1833" max="1833" width="0" style="28" hidden="1" customWidth="1"/>
    <col min="1834" max="2048" width="9.140625" style="28"/>
    <col min="2049" max="2087" width="2.42578125" style="28" customWidth="1"/>
    <col min="2088" max="2088" width="5" style="28" customWidth="1"/>
    <col min="2089" max="2089" width="0" style="28" hidden="1" customWidth="1"/>
    <col min="2090" max="2304" width="9.140625" style="28"/>
    <col min="2305" max="2343" width="2.42578125" style="28" customWidth="1"/>
    <col min="2344" max="2344" width="5" style="28" customWidth="1"/>
    <col min="2345" max="2345" width="0" style="28" hidden="1" customWidth="1"/>
    <col min="2346" max="2560" width="9.140625" style="28"/>
    <col min="2561" max="2599" width="2.42578125" style="28" customWidth="1"/>
    <col min="2600" max="2600" width="5" style="28" customWidth="1"/>
    <col min="2601" max="2601" width="0" style="28" hidden="1" customWidth="1"/>
    <col min="2602" max="2816" width="9.140625" style="28"/>
    <col min="2817" max="2855" width="2.42578125" style="28" customWidth="1"/>
    <col min="2856" max="2856" width="5" style="28" customWidth="1"/>
    <col min="2857" max="2857" width="0" style="28" hidden="1" customWidth="1"/>
    <col min="2858" max="3072" width="9.140625" style="28"/>
    <col min="3073" max="3111" width="2.42578125" style="28" customWidth="1"/>
    <col min="3112" max="3112" width="5" style="28" customWidth="1"/>
    <col min="3113" max="3113" width="0" style="28" hidden="1" customWidth="1"/>
    <col min="3114" max="3328" width="9.140625" style="28"/>
    <col min="3329" max="3367" width="2.42578125" style="28" customWidth="1"/>
    <col min="3368" max="3368" width="5" style="28" customWidth="1"/>
    <col min="3369" max="3369" width="0" style="28" hidden="1" customWidth="1"/>
    <col min="3370" max="3584" width="9.140625" style="28"/>
    <col min="3585" max="3623" width="2.42578125" style="28" customWidth="1"/>
    <col min="3624" max="3624" width="5" style="28" customWidth="1"/>
    <col min="3625" max="3625" width="0" style="28" hidden="1" customWidth="1"/>
    <col min="3626" max="3840" width="9.140625" style="28"/>
    <col min="3841" max="3879" width="2.42578125" style="28" customWidth="1"/>
    <col min="3880" max="3880" width="5" style="28" customWidth="1"/>
    <col min="3881" max="3881" width="0" style="28" hidden="1" customWidth="1"/>
    <col min="3882" max="4096" width="9.140625" style="28"/>
    <col min="4097" max="4135" width="2.42578125" style="28" customWidth="1"/>
    <col min="4136" max="4136" width="5" style="28" customWidth="1"/>
    <col min="4137" max="4137" width="0" style="28" hidden="1" customWidth="1"/>
    <col min="4138" max="4352" width="9.140625" style="28"/>
    <col min="4353" max="4391" width="2.42578125" style="28" customWidth="1"/>
    <col min="4392" max="4392" width="5" style="28" customWidth="1"/>
    <col min="4393" max="4393" width="0" style="28" hidden="1" customWidth="1"/>
    <col min="4394" max="4608" width="9.140625" style="28"/>
    <col min="4609" max="4647" width="2.42578125" style="28" customWidth="1"/>
    <col min="4648" max="4648" width="5" style="28" customWidth="1"/>
    <col min="4649" max="4649" width="0" style="28" hidden="1" customWidth="1"/>
    <col min="4650" max="4864" width="9.140625" style="28"/>
    <col min="4865" max="4903" width="2.42578125" style="28" customWidth="1"/>
    <col min="4904" max="4904" width="5" style="28" customWidth="1"/>
    <col min="4905" max="4905" width="0" style="28" hidden="1" customWidth="1"/>
    <col min="4906" max="5120" width="9.140625" style="28"/>
    <col min="5121" max="5159" width="2.42578125" style="28" customWidth="1"/>
    <col min="5160" max="5160" width="5" style="28" customWidth="1"/>
    <col min="5161" max="5161" width="0" style="28" hidden="1" customWidth="1"/>
    <col min="5162" max="5376" width="9.140625" style="28"/>
    <col min="5377" max="5415" width="2.42578125" style="28" customWidth="1"/>
    <col min="5416" max="5416" width="5" style="28" customWidth="1"/>
    <col min="5417" max="5417" width="0" style="28" hidden="1" customWidth="1"/>
    <col min="5418" max="5632" width="9.140625" style="28"/>
    <col min="5633" max="5671" width="2.42578125" style="28" customWidth="1"/>
    <col min="5672" max="5672" width="5" style="28" customWidth="1"/>
    <col min="5673" max="5673" width="0" style="28" hidden="1" customWidth="1"/>
    <col min="5674" max="5888" width="9.140625" style="28"/>
    <col min="5889" max="5927" width="2.42578125" style="28" customWidth="1"/>
    <col min="5928" max="5928" width="5" style="28" customWidth="1"/>
    <col min="5929" max="5929" width="0" style="28" hidden="1" customWidth="1"/>
    <col min="5930" max="6144" width="9.140625" style="28"/>
    <col min="6145" max="6183" width="2.42578125" style="28" customWidth="1"/>
    <col min="6184" max="6184" width="5" style="28" customWidth="1"/>
    <col min="6185" max="6185" width="0" style="28" hidden="1" customWidth="1"/>
    <col min="6186" max="6400" width="9.140625" style="28"/>
    <col min="6401" max="6439" width="2.42578125" style="28" customWidth="1"/>
    <col min="6440" max="6440" width="5" style="28" customWidth="1"/>
    <col min="6441" max="6441" width="0" style="28" hidden="1" customWidth="1"/>
    <col min="6442" max="6656" width="9.140625" style="28"/>
    <col min="6657" max="6695" width="2.42578125" style="28" customWidth="1"/>
    <col min="6696" max="6696" width="5" style="28" customWidth="1"/>
    <col min="6697" max="6697" width="0" style="28" hidden="1" customWidth="1"/>
    <col min="6698" max="6912" width="9.140625" style="28"/>
    <col min="6913" max="6951" width="2.42578125" style="28" customWidth="1"/>
    <col min="6952" max="6952" width="5" style="28" customWidth="1"/>
    <col min="6953" max="6953" width="0" style="28" hidden="1" customWidth="1"/>
    <col min="6954" max="7168" width="9.140625" style="28"/>
    <col min="7169" max="7207" width="2.42578125" style="28" customWidth="1"/>
    <col min="7208" max="7208" width="5" style="28" customWidth="1"/>
    <col min="7209" max="7209" width="0" style="28" hidden="1" customWidth="1"/>
    <col min="7210" max="7424" width="9.140625" style="28"/>
    <col min="7425" max="7463" width="2.42578125" style="28" customWidth="1"/>
    <col min="7464" max="7464" width="5" style="28" customWidth="1"/>
    <col min="7465" max="7465" width="0" style="28" hidden="1" customWidth="1"/>
    <col min="7466" max="7680" width="9.140625" style="28"/>
    <col min="7681" max="7719" width="2.42578125" style="28" customWidth="1"/>
    <col min="7720" max="7720" width="5" style="28" customWidth="1"/>
    <col min="7721" max="7721" width="0" style="28" hidden="1" customWidth="1"/>
    <col min="7722" max="7936" width="9.140625" style="28"/>
    <col min="7937" max="7975" width="2.42578125" style="28" customWidth="1"/>
    <col min="7976" max="7976" width="5" style="28" customWidth="1"/>
    <col min="7977" max="7977" width="0" style="28" hidden="1" customWidth="1"/>
    <col min="7978" max="8192" width="9.140625" style="28"/>
    <col min="8193" max="8231" width="2.42578125" style="28" customWidth="1"/>
    <col min="8232" max="8232" width="5" style="28" customWidth="1"/>
    <col min="8233" max="8233" width="0" style="28" hidden="1" customWidth="1"/>
    <col min="8234" max="8448" width="9.140625" style="28"/>
    <col min="8449" max="8487" width="2.42578125" style="28" customWidth="1"/>
    <col min="8488" max="8488" width="5" style="28" customWidth="1"/>
    <col min="8489" max="8489" width="0" style="28" hidden="1" customWidth="1"/>
    <col min="8490" max="8704" width="9.140625" style="28"/>
    <col min="8705" max="8743" width="2.42578125" style="28" customWidth="1"/>
    <col min="8744" max="8744" width="5" style="28" customWidth="1"/>
    <col min="8745" max="8745" width="0" style="28" hidden="1" customWidth="1"/>
    <col min="8746" max="8960" width="9.140625" style="28"/>
    <col min="8961" max="8999" width="2.42578125" style="28" customWidth="1"/>
    <col min="9000" max="9000" width="5" style="28" customWidth="1"/>
    <col min="9001" max="9001" width="0" style="28" hidden="1" customWidth="1"/>
    <col min="9002" max="9216" width="9.140625" style="28"/>
    <col min="9217" max="9255" width="2.42578125" style="28" customWidth="1"/>
    <col min="9256" max="9256" width="5" style="28" customWidth="1"/>
    <col min="9257" max="9257" width="0" style="28" hidden="1" customWidth="1"/>
    <col min="9258" max="9472" width="9.140625" style="28"/>
    <col min="9473" max="9511" width="2.42578125" style="28" customWidth="1"/>
    <col min="9512" max="9512" width="5" style="28" customWidth="1"/>
    <col min="9513" max="9513" width="0" style="28" hidden="1" customWidth="1"/>
    <col min="9514" max="9728" width="9.140625" style="28"/>
    <col min="9729" max="9767" width="2.42578125" style="28" customWidth="1"/>
    <col min="9768" max="9768" width="5" style="28" customWidth="1"/>
    <col min="9769" max="9769" width="0" style="28" hidden="1" customWidth="1"/>
    <col min="9770" max="9984" width="9.140625" style="28"/>
    <col min="9985" max="10023" width="2.42578125" style="28" customWidth="1"/>
    <col min="10024" max="10024" width="5" style="28" customWidth="1"/>
    <col min="10025" max="10025" width="0" style="28" hidden="1" customWidth="1"/>
    <col min="10026" max="10240" width="9.140625" style="28"/>
    <col min="10241" max="10279" width="2.42578125" style="28" customWidth="1"/>
    <col min="10280" max="10280" width="5" style="28" customWidth="1"/>
    <col min="10281" max="10281" width="0" style="28" hidden="1" customWidth="1"/>
    <col min="10282" max="10496" width="9.140625" style="28"/>
    <col min="10497" max="10535" width="2.42578125" style="28" customWidth="1"/>
    <col min="10536" max="10536" width="5" style="28" customWidth="1"/>
    <col min="10537" max="10537" width="0" style="28" hidden="1" customWidth="1"/>
    <col min="10538" max="10752" width="9.140625" style="28"/>
    <col min="10753" max="10791" width="2.42578125" style="28" customWidth="1"/>
    <col min="10792" max="10792" width="5" style="28" customWidth="1"/>
    <col min="10793" max="10793" width="0" style="28" hidden="1" customWidth="1"/>
    <col min="10794" max="11008" width="9.140625" style="28"/>
    <col min="11009" max="11047" width="2.42578125" style="28" customWidth="1"/>
    <col min="11048" max="11048" width="5" style="28" customWidth="1"/>
    <col min="11049" max="11049" width="0" style="28" hidden="1" customWidth="1"/>
    <col min="11050" max="11264" width="9.140625" style="28"/>
    <col min="11265" max="11303" width="2.42578125" style="28" customWidth="1"/>
    <col min="11304" max="11304" width="5" style="28" customWidth="1"/>
    <col min="11305" max="11305" width="0" style="28" hidden="1" customWidth="1"/>
    <col min="11306" max="11520" width="9.140625" style="28"/>
    <col min="11521" max="11559" width="2.42578125" style="28" customWidth="1"/>
    <col min="11560" max="11560" width="5" style="28" customWidth="1"/>
    <col min="11561" max="11561" width="0" style="28" hidden="1" customWidth="1"/>
    <col min="11562" max="11776" width="9.140625" style="28"/>
    <col min="11777" max="11815" width="2.42578125" style="28" customWidth="1"/>
    <col min="11816" max="11816" width="5" style="28" customWidth="1"/>
    <col min="11817" max="11817" width="0" style="28" hidden="1" customWidth="1"/>
    <col min="11818" max="12032" width="9.140625" style="28"/>
    <col min="12033" max="12071" width="2.42578125" style="28" customWidth="1"/>
    <col min="12072" max="12072" width="5" style="28" customWidth="1"/>
    <col min="12073" max="12073" width="0" style="28" hidden="1" customWidth="1"/>
    <col min="12074" max="12288" width="9.140625" style="28"/>
    <col min="12289" max="12327" width="2.42578125" style="28" customWidth="1"/>
    <col min="12328" max="12328" width="5" style="28" customWidth="1"/>
    <col min="12329" max="12329" width="0" style="28" hidden="1" customWidth="1"/>
    <col min="12330" max="12544" width="9.140625" style="28"/>
    <col min="12545" max="12583" width="2.42578125" style="28" customWidth="1"/>
    <col min="12584" max="12584" width="5" style="28" customWidth="1"/>
    <col min="12585" max="12585" width="0" style="28" hidden="1" customWidth="1"/>
    <col min="12586" max="12800" width="9.140625" style="28"/>
    <col min="12801" max="12839" width="2.42578125" style="28" customWidth="1"/>
    <col min="12840" max="12840" width="5" style="28" customWidth="1"/>
    <col min="12841" max="12841" width="0" style="28" hidden="1" customWidth="1"/>
    <col min="12842" max="13056" width="9.140625" style="28"/>
    <col min="13057" max="13095" width="2.42578125" style="28" customWidth="1"/>
    <col min="13096" max="13096" width="5" style="28" customWidth="1"/>
    <col min="13097" max="13097" width="0" style="28" hidden="1" customWidth="1"/>
    <col min="13098" max="13312" width="9.140625" style="28"/>
    <col min="13313" max="13351" width="2.42578125" style="28" customWidth="1"/>
    <col min="13352" max="13352" width="5" style="28" customWidth="1"/>
    <col min="13353" max="13353" width="0" style="28" hidden="1" customWidth="1"/>
    <col min="13354" max="13568" width="9.140625" style="28"/>
    <col min="13569" max="13607" width="2.42578125" style="28" customWidth="1"/>
    <col min="13608" max="13608" width="5" style="28" customWidth="1"/>
    <col min="13609" max="13609" width="0" style="28" hidden="1" customWidth="1"/>
    <col min="13610" max="13824" width="9.140625" style="28"/>
    <col min="13825" max="13863" width="2.42578125" style="28" customWidth="1"/>
    <col min="13864" max="13864" width="5" style="28" customWidth="1"/>
    <col min="13865" max="13865" width="0" style="28" hidden="1" customWidth="1"/>
    <col min="13866" max="14080" width="9.140625" style="28"/>
    <col min="14081" max="14119" width="2.42578125" style="28" customWidth="1"/>
    <col min="14120" max="14120" width="5" style="28" customWidth="1"/>
    <col min="14121" max="14121" width="0" style="28" hidden="1" customWidth="1"/>
    <col min="14122" max="14336" width="9.140625" style="28"/>
    <col min="14337" max="14375" width="2.42578125" style="28" customWidth="1"/>
    <col min="14376" max="14376" width="5" style="28" customWidth="1"/>
    <col min="14377" max="14377" width="0" style="28" hidden="1" customWidth="1"/>
    <col min="14378" max="14592" width="9.140625" style="28"/>
    <col min="14593" max="14631" width="2.42578125" style="28" customWidth="1"/>
    <col min="14632" max="14632" width="5" style="28" customWidth="1"/>
    <col min="14633" max="14633" width="0" style="28" hidden="1" customWidth="1"/>
    <col min="14634" max="14848" width="9.140625" style="28"/>
    <col min="14849" max="14887" width="2.42578125" style="28" customWidth="1"/>
    <col min="14888" max="14888" width="5" style="28" customWidth="1"/>
    <col min="14889" max="14889" width="0" style="28" hidden="1" customWidth="1"/>
    <col min="14890" max="15104" width="9.140625" style="28"/>
    <col min="15105" max="15143" width="2.42578125" style="28" customWidth="1"/>
    <col min="15144" max="15144" width="5" style="28" customWidth="1"/>
    <col min="15145" max="15145" width="0" style="28" hidden="1" customWidth="1"/>
    <col min="15146" max="15360" width="9.140625" style="28"/>
    <col min="15361" max="15399" width="2.42578125" style="28" customWidth="1"/>
    <col min="15400" max="15400" width="5" style="28" customWidth="1"/>
    <col min="15401" max="15401" width="0" style="28" hidden="1" customWidth="1"/>
    <col min="15402" max="15616" width="9.140625" style="28"/>
    <col min="15617" max="15655" width="2.42578125" style="28" customWidth="1"/>
    <col min="15656" max="15656" width="5" style="28" customWidth="1"/>
    <col min="15657" max="15657" width="0" style="28" hidden="1" customWidth="1"/>
    <col min="15658" max="15872" width="9.140625" style="28"/>
    <col min="15873" max="15911" width="2.42578125" style="28" customWidth="1"/>
    <col min="15912" max="15912" width="5" style="28" customWidth="1"/>
    <col min="15913" max="15913" width="0" style="28" hidden="1" customWidth="1"/>
    <col min="15914" max="16128" width="9.140625" style="28"/>
    <col min="16129" max="16167" width="2.42578125" style="28" customWidth="1"/>
    <col min="16168" max="16168" width="5" style="28" customWidth="1"/>
    <col min="16169" max="16169" width="0" style="28" hidden="1" customWidth="1"/>
    <col min="16170" max="16384" width="9.140625" style="28"/>
  </cols>
  <sheetData>
    <row r="1" spans="1:41" ht="11.65" customHeight="1" x14ac:dyDescent="0.2">
      <c r="A1" s="26"/>
      <c r="B1" s="217"/>
      <c r="C1" s="217"/>
      <c r="D1" s="217"/>
      <c r="E1" s="217"/>
      <c r="F1" s="217"/>
      <c r="G1" s="217"/>
      <c r="H1" s="217"/>
      <c r="I1" s="217"/>
      <c r="J1" s="217"/>
      <c r="K1" s="27"/>
      <c r="L1" s="650" t="s">
        <v>279</v>
      </c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6"/>
      <c r="AF1" s="657"/>
      <c r="AG1" s="657"/>
      <c r="AH1" s="657"/>
      <c r="AI1" s="657"/>
      <c r="AJ1" s="657"/>
      <c r="AK1" s="657"/>
      <c r="AL1" s="657"/>
      <c r="AM1" s="657"/>
      <c r="AN1" s="658"/>
    </row>
    <row r="2" spans="1:41" ht="11.65" customHeight="1" x14ac:dyDescent="0.2">
      <c r="A2" s="29"/>
      <c r="B2" s="218"/>
      <c r="C2" s="218"/>
      <c r="D2" s="218"/>
      <c r="E2" s="218"/>
      <c r="F2" s="218"/>
      <c r="G2" s="218"/>
      <c r="H2" s="218"/>
      <c r="I2" s="218"/>
      <c r="J2" s="218"/>
      <c r="K2" s="30"/>
      <c r="L2" s="652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9"/>
      <c r="AF2" s="660"/>
      <c r="AG2" s="660"/>
      <c r="AH2" s="660"/>
      <c r="AI2" s="660"/>
      <c r="AJ2" s="660"/>
      <c r="AK2" s="660"/>
      <c r="AL2" s="660"/>
      <c r="AM2" s="660"/>
      <c r="AN2" s="661"/>
    </row>
    <row r="3" spans="1:41" ht="11.65" customHeight="1" x14ac:dyDescent="0.2">
      <c r="A3" s="29"/>
      <c r="B3" s="218"/>
      <c r="C3" s="218"/>
      <c r="D3" s="218"/>
      <c r="E3" s="218"/>
      <c r="F3" s="218"/>
      <c r="G3" s="218"/>
      <c r="H3" s="218"/>
      <c r="I3" s="218"/>
      <c r="J3" s="218"/>
      <c r="K3" s="30"/>
      <c r="L3" s="652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653"/>
      <c r="AA3" s="653"/>
      <c r="AB3" s="653"/>
      <c r="AC3" s="653"/>
      <c r="AD3" s="653"/>
      <c r="AE3" s="659"/>
      <c r="AF3" s="660"/>
      <c r="AG3" s="660"/>
      <c r="AH3" s="660"/>
      <c r="AI3" s="660"/>
      <c r="AJ3" s="660"/>
      <c r="AK3" s="660"/>
      <c r="AL3" s="660"/>
      <c r="AM3" s="660"/>
      <c r="AN3" s="661"/>
    </row>
    <row r="4" spans="1:41" ht="11.65" customHeight="1" x14ac:dyDescent="0.2">
      <c r="A4" s="29"/>
      <c r="B4" s="218"/>
      <c r="C4" s="218"/>
      <c r="D4" s="218"/>
      <c r="E4" s="218"/>
      <c r="F4" s="218"/>
      <c r="G4" s="218"/>
      <c r="H4" s="218"/>
      <c r="I4" s="218"/>
      <c r="J4" s="218"/>
      <c r="K4" s="30"/>
      <c r="L4" s="652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3"/>
      <c r="AB4" s="653"/>
      <c r="AC4" s="653"/>
      <c r="AD4" s="653"/>
      <c r="AE4" s="659"/>
      <c r="AF4" s="660"/>
      <c r="AG4" s="660"/>
      <c r="AH4" s="660"/>
      <c r="AI4" s="660"/>
      <c r="AJ4" s="660"/>
      <c r="AK4" s="660"/>
      <c r="AL4" s="660"/>
      <c r="AM4" s="660"/>
      <c r="AN4" s="661"/>
    </row>
    <row r="5" spans="1:41" ht="11.65" customHeight="1" x14ac:dyDescent="0.2">
      <c r="A5" s="662" t="s">
        <v>0</v>
      </c>
      <c r="B5" s="663"/>
      <c r="C5" s="663"/>
      <c r="D5" s="663"/>
      <c r="E5" s="663"/>
      <c r="F5" s="663"/>
      <c r="G5" s="663"/>
      <c r="H5" s="663"/>
      <c r="I5" s="663"/>
      <c r="J5" s="663"/>
      <c r="K5" s="664"/>
      <c r="L5" s="652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  <c r="Y5" s="653"/>
      <c r="Z5" s="653"/>
      <c r="AA5" s="653"/>
      <c r="AB5" s="653"/>
      <c r="AC5" s="653"/>
      <c r="AD5" s="653"/>
      <c r="AE5" s="665" t="s">
        <v>1</v>
      </c>
      <c r="AF5" s="666"/>
      <c r="AG5" s="666"/>
      <c r="AH5" s="666"/>
      <c r="AI5" s="666"/>
      <c r="AJ5" s="666"/>
      <c r="AK5" s="666"/>
      <c r="AL5" s="666"/>
      <c r="AM5" s="666"/>
      <c r="AN5" s="667"/>
    </row>
    <row r="6" spans="1:41" ht="11.65" customHeight="1" x14ac:dyDescent="0.2">
      <c r="A6" s="662"/>
      <c r="B6" s="663"/>
      <c r="C6" s="663"/>
      <c r="D6" s="663"/>
      <c r="E6" s="663"/>
      <c r="F6" s="663"/>
      <c r="G6" s="663"/>
      <c r="H6" s="663"/>
      <c r="I6" s="663"/>
      <c r="J6" s="663"/>
      <c r="K6" s="664"/>
      <c r="L6" s="654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68"/>
      <c r="AF6" s="669"/>
      <c r="AG6" s="669"/>
      <c r="AH6" s="669"/>
      <c r="AI6" s="669"/>
      <c r="AJ6" s="669"/>
      <c r="AK6" s="669"/>
      <c r="AL6" s="669"/>
      <c r="AM6" s="669"/>
      <c r="AN6" s="670"/>
    </row>
    <row r="7" spans="1:41" ht="11.65" customHeight="1" x14ac:dyDescent="0.2">
      <c r="A7" s="671" t="s">
        <v>2</v>
      </c>
      <c r="B7" s="672"/>
      <c r="C7" s="672"/>
      <c r="D7" s="672"/>
      <c r="E7" s="672"/>
      <c r="F7" s="672"/>
      <c r="G7" s="672"/>
      <c r="H7" s="672"/>
      <c r="I7" s="672"/>
      <c r="J7" s="672"/>
      <c r="K7" s="673"/>
      <c r="L7" s="677" t="s">
        <v>281</v>
      </c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  <c r="AB7" s="678"/>
      <c r="AC7" s="678"/>
      <c r="AD7" s="678"/>
      <c r="AE7" s="683" t="s">
        <v>3</v>
      </c>
      <c r="AF7" s="672"/>
      <c r="AG7" s="672"/>
      <c r="AH7" s="672"/>
      <c r="AI7" s="672"/>
      <c r="AJ7" s="672"/>
      <c r="AK7" s="672"/>
      <c r="AL7" s="672"/>
      <c r="AM7" s="672"/>
      <c r="AN7" s="684"/>
    </row>
    <row r="8" spans="1:41" ht="11.65" customHeight="1" x14ac:dyDescent="0.2">
      <c r="A8" s="674"/>
      <c r="B8" s="675"/>
      <c r="C8" s="675"/>
      <c r="D8" s="675"/>
      <c r="E8" s="675"/>
      <c r="F8" s="675"/>
      <c r="G8" s="675"/>
      <c r="H8" s="675"/>
      <c r="I8" s="675"/>
      <c r="J8" s="675"/>
      <c r="K8" s="676"/>
      <c r="L8" s="679"/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  <c r="Y8" s="680"/>
      <c r="Z8" s="680"/>
      <c r="AA8" s="680"/>
      <c r="AB8" s="680"/>
      <c r="AC8" s="680"/>
      <c r="AD8" s="680"/>
      <c r="AE8" s="685"/>
      <c r="AF8" s="675"/>
      <c r="AG8" s="675"/>
      <c r="AH8" s="675"/>
      <c r="AI8" s="675"/>
      <c r="AJ8" s="675"/>
      <c r="AK8" s="675"/>
      <c r="AL8" s="675"/>
      <c r="AM8" s="675"/>
      <c r="AN8" s="686"/>
    </row>
    <row r="9" spans="1:41" s="31" customFormat="1" ht="11.65" customHeight="1" x14ac:dyDescent="0.2">
      <c r="A9" s="674"/>
      <c r="B9" s="675"/>
      <c r="C9" s="675"/>
      <c r="D9" s="675"/>
      <c r="E9" s="675"/>
      <c r="F9" s="675"/>
      <c r="G9" s="675"/>
      <c r="H9" s="675"/>
      <c r="I9" s="675"/>
      <c r="J9" s="675"/>
      <c r="K9" s="676"/>
      <c r="L9" s="681"/>
      <c r="M9" s="682"/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7"/>
      <c r="AF9" s="688"/>
      <c r="AG9" s="688"/>
      <c r="AH9" s="688"/>
      <c r="AI9" s="688"/>
      <c r="AJ9" s="688"/>
      <c r="AK9" s="688"/>
      <c r="AL9" s="688"/>
      <c r="AM9" s="688"/>
      <c r="AN9" s="689"/>
    </row>
    <row r="10" spans="1:41" ht="11.65" customHeight="1" x14ac:dyDescent="0.2">
      <c r="A10" s="698" t="s">
        <v>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700"/>
      <c r="L10" s="692" t="s">
        <v>5</v>
      </c>
      <c r="M10" s="692"/>
      <c r="N10" s="692"/>
      <c r="O10" s="692"/>
      <c r="P10" s="692" t="s">
        <v>6</v>
      </c>
      <c r="Q10" s="692"/>
      <c r="R10" s="692"/>
      <c r="S10" s="692" t="s">
        <v>7</v>
      </c>
      <c r="T10" s="692"/>
      <c r="U10" s="692"/>
      <c r="V10" s="692" t="s">
        <v>8</v>
      </c>
      <c r="W10" s="692"/>
      <c r="X10" s="692"/>
      <c r="Y10" s="692" t="s">
        <v>9</v>
      </c>
      <c r="Z10" s="692"/>
      <c r="AA10" s="692"/>
      <c r="AB10" s="692" t="s">
        <v>10</v>
      </c>
      <c r="AC10" s="692"/>
      <c r="AD10" s="692"/>
      <c r="AE10" s="693" t="s">
        <v>40</v>
      </c>
      <c r="AF10" s="693"/>
      <c r="AG10" s="693"/>
      <c r="AH10" s="693"/>
      <c r="AI10" s="693"/>
      <c r="AJ10" s="693"/>
      <c r="AK10" s="693"/>
      <c r="AL10" s="693"/>
      <c r="AM10" s="693"/>
      <c r="AN10" s="694"/>
    </row>
    <row r="11" spans="1:41" ht="11.65" customHeight="1" thickBot="1" x14ac:dyDescent="0.25">
      <c r="A11" s="701"/>
      <c r="B11" s="702"/>
      <c r="C11" s="702"/>
      <c r="D11" s="702"/>
      <c r="E11" s="702"/>
      <c r="F11" s="702"/>
      <c r="G11" s="702"/>
      <c r="H11" s="702"/>
      <c r="I11" s="702"/>
      <c r="J11" s="702"/>
      <c r="K11" s="703"/>
      <c r="L11" s="697">
        <v>91215</v>
      </c>
      <c r="M11" s="697"/>
      <c r="N11" s="697"/>
      <c r="O11" s="697"/>
      <c r="P11" s="697" t="s">
        <v>280</v>
      </c>
      <c r="Q11" s="697"/>
      <c r="R11" s="697"/>
      <c r="S11" s="697" t="s">
        <v>11</v>
      </c>
      <c r="T11" s="697"/>
      <c r="U11" s="697"/>
      <c r="V11" s="697" t="s">
        <v>12</v>
      </c>
      <c r="W11" s="697"/>
      <c r="X11" s="697"/>
      <c r="Y11" s="697">
        <v>463</v>
      </c>
      <c r="Z11" s="697"/>
      <c r="AA11" s="697"/>
      <c r="AB11" s="697" t="s">
        <v>13</v>
      </c>
      <c r="AC11" s="697"/>
      <c r="AD11" s="697"/>
      <c r="AE11" s="695"/>
      <c r="AF11" s="695"/>
      <c r="AG11" s="695"/>
      <c r="AH11" s="695"/>
      <c r="AI11" s="695"/>
      <c r="AJ11" s="695"/>
      <c r="AK11" s="695"/>
      <c r="AL11" s="695"/>
      <c r="AM11" s="695"/>
      <c r="AN11" s="696"/>
    </row>
    <row r="12" spans="1:41" ht="15" customHeight="1" thickBot="1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2"/>
      <c r="V12" s="12"/>
      <c r="W12" s="13"/>
      <c r="X12" s="14"/>
      <c r="Y12" s="14"/>
      <c r="Z12" s="14"/>
      <c r="AA12" s="14"/>
      <c r="AB12" s="14"/>
      <c r="AC12" s="11"/>
      <c r="AD12" s="12"/>
      <c r="AE12" s="12"/>
      <c r="AF12" s="14"/>
      <c r="AG12" s="14"/>
      <c r="AH12" s="14"/>
      <c r="AI12" s="14"/>
      <c r="AJ12" s="14"/>
      <c r="AK12" s="14"/>
      <c r="AL12" s="15"/>
      <c r="AM12" s="12"/>
      <c r="AN12" s="10"/>
      <c r="AO12" s="170"/>
    </row>
    <row r="13" spans="1:41" ht="15" customHeight="1" x14ac:dyDescent="0.2">
      <c r="A13" s="704" t="s">
        <v>290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705"/>
      <c r="W13" s="705"/>
      <c r="X13" s="705"/>
      <c r="Y13" s="705"/>
      <c r="Z13" s="705"/>
      <c r="AA13" s="705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/>
      <c r="AN13" s="706"/>
      <c r="AO13" s="172"/>
    </row>
    <row r="14" spans="1:41" ht="15" customHeight="1" thickBot="1" x14ac:dyDescent="0.25">
      <c r="A14" s="707" t="s">
        <v>287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/>
      <c r="O14" s="708"/>
      <c r="P14" s="708"/>
      <c r="Q14" s="708"/>
      <c r="R14" s="708"/>
      <c r="S14" s="708"/>
      <c r="T14" s="708"/>
      <c r="U14" s="708"/>
      <c r="V14" s="708"/>
      <c r="W14" s="708"/>
      <c r="X14" s="708"/>
      <c r="Y14" s="708"/>
      <c r="Z14" s="708"/>
      <c r="AA14" s="708"/>
      <c r="AB14" s="708"/>
      <c r="AC14" s="708"/>
      <c r="AD14" s="708"/>
      <c r="AE14" s="708"/>
      <c r="AF14" s="708"/>
      <c r="AG14" s="708"/>
      <c r="AH14" s="708"/>
      <c r="AI14" s="708"/>
      <c r="AJ14" s="708"/>
      <c r="AK14" s="708"/>
      <c r="AL14" s="708"/>
      <c r="AM14" s="708"/>
      <c r="AN14" s="709"/>
      <c r="AO14" s="172"/>
    </row>
    <row r="15" spans="1:41" ht="15" customHeight="1" thickBot="1" x14ac:dyDescent="0.2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172"/>
    </row>
    <row r="16" spans="1:41" ht="12.95" customHeight="1" x14ac:dyDescent="0.2">
      <c r="A16" s="759" t="s">
        <v>226</v>
      </c>
      <c r="B16" s="760"/>
      <c r="C16" s="760"/>
      <c r="D16" s="760"/>
      <c r="E16" s="760"/>
      <c r="F16" s="760"/>
      <c r="G16" s="760"/>
      <c r="H16" s="760"/>
      <c r="I16" s="760"/>
      <c r="J16" s="760"/>
      <c r="K16" s="760"/>
      <c r="L16" s="760"/>
      <c r="M16" s="760"/>
      <c r="N16" s="760"/>
      <c r="O16" s="760"/>
      <c r="P16" s="760"/>
      <c r="Q16" s="760"/>
      <c r="R16" s="760"/>
      <c r="S16" s="760"/>
      <c r="T16" s="760"/>
      <c r="U16" s="760"/>
      <c r="V16" s="760"/>
      <c r="W16" s="760"/>
      <c r="X16" s="760"/>
      <c r="Y16" s="760"/>
      <c r="Z16" s="760"/>
      <c r="AA16" s="760"/>
      <c r="AB16" s="760"/>
      <c r="AC16" s="760"/>
      <c r="AD16" s="760"/>
      <c r="AE16" s="760"/>
      <c r="AF16" s="760"/>
      <c r="AG16" s="760"/>
      <c r="AH16" s="760"/>
      <c r="AI16" s="760"/>
      <c r="AJ16" s="760"/>
      <c r="AK16" s="760"/>
      <c r="AL16" s="760"/>
      <c r="AM16" s="760"/>
      <c r="AN16" s="761"/>
      <c r="AO16" s="172"/>
    </row>
    <row r="17" spans="1:41" ht="12.95" customHeight="1" x14ac:dyDescent="0.2">
      <c r="A17" s="282" t="s">
        <v>227</v>
      </c>
      <c r="B17" s="172"/>
      <c r="C17" s="173"/>
      <c r="D17" s="171" t="s">
        <v>228</v>
      </c>
      <c r="E17" s="173"/>
      <c r="F17" s="174" t="s">
        <v>229</v>
      </c>
      <c r="G17" s="175"/>
      <c r="H17" s="171" t="s">
        <v>230</v>
      </c>
      <c r="I17" s="172"/>
      <c r="J17" s="173"/>
      <c r="K17" s="171" t="s">
        <v>231</v>
      </c>
      <c r="L17" s="172"/>
      <c r="M17" s="173"/>
      <c r="N17" s="174" t="s">
        <v>31</v>
      </c>
      <c r="O17" s="100"/>
      <c r="P17" s="175"/>
      <c r="Q17" s="171" t="s">
        <v>30</v>
      </c>
      <c r="R17" s="172"/>
      <c r="S17" s="172"/>
      <c r="T17" s="172"/>
      <c r="U17" s="172"/>
      <c r="V17" s="173"/>
      <c r="W17" s="171" t="s">
        <v>32</v>
      </c>
      <c r="X17" s="172"/>
      <c r="Y17" s="172"/>
      <c r="Z17" s="172"/>
      <c r="AA17" s="173"/>
      <c r="AB17" s="171" t="s">
        <v>232</v>
      </c>
      <c r="AC17" s="172"/>
      <c r="AD17" s="172"/>
      <c r="AE17" s="173"/>
      <c r="AF17" s="171" t="s">
        <v>233</v>
      </c>
      <c r="AG17" s="172"/>
      <c r="AH17" s="172"/>
      <c r="AI17" s="172"/>
      <c r="AJ17" s="172"/>
      <c r="AK17" s="172"/>
      <c r="AL17" s="172"/>
      <c r="AM17" s="172"/>
      <c r="AN17" s="283"/>
      <c r="AO17" s="172"/>
    </row>
    <row r="18" spans="1:41" ht="12.95" customHeight="1" x14ac:dyDescent="0.2">
      <c r="A18" s="282" t="s">
        <v>234</v>
      </c>
      <c r="B18" s="172"/>
      <c r="C18" s="173"/>
      <c r="D18" s="171" t="s">
        <v>235</v>
      </c>
      <c r="E18" s="173"/>
      <c r="F18" s="237" t="s">
        <v>236</v>
      </c>
      <c r="G18" s="177"/>
      <c r="H18" s="189" t="s">
        <v>237</v>
      </c>
      <c r="I18" s="172"/>
      <c r="J18" s="173"/>
      <c r="K18" s="171" t="s">
        <v>238</v>
      </c>
      <c r="L18" s="172"/>
      <c r="M18" s="173"/>
      <c r="N18" s="236" t="s">
        <v>239</v>
      </c>
      <c r="O18" s="100"/>
      <c r="P18" s="175"/>
      <c r="Q18" s="234" t="s">
        <v>240</v>
      </c>
      <c r="R18" s="235"/>
      <c r="S18" s="179"/>
      <c r="T18" s="179"/>
      <c r="U18" s="179"/>
      <c r="V18" s="180"/>
      <c r="W18" s="181" t="s">
        <v>33</v>
      </c>
      <c r="X18" s="182"/>
      <c r="Y18" s="182"/>
      <c r="Z18" s="182"/>
      <c r="AA18" s="183"/>
      <c r="AB18" s="171" t="s">
        <v>33</v>
      </c>
      <c r="AC18" s="172"/>
      <c r="AD18" s="172"/>
      <c r="AE18" s="173"/>
      <c r="AF18" s="171"/>
      <c r="AG18" s="172"/>
      <c r="AH18" s="172"/>
      <c r="AI18" s="172"/>
      <c r="AJ18" s="172"/>
      <c r="AK18" s="172"/>
      <c r="AL18" s="172"/>
      <c r="AM18" s="172"/>
      <c r="AN18" s="283"/>
      <c r="AO18" s="172"/>
    </row>
    <row r="19" spans="1:41" ht="12.95" customHeight="1" x14ac:dyDescent="0.2">
      <c r="A19" s="282" t="s">
        <v>241</v>
      </c>
      <c r="B19" s="172"/>
      <c r="C19" s="173"/>
      <c r="D19" s="171" t="s">
        <v>235</v>
      </c>
      <c r="E19" s="173"/>
      <c r="F19" s="237" t="s">
        <v>236</v>
      </c>
      <c r="G19" s="177"/>
      <c r="H19" s="189" t="s">
        <v>237</v>
      </c>
      <c r="I19" s="172"/>
      <c r="J19" s="173"/>
      <c r="K19" s="171" t="s">
        <v>238</v>
      </c>
      <c r="L19" s="172"/>
      <c r="M19" s="173"/>
      <c r="N19" s="236" t="s">
        <v>239</v>
      </c>
      <c r="O19" s="100"/>
      <c r="P19" s="175"/>
      <c r="Q19" s="234" t="s">
        <v>242</v>
      </c>
      <c r="R19" s="235"/>
      <c r="S19" s="179"/>
      <c r="T19" s="179"/>
      <c r="U19" s="179"/>
      <c r="V19" s="180"/>
      <c r="W19" s="181" t="s">
        <v>33</v>
      </c>
      <c r="X19" s="182"/>
      <c r="Y19" s="182"/>
      <c r="Z19" s="182"/>
      <c r="AA19" s="183"/>
      <c r="AB19" s="171" t="s">
        <v>33</v>
      </c>
      <c r="AC19" s="172"/>
      <c r="AD19" s="172"/>
      <c r="AE19" s="173"/>
      <c r="AF19" s="171"/>
      <c r="AG19" s="172"/>
      <c r="AH19" s="172"/>
      <c r="AI19" s="172"/>
      <c r="AJ19" s="172"/>
      <c r="AK19" s="172"/>
      <c r="AL19" s="172"/>
      <c r="AM19" s="172"/>
      <c r="AN19" s="283"/>
      <c r="AO19" s="172"/>
    </row>
    <row r="20" spans="1:41" ht="12.95" customHeight="1" x14ac:dyDescent="0.2">
      <c r="A20" s="282" t="s">
        <v>243</v>
      </c>
      <c r="B20" s="172"/>
      <c r="C20" s="173"/>
      <c r="D20" s="171" t="s">
        <v>244</v>
      </c>
      <c r="E20" s="173"/>
      <c r="F20" s="176" t="s">
        <v>245</v>
      </c>
      <c r="G20" s="177"/>
      <c r="H20" s="171" t="s">
        <v>33</v>
      </c>
      <c r="I20" s="172"/>
      <c r="J20" s="173"/>
      <c r="K20" s="171" t="s">
        <v>238</v>
      </c>
      <c r="L20" s="172"/>
      <c r="M20" s="173"/>
      <c r="N20" s="236" t="s">
        <v>239</v>
      </c>
      <c r="O20" s="100"/>
      <c r="P20" s="175"/>
      <c r="Q20" s="234" t="s">
        <v>246</v>
      </c>
      <c r="R20" s="235"/>
      <c r="S20" s="179"/>
      <c r="T20" s="179"/>
      <c r="U20" s="179"/>
      <c r="V20" s="180"/>
      <c r="W20" s="181" t="s">
        <v>33</v>
      </c>
      <c r="X20" s="182"/>
      <c r="Y20" s="182"/>
      <c r="Z20" s="182"/>
      <c r="AA20" s="183"/>
      <c r="AB20" s="171" t="s">
        <v>33</v>
      </c>
      <c r="AC20" s="172"/>
      <c r="AD20" s="172"/>
      <c r="AE20" s="173"/>
      <c r="AF20" s="171"/>
      <c r="AG20" s="172"/>
      <c r="AH20" s="172"/>
      <c r="AI20" s="172"/>
      <c r="AJ20" s="172"/>
      <c r="AK20" s="172"/>
      <c r="AL20" s="172"/>
      <c r="AM20" s="172"/>
      <c r="AN20" s="283"/>
      <c r="AO20" s="172"/>
    </row>
    <row r="21" spans="1:41" ht="12.95" customHeight="1" x14ac:dyDescent="0.2">
      <c r="A21" s="282" t="s">
        <v>247</v>
      </c>
      <c r="B21" s="172"/>
      <c r="C21" s="173"/>
      <c r="D21" s="171" t="s">
        <v>235</v>
      </c>
      <c r="E21" s="173"/>
      <c r="F21" s="176" t="s">
        <v>248</v>
      </c>
      <c r="G21" s="177"/>
      <c r="H21" s="189" t="s">
        <v>249</v>
      </c>
      <c r="I21" s="172"/>
      <c r="J21" s="173"/>
      <c r="K21" s="171" t="s">
        <v>238</v>
      </c>
      <c r="L21" s="172"/>
      <c r="M21" s="173"/>
      <c r="N21" s="236" t="s">
        <v>250</v>
      </c>
      <c r="O21" s="100"/>
      <c r="P21" s="175"/>
      <c r="Q21" s="234" t="s">
        <v>251</v>
      </c>
      <c r="R21" s="235"/>
      <c r="S21" s="179"/>
      <c r="T21" s="179"/>
      <c r="U21" s="179"/>
      <c r="V21" s="180"/>
      <c r="W21" s="181" t="s">
        <v>33</v>
      </c>
      <c r="X21" s="182"/>
      <c r="Y21" s="182"/>
      <c r="Z21" s="182"/>
      <c r="AA21" s="183"/>
      <c r="AB21" s="171" t="s">
        <v>33</v>
      </c>
      <c r="AC21" s="172"/>
      <c r="AD21" s="172"/>
      <c r="AE21" s="173"/>
      <c r="AF21" s="171"/>
      <c r="AG21" s="172"/>
      <c r="AH21" s="172"/>
      <c r="AI21" s="172"/>
      <c r="AJ21" s="172"/>
      <c r="AK21" s="172"/>
      <c r="AL21" s="172"/>
      <c r="AM21" s="172"/>
      <c r="AN21" s="283"/>
      <c r="AO21" s="172"/>
    </row>
    <row r="22" spans="1:41" ht="12.95" customHeight="1" x14ac:dyDescent="0.2">
      <c r="A22" s="282" t="s">
        <v>252</v>
      </c>
      <c r="B22" s="172"/>
      <c r="C22" s="173"/>
      <c r="D22" s="171" t="s">
        <v>235</v>
      </c>
      <c r="E22" s="173"/>
      <c r="F22" s="176" t="s">
        <v>253</v>
      </c>
      <c r="G22" s="177"/>
      <c r="H22" s="189" t="s">
        <v>249</v>
      </c>
      <c r="I22" s="172"/>
      <c r="J22" s="173"/>
      <c r="K22" s="171" t="s">
        <v>238</v>
      </c>
      <c r="L22" s="172"/>
      <c r="M22" s="173"/>
      <c r="N22" s="236" t="s">
        <v>239</v>
      </c>
      <c r="O22" s="100"/>
      <c r="P22" s="175"/>
      <c r="Q22" s="234" t="s">
        <v>36</v>
      </c>
      <c r="R22" s="235"/>
      <c r="S22" s="179"/>
      <c r="T22" s="179"/>
      <c r="U22" s="179"/>
      <c r="V22" s="180"/>
      <c r="W22" s="181" t="s">
        <v>33</v>
      </c>
      <c r="X22" s="182"/>
      <c r="Y22" s="182"/>
      <c r="Z22" s="182"/>
      <c r="AA22" s="183"/>
      <c r="AB22" s="171" t="s">
        <v>33</v>
      </c>
      <c r="AC22" s="172"/>
      <c r="AD22" s="172"/>
      <c r="AE22" s="173"/>
      <c r="AF22" s="171"/>
      <c r="AG22" s="172"/>
      <c r="AH22" s="172"/>
      <c r="AI22" s="172"/>
      <c r="AJ22" s="172"/>
      <c r="AK22" s="172"/>
      <c r="AL22" s="172"/>
      <c r="AM22" s="172"/>
      <c r="AN22" s="283"/>
      <c r="AO22" s="172"/>
    </row>
    <row r="23" spans="1:41" ht="12.95" customHeight="1" x14ac:dyDescent="0.2">
      <c r="A23" s="282" t="s">
        <v>254</v>
      </c>
      <c r="B23" s="172"/>
      <c r="C23" s="173"/>
      <c r="D23" s="171" t="s">
        <v>235</v>
      </c>
      <c r="E23" s="173"/>
      <c r="F23" s="176" t="s">
        <v>248</v>
      </c>
      <c r="G23" s="177"/>
      <c r="H23" s="189" t="s">
        <v>249</v>
      </c>
      <c r="I23" s="172"/>
      <c r="J23" s="173"/>
      <c r="K23" s="171" t="s">
        <v>238</v>
      </c>
      <c r="L23" s="172"/>
      <c r="M23" s="173"/>
      <c r="N23" s="236" t="s">
        <v>250</v>
      </c>
      <c r="O23" s="100"/>
      <c r="P23" s="175"/>
      <c r="Q23" s="234" t="s">
        <v>36</v>
      </c>
      <c r="R23" s="235"/>
      <c r="S23" s="179"/>
      <c r="T23" s="179"/>
      <c r="U23" s="179"/>
      <c r="V23" s="180"/>
      <c r="W23" s="181" t="s">
        <v>33</v>
      </c>
      <c r="X23" s="182"/>
      <c r="Y23" s="182"/>
      <c r="Z23" s="182"/>
      <c r="AA23" s="183"/>
      <c r="AB23" s="171" t="s">
        <v>33</v>
      </c>
      <c r="AC23" s="172"/>
      <c r="AD23" s="172"/>
      <c r="AE23" s="173"/>
      <c r="AF23" s="171"/>
      <c r="AG23" s="172"/>
      <c r="AH23" s="172"/>
      <c r="AI23" s="172"/>
      <c r="AJ23" s="172"/>
      <c r="AK23" s="172"/>
      <c r="AL23" s="172"/>
      <c r="AM23" s="172"/>
      <c r="AN23" s="283"/>
      <c r="AO23" s="172"/>
    </row>
    <row r="24" spans="1:41" ht="12.95" customHeight="1" x14ac:dyDescent="0.2">
      <c r="A24" s="282" t="s">
        <v>255</v>
      </c>
      <c r="B24" s="172"/>
      <c r="C24" s="173"/>
      <c r="D24" s="171" t="s">
        <v>235</v>
      </c>
      <c r="E24" s="173"/>
      <c r="F24" s="176" t="s">
        <v>253</v>
      </c>
      <c r="G24" s="177"/>
      <c r="H24" s="189" t="s">
        <v>249</v>
      </c>
      <c r="I24" s="172"/>
      <c r="J24" s="173"/>
      <c r="K24" s="171" t="s">
        <v>238</v>
      </c>
      <c r="L24" s="172"/>
      <c r="M24" s="173"/>
      <c r="N24" s="236" t="s">
        <v>239</v>
      </c>
      <c r="O24" s="100"/>
      <c r="P24" s="175"/>
      <c r="Q24" s="234" t="s">
        <v>36</v>
      </c>
      <c r="R24" s="235"/>
      <c r="S24" s="179"/>
      <c r="T24" s="179"/>
      <c r="U24" s="179"/>
      <c r="V24" s="180"/>
      <c r="W24" s="181" t="s">
        <v>33</v>
      </c>
      <c r="X24" s="182"/>
      <c r="Y24" s="182"/>
      <c r="Z24" s="182"/>
      <c r="AA24" s="183"/>
      <c r="AB24" s="184" t="s">
        <v>33</v>
      </c>
      <c r="AC24" s="226"/>
      <c r="AD24" s="226"/>
      <c r="AE24" s="185"/>
      <c r="AF24" s="171"/>
      <c r="AG24" s="172"/>
      <c r="AH24" s="172"/>
      <c r="AI24" s="172"/>
      <c r="AJ24" s="172"/>
      <c r="AK24" s="172"/>
      <c r="AL24" s="172"/>
      <c r="AM24" s="172"/>
      <c r="AN24" s="283"/>
      <c r="AO24" s="172"/>
    </row>
    <row r="25" spans="1:41" ht="12.95" customHeight="1" x14ac:dyDescent="0.2">
      <c r="A25" s="282" t="s">
        <v>256</v>
      </c>
      <c r="B25" s="172"/>
      <c r="C25" s="173"/>
      <c r="D25" s="171" t="s">
        <v>235</v>
      </c>
      <c r="E25" s="173"/>
      <c r="F25" s="176" t="s">
        <v>248</v>
      </c>
      <c r="G25" s="177"/>
      <c r="H25" s="189" t="s">
        <v>249</v>
      </c>
      <c r="I25" s="172"/>
      <c r="J25" s="173"/>
      <c r="K25" s="171" t="s">
        <v>238</v>
      </c>
      <c r="L25" s="172"/>
      <c r="M25" s="173"/>
      <c r="N25" s="236" t="s">
        <v>250</v>
      </c>
      <c r="O25" s="100"/>
      <c r="P25" s="175"/>
      <c r="Q25" s="234" t="s">
        <v>35</v>
      </c>
      <c r="R25" s="235"/>
      <c r="S25" s="179"/>
      <c r="T25" s="179"/>
      <c r="U25" s="179"/>
      <c r="V25" s="180"/>
      <c r="W25" s="181" t="s">
        <v>33</v>
      </c>
      <c r="X25" s="182"/>
      <c r="Y25" s="182"/>
      <c r="Z25" s="182"/>
      <c r="AA25" s="183"/>
      <c r="AB25" s="171" t="s">
        <v>33</v>
      </c>
      <c r="AC25" s="172"/>
      <c r="AD25" s="172"/>
      <c r="AE25" s="173"/>
      <c r="AF25" s="171"/>
      <c r="AG25" s="172"/>
      <c r="AH25" s="172"/>
      <c r="AI25" s="172"/>
      <c r="AJ25" s="172"/>
      <c r="AK25" s="172"/>
      <c r="AL25" s="172"/>
      <c r="AM25" s="172"/>
      <c r="AN25" s="283"/>
      <c r="AO25" s="172"/>
    </row>
    <row r="26" spans="1:41" ht="12.95" customHeight="1" x14ac:dyDescent="0.2">
      <c r="A26" s="282" t="s">
        <v>257</v>
      </c>
      <c r="B26" s="172"/>
      <c r="C26" s="173"/>
      <c r="D26" s="171" t="s">
        <v>258</v>
      </c>
      <c r="E26" s="173"/>
      <c r="F26" s="176" t="s">
        <v>259</v>
      </c>
      <c r="G26" s="177"/>
      <c r="H26" s="189" t="s">
        <v>237</v>
      </c>
      <c r="I26" s="172"/>
      <c r="J26" s="173"/>
      <c r="K26" s="171" t="s">
        <v>238</v>
      </c>
      <c r="L26" s="172"/>
      <c r="M26" s="173"/>
      <c r="N26" s="236" t="s">
        <v>239</v>
      </c>
      <c r="O26" s="100"/>
      <c r="P26" s="175"/>
      <c r="Q26" s="234" t="s">
        <v>260</v>
      </c>
      <c r="R26" s="235"/>
      <c r="S26" s="179"/>
      <c r="T26" s="179"/>
      <c r="U26" s="179"/>
      <c r="V26" s="180"/>
      <c r="W26" s="181" t="s">
        <v>33</v>
      </c>
      <c r="X26" s="182"/>
      <c r="Y26" s="182"/>
      <c r="Z26" s="182"/>
      <c r="AA26" s="183"/>
      <c r="AB26" s="171" t="s">
        <v>33</v>
      </c>
      <c r="AC26" s="172"/>
      <c r="AD26" s="172"/>
      <c r="AE26" s="173"/>
      <c r="AF26" s="189" t="s">
        <v>261</v>
      </c>
      <c r="AG26" s="172"/>
      <c r="AH26" s="172"/>
      <c r="AI26" s="172"/>
      <c r="AJ26" s="172"/>
      <c r="AK26" s="172"/>
      <c r="AL26" s="172"/>
      <c r="AM26" s="172"/>
      <c r="AN26" s="283"/>
      <c r="AO26" s="172"/>
    </row>
    <row r="27" spans="1:41" ht="12.95" customHeight="1" x14ac:dyDescent="0.2">
      <c r="A27" s="282" t="s">
        <v>262</v>
      </c>
      <c r="B27" s="172"/>
      <c r="C27" s="173"/>
      <c r="D27" s="171" t="s">
        <v>258</v>
      </c>
      <c r="E27" s="173"/>
      <c r="F27" s="176" t="s">
        <v>248</v>
      </c>
      <c r="G27" s="177"/>
      <c r="H27" s="189" t="s">
        <v>249</v>
      </c>
      <c r="I27" s="172"/>
      <c r="J27" s="173"/>
      <c r="K27" s="171" t="s">
        <v>238</v>
      </c>
      <c r="L27" s="172"/>
      <c r="M27" s="173"/>
      <c r="N27" s="236" t="s">
        <v>250</v>
      </c>
      <c r="O27" s="100"/>
      <c r="P27" s="175"/>
      <c r="Q27" s="234" t="s">
        <v>263</v>
      </c>
      <c r="R27" s="235"/>
      <c r="S27" s="179"/>
      <c r="T27" s="179"/>
      <c r="U27" s="179"/>
      <c r="V27" s="180"/>
      <c r="W27" s="181" t="s">
        <v>33</v>
      </c>
      <c r="X27" s="182"/>
      <c r="Y27" s="182"/>
      <c r="Z27" s="182"/>
      <c r="AA27" s="183"/>
      <c r="AB27" s="171" t="s">
        <v>33</v>
      </c>
      <c r="AC27" s="172"/>
      <c r="AD27" s="172"/>
      <c r="AE27" s="173"/>
      <c r="AF27" s="189" t="s">
        <v>261</v>
      </c>
      <c r="AG27" s="172"/>
      <c r="AH27" s="172"/>
      <c r="AI27" s="172"/>
      <c r="AJ27" s="172"/>
      <c r="AK27" s="172"/>
      <c r="AL27" s="172"/>
      <c r="AM27" s="172"/>
      <c r="AN27" s="283"/>
      <c r="AO27" s="172"/>
    </row>
    <row r="28" spans="1:41" ht="12.95" customHeight="1" x14ac:dyDescent="0.2">
      <c r="A28" s="282" t="s">
        <v>264</v>
      </c>
      <c r="B28" s="172"/>
      <c r="C28" s="173"/>
      <c r="D28" s="171" t="s">
        <v>235</v>
      </c>
      <c r="E28" s="173"/>
      <c r="F28" s="176" t="s">
        <v>248</v>
      </c>
      <c r="G28" s="177"/>
      <c r="H28" s="189" t="s">
        <v>249</v>
      </c>
      <c r="I28" s="172"/>
      <c r="J28" s="173"/>
      <c r="K28" s="171" t="s">
        <v>238</v>
      </c>
      <c r="L28" s="172"/>
      <c r="M28" s="173"/>
      <c r="N28" s="236" t="s">
        <v>250</v>
      </c>
      <c r="O28" s="100"/>
      <c r="P28" s="175"/>
      <c r="Q28" s="234" t="s">
        <v>265</v>
      </c>
      <c r="R28" s="235"/>
      <c r="S28" s="179"/>
      <c r="T28" s="179"/>
      <c r="U28" s="179"/>
      <c r="V28" s="180"/>
      <c r="W28" s="181" t="s">
        <v>33</v>
      </c>
      <c r="X28" s="182"/>
      <c r="Y28" s="182"/>
      <c r="Z28" s="182"/>
      <c r="AA28" s="183"/>
      <c r="AB28" s="171" t="s">
        <v>33</v>
      </c>
      <c r="AC28" s="172"/>
      <c r="AD28" s="172"/>
      <c r="AE28" s="173"/>
      <c r="AF28" s="189"/>
      <c r="AG28" s="172"/>
      <c r="AH28" s="172"/>
      <c r="AI28" s="172"/>
      <c r="AJ28" s="172"/>
      <c r="AK28" s="172"/>
      <c r="AL28" s="172"/>
      <c r="AM28" s="172"/>
      <c r="AN28" s="283"/>
      <c r="AO28" s="172"/>
    </row>
    <row r="29" spans="1:41" ht="12.95" customHeight="1" x14ac:dyDescent="0.2">
      <c r="A29" s="282" t="s">
        <v>266</v>
      </c>
      <c r="B29" s="172"/>
      <c r="C29" s="173"/>
      <c r="D29" s="171" t="s">
        <v>235</v>
      </c>
      <c r="E29" s="173"/>
      <c r="F29" s="176" t="s">
        <v>248</v>
      </c>
      <c r="G29" s="177"/>
      <c r="H29" s="189" t="s">
        <v>249</v>
      </c>
      <c r="I29" s="172"/>
      <c r="J29" s="173"/>
      <c r="K29" s="171" t="s">
        <v>238</v>
      </c>
      <c r="L29" s="172"/>
      <c r="M29" s="173"/>
      <c r="N29" s="236" t="s">
        <v>250</v>
      </c>
      <c r="O29" s="100"/>
      <c r="P29" s="175"/>
      <c r="Q29" s="234" t="s">
        <v>265</v>
      </c>
      <c r="R29" s="235"/>
      <c r="S29" s="179"/>
      <c r="T29" s="179"/>
      <c r="U29" s="179"/>
      <c r="V29" s="180"/>
      <c r="W29" s="181" t="s">
        <v>33</v>
      </c>
      <c r="X29" s="182"/>
      <c r="Y29" s="182"/>
      <c r="Z29" s="182"/>
      <c r="AA29" s="183"/>
      <c r="AB29" s="171" t="s">
        <v>33</v>
      </c>
      <c r="AC29" s="172"/>
      <c r="AD29" s="172"/>
      <c r="AE29" s="173"/>
      <c r="AF29" s="189"/>
      <c r="AG29" s="172"/>
      <c r="AH29" s="172"/>
      <c r="AI29" s="172"/>
      <c r="AJ29" s="172"/>
      <c r="AK29" s="172"/>
      <c r="AL29" s="172"/>
      <c r="AM29" s="172"/>
      <c r="AN29" s="283"/>
      <c r="AO29" s="172"/>
    </row>
    <row r="30" spans="1:41" ht="12.95" customHeight="1" x14ac:dyDescent="0.2">
      <c r="A30" s="282" t="s">
        <v>267</v>
      </c>
      <c r="B30" s="172"/>
      <c r="C30" s="173"/>
      <c r="D30" s="171" t="s">
        <v>258</v>
      </c>
      <c r="E30" s="173"/>
      <c r="F30" s="176" t="s">
        <v>259</v>
      </c>
      <c r="G30" s="177"/>
      <c r="H30" s="189" t="s">
        <v>237</v>
      </c>
      <c r="I30" s="172"/>
      <c r="J30" s="173"/>
      <c r="K30" s="171" t="s">
        <v>238</v>
      </c>
      <c r="L30" s="172"/>
      <c r="M30" s="173"/>
      <c r="N30" s="236" t="s">
        <v>239</v>
      </c>
      <c r="O30" s="100"/>
      <c r="P30" s="175"/>
      <c r="Q30" s="234" t="s">
        <v>268</v>
      </c>
      <c r="R30" s="235"/>
      <c r="S30" s="179"/>
      <c r="T30" s="179"/>
      <c r="U30" s="179"/>
      <c r="V30" s="180"/>
      <c r="W30" s="181" t="s">
        <v>33</v>
      </c>
      <c r="X30" s="182"/>
      <c r="Y30" s="182"/>
      <c r="Z30" s="182"/>
      <c r="AA30" s="183"/>
      <c r="AB30" s="171" t="s">
        <v>33</v>
      </c>
      <c r="AC30" s="172"/>
      <c r="AD30" s="172"/>
      <c r="AE30" s="173"/>
      <c r="AF30" s="189" t="s">
        <v>261</v>
      </c>
      <c r="AG30" s="172"/>
      <c r="AH30" s="172"/>
      <c r="AI30" s="172"/>
      <c r="AJ30" s="172"/>
      <c r="AK30" s="172"/>
      <c r="AL30" s="172"/>
      <c r="AM30" s="172"/>
      <c r="AN30" s="283"/>
      <c r="AO30" s="172"/>
    </row>
    <row r="31" spans="1:41" ht="12.95" customHeight="1" x14ac:dyDescent="0.2">
      <c r="A31" s="282" t="s">
        <v>269</v>
      </c>
      <c r="B31" s="172"/>
      <c r="C31" s="173"/>
      <c r="D31" s="171" t="s">
        <v>235</v>
      </c>
      <c r="E31" s="173"/>
      <c r="F31" s="176" t="s">
        <v>33</v>
      </c>
      <c r="G31" s="177"/>
      <c r="H31" s="189" t="s">
        <v>33</v>
      </c>
      <c r="I31" s="172"/>
      <c r="J31" s="173"/>
      <c r="K31" s="171" t="s">
        <v>238</v>
      </c>
      <c r="L31" s="172"/>
      <c r="M31" s="173"/>
      <c r="N31" s="236" t="s">
        <v>239</v>
      </c>
      <c r="O31" s="100"/>
      <c r="P31" s="175"/>
      <c r="Q31" s="234" t="s">
        <v>270</v>
      </c>
      <c r="R31" s="235"/>
      <c r="S31" s="179"/>
      <c r="T31" s="179"/>
      <c r="U31" s="179"/>
      <c r="V31" s="180"/>
      <c r="W31" s="181" t="s">
        <v>33</v>
      </c>
      <c r="X31" s="182"/>
      <c r="Y31" s="182"/>
      <c r="Z31" s="182"/>
      <c r="AA31" s="183"/>
      <c r="AB31" s="171" t="s">
        <v>33</v>
      </c>
      <c r="AC31" s="172"/>
      <c r="AD31" s="172"/>
      <c r="AE31" s="173"/>
      <c r="AF31" s="171"/>
      <c r="AG31" s="172"/>
      <c r="AH31" s="172"/>
      <c r="AI31" s="172"/>
      <c r="AJ31" s="172"/>
      <c r="AK31" s="172"/>
      <c r="AL31" s="172"/>
      <c r="AM31" s="172"/>
      <c r="AN31" s="283"/>
      <c r="AO31" s="172"/>
    </row>
    <row r="32" spans="1:41" ht="12.95" customHeight="1" x14ac:dyDescent="0.2">
      <c r="A32" s="282"/>
      <c r="B32" s="172"/>
      <c r="C32" s="173"/>
      <c r="D32" s="171"/>
      <c r="E32" s="173"/>
      <c r="F32" s="176"/>
      <c r="G32" s="177"/>
      <c r="H32" s="171"/>
      <c r="I32" s="172"/>
      <c r="J32" s="173"/>
      <c r="K32" s="171"/>
      <c r="L32" s="172"/>
      <c r="M32" s="173"/>
      <c r="N32" s="174"/>
      <c r="O32" s="100"/>
      <c r="P32" s="175"/>
      <c r="Q32" s="178"/>
      <c r="R32" s="179"/>
      <c r="S32" s="179"/>
      <c r="T32" s="179"/>
      <c r="U32" s="179"/>
      <c r="V32" s="180"/>
      <c r="W32" s="181"/>
      <c r="X32" s="182"/>
      <c r="Y32" s="182"/>
      <c r="Z32" s="182"/>
      <c r="AA32" s="183"/>
      <c r="AB32" s="171"/>
      <c r="AC32" s="172"/>
      <c r="AD32" s="172"/>
      <c r="AE32" s="173"/>
      <c r="AF32" s="171"/>
      <c r="AG32" s="172"/>
      <c r="AH32" s="172"/>
      <c r="AI32" s="172"/>
      <c r="AJ32" s="172"/>
      <c r="AK32" s="172"/>
      <c r="AL32" s="172"/>
      <c r="AM32" s="172"/>
      <c r="AN32" s="283"/>
      <c r="AO32" s="172"/>
    </row>
    <row r="33" spans="1:41" ht="12.95" customHeight="1" x14ac:dyDescent="0.2">
      <c r="A33" s="282"/>
      <c r="B33" s="172"/>
      <c r="C33" s="173"/>
      <c r="D33" s="171"/>
      <c r="E33" s="173"/>
      <c r="F33" s="176"/>
      <c r="G33" s="177"/>
      <c r="H33" s="171"/>
      <c r="I33" s="172"/>
      <c r="J33" s="173"/>
      <c r="K33" s="171"/>
      <c r="L33" s="172"/>
      <c r="M33" s="173"/>
      <c r="N33" s="174"/>
      <c r="O33" s="100"/>
      <c r="P33" s="175"/>
      <c r="Q33" s="178"/>
      <c r="R33" s="179"/>
      <c r="S33" s="179"/>
      <c r="T33" s="179"/>
      <c r="U33" s="179"/>
      <c r="V33" s="180"/>
      <c r="W33" s="181"/>
      <c r="X33" s="182"/>
      <c r="Y33" s="182"/>
      <c r="Z33" s="182"/>
      <c r="AA33" s="183"/>
      <c r="AB33" s="171"/>
      <c r="AC33" s="172"/>
      <c r="AD33" s="172"/>
      <c r="AE33" s="173"/>
      <c r="AF33" s="171"/>
      <c r="AG33" s="172"/>
      <c r="AH33" s="172"/>
      <c r="AI33" s="172"/>
      <c r="AJ33" s="172"/>
      <c r="AK33" s="172"/>
      <c r="AL33" s="172"/>
      <c r="AM33" s="172"/>
      <c r="AN33" s="283"/>
      <c r="AO33" s="172"/>
    </row>
    <row r="34" spans="1:41" ht="12.95" customHeight="1" x14ac:dyDescent="0.2">
      <c r="A34" s="282" t="s">
        <v>271</v>
      </c>
      <c r="B34" s="172"/>
      <c r="C34" s="173"/>
      <c r="D34" s="189" t="s">
        <v>258</v>
      </c>
      <c r="E34" s="190"/>
      <c r="F34" s="237" t="s">
        <v>272</v>
      </c>
      <c r="G34" s="238"/>
      <c r="H34" s="189" t="s">
        <v>237</v>
      </c>
      <c r="I34" s="98"/>
      <c r="J34" s="190"/>
      <c r="K34" s="189" t="s">
        <v>238</v>
      </c>
      <c r="L34" s="98"/>
      <c r="M34" s="190"/>
      <c r="N34" s="236" t="s">
        <v>239</v>
      </c>
      <c r="O34" s="99"/>
      <c r="P34" s="175"/>
      <c r="Q34" s="189" t="s">
        <v>273</v>
      </c>
      <c r="R34" s="179"/>
      <c r="S34" s="179"/>
      <c r="T34" s="179"/>
      <c r="U34" s="179"/>
      <c r="V34" s="180"/>
      <c r="W34" s="181" t="s">
        <v>33</v>
      </c>
      <c r="X34" s="182"/>
      <c r="Y34" s="182"/>
      <c r="Z34" s="182"/>
      <c r="AA34" s="183"/>
      <c r="AB34" s="171" t="s">
        <v>33</v>
      </c>
      <c r="AC34" s="172"/>
      <c r="AD34" s="172"/>
      <c r="AE34" s="173"/>
      <c r="AF34" s="171"/>
      <c r="AG34" s="172"/>
      <c r="AH34" s="172"/>
      <c r="AI34" s="172"/>
      <c r="AJ34" s="172"/>
      <c r="AK34" s="172"/>
      <c r="AL34" s="172"/>
      <c r="AM34" s="172"/>
      <c r="AN34" s="283"/>
      <c r="AO34" s="172"/>
    </row>
    <row r="35" spans="1:41" ht="12.95" customHeight="1" x14ac:dyDescent="0.2">
      <c r="A35" s="282"/>
      <c r="B35" s="172"/>
      <c r="C35" s="173"/>
      <c r="D35" s="171"/>
      <c r="E35" s="173"/>
      <c r="F35" s="176"/>
      <c r="G35" s="177"/>
      <c r="H35" s="171"/>
      <c r="I35" s="172"/>
      <c r="J35" s="173"/>
      <c r="K35" s="171"/>
      <c r="L35" s="172"/>
      <c r="M35" s="173"/>
      <c r="N35" s="174"/>
      <c r="O35" s="100"/>
      <c r="P35" s="175"/>
      <c r="Q35" s="178"/>
      <c r="R35" s="179"/>
      <c r="S35" s="179"/>
      <c r="T35" s="179"/>
      <c r="U35" s="179"/>
      <c r="V35" s="180"/>
      <c r="W35" s="181"/>
      <c r="X35" s="182"/>
      <c r="Y35" s="182"/>
      <c r="Z35" s="182"/>
      <c r="AA35" s="183"/>
      <c r="AB35" s="171"/>
      <c r="AC35" s="172"/>
      <c r="AD35" s="172"/>
      <c r="AE35" s="173"/>
      <c r="AF35" s="171"/>
      <c r="AG35" s="172"/>
      <c r="AH35" s="172"/>
      <c r="AI35" s="172"/>
      <c r="AJ35" s="172"/>
      <c r="AK35" s="172"/>
      <c r="AL35" s="172"/>
      <c r="AM35" s="172"/>
      <c r="AN35" s="283"/>
      <c r="AO35" s="172"/>
    </row>
    <row r="36" spans="1:41" ht="12.95" customHeight="1" x14ac:dyDescent="0.2">
      <c r="A36" s="282"/>
      <c r="B36" s="172"/>
      <c r="C36" s="173"/>
      <c r="D36" s="171"/>
      <c r="E36" s="173"/>
      <c r="F36" s="176"/>
      <c r="G36" s="177"/>
      <c r="H36" s="171"/>
      <c r="I36" s="172"/>
      <c r="J36" s="173"/>
      <c r="K36" s="171"/>
      <c r="L36" s="172"/>
      <c r="M36" s="173"/>
      <c r="N36" s="174"/>
      <c r="O36" s="100"/>
      <c r="P36" s="175"/>
      <c r="Q36" s="178"/>
      <c r="R36" s="179"/>
      <c r="S36" s="179"/>
      <c r="T36" s="179"/>
      <c r="U36" s="179"/>
      <c r="V36" s="180"/>
      <c r="W36" s="181"/>
      <c r="X36" s="182"/>
      <c r="Y36" s="182"/>
      <c r="Z36" s="182"/>
      <c r="AA36" s="183"/>
      <c r="AB36" s="171"/>
      <c r="AC36" s="172"/>
      <c r="AD36" s="172"/>
      <c r="AE36" s="173"/>
      <c r="AF36" s="171"/>
      <c r="AG36" s="172"/>
      <c r="AH36" s="172"/>
      <c r="AI36" s="172"/>
      <c r="AJ36" s="172"/>
      <c r="AK36" s="172"/>
      <c r="AL36" s="172"/>
      <c r="AM36" s="172"/>
      <c r="AN36" s="283"/>
      <c r="AO36" s="172"/>
    </row>
    <row r="37" spans="1:41" ht="12.95" customHeight="1" x14ac:dyDescent="0.2">
      <c r="A37" s="282"/>
      <c r="B37" s="172"/>
      <c r="C37" s="173"/>
      <c r="D37" s="171"/>
      <c r="E37" s="173"/>
      <c r="F37" s="176"/>
      <c r="G37" s="177"/>
      <c r="H37" s="171"/>
      <c r="I37" s="172"/>
      <c r="J37" s="173"/>
      <c r="K37" s="171"/>
      <c r="L37" s="172"/>
      <c r="M37" s="173"/>
      <c r="N37" s="174"/>
      <c r="O37" s="100"/>
      <c r="P37" s="175"/>
      <c r="Q37" s="178"/>
      <c r="R37" s="179"/>
      <c r="S37" s="179"/>
      <c r="T37" s="179"/>
      <c r="U37" s="179"/>
      <c r="V37" s="180"/>
      <c r="W37" s="181"/>
      <c r="X37" s="182"/>
      <c r="Y37" s="182"/>
      <c r="Z37" s="182"/>
      <c r="AA37" s="183"/>
      <c r="AB37" s="171"/>
      <c r="AC37" s="172"/>
      <c r="AD37" s="172"/>
      <c r="AE37" s="173"/>
      <c r="AF37" s="171"/>
      <c r="AG37" s="172"/>
      <c r="AH37" s="172"/>
      <c r="AI37" s="172"/>
      <c r="AJ37" s="172"/>
      <c r="AK37" s="172"/>
      <c r="AL37" s="172"/>
      <c r="AM37" s="172"/>
      <c r="AN37" s="283"/>
      <c r="AO37" s="172"/>
    </row>
    <row r="38" spans="1:41" ht="12.95" customHeight="1" x14ac:dyDescent="0.2">
      <c r="A38" s="282"/>
      <c r="B38" s="172"/>
      <c r="C38" s="173"/>
      <c r="D38" s="171"/>
      <c r="E38" s="173"/>
      <c r="F38" s="176"/>
      <c r="G38" s="177"/>
      <c r="H38" s="171"/>
      <c r="I38" s="172"/>
      <c r="J38" s="173"/>
      <c r="K38" s="171"/>
      <c r="L38" s="172"/>
      <c r="M38" s="173"/>
      <c r="N38" s="174"/>
      <c r="O38" s="100"/>
      <c r="P38" s="175"/>
      <c r="Q38" s="178"/>
      <c r="R38" s="179"/>
      <c r="S38" s="179"/>
      <c r="T38" s="179"/>
      <c r="U38" s="179"/>
      <c r="V38" s="180"/>
      <c r="W38" s="181"/>
      <c r="X38" s="182"/>
      <c r="Y38" s="182"/>
      <c r="Z38" s="182"/>
      <c r="AA38" s="183"/>
      <c r="AB38" s="171"/>
      <c r="AC38" s="172"/>
      <c r="AD38" s="172"/>
      <c r="AE38" s="173"/>
      <c r="AF38" s="171"/>
      <c r="AG38" s="172"/>
      <c r="AH38" s="172"/>
      <c r="AI38" s="172"/>
      <c r="AJ38" s="172"/>
      <c r="AK38" s="172"/>
      <c r="AL38" s="172"/>
      <c r="AM38" s="172"/>
      <c r="AN38" s="283"/>
      <c r="AO38" s="172"/>
    </row>
    <row r="39" spans="1:41" ht="12.95" customHeight="1" x14ac:dyDescent="0.2">
      <c r="A39" s="282"/>
      <c r="B39" s="172"/>
      <c r="C39" s="173"/>
      <c r="D39" s="171"/>
      <c r="E39" s="173"/>
      <c r="F39" s="176"/>
      <c r="G39" s="177"/>
      <c r="H39" s="171"/>
      <c r="I39" s="172"/>
      <c r="J39" s="173"/>
      <c r="K39" s="171"/>
      <c r="L39" s="172"/>
      <c r="M39" s="173"/>
      <c r="N39" s="174"/>
      <c r="O39" s="100"/>
      <c r="P39" s="175"/>
      <c r="Q39" s="178"/>
      <c r="R39" s="179"/>
      <c r="S39" s="179"/>
      <c r="T39" s="179"/>
      <c r="U39" s="179"/>
      <c r="V39" s="180"/>
      <c r="W39" s="181"/>
      <c r="X39" s="182"/>
      <c r="Y39" s="182"/>
      <c r="Z39" s="182"/>
      <c r="AA39" s="183"/>
      <c r="AB39" s="171"/>
      <c r="AC39" s="172"/>
      <c r="AD39" s="172"/>
      <c r="AE39" s="173"/>
      <c r="AF39" s="171"/>
      <c r="AG39" s="172"/>
      <c r="AH39" s="172"/>
      <c r="AI39" s="172"/>
      <c r="AJ39" s="172"/>
      <c r="AK39" s="172"/>
      <c r="AL39" s="172"/>
      <c r="AM39" s="172"/>
      <c r="AN39" s="283"/>
      <c r="AO39" s="170"/>
    </row>
    <row r="40" spans="1:41" ht="12.95" customHeight="1" x14ac:dyDescent="0.2">
      <c r="A40" s="282"/>
      <c r="B40" s="172"/>
      <c r="C40" s="173"/>
      <c r="D40" s="171"/>
      <c r="E40" s="173"/>
      <c r="F40" s="176"/>
      <c r="G40" s="177"/>
      <c r="H40" s="171"/>
      <c r="I40" s="172"/>
      <c r="J40" s="173"/>
      <c r="K40" s="171"/>
      <c r="L40" s="172"/>
      <c r="M40" s="173"/>
      <c r="N40" s="174"/>
      <c r="O40" s="100"/>
      <c r="P40" s="175"/>
      <c r="Q40" s="178"/>
      <c r="R40" s="179"/>
      <c r="S40" s="179"/>
      <c r="T40" s="179"/>
      <c r="U40" s="179"/>
      <c r="V40" s="180"/>
      <c r="W40" s="181"/>
      <c r="X40" s="182"/>
      <c r="Y40" s="182"/>
      <c r="Z40" s="182"/>
      <c r="AA40" s="183"/>
      <c r="AB40" s="171"/>
      <c r="AC40" s="172"/>
      <c r="AD40" s="172"/>
      <c r="AE40" s="173"/>
      <c r="AF40" s="171"/>
      <c r="AG40" s="172"/>
      <c r="AH40" s="172"/>
      <c r="AI40" s="172"/>
      <c r="AJ40" s="172"/>
      <c r="AK40" s="172"/>
      <c r="AL40" s="172"/>
      <c r="AM40" s="172"/>
      <c r="AN40" s="283"/>
      <c r="AO40" s="170"/>
    </row>
    <row r="41" spans="1:41" ht="12.95" customHeight="1" x14ac:dyDescent="0.2">
      <c r="A41" s="282"/>
      <c r="B41" s="172"/>
      <c r="C41" s="173"/>
      <c r="D41" s="171"/>
      <c r="E41" s="173"/>
      <c r="F41" s="176"/>
      <c r="G41" s="177"/>
      <c r="H41" s="171"/>
      <c r="I41" s="172"/>
      <c r="J41" s="173"/>
      <c r="K41" s="171"/>
      <c r="L41" s="172"/>
      <c r="M41" s="173"/>
      <c r="N41" s="174"/>
      <c r="O41" s="100"/>
      <c r="P41" s="175"/>
      <c r="Q41" s="178"/>
      <c r="R41" s="179"/>
      <c r="S41" s="179"/>
      <c r="T41" s="179"/>
      <c r="U41" s="179"/>
      <c r="V41" s="180"/>
      <c r="W41" s="181"/>
      <c r="X41" s="182"/>
      <c r="Y41" s="182"/>
      <c r="Z41" s="182"/>
      <c r="AA41" s="183"/>
      <c r="AB41" s="171"/>
      <c r="AC41" s="172"/>
      <c r="AD41" s="172"/>
      <c r="AE41" s="173"/>
      <c r="AF41" s="171"/>
      <c r="AG41" s="172"/>
      <c r="AH41" s="172"/>
      <c r="AI41" s="172"/>
      <c r="AJ41" s="172"/>
      <c r="AK41" s="172"/>
      <c r="AL41" s="172"/>
      <c r="AM41" s="172"/>
      <c r="AN41" s="283"/>
      <c r="AO41" s="170"/>
    </row>
    <row r="42" spans="1:41" ht="12.95" customHeight="1" x14ac:dyDescent="0.2">
      <c r="A42" s="282"/>
      <c r="B42" s="172"/>
      <c r="C42" s="173"/>
      <c r="D42" s="171"/>
      <c r="E42" s="173"/>
      <c r="F42" s="176"/>
      <c r="G42" s="177"/>
      <c r="H42" s="171"/>
      <c r="I42" s="172"/>
      <c r="J42" s="173"/>
      <c r="K42" s="171"/>
      <c r="L42" s="172"/>
      <c r="M42" s="173"/>
      <c r="N42" s="174"/>
      <c r="O42" s="100"/>
      <c r="P42" s="175"/>
      <c r="Q42" s="178"/>
      <c r="R42" s="179"/>
      <c r="S42" s="179"/>
      <c r="T42" s="179"/>
      <c r="U42" s="179"/>
      <c r="V42" s="180"/>
      <c r="W42" s="186"/>
      <c r="X42" s="187"/>
      <c r="Y42" s="187"/>
      <c r="Z42" s="187"/>
      <c r="AA42" s="188"/>
      <c r="AB42" s="189"/>
      <c r="AC42" s="98"/>
      <c r="AD42" s="98"/>
      <c r="AE42" s="190"/>
      <c r="AF42" s="191"/>
      <c r="AG42" s="192"/>
      <c r="AH42" s="192"/>
      <c r="AI42" s="192"/>
      <c r="AJ42" s="192"/>
      <c r="AK42" s="192"/>
      <c r="AL42" s="192"/>
      <c r="AM42" s="193"/>
      <c r="AN42" s="240"/>
      <c r="AO42" s="170"/>
    </row>
    <row r="43" spans="1:41" ht="12.95" customHeight="1" x14ac:dyDescent="0.3">
      <c r="A43" s="282"/>
      <c r="B43" s="172"/>
      <c r="C43" s="173"/>
      <c r="D43" s="171"/>
      <c r="E43" s="173"/>
      <c r="F43" s="176"/>
      <c r="G43" s="177"/>
      <c r="H43" s="171"/>
      <c r="I43" s="172"/>
      <c r="J43" s="173"/>
      <c r="K43" s="171"/>
      <c r="L43" s="172"/>
      <c r="M43" s="173"/>
      <c r="N43" s="174"/>
      <c r="O43" s="100"/>
      <c r="P43" s="175"/>
      <c r="Q43" s="178"/>
      <c r="R43" s="179"/>
      <c r="S43" s="179"/>
      <c r="T43" s="179"/>
      <c r="U43" s="179"/>
      <c r="V43" s="180"/>
      <c r="W43" s="186"/>
      <c r="X43" s="187"/>
      <c r="Y43" s="187"/>
      <c r="Z43" s="187"/>
      <c r="AA43" s="188"/>
      <c r="AB43" s="191"/>
      <c r="AC43" s="192"/>
      <c r="AD43" s="192"/>
      <c r="AE43" s="194"/>
      <c r="AF43" s="191"/>
      <c r="AG43" s="192"/>
      <c r="AH43" s="192"/>
      <c r="AI43" s="192"/>
      <c r="AJ43" s="192"/>
      <c r="AK43" s="192"/>
      <c r="AL43" s="192"/>
      <c r="AM43" s="193"/>
      <c r="AN43" s="240"/>
      <c r="AO43" s="203"/>
    </row>
    <row r="44" spans="1:41" ht="12.95" customHeight="1" x14ac:dyDescent="0.3">
      <c r="A44" s="282"/>
      <c r="B44" s="172"/>
      <c r="C44" s="173"/>
      <c r="D44" s="171"/>
      <c r="E44" s="173"/>
      <c r="F44" s="176"/>
      <c r="G44" s="177"/>
      <c r="H44" s="171"/>
      <c r="I44" s="172"/>
      <c r="J44" s="173"/>
      <c r="K44" s="171"/>
      <c r="L44" s="172"/>
      <c r="M44" s="173"/>
      <c r="N44" s="174"/>
      <c r="O44" s="100"/>
      <c r="P44" s="175"/>
      <c r="Q44" s="178"/>
      <c r="R44" s="179"/>
      <c r="S44" s="179"/>
      <c r="T44" s="179"/>
      <c r="U44" s="179"/>
      <c r="V44" s="180"/>
      <c r="W44" s="186"/>
      <c r="X44" s="187"/>
      <c r="Y44" s="187"/>
      <c r="Z44" s="187"/>
      <c r="AA44" s="188"/>
      <c r="AB44" s="191"/>
      <c r="AC44" s="192"/>
      <c r="AD44" s="192"/>
      <c r="AE44" s="194"/>
      <c r="AF44" s="191"/>
      <c r="AG44" s="192"/>
      <c r="AH44" s="192"/>
      <c r="AI44" s="192"/>
      <c r="AJ44" s="192"/>
      <c r="AK44" s="192"/>
      <c r="AL44" s="192"/>
      <c r="AM44" s="193"/>
      <c r="AN44" s="240"/>
      <c r="AO44" s="203"/>
    </row>
    <row r="45" spans="1:41" ht="12.95" customHeight="1" x14ac:dyDescent="0.3">
      <c r="A45" s="284"/>
      <c r="B45" s="195"/>
      <c r="C45" s="196"/>
      <c r="D45" s="171"/>
      <c r="E45" s="173"/>
      <c r="F45" s="174"/>
      <c r="G45" s="175"/>
      <c r="H45" s="171"/>
      <c r="I45" s="172"/>
      <c r="J45" s="173"/>
      <c r="K45" s="189"/>
      <c r="L45" s="98"/>
      <c r="M45" s="190"/>
      <c r="N45" s="189"/>
      <c r="O45" s="98"/>
      <c r="P45" s="190"/>
      <c r="Q45" s="191"/>
      <c r="R45" s="192"/>
      <c r="S45" s="192"/>
      <c r="T45" s="192"/>
      <c r="U45" s="192"/>
      <c r="V45" s="194"/>
      <c r="W45" s="191"/>
      <c r="X45" s="192"/>
      <c r="Y45" s="192"/>
      <c r="Z45" s="192"/>
      <c r="AA45" s="194"/>
      <c r="AB45" s="191"/>
      <c r="AC45" s="192"/>
      <c r="AD45" s="192"/>
      <c r="AE45" s="194"/>
      <c r="AF45" s="191"/>
      <c r="AG45" s="192"/>
      <c r="AH45" s="192"/>
      <c r="AI45" s="192"/>
      <c r="AJ45" s="192"/>
      <c r="AK45" s="192"/>
      <c r="AL45" s="192"/>
      <c r="AM45" s="193"/>
      <c r="AN45" s="240"/>
      <c r="AO45" s="203"/>
    </row>
    <row r="46" spans="1:41" ht="12.95" customHeight="1" x14ac:dyDescent="0.3">
      <c r="A46" s="285"/>
      <c r="B46" s="197"/>
      <c r="C46" s="198"/>
      <c r="D46" s="198"/>
      <c r="E46" s="198"/>
      <c r="F46" s="199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1"/>
      <c r="AN46" s="286"/>
      <c r="AO46" s="203"/>
    </row>
    <row r="47" spans="1:41" ht="12.95" customHeight="1" x14ac:dyDescent="0.3">
      <c r="A47" s="285"/>
      <c r="B47" s="287" t="s">
        <v>41</v>
      </c>
      <c r="C47" s="288"/>
      <c r="D47" s="198"/>
      <c r="E47" s="198"/>
      <c r="F47" s="199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1"/>
      <c r="AN47" s="286"/>
    </row>
    <row r="48" spans="1:41" ht="12.95" customHeight="1" x14ac:dyDescent="0.3">
      <c r="A48" s="285"/>
      <c r="B48" s="204">
        <v>1</v>
      </c>
      <c r="C48" s="288" t="s">
        <v>274</v>
      </c>
      <c r="D48" s="205"/>
      <c r="E48" s="205"/>
      <c r="F48" s="205"/>
      <c r="G48" s="205"/>
      <c r="H48" s="205"/>
      <c r="I48" s="206"/>
      <c r="J48" s="198"/>
      <c r="K48" s="198"/>
      <c r="L48" s="198"/>
      <c r="M48" s="206"/>
      <c r="N48" s="198"/>
      <c r="O48" s="198"/>
      <c r="P48" s="198"/>
      <c r="Q48" s="198"/>
      <c r="R48" s="198"/>
      <c r="S48" s="206"/>
      <c r="T48" s="200"/>
      <c r="U48" s="200"/>
      <c r="V48" s="200"/>
      <c r="W48" s="200"/>
      <c r="X48" s="200"/>
      <c r="Y48" s="200"/>
      <c r="Z48" s="206"/>
      <c r="AA48" s="200"/>
      <c r="AB48" s="200"/>
      <c r="AC48" s="200"/>
      <c r="AD48" s="200"/>
      <c r="AE48" s="200"/>
      <c r="AF48" s="200"/>
      <c r="AG48" s="206"/>
      <c r="AH48" s="200"/>
      <c r="AI48" s="200"/>
      <c r="AJ48" s="200"/>
      <c r="AK48" s="200"/>
      <c r="AL48" s="201"/>
      <c r="AM48" s="202"/>
      <c r="AN48" s="244"/>
    </row>
    <row r="49" spans="1:40" ht="12.95" customHeight="1" x14ac:dyDescent="0.3">
      <c r="A49" s="285"/>
      <c r="B49" s="204"/>
      <c r="C49" s="288" t="s">
        <v>275</v>
      </c>
      <c r="D49" s="205"/>
      <c r="E49" s="205"/>
      <c r="F49" s="205"/>
      <c r="G49" s="205"/>
      <c r="H49" s="205"/>
      <c r="I49" s="206"/>
      <c r="J49" s="198"/>
      <c r="K49" s="198"/>
      <c r="L49" s="198"/>
      <c r="M49" s="207"/>
      <c r="N49" s="198"/>
      <c r="O49" s="198"/>
      <c r="P49" s="198"/>
      <c r="Q49" s="198"/>
      <c r="R49" s="198"/>
      <c r="S49" s="207"/>
      <c r="T49" s="200"/>
      <c r="U49" s="200"/>
      <c r="V49" s="200"/>
      <c r="W49" s="200"/>
      <c r="X49" s="200"/>
      <c r="Y49" s="200"/>
      <c r="Z49" s="207"/>
      <c r="AA49" s="200"/>
      <c r="AB49" s="200"/>
      <c r="AC49" s="200"/>
      <c r="AD49" s="200"/>
      <c r="AE49" s="200"/>
      <c r="AF49" s="200"/>
      <c r="AG49" s="208"/>
      <c r="AH49" s="200"/>
      <c r="AI49" s="200"/>
      <c r="AJ49" s="200"/>
      <c r="AK49" s="200"/>
      <c r="AL49" s="201"/>
      <c r="AM49" s="202"/>
      <c r="AN49" s="244"/>
    </row>
    <row r="50" spans="1:40" ht="12.95" customHeight="1" x14ac:dyDescent="0.3">
      <c r="A50" s="285"/>
      <c r="B50" s="289">
        <v>2</v>
      </c>
      <c r="C50" s="288" t="s">
        <v>276</v>
      </c>
      <c r="D50" s="205"/>
      <c r="E50" s="205"/>
      <c r="F50" s="205"/>
      <c r="G50" s="205"/>
      <c r="H50" s="205"/>
      <c r="I50" s="206"/>
      <c r="J50" s="198"/>
      <c r="K50" s="198"/>
      <c r="L50" s="198"/>
      <c r="M50" s="207"/>
      <c r="N50" s="198"/>
      <c r="O50" s="198"/>
      <c r="P50" s="198"/>
      <c r="Q50" s="198"/>
      <c r="R50" s="198"/>
      <c r="S50" s="207"/>
      <c r="T50" s="200"/>
      <c r="U50" s="200"/>
      <c r="V50" s="200"/>
      <c r="W50" s="200"/>
      <c r="X50" s="200"/>
      <c r="Y50" s="200"/>
      <c r="Z50" s="207"/>
      <c r="AA50" s="200"/>
      <c r="AB50" s="200"/>
      <c r="AC50" s="200"/>
      <c r="AD50" s="200"/>
      <c r="AE50" s="200"/>
      <c r="AF50" s="200"/>
      <c r="AG50" s="208"/>
      <c r="AH50" s="200"/>
      <c r="AI50" s="200"/>
      <c r="AJ50" s="200"/>
      <c r="AK50" s="200"/>
      <c r="AL50" s="201"/>
      <c r="AM50" s="202"/>
      <c r="AN50" s="290"/>
    </row>
    <row r="51" spans="1:40" ht="12.95" customHeight="1" x14ac:dyDescent="0.3">
      <c r="A51" s="285"/>
      <c r="B51" s="288"/>
      <c r="C51" s="288" t="s">
        <v>277</v>
      </c>
      <c r="D51" s="205"/>
      <c r="E51" s="205"/>
      <c r="F51" s="206"/>
      <c r="G51" s="205"/>
      <c r="H51" s="205"/>
      <c r="I51" s="206"/>
      <c r="J51" s="198"/>
      <c r="K51" s="198"/>
      <c r="L51" s="198"/>
      <c r="M51" s="207"/>
      <c r="N51" s="198"/>
      <c r="O51" s="198"/>
      <c r="P51" s="198"/>
      <c r="Q51" s="198"/>
      <c r="R51" s="198"/>
      <c r="S51" s="207"/>
      <c r="T51" s="209"/>
      <c r="U51" s="209"/>
      <c r="V51" s="209"/>
      <c r="W51" s="209"/>
      <c r="X51" s="209"/>
      <c r="Y51" s="209"/>
      <c r="Z51" s="207"/>
      <c r="AA51" s="209"/>
      <c r="AB51" s="209"/>
      <c r="AC51" s="209"/>
      <c r="AD51" s="209"/>
      <c r="AE51" s="209"/>
      <c r="AF51" s="209"/>
      <c r="AG51" s="208"/>
      <c r="AH51" s="209"/>
      <c r="AI51" s="209"/>
      <c r="AJ51" s="209"/>
      <c r="AK51" s="209"/>
      <c r="AL51" s="201"/>
      <c r="AM51" s="210"/>
      <c r="AN51" s="290"/>
    </row>
    <row r="52" spans="1:40" ht="12.95" customHeight="1" x14ac:dyDescent="0.2">
      <c r="A52" s="29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44"/>
    </row>
    <row r="53" spans="1:40" ht="12.95" customHeight="1" x14ac:dyDescent="0.3">
      <c r="A53" s="291"/>
      <c r="B53" s="211"/>
      <c r="C53" s="153"/>
      <c r="D53" s="153"/>
      <c r="E53" s="153"/>
      <c r="F53" s="153"/>
      <c r="G53" s="153"/>
      <c r="H53" s="153"/>
      <c r="I53" s="153"/>
      <c r="J53" s="153"/>
      <c r="K53" s="168"/>
      <c r="L53" s="168"/>
      <c r="M53" s="153"/>
      <c r="N53" s="162"/>
      <c r="O53" s="168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4"/>
      <c r="AE53" s="153"/>
      <c r="AF53" s="153"/>
      <c r="AG53" s="153"/>
      <c r="AH53" s="153"/>
      <c r="AI53" s="153"/>
      <c r="AJ53" s="153"/>
      <c r="AK53" s="211"/>
      <c r="AL53" s="211"/>
      <c r="AM53" s="211"/>
      <c r="AN53" s="244"/>
    </row>
    <row r="54" spans="1:40" ht="12.95" customHeight="1" x14ac:dyDescent="0.2">
      <c r="A54" s="291"/>
      <c r="B54" s="21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1"/>
      <c r="AC54" s="152"/>
      <c r="AD54" s="152"/>
      <c r="AE54" s="152"/>
      <c r="AF54" s="152"/>
      <c r="AG54" s="152"/>
      <c r="AH54" s="152"/>
      <c r="AI54" s="152"/>
      <c r="AJ54" s="152"/>
      <c r="AK54" s="211"/>
      <c r="AL54" s="211"/>
      <c r="AM54" s="211"/>
      <c r="AN54" s="244"/>
    </row>
    <row r="55" spans="1:40" ht="12.95" customHeight="1" x14ac:dyDescent="0.2">
      <c r="A55" s="291"/>
      <c r="B55" s="211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1"/>
      <c r="AB55" s="152"/>
      <c r="AC55" s="152"/>
      <c r="AD55" s="152"/>
      <c r="AE55" s="152"/>
      <c r="AF55" s="152"/>
      <c r="AG55" s="152"/>
      <c r="AH55" s="152"/>
      <c r="AI55" s="152"/>
      <c r="AJ55" s="152"/>
      <c r="AK55" s="211"/>
      <c r="AL55" s="211"/>
      <c r="AM55" s="211"/>
      <c r="AN55" s="244"/>
    </row>
    <row r="56" spans="1:40" ht="12.95" customHeight="1" x14ac:dyDescent="0.2">
      <c r="A56" s="291"/>
      <c r="B56" s="211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1"/>
      <c r="AC56" s="152"/>
      <c r="AD56" s="152"/>
      <c r="AE56" s="152"/>
      <c r="AF56" s="152"/>
      <c r="AG56" s="152"/>
      <c r="AH56" s="152"/>
      <c r="AI56" s="152"/>
      <c r="AJ56" s="152"/>
      <c r="AK56" s="211"/>
      <c r="AL56" s="211"/>
      <c r="AM56" s="211"/>
      <c r="AN56" s="244"/>
    </row>
    <row r="57" spans="1:40" ht="12.95" customHeight="1" x14ac:dyDescent="0.3">
      <c r="A57" s="291"/>
      <c r="B57" s="211"/>
      <c r="C57" s="153"/>
      <c r="D57" s="153"/>
      <c r="E57" s="153"/>
      <c r="F57" s="153"/>
      <c r="G57" s="153"/>
      <c r="H57" s="153"/>
      <c r="I57" s="153"/>
      <c r="J57" s="153"/>
      <c r="K57" s="168"/>
      <c r="L57" s="168"/>
      <c r="M57" s="153"/>
      <c r="N57" s="162"/>
      <c r="O57" s="168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4"/>
      <c r="AE57" s="153"/>
      <c r="AF57" s="153"/>
      <c r="AG57" s="153"/>
      <c r="AH57" s="153"/>
      <c r="AI57" s="153"/>
      <c r="AJ57" s="153"/>
      <c r="AK57" s="211"/>
      <c r="AL57" s="211"/>
      <c r="AM57" s="211"/>
      <c r="AN57" s="244"/>
    </row>
    <row r="58" spans="1:40" ht="12.95" customHeight="1" x14ac:dyDescent="0.3">
      <c r="A58" s="291"/>
      <c r="B58" s="211"/>
      <c r="C58" s="153"/>
      <c r="D58" s="153"/>
      <c r="E58" s="153"/>
      <c r="F58" s="153"/>
      <c r="G58" s="153"/>
      <c r="H58" s="153"/>
      <c r="I58" s="153"/>
      <c r="J58" s="153"/>
      <c r="K58" s="168"/>
      <c r="L58" s="168"/>
      <c r="M58" s="153"/>
      <c r="N58" s="162"/>
      <c r="O58" s="168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4"/>
      <c r="AE58" s="153"/>
      <c r="AF58" s="153"/>
      <c r="AG58" s="153"/>
      <c r="AH58" s="153"/>
      <c r="AI58" s="153"/>
      <c r="AJ58" s="153"/>
      <c r="AK58" s="211"/>
      <c r="AL58" s="211"/>
      <c r="AM58" s="211"/>
      <c r="AN58" s="244"/>
    </row>
    <row r="59" spans="1:40" ht="12.95" customHeight="1" x14ac:dyDescent="0.3">
      <c r="A59" s="291"/>
      <c r="B59" s="211"/>
      <c r="C59" s="153"/>
      <c r="D59" s="153"/>
      <c r="E59" s="153"/>
      <c r="F59" s="153"/>
      <c r="G59" s="153"/>
      <c r="H59" s="153"/>
      <c r="I59" s="153"/>
      <c r="J59" s="153"/>
      <c r="K59" s="168"/>
      <c r="L59" s="168"/>
      <c r="M59" s="153"/>
      <c r="N59" s="162"/>
      <c r="O59" s="168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4"/>
      <c r="AE59" s="153"/>
      <c r="AF59" s="153"/>
      <c r="AG59" s="153"/>
      <c r="AH59" s="153"/>
      <c r="AI59" s="153"/>
      <c r="AJ59" s="153"/>
      <c r="AK59" s="211"/>
      <c r="AL59" s="211"/>
      <c r="AM59" s="211"/>
      <c r="AN59" s="244"/>
    </row>
    <row r="60" spans="1:40" ht="12.95" customHeight="1" x14ac:dyDescent="0.3">
      <c r="A60" s="291"/>
      <c r="B60" s="211"/>
      <c r="C60" s="153"/>
      <c r="D60" s="153"/>
      <c r="E60" s="153"/>
      <c r="F60" s="153"/>
      <c r="G60" s="153"/>
      <c r="H60" s="153"/>
      <c r="I60" s="153"/>
      <c r="J60" s="153"/>
      <c r="K60" s="168"/>
      <c r="L60" s="168"/>
      <c r="M60" s="153"/>
      <c r="N60" s="162"/>
      <c r="O60" s="168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4"/>
      <c r="AE60" s="153"/>
      <c r="AF60" s="153"/>
      <c r="AG60" s="153"/>
      <c r="AH60" s="153"/>
      <c r="AI60" s="153"/>
      <c r="AJ60" s="153"/>
      <c r="AK60" s="211"/>
      <c r="AL60" s="211"/>
      <c r="AM60" s="211"/>
      <c r="AN60" s="244"/>
    </row>
    <row r="61" spans="1:40" ht="12.95" customHeight="1" x14ac:dyDescent="0.3">
      <c r="A61" s="291"/>
      <c r="B61" s="211"/>
      <c r="C61" s="153"/>
      <c r="D61" s="153"/>
      <c r="E61" s="153"/>
      <c r="F61" s="153"/>
      <c r="G61" s="153"/>
      <c r="H61" s="153"/>
      <c r="I61" s="153"/>
      <c r="J61" s="153"/>
      <c r="K61" s="168"/>
      <c r="L61" s="168"/>
      <c r="M61" s="153"/>
      <c r="N61" s="162"/>
      <c r="O61" s="168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4"/>
      <c r="AE61" s="153"/>
      <c r="AF61" s="153"/>
      <c r="AG61" s="153"/>
      <c r="AH61" s="153"/>
      <c r="AI61" s="153"/>
      <c r="AJ61" s="153"/>
      <c r="AK61" s="211"/>
      <c r="AL61" s="211"/>
      <c r="AM61" s="211"/>
      <c r="AN61" s="244"/>
    </row>
    <row r="62" spans="1:40" ht="12.95" customHeight="1" x14ac:dyDescent="0.3">
      <c r="A62" s="292"/>
      <c r="B62" s="63"/>
      <c r="C62" s="153"/>
      <c r="D62" s="153"/>
      <c r="E62" s="153"/>
      <c r="F62" s="153"/>
      <c r="G62" s="153"/>
      <c r="H62" s="153"/>
      <c r="I62" s="153"/>
      <c r="J62" s="153"/>
      <c r="K62" s="168"/>
      <c r="L62" s="168"/>
      <c r="M62" s="153"/>
      <c r="N62" s="162"/>
      <c r="O62" s="168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4"/>
      <c r="AE62" s="153"/>
      <c r="AF62" s="153"/>
      <c r="AG62" s="153"/>
      <c r="AH62" s="153"/>
      <c r="AI62" s="153"/>
      <c r="AJ62" s="153"/>
      <c r="AK62" s="211"/>
      <c r="AL62" s="211"/>
      <c r="AM62" s="211"/>
      <c r="AN62" s="244"/>
    </row>
    <row r="63" spans="1:40" ht="12.95" customHeight="1" x14ac:dyDescent="0.3">
      <c r="A63" s="292"/>
      <c r="B63" s="63"/>
      <c r="C63" s="153"/>
      <c r="D63" s="153"/>
      <c r="E63" s="153"/>
      <c r="F63" s="153"/>
      <c r="G63" s="153"/>
      <c r="H63" s="153"/>
      <c r="I63" s="153"/>
      <c r="J63" s="153"/>
      <c r="K63" s="168"/>
      <c r="L63" s="168"/>
      <c r="M63" s="153"/>
      <c r="N63" s="162"/>
      <c r="O63" s="168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4"/>
      <c r="AE63" s="153"/>
      <c r="AF63" s="153"/>
      <c r="AG63" s="153"/>
      <c r="AH63" s="153"/>
      <c r="AI63" s="153"/>
      <c r="AJ63" s="153"/>
      <c r="AK63" s="211"/>
      <c r="AL63" s="211"/>
      <c r="AM63" s="211"/>
      <c r="AN63" s="244"/>
    </row>
    <row r="64" spans="1:40" ht="12.95" customHeight="1" x14ac:dyDescent="0.3">
      <c r="A64" s="292"/>
      <c r="B64" s="63"/>
      <c r="C64" s="153"/>
      <c r="D64" s="153"/>
      <c r="E64" s="153"/>
      <c r="F64" s="153"/>
      <c r="G64" s="153"/>
      <c r="H64" s="153"/>
      <c r="I64" s="153"/>
      <c r="J64" s="153"/>
      <c r="K64" s="168"/>
      <c r="L64" s="168"/>
      <c r="M64" s="153"/>
      <c r="N64" s="162"/>
      <c r="O64" s="168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4"/>
      <c r="AE64" s="153"/>
      <c r="AF64" s="153"/>
      <c r="AG64" s="153"/>
      <c r="AH64" s="153"/>
      <c r="AI64" s="153"/>
      <c r="AJ64" s="153"/>
      <c r="AK64" s="211"/>
      <c r="AL64" s="211"/>
      <c r="AM64" s="211"/>
      <c r="AN64" s="244"/>
    </row>
    <row r="65" spans="1:40" ht="12.95" customHeight="1" x14ac:dyDescent="0.3">
      <c r="A65" s="292"/>
      <c r="B65" s="63"/>
      <c r="C65" s="153"/>
      <c r="D65" s="153"/>
      <c r="E65" s="153"/>
      <c r="F65" s="153"/>
      <c r="G65" s="153"/>
      <c r="H65" s="153"/>
      <c r="I65" s="153"/>
      <c r="J65" s="153"/>
      <c r="K65" s="168"/>
      <c r="L65" s="168"/>
      <c r="M65" s="153"/>
      <c r="N65" s="162"/>
      <c r="O65" s="168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4"/>
      <c r="AE65" s="153"/>
      <c r="AF65" s="153"/>
      <c r="AG65" s="153"/>
      <c r="AH65" s="153"/>
      <c r="AI65" s="153"/>
      <c r="AJ65" s="153"/>
      <c r="AK65" s="211"/>
      <c r="AL65" s="211"/>
      <c r="AM65" s="211"/>
      <c r="AN65" s="244"/>
    </row>
    <row r="66" spans="1:40" ht="12.95" customHeight="1" x14ac:dyDescent="0.3">
      <c r="A66" s="292"/>
      <c r="B66" s="63"/>
      <c r="C66" s="153"/>
      <c r="D66" s="153"/>
      <c r="E66" s="153"/>
      <c r="F66" s="153"/>
      <c r="G66" s="153"/>
      <c r="H66" s="153"/>
      <c r="I66" s="153"/>
      <c r="J66" s="153"/>
      <c r="K66" s="168"/>
      <c r="L66" s="168"/>
      <c r="M66" s="153"/>
      <c r="N66" s="162"/>
      <c r="O66" s="168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4"/>
      <c r="AE66" s="153"/>
      <c r="AF66" s="153"/>
      <c r="AG66" s="153"/>
      <c r="AH66" s="153"/>
      <c r="AI66" s="153"/>
      <c r="AJ66" s="153"/>
      <c r="AK66" s="211"/>
      <c r="AL66" s="211"/>
      <c r="AM66" s="211"/>
      <c r="AN66" s="244"/>
    </row>
    <row r="67" spans="1:40" ht="12.95" customHeight="1" x14ac:dyDescent="0.3">
      <c r="A67" s="292"/>
      <c r="B67" s="63"/>
      <c r="C67" s="153"/>
      <c r="D67" s="153"/>
      <c r="E67" s="153"/>
      <c r="F67" s="153"/>
      <c r="G67" s="153"/>
      <c r="H67" s="153"/>
      <c r="I67" s="153"/>
      <c r="J67" s="153"/>
      <c r="K67" s="168"/>
      <c r="L67" s="168"/>
      <c r="M67" s="153"/>
      <c r="N67" s="162"/>
      <c r="O67" s="168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9"/>
      <c r="AE67" s="153"/>
      <c r="AF67" s="153"/>
      <c r="AG67" s="153"/>
      <c r="AH67" s="153"/>
      <c r="AI67" s="153"/>
      <c r="AJ67" s="153"/>
      <c r="AK67" s="211"/>
      <c r="AL67" s="211"/>
      <c r="AM67" s="211"/>
      <c r="AN67" s="244"/>
    </row>
    <row r="68" spans="1:40" ht="12.95" customHeight="1" x14ac:dyDescent="0.2">
      <c r="A68" s="292"/>
      <c r="B68" s="63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7"/>
      <c r="AB68" s="152"/>
      <c r="AC68" s="152"/>
      <c r="AD68" s="159"/>
      <c r="AE68" s="157"/>
      <c r="AF68" s="152"/>
      <c r="AG68" s="152"/>
      <c r="AH68" s="152"/>
      <c r="AI68" s="152"/>
      <c r="AJ68" s="152"/>
      <c r="AK68" s="211"/>
      <c r="AL68" s="211"/>
      <c r="AM68" s="211"/>
      <c r="AN68" s="244"/>
    </row>
    <row r="69" spans="1:40" ht="12.95" customHeight="1" x14ac:dyDescent="0.2">
      <c r="A69" s="292"/>
      <c r="B69" s="63"/>
      <c r="C69" s="169"/>
      <c r="D69" s="152"/>
      <c r="E69" s="151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9"/>
      <c r="AE69" s="153"/>
      <c r="AF69" s="153"/>
      <c r="AG69" s="153"/>
      <c r="AH69" s="153"/>
      <c r="AI69" s="153"/>
      <c r="AJ69" s="153"/>
      <c r="AK69" s="211"/>
      <c r="AL69" s="211"/>
      <c r="AM69" s="211"/>
      <c r="AN69" s="244"/>
    </row>
    <row r="70" spans="1:40" ht="12.95" customHeight="1" x14ac:dyDescent="0.2">
      <c r="A70" s="292"/>
      <c r="B70" s="63"/>
      <c r="C70" s="152"/>
      <c r="D70" s="152"/>
      <c r="E70" s="151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3"/>
      <c r="T70" s="153"/>
      <c r="U70" s="153"/>
      <c r="V70" s="153"/>
      <c r="W70" s="153"/>
      <c r="X70" s="153"/>
      <c r="Y70" s="153"/>
      <c r="Z70" s="153"/>
      <c r="AA70" s="153"/>
      <c r="AB70" s="161"/>
      <c r="AC70" s="153"/>
      <c r="AD70" s="159"/>
      <c r="AE70" s="153"/>
      <c r="AF70" s="153"/>
      <c r="AG70" s="153"/>
      <c r="AH70" s="153"/>
      <c r="AI70" s="153"/>
      <c r="AJ70" s="153"/>
      <c r="AK70" s="211"/>
      <c r="AL70" s="211"/>
      <c r="AM70" s="211"/>
      <c r="AN70" s="244"/>
    </row>
    <row r="71" spans="1:40" ht="12.95" customHeight="1" x14ac:dyDescent="0.2">
      <c r="A71" s="292"/>
      <c r="B71" s="63"/>
      <c r="C71" s="152"/>
      <c r="D71" s="152"/>
      <c r="E71" s="151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3"/>
      <c r="T71" s="153"/>
      <c r="U71" s="153"/>
      <c r="V71" s="153"/>
      <c r="W71" s="153"/>
      <c r="X71" s="153"/>
      <c r="Y71" s="153"/>
      <c r="Z71" s="153"/>
      <c r="AA71" s="153"/>
      <c r="AB71" s="161"/>
      <c r="AC71" s="153"/>
      <c r="AD71" s="153"/>
      <c r="AE71" s="153"/>
      <c r="AF71" s="153"/>
      <c r="AG71" s="153"/>
      <c r="AH71" s="153"/>
      <c r="AI71" s="153"/>
      <c r="AJ71" s="153"/>
      <c r="AK71" s="211"/>
      <c r="AL71" s="211"/>
      <c r="AM71" s="211"/>
      <c r="AN71" s="244"/>
    </row>
    <row r="72" spans="1:40" ht="12.95" customHeight="1" x14ac:dyDescent="0.2">
      <c r="A72" s="292"/>
      <c r="B72" s="63"/>
      <c r="C72" s="152"/>
      <c r="D72" s="152"/>
      <c r="E72" s="151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3"/>
      <c r="T72" s="153"/>
      <c r="U72" s="153"/>
      <c r="V72" s="153"/>
      <c r="W72" s="153"/>
      <c r="X72" s="153"/>
      <c r="Y72" s="153"/>
      <c r="Z72" s="153"/>
      <c r="AA72" s="153"/>
      <c r="AB72" s="161"/>
      <c r="AC72" s="153"/>
      <c r="AD72" s="153"/>
      <c r="AE72" s="153"/>
      <c r="AF72" s="153"/>
      <c r="AG72" s="153"/>
      <c r="AH72" s="153"/>
      <c r="AI72" s="153"/>
      <c r="AJ72" s="153"/>
      <c r="AK72" s="211"/>
      <c r="AL72" s="211"/>
      <c r="AM72" s="211"/>
      <c r="AN72" s="244"/>
    </row>
    <row r="73" spans="1:40" ht="12.95" customHeight="1" thickBot="1" x14ac:dyDescent="0.35">
      <c r="A73" s="293"/>
      <c r="B73" s="294"/>
      <c r="C73" s="295"/>
      <c r="D73" s="295"/>
      <c r="E73" s="296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7"/>
      <c r="T73" s="297"/>
      <c r="U73" s="297"/>
      <c r="V73" s="297"/>
      <c r="W73" s="297"/>
      <c r="X73" s="297"/>
      <c r="Y73" s="297"/>
      <c r="Z73" s="297"/>
      <c r="AA73" s="297"/>
      <c r="AB73" s="298"/>
      <c r="AC73" s="298"/>
      <c r="AD73" s="297"/>
      <c r="AE73" s="297"/>
      <c r="AF73" s="297"/>
      <c r="AG73" s="297"/>
      <c r="AH73" s="297"/>
      <c r="AI73" s="297"/>
      <c r="AJ73" s="297"/>
      <c r="AK73" s="245"/>
      <c r="AL73" s="245"/>
      <c r="AM73" s="245"/>
      <c r="AN73" s="246"/>
    </row>
    <row r="74" spans="1:40" ht="12" customHeight="1" x14ac:dyDescent="0.2">
      <c r="A74" s="39"/>
      <c r="B74" s="39"/>
      <c r="C74" s="39"/>
      <c r="D74" s="39"/>
      <c r="E74" s="39"/>
      <c r="F74" s="39"/>
      <c r="G74" s="39"/>
    </row>
  </sheetData>
  <mergeCells count="24"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L1:AD6"/>
    <mergeCell ref="AE1:AN4"/>
    <mergeCell ref="A5:K6"/>
    <mergeCell ref="AE5:AN6"/>
    <mergeCell ref="A7:K9"/>
    <mergeCell ref="L7:AD9"/>
    <mergeCell ref="AE7:AN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BA74"/>
  <sheetViews>
    <sheetView view="pageBreakPreview" zoomScale="115" zoomScaleNormal="115" zoomScaleSheetLayoutView="115" workbookViewId="0">
      <selection activeCell="A13" sqref="A13:AN13"/>
    </sheetView>
  </sheetViews>
  <sheetFormatPr defaultRowHeight="12" customHeight="1" x14ac:dyDescent="0.2"/>
  <cols>
    <col min="1" max="39" width="2.42578125" style="28" customWidth="1"/>
    <col min="40" max="40" width="7.7109375" style="28" customWidth="1"/>
    <col min="41" max="41" width="9.140625" style="28" hidden="1" customWidth="1"/>
    <col min="42" max="256" width="9.140625" style="28"/>
    <col min="257" max="295" width="2.42578125" style="28" customWidth="1"/>
    <col min="296" max="296" width="7.7109375" style="28" customWidth="1"/>
    <col min="297" max="297" width="0" style="28" hidden="1" customWidth="1"/>
    <col min="298" max="512" width="9.140625" style="28"/>
    <col min="513" max="551" width="2.42578125" style="28" customWidth="1"/>
    <col min="552" max="552" width="7.7109375" style="28" customWidth="1"/>
    <col min="553" max="553" width="0" style="28" hidden="1" customWidth="1"/>
    <col min="554" max="768" width="9.140625" style="28"/>
    <col min="769" max="807" width="2.42578125" style="28" customWidth="1"/>
    <col min="808" max="808" width="7.7109375" style="28" customWidth="1"/>
    <col min="809" max="809" width="0" style="28" hidden="1" customWidth="1"/>
    <col min="810" max="1024" width="9.140625" style="28"/>
    <col min="1025" max="1063" width="2.42578125" style="28" customWidth="1"/>
    <col min="1064" max="1064" width="7.7109375" style="28" customWidth="1"/>
    <col min="1065" max="1065" width="0" style="28" hidden="1" customWidth="1"/>
    <col min="1066" max="1280" width="9.140625" style="28"/>
    <col min="1281" max="1319" width="2.42578125" style="28" customWidth="1"/>
    <col min="1320" max="1320" width="7.7109375" style="28" customWidth="1"/>
    <col min="1321" max="1321" width="0" style="28" hidden="1" customWidth="1"/>
    <col min="1322" max="1536" width="9.140625" style="28"/>
    <col min="1537" max="1575" width="2.42578125" style="28" customWidth="1"/>
    <col min="1576" max="1576" width="7.7109375" style="28" customWidth="1"/>
    <col min="1577" max="1577" width="0" style="28" hidden="1" customWidth="1"/>
    <col min="1578" max="1792" width="9.140625" style="28"/>
    <col min="1793" max="1831" width="2.42578125" style="28" customWidth="1"/>
    <col min="1832" max="1832" width="7.7109375" style="28" customWidth="1"/>
    <col min="1833" max="1833" width="0" style="28" hidden="1" customWidth="1"/>
    <col min="1834" max="2048" width="9.140625" style="28"/>
    <col min="2049" max="2087" width="2.42578125" style="28" customWidth="1"/>
    <col min="2088" max="2088" width="7.7109375" style="28" customWidth="1"/>
    <col min="2089" max="2089" width="0" style="28" hidden="1" customWidth="1"/>
    <col min="2090" max="2304" width="9.140625" style="28"/>
    <col min="2305" max="2343" width="2.42578125" style="28" customWidth="1"/>
    <col min="2344" max="2344" width="7.7109375" style="28" customWidth="1"/>
    <col min="2345" max="2345" width="0" style="28" hidden="1" customWidth="1"/>
    <col min="2346" max="2560" width="9.140625" style="28"/>
    <col min="2561" max="2599" width="2.42578125" style="28" customWidth="1"/>
    <col min="2600" max="2600" width="7.7109375" style="28" customWidth="1"/>
    <col min="2601" max="2601" width="0" style="28" hidden="1" customWidth="1"/>
    <col min="2602" max="2816" width="9.140625" style="28"/>
    <col min="2817" max="2855" width="2.42578125" style="28" customWidth="1"/>
    <col min="2856" max="2856" width="7.7109375" style="28" customWidth="1"/>
    <col min="2857" max="2857" width="0" style="28" hidden="1" customWidth="1"/>
    <col min="2858" max="3072" width="9.140625" style="28"/>
    <col min="3073" max="3111" width="2.42578125" style="28" customWidth="1"/>
    <col min="3112" max="3112" width="7.7109375" style="28" customWidth="1"/>
    <col min="3113" max="3113" width="0" style="28" hidden="1" customWidth="1"/>
    <col min="3114" max="3328" width="9.140625" style="28"/>
    <col min="3329" max="3367" width="2.42578125" style="28" customWidth="1"/>
    <col min="3368" max="3368" width="7.7109375" style="28" customWidth="1"/>
    <col min="3369" max="3369" width="0" style="28" hidden="1" customWidth="1"/>
    <col min="3370" max="3584" width="9.140625" style="28"/>
    <col min="3585" max="3623" width="2.42578125" style="28" customWidth="1"/>
    <col min="3624" max="3624" width="7.7109375" style="28" customWidth="1"/>
    <col min="3625" max="3625" width="0" style="28" hidden="1" customWidth="1"/>
    <col min="3626" max="3840" width="9.140625" style="28"/>
    <col min="3841" max="3879" width="2.42578125" style="28" customWidth="1"/>
    <col min="3880" max="3880" width="7.7109375" style="28" customWidth="1"/>
    <col min="3881" max="3881" width="0" style="28" hidden="1" customWidth="1"/>
    <col min="3882" max="4096" width="9.140625" style="28"/>
    <col min="4097" max="4135" width="2.42578125" style="28" customWidth="1"/>
    <col min="4136" max="4136" width="7.7109375" style="28" customWidth="1"/>
    <col min="4137" max="4137" width="0" style="28" hidden="1" customWidth="1"/>
    <col min="4138" max="4352" width="9.140625" style="28"/>
    <col min="4353" max="4391" width="2.42578125" style="28" customWidth="1"/>
    <col min="4392" max="4392" width="7.7109375" style="28" customWidth="1"/>
    <col min="4393" max="4393" width="0" style="28" hidden="1" customWidth="1"/>
    <col min="4394" max="4608" width="9.140625" style="28"/>
    <col min="4609" max="4647" width="2.42578125" style="28" customWidth="1"/>
    <col min="4648" max="4648" width="7.7109375" style="28" customWidth="1"/>
    <col min="4649" max="4649" width="0" style="28" hidden="1" customWidth="1"/>
    <col min="4650" max="4864" width="9.140625" style="28"/>
    <col min="4865" max="4903" width="2.42578125" style="28" customWidth="1"/>
    <col min="4904" max="4904" width="7.7109375" style="28" customWidth="1"/>
    <col min="4905" max="4905" width="0" style="28" hidden="1" customWidth="1"/>
    <col min="4906" max="5120" width="9.140625" style="28"/>
    <col min="5121" max="5159" width="2.42578125" style="28" customWidth="1"/>
    <col min="5160" max="5160" width="7.7109375" style="28" customWidth="1"/>
    <col min="5161" max="5161" width="0" style="28" hidden="1" customWidth="1"/>
    <col min="5162" max="5376" width="9.140625" style="28"/>
    <col min="5377" max="5415" width="2.42578125" style="28" customWidth="1"/>
    <col min="5416" max="5416" width="7.7109375" style="28" customWidth="1"/>
    <col min="5417" max="5417" width="0" style="28" hidden="1" customWidth="1"/>
    <col min="5418" max="5632" width="9.140625" style="28"/>
    <col min="5633" max="5671" width="2.42578125" style="28" customWidth="1"/>
    <col min="5672" max="5672" width="7.7109375" style="28" customWidth="1"/>
    <col min="5673" max="5673" width="0" style="28" hidden="1" customWidth="1"/>
    <col min="5674" max="5888" width="9.140625" style="28"/>
    <col min="5889" max="5927" width="2.42578125" style="28" customWidth="1"/>
    <col min="5928" max="5928" width="7.7109375" style="28" customWidth="1"/>
    <col min="5929" max="5929" width="0" style="28" hidden="1" customWidth="1"/>
    <col min="5930" max="6144" width="9.140625" style="28"/>
    <col min="6145" max="6183" width="2.42578125" style="28" customWidth="1"/>
    <col min="6184" max="6184" width="7.7109375" style="28" customWidth="1"/>
    <col min="6185" max="6185" width="0" style="28" hidden="1" customWidth="1"/>
    <col min="6186" max="6400" width="9.140625" style="28"/>
    <col min="6401" max="6439" width="2.42578125" style="28" customWidth="1"/>
    <col min="6440" max="6440" width="7.7109375" style="28" customWidth="1"/>
    <col min="6441" max="6441" width="0" style="28" hidden="1" customWidth="1"/>
    <col min="6442" max="6656" width="9.140625" style="28"/>
    <col min="6657" max="6695" width="2.42578125" style="28" customWidth="1"/>
    <col min="6696" max="6696" width="7.7109375" style="28" customWidth="1"/>
    <col min="6697" max="6697" width="0" style="28" hidden="1" customWidth="1"/>
    <col min="6698" max="6912" width="9.140625" style="28"/>
    <col min="6913" max="6951" width="2.42578125" style="28" customWidth="1"/>
    <col min="6952" max="6952" width="7.7109375" style="28" customWidth="1"/>
    <col min="6953" max="6953" width="0" style="28" hidden="1" customWidth="1"/>
    <col min="6954" max="7168" width="9.140625" style="28"/>
    <col min="7169" max="7207" width="2.42578125" style="28" customWidth="1"/>
    <col min="7208" max="7208" width="7.7109375" style="28" customWidth="1"/>
    <col min="7209" max="7209" width="0" style="28" hidden="1" customWidth="1"/>
    <col min="7210" max="7424" width="9.140625" style="28"/>
    <col min="7425" max="7463" width="2.42578125" style="28" customWidth="1"/>
    <col min="7464" max="7464" width="7.7109375" style="28" customWidth="1"/>
    <col min="7465" max="7465" width="0" style="28" hidden="1" customWidth="1"/>
    <col min="7466" max="7680" width="9.140625" style="28"/>
    <col min="7681" max="7719" width="2.42578125" style="28" customWidth="1"/>
    <col min="7720" max="7720" width="7.7109375" style="28" customWidth="1"/>
    <col min="7721" max="7721" width="0" style="28" hidden="1" customWidth="1"/>
    <col min="7722" max="7936" width="9.140625" style="28"/>
    <col min="7937" max="7975" width="2.42578125" style="28" customWidth="1"/>
    <col min="7976" max="7976" width="7.7109375" style="28" customWidth="1"/>
    <col min="7977" max="7977" width="0" style="28" hidden="1" customWidth="1"/>
    <col min="7978" max="8192" width="9.140625" style="28"/>
    <col min="8193" max="8231" width="2.42578125" style="28" customWidth="1"/>
    <col min="8232" max="8232" width="7.7109375" style="28" customWidth="1"/>
    <col min="8233" max="8233" width="0" style="28" hidden="1" customWidth="1"/>
    <col min="8234" max="8448" width="9.140625" style="28"/>
    <col min="8449" max="8487" width="2.42578125" style="28" customWidth="1"/>
    <col min="8488" max="8488" width="7.7109375" style="28" customWidth="1"/>
    <col min="8489" max="8489" width="0" style="28" hidden="1" customWidth="1"/>
    <col min="8490" max="8704" width="9.140625" style="28"/>
    <col min="8705" max="8743" width="2.42578125" style="28" customWidth="1"/>
    <col min="8744" max="8744" width="7.7109375" style="28" customWidth="1"/>
    <col min="8745" max="8745" width="0" style="28" hidden="1" customWidth="1"/>
    <col min="8746" max="8960" width="9.140625" style="28"/>
    <col min="8961" max="8999" width="2.42578125" style="28" customWidth="1"/>
    <col min="9000" max="9000" width="7.7109375" style="28" customWidth="1"/>
    <col min="9001" max="9001" width="0" style="28" hidden="1" customWidth="1"/>
    <col min="9002" max="9216" width="9.140625" style="28"/>
    <col min="9217" max="9255" width="2.42578125" style="28" customWidth="1"/>
    <col min="9256" max="9256" width="7.7109375" style="28" customWidth="1"/>
    <col min="9257" max="9257" width="0" style="28" hidden="1" customWidth="1"/>
    <col min="9258" max="9472" width="9.140625" style="28"/>
    <col min="9473" max="9511" width="2.42578125" style="28" customWidth="1"/>
    <col min="9512" max="9512" width="7.7109375" style="28" customWidth="1"/>
    <col min="9513" max="9513" width="0" style="28" hidden="1" customWidth="1"/>
    <col min="9514" max="9728" width="9.140625" style="28"/>
    <col min="9729" max="9767" width="2.42578125" style="28" customWidth="1"/>
    <col min="9768" max="9768" width="7.7109375" style="28" customWidth="1"/>
    <col min="9769" max="9769" width="0" style="28" hidden="1" customWidth="1"/>
    <col min="9770" max="9984" width="9.140625" style="28"/>
    <col min="9985" max="10023" width="2.42578125" style="28" customWidth="1"/>
    <col min="10024" max="10024" width="7.7109375" style="28" customWidth="1"/>
    <col min="10025" max="10025" width="0" style="28" hidden="1" customWidth="1"/>
    <col min="10026" max="10240" width="9.140625" style="28"/>
    <col min="10241" max="10279" width="2.42578125" style="28" customWidth="1"/>
    <col min="10280" max="10280" width="7.7109375" style="28" customWidth="1"/>
    <col min="10281" max="10281" width="0" style="28" hidden="1" customWidth="1"/>
    <col min="10282" max="10496" width="9.140625" style="28"/>
    <col min="10497" max="10535" width="2.42578125" style="28" customWidth="1"/>
    <col min="10536" max="10536" width="7.7109375" style="28" customWidth="1"/>
    <col min="10537" max="10537" width="0" style="28" hidden="1" customWidth="1"/>
    <col min="10538" max="10752" width="9.140625" style="28"/>
    <col min="10753" max="10791" width="2.42578125" style="28" customWidth="1"/>
    <col min="10792" max="10792" width="7.7109375" style="28" customWidth="1"/>
    <col min="10793" max="10793" width="0" style="28" hidden="1" customWidth="1"/>
    <col min="10794" max="11008" width="9.140625" style="28"/>
    <col min="11009" max="11047" width="2.42578125" style="28" customWidth="1"/>
    <col min="11048" max="11048" width="7.7109375" style="28" customWidth="1"/>
    <col min="11049" max="11049" width="0" style="28" hidden="1" customWidth="1"/>
    <col min="11050" max="11264" width="9.140625" style="28"/>
    <col min="11265" max="11303" width="2.42578125" style="28" customWidth="1"/>
    <col min="11304" max="11304" width="7.7109375" style="28" customWidth="1"/>
    <col min="11305" max="11305" width="0" style="28" hidden="1" customWidth="1"/>
    <col min="11306" max="11520" width="9.140625" style="28"/>
    <col min="11521" max="11559" width="2.42578125" style="28" customWidth="1"/>
    <col min="11560" max="11560" width="7.7109375" style="28" customWidth="1"/>
    <col min="11561" max="11561" width="0" style="28" hidden="1" customWidth="1"/>
    <col min="11562" max="11776" width="9.140625" style="28"/>
    <col min="11777" max="11815" width="2.42578125" style="28" customWidth="1"/>
    <col min="11816" max="11816" width="7.7109375" style="28" customWidth="1"/>
    <col min="11817" max="11817" width="0" style="28" hidden="1" customWidth="1"/>
    <col min="11818" max="12032" width="9.140625" style="28"/>
    <col min="12033" max="12071" width="2.42578125" style="28" customWidth="1"/>
    <col min="12072" max="12072" width="7.7109375" style="28" customWidth="1"/>
    <col min="12073" max="12073" width="0" style="28" hidden="1" customWidth="1"/>
    <col min="12074" max="12288" width="9.140625" style="28"/>
    <col min="12289" max="12327" width="2.42578125" style="28" customWidth="1"/>
    <col min="12328" max="12328" width="7.7109375" style="28" customWidth="1"/>
    <col min="12329" max="12329" width="0" style="28" hidden="1" customWidth="1"/>
    <col min="12330" max="12544" width="9.140625" style="28"/>
    <col min="12545" max="12583" width="2.42578125" style="28" customWidth="1"/>
    <col min="12584" max="12584" width="7.7109375" style="28" customWidth="1"/>
    <col min="12585" max="12585" width="0" style="28" hidden="1" customWidth="1"/>
    <col min="12586" max="12800" width="9.140625" style="28"/>
    <col min="12801" max="12839" width="2.42578125" style="28" customWidth="1"/>
    <col min="12840" max="12840" width="7.7109375" style="28" customWidth="1"/>
    <col min="12841" max="12841" width="0" style="28" hidden="1" customWidth="1"/>
    <col min="12842" max="13056" width="9.140625" style="28"/>
    <col min="13057" max="13095" width="2.42578125" style="28" customWidth="1"/>
    <col min="13096" max="13096" width="7.7109375" style="28" customWidth="1"/>
    <col min="13097" max="13097" width="0" style="28" hidden="1" customWidth="1"/>
    <col min="13098" max="13312" width="9.140625" style="28"/>
    <col min="13313" max="13351" width="2.42578125" style="28" customWidth="1"/>
    <col min="13352" max="13352" width="7.7109375" style="28" customWidth="1"/>
    <col min="13353" max="13353" width="0" style="28" hidden="1" customWidth="1"/>
    <col min="13354" max="13568" width="9.140625" style="28"/>
    <col min="13569" max="13607" width="2.42578125" style="28" customWidth="1"/>
    <col min="13608" max="13608" width="7.7109375" style="28" customWidth="1"/>
    <col min="13609" max="13609" width="0" style="28" hidden="1" customWidth="1"/>
    <col min="13610" max="13824" width="9.140625" style="28"/>
    <col min="13825" max="13863" width="2.42578125" style="28" customWidth="1"/>
    <col min="13864" max="13864" width="7.7109375" style="28" customWidth="1"/>
    <col min="13865" max="13865" width="0" style="28" hidden="1" customWidth="1"/>
    <col min="13866" max="14080" width="9.140625" style="28"/>
    <col min="14081" max="14119" width="2.42578125" style="28" customWidth="1"/>
    <col min="14120" max="14120" width="7.7109375" style="28" customWidth="1"/>
    <col min="14121" max="14121" width="0" style="28" hidden="1" customWidth="1"/>
    <col min="14122" max="14336" width="9.140625" style="28"/>
    <col min="14337" max="14375" width="2.42578125" style="28" customWidth="1"/>
    <col min="14376" max="14376" width="7.7109375" style="28" customWidth="1"/>
    <col min="14377" max="14377" width="0" style="28" hidden="1" customWidth="1"/>
    <col min="14378" max="14592" width="9.140625" style="28"/>
    <col min="14593" max="14631" width="2.42578125" style="28" customWidth="1"/>
    <col min="14632" max="14632" width="7.7109375" style="28" customWidth="1"/>
    <col min="14633" max="14633" width="0" style="28" hidden="1" customWidth="1"/>
    <col min="14634" max="14848" width="9.140625" style="28"/>
    <col min="14849" max="14887" width="2.42578125" style="28" customWidth="1"/>
    <col min="14888" max="14888" width="7.7109375" style="28" customWidth="1"/>
    <col min="14889" max="14889" width="0" style="28" hidden="1" customWidth="1"/>
    <col min="14890" max="15104" width="9.140625" style="28"/>
    <col min="15105" max="15143" width="2.42578125" style="28" customWidth="1"/>
    <col min="15144" max="15144" width="7.7109375" style="28" customWidth="1"/>
    <col min="15145" max="15145" width="0" style="28" hidden="1" customWidth="1"/>
    <col min="15146" max="15360" width="9.140625" style="28"/>
    <col min="15361" max="15399" width="2.42578125" style="28" customWidth="1"/>
    <col min="15400" max="15400" width="7.7109375" style="28" customWidth="1"/>
    <col min="15401" max="15401" width="0" style="28" hidden="1" customWidth="1"/>
    <col min="15402" max="15616" width="9.140625" style="28"/>
    <col min="15617" max="15655" width="2.42578125" style="28" customWidth="1"/>
    <col min="15656" max="15656" width="7.7109375" style="28" customWidth="1"/>
    <col min="15657" max="15657" width="0" style="28" hidden="1" customWidth="1"/>
    <col min="15658" max="15872" width="9.140625" style="28"/>
    <col min="15873" max="15911" width="2.42578125" style="28" customWidth="1"/>
    <col min="15912" max="15912" width="7.7109375" style="28" customWidth="1"/>
    <col min="15913" max="15913" width="0" style="28" hidden="1" customWidth="1"/>
    <col min="15914" max="16128" width="9.140625" style="28"/>
    <col min="16129" max="16167" width="2.42578125" style="28" customWidth="1"/>
    <col min="16168" max="16168" width="7.7109375" style="28" customWidth="1"/>
    <col min="16169" max="16169" width="0" style="28" hidden="1" customWidth="1"/>
    <col min="16170" max="16384" width="9.140625" style="28"/>
  </cols>
  <sheetData>
    <row r="1" spans="1:41" ht="11.65" customHeight="1" x14ac:dyDescent="0.2">
      <c r="A1" s="26"/>
      <c r="B1" s="217"/>
      <c r="C1" s="217"/>
      <c r="D1" s="217"/>
      <c r="E1" s="217"/>
      <c r="F1" s="217"/>
      <c r="G1" s="217"/>
      <c r="H1" s="217"/>
      <c r="I1" s="217"/>
      <c r="J1" s="217"/>
      <c r="K1" s="27"/>
      <c r="L1" s="650" t="s">
        <v>279</v>
      </c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6"/>
      <c r="AF1" s="657"/>
      <c r="AG1" s="657"/>
      <c r="AH1" s="657"/>
      <c r="AI1" s="657"/>
      <c r="AJ1" s="657"/>
      <c r="AK1" s="657"/>
      <c r="AL1" s="657"/>
      <c r="AM1" s="657"/>
      <c r="AN1" s="658"/>
    </row>
    <row r="2" spans="1:41" ht="11.65" customHeight="1" x14ac:dyDescent="0.2">
      <c r="A2" s="29"/>
      <c r="B2" s="218"/>
      <c r="C2" s="218"/>
      <c r="D2" s="218"/>
      <c r="E2" s="218"/>
      <c r="F2" s="218"/>
      <c r="G2" s="218"/>
      <c r="H2" s="218"/>
      <c r="I2" s="218"/>
      <c r="J2" s="218"/>
      <c r="K2" s="30"/>
      <c r="L2" s="652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9"/>
      <c r="AF2" s="660"/>
      <c r="AG2" s="660"/>
      <c r="AH2" s="660"/>
      <c r="AI2" s="660"/>
      <c r="AJ2" s="660"/>
      <c r="AK2" s="660"/>
      <c r="AL2" s="660"/>
      <c r="AM2" s="660"/>
      <c r="AN2" s="661"/>
    </row>
    <row r="3" spans="1:41" ht="11.65" customHeight="1" x14ac:dyDescent="0.2">
      <c r="A3" s="29"/>
      <c r="B3" s="218"/>
      <c r="C3" s="218"/>
      <c r="D3" s="218"/>
      <c r="E3" s="218"/>
      <c r="F3" s="218"/>
      <c r="G3" s="218"/>
      <c r="H3" s="218"/>
      <c r="I3" s="218"/>
      <c r="J3" s="218"/>
      <c r="K3" s="30"/>
      <c r="L3" s="652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653"/>
      <c r="AA3" s="653"/>
      <c r="AB3" s="653"/>
      <c r="AC3" s="653"/>
      <c r="AD3" s="653"/>
      <c r="AE3" s="659"/>
      <c r="AF3" s="660"/>
      <c r="AG3" s="660"/>
      <c r="AH3" s="660"/>
      <c r="AI3" s="660"/>
      <c r="AJ3" s="660"/>
      <c r="AK3" s="660"/>
      <c r="AL3" s="660"/>
      <c r="AM3" s="660"/>
      <c r="AN3" s="661"/>
    </row>
    <row r="4" spans="1:41" ht="11.65" customHeight="1" x14ac:dyDescent="0.2">
      <c r="A4" s="29"/>
      <c r="B4" s="218"/>
      <c r="C4" s="218"/>
      <c r="D4" s="218"/>
      <c r="E4" s="218"/>
      <c r="F4" s="218"/>
      <c r="G4" s="218"/>
      <c r="H4" s="218"/>
      <c r="I4" s="218"/>
      <c r="J4" s="218"/>
      <c r="K4" s="30"/>
      <c r="L4" s="652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3"/>
      <c r="AB4" s="653"/>
      <c r="AC4" s="653"/>
      <c r="AD4" s="653"/>
      <c r="AE4" s="659"/>
      <c r="AF4" s="660"/>
      <c r="AG4" s="660"/>
      <c r="AH4" s="660"/>
      <c r="AI4" s="660"/>
      <c r="AJ4" s="660"/>
      <c r="AK4" s="660"/>
      <c r="AL4" s="660"/>
      <c r="AM4" s="660"/>
      <c r="AN4" s="661"/>
    </row>
    <row r="5" spans="1:41" ht="11.65" customHeight="1" x14ac:dyDescent="0.2">
      <c r="A5" s="662" t="s">
        <v>0</v>
      </c>
      <c r="B5" s="663"/>
      <c r="C5" s="663"/>
      <c r="D5" s="663"/>
      <c r="E5" s="663"/>
      <c r="F5" s="663"/>
      <c r="G5" s="663"/>
      <c r="H5" s="663"/>
      <c r="I5" s="663"/>
      <c r="J5" s="663"/>
      <c r="K5" s="664"/>
      <c r="L5" s="652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  <c r="Y5" s="653"/>
      <c r="Z5" s="653"/>
      <c r="AA5" s="653"/>
      <c r="AB5" s="653"/>
      <c r="AC5" s="653"/>
      <c r="AD5" s="653"/>
      <c r="AE5" s="665" t="s">
        <v>1</v>
      </c>
      <c r="AF5" s="666"/>
      <c r="AG5" s="666"/>
      <c r="AH5" s="666"/>
      <c r="AI5" s="666"/>
      <c r="AJ5" s="666"/>
      <c r="AK5" s="666"/>
      <c r="AL5" s="666"/>
      <c r="AM5" s="666"/>
      <c r="AN5" s="667"/>
    </row>
    <row r="6" spans="1:41" ht="11.65" customHeight="1" x14ac:dyDescent="0.2">
      <c r="A6" s="662"/>
      <c r="B6" s="663"/>
      <c r="C6" s="663"/>
      <c r="D6" s="663"/>
      <c r="E6" s="663"/>
      <c r="F6" s="663"/>
      <c r="G6" s="663"/>
      <c r="H6" s="663"/>
      <c r="I6" s="663"/>
      <c r="J6" s="663"/>
      <c r="K6" s="664"/>
      <c r="L6" s="654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68"/>
      <c r="AF6" s="669"/>
      <c r="AG6" s="669"/>
      <c r="AH6" s="669"/>
      <c r="AI6" s="669"/>
      <c r="AJ6" s="669"/>
      <c r="AK6" s="669"/>
      <c r="AL6" s="669"/>
      <c r="AM6" s="669"/>
      <c r="AN6" s="670"/>
    </row>
    <row r="7" spans="1:41" ht="11.65" customHeight="1" x14ac:dyDescent="0.2">
      <c r="A7" s="671" t="s">
        <v>2</v>
      </c>
      <c r="B7" s="672"/>
      <c r="C7" s="672"/>
      <c r="D7" s="672"/>
      <c r="E7" s="672"/>
      <c r="F7" s="672"/>
      <c r="G7" s="672"/>
      <c r="H7" s="672"/>
      <c r="I7" s="672"/>
      <c r="J7" s="672"/>
      <c r="K7" s="673"/>
      <c r="L7" s="677" t="s">
        <v>281</v>
      </c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  <c r="AB7" s="678"/>
      <c r="AC7" s="678"/>
      <c r="AD7" s="678"/>
      <c r="AE7" s="683" t="s">
        <v>3</v>
      </c>
      <c r="AF7" s="672"/>
      <c r="AG7" s="672"/>
      <c r="AH7" s="672"/>
      <c r="AI7" s="672"/>
      <c r="AJ7" s="672"/>
      <c r="AK7" s="672"/>
      <c r="AL7" s="672"/>
      <c r="AM7" s="672"/>
      <c r="AN7" s="684"/>
    </row>
    <row r="8" spans="1:41" ht="11.65" customHeight="1" x14ac:dyDescent="0.2">
      <c r="A8" s="674"/>
      <c r="B8" s="675"/>
      <c r="C8" s="675"/>
      <c r="D8" s="675"/>
      <c r="E8" s="675"/>
      <c r="F8" s="675"/>
      <c r="G8" s="675"/>
      <c r="H8" s="675"/>
      <c r="I8" s="675"/>
      <c r="J8" s="675"/>
      <c r="K8" s="676"/>
      <c r="L8" s="679"/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  <c r="Y8" s="680"/>
      <c r="Z8" s="680"/>
      <c r="AA8" s="680"/>
      <c r="AB8" s="680"/>
      <c r="AC8" s="680"/>
      <c r="AD8" s="680"/>
      <c r="AE8" s="685"/>
      <c r="AF8" s="675"/>
      <c r="AG8" s="675"/>
      <c r="AH8" s="675"/>
      <c r="AI8" s="675"/>
      <c r="AJ8" s="675"/>
      <c r="AK8" s="675"/>
      <c r="AL8" s="675"/>
      <c r="AM8" s="675"/>
      <c r="AN8" s="686"/>
    </row>
    <row r="9" spans="1:41" s="31" customFormat="1" ht="11.65" customHeight="1" x14ac:dyDescent="0.2">
      <c r="A9" s="674"/>
      <c r="B9" s="675"/>
      <c r="C9" s="675"/>
      <c r="D9" s="675"/>
      <c r="E9" s="675"/>
      <c r="F9" s="675"/>
      <c r="G9" s="675"/>
      <c r="H9" s="675"/>
      <c r="I9" s="675"/>
      <c r="J9" s="675"/>
      <c r="K9" s="676"/>
      <c r="L9" s="681"/>
      <c r="M9" s="682"/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7"/>
      <c r="AF9" s="688"/>
      <c r="AG9" s="688"/>
      <c r="AH9" s="688"/>
      <c r="AI9" s="688"/>
      <c r="AJ9" s="688"/>
      <c r="AK9" s="688"/>
      <c r="AL9" s="688"/>
      <c r="AM9" s="688"/>
      <c r="AN9" s="689"/>
    </row>
    <row r="10" spans="1:41" ht="11.65" customHeight="1" x14ac:dyDescent="0.2">
      <c r="A10" s="698" t="s">
        <v>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700"/>
      <c r="L10" s="692" t="s">
        <v>5</v>
      </c>
      <c r="M10" s="692"/>
      <c r="N10" s="692"/>
      <c r="O10" s="692"/>
      <c r="P10" s="692" t="s">
        <v>6</v>
      </c>
      <c r="Q10" s="692"/>
      <c r="R10" s="692"/>
      <c r="S10" s="692" t="s">
        <v>7</v>
      </c>
      <c r="T10" s="692"/>
      <c r="U10" s="692"/>
      <c r="V10" s="692" t="s">
        <v>8</v>
      </c>
      <c r="W10" s="692"/>
      <c r="X10" s="692"/>
      <c r="Y10" s="692" t="s">
        <v>9</v>
      </c>
      <c r="Z10" s="692"/>
      <c r="AA10" s="692"/>
      <c r="AB10" s="692" t="s">
        <v>10</v>
      </c>
      <c r="AC10" s="692"/>
      <c r="AD10" s="692"/>
      <c r="AE10" s="693" t="s">
        <v>40</v>
      </c>
      <c r="AF10" s="693"/>
      <c r="AG10" s="693"/>
      <c r="AH10" s="693"/>
      <c r="AI10" s="693"/>
      <c r="AJ10" s="693"/>
      <c r="AK10" s="693"/>
      <c r="AL10" s="693"/>
      <c r="AM10" s="693"/>
      <c r="AN10" s="694"/>
    </row>
    <row r="11" spans="1:41" ht="11.65" customHeight="1" thickBot="1" x14ac:dyDescent="0.25">
      <c r="A11" s="701"/>
      <c r="B11" s="702"/>
      <c r="C11" s="702"/>
      <c r="D11" s="702"/>
      <c r="E11" s="702"/>
      <c r="F11" s="702"/>
      <c r="G11" s="702"/>
      <c r="H11" s="702"/>
      <c r="I11" s="702"/>
      <c r="J11" s="702"/>
      <c r="K11" s="703"/>
      <c r="L11" s="697">
        <v>91215</v>
      </c>
      <c r="M11" s="697"/>
      <c r="N11" s="697"/>
      <c r="O11" s="697"/>
      <c r="P11" s="697" t="s">
        <v>280</v>
      </c>
      <c r="Q11" s="697"/>
      <c r="R11" s="697"/>
      <c r="S11" s="697" t="s">
        <v>11</v>
      </c>
      <c r="T11" s="697"/>
      <c r="U11" s="697"/>
      <c r="V11" s="697" t="s">
        <v>12</v>
      </c>
      <c r="W11" s="697"/>
      <c r="X11" s="697"/>
      <c r="Y11" s="697">
        <v>463</v>
      </c>
      <c r="Z11" s="697"/>
      <c r="AA11" s="697"/>
      <c r="AB11" s="697" t="s">
        <v>13</v>
      </c>
      <c r="AC11" s="697"/>
      <c r="AD11" s="697"/>
      <c r="AE11" s="695"/>
      <c r="AF11" s="695"/>
      <c r="AG11" s="695"/>
      <c r="AH11" s="695"/>
      <c r="AI11" s="695"/>
      <c r="AJ11" s="695"/>
      <c r="AK11" s="695"/>
      <c r="AL11" s="695"/>
      <c r="AM11" s="695"/>
      <c r="AN11" s="696"/>
    </row>
    <row r="12" spans="1:41" ht="11.65" customHeight="1" thickBot="1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2"/>
      <c r="V12" s="12"/>
      <c r="W12" s="13"/>
      <c r="X12" s="14"/>
      <c r="Y12" s="14"/>
      <c r="Z12" s="14"/>
      <c r="AA12" s="14"/>
      <c r="AB12" s="14"/>
      <c r="AC12" s="11"/>
      <c r="AD12" s="12"/>
      <c r="AE12" s="12"/>
      <c r="AF12" s="14"/>
      <c r="AG12" s="14"/>
      <c r="AH12" s="14"/>
      <c r="AI12" s="14"/>
      <c r="AJ12" s="14"/>
      <c r="AK12" s="14"/>
      <c r="AL12" s="15"/>
      <c r="AM12" s="12"/>
      <c r="AN12" s="10"/>
    </row>
    <row r="13" spans="1:41" ht="15" customHeight="1" x14ac:dyDescent="0.2">
      <c r="A13" s="704" t="s">
        <v>291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705"/>
      <c r="W13" s="705"/>
      <c r="X13" s="705"/>
      <c r="Y13" s="705"/>
      <c r="Z13" s="705"/>
      <c r="AA13" s="705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/>
      <c r="AN13" s="706"/>
      <c r="AO13" s="50"/>
    </row>
    <row r="14" spans="1:41" ht="15" customHeight="1" thickBot="1" x14ac:dyDescent="0.25">
      <c r="A14" s="707" t="s">
        <v>285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/>
      <c r="O14" s="708"/>
      <c r="P14" s="708"/>
      <c r="Q14" s="708"/>
      <c r="R14" s="708"/>
      <c r="S14" s="708"/>
      <c r="T14" s="708"/>
      <c r="U14" s="708"/>
      <c r="V14" s="708"/>
      <c r="W14" s="708"/>
      <c r="X14" s="708"/>
      <c r="Y14" s="708"/>
      <c r="Z14" s="708"/>
      <c r="AA14" s="708"/>
      <c r="AB14" s="708"/>
      <c r="AC14" s="708"/>
      <c r="AD14" s="708"/>
      <c r="AE14" s="708"/>
      <c r="AF14" s="708"/>
      <c r="AG14" s="708"/>
      <c r="AH14" s="708"/>
      <c r="AI14" s="708"/>
      <c r="AJ14" s="708"/>
      <c r="AK14" s="708"/>
      <c r="AL14" s="708"/>
      <c r="AM14" s="708"/>
      <c r="AN14" s="709"/>
      <c r="AO14" s="62"/>
    </row>
    <row r="15" spans="1:41" ht="15" customHeight="1" thickBot="1" x14ac:dyDescent="0.2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62"/>
    </row>
    <row r="16" spans="1:41" ht="12.95" customHeight="1" x14ac:dyDescent="0.2">
      <c r="A16" s="247"/>
      <c r="B16" s="248"/>
      <c r="C16" s="249"/>
      <c r="D16" s="249"/>
      <c r="E16" s="249"/>
      <c r="F16" s="249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50"/>
      <c r="U16" s="251"/>
      <c r="V16" s="251"/>
      <c r="W16" s="252"/>
      <c r="X16" s="253"/>
      <c r="Y16" s="253"/>
      <c r="Z16" s="253"/>
      <c r="AA16" s="253"/>
      <c r="AB16" s="253"/>
      <c r="AC16" s="250"/>
      <c r="AD16" s="251"/>
      <c r="AE16" s="251"/>
      <c r="AF16" s="253"/>
      <c r="AG16" s="253"/>
      <c r="AH16" s="253"/>
      <c r="AI16" s="253"/>
      <c r="AJ16" s="253"/>
      <c r="AK16" s="253"/>
      <c r="AL16" s="254"/>
      <c r="AM16" s="251"/>
      <c r="AN16" s="255"/>
      <c r="AO16" s="62"/>
    </row>
    <row r="17" spans="1:53" ht="12.95" customHeight="1" x14ac:dyDescent="0.2">
      <c r="A17" s="256" t="s">
        <v>46</v>
      </c>
      <c r="B17" s="40" t="s">
        <v>47</v>
      </c>
      <c r="C17" s="41"/>
      <c r="D17" s="41"/>
      <c r="E17" s="227"/>
      <c r="F17" s="42"/>
      <c r="G17" s="42"/>
      <c r="H17" s="42"/>
      <c r="I17" s="43"/>
      <c r="J17" s="42"/>
      <c r="K17" s="44"/>
      <c r="L17" s="44"/>
      <c r="M17" s="42"/>
      <c r="N17" s="42"/>
      <c r="O17" s="45"/>
      <c r="P17" s="42"/>
      <c r="Q17" s="42"/>
      <c r="R17" s="42"/>
      <c r="S17" s="42"/>
      <c r="T17" s="46"/>
      <c r="U17" s="40" t="s">
        <v>48</v>
      </c>
      <c r="V17" s="47"/>
      <c r="W17" s="47"/>
      <c r="X17" s="48"/>
      <c r="Y17" s="48"/>
      <c r="Z17" s="49"/>
      <c r="AA17" s="49"/>
      <c r="AB17" s="49"/>
      <c r="AC17" s="49"/>
      <c r="AD17" s="49"/>
      <c r="AE17" s="49"/>
      <c r="AF17" s="49"/>
      <c r="AG17" s="49"/>
      <c r="AH17" s="49"/>
      <c r="AI17" s="49" t="s">
        <v>33</v>
      </c>
      <c r="AJ17" s="49"/>
      <c r="AK17" s="49"/>
      <c r="AL17" s="49"/>
      <c r="AM17" s="43"/>
      <c r="AN17" s="257"/>
      <c r="AO17" s="77"/>
    </row>
    <row r="18" spans="1:53" ht="12.95" customHeight="1" x14ac:dyDescent="0.2">
      <c r="A18" s="258" t="s">
        <v>49</v>
      </c>
      <c r="B18" s="51" t="s">
        <v>50</v>
      </c>
      <c r="C18" s="52"/>
      <c r="D18" s="52"/>
      <c r="E18" s="228"/>
      <c r="F18" s="53"/>
      <c r="G18" s="53"/>
      <c r="H18" s="53"/>
      <c r="I18" s="54"/>
      <c r="J18" s="53"/>
      <c r="K18" s="55"/>
      <c r="L18" s="55"/>
      <c r="M18" s="53"/>
      <c r="N18" s="53"/>
      <c r="O18" s="56"/>
      <c r="P18" s="53"/>
      <c r="Q18" s="53"/>
      <c r="R18" s="53"/>
      <c r="S18" s="53"/>
      <c r="T18" s="57"/>
      <c r="U18" s="58" t="s">
        <v>51</v>
      </c>
      <c r="V18" s="59"/>
      <c r="W18" s="59"/>
      <c r="X18" s="59"/>
      <c r="Y18" s="59"/>
      <c r="Z18" s="60"/>
      <c r="AA18" s="61"/>
      <c r="AB18" s="60"/>
      <c r="AC18" s="60"/>
      <c r="AD18" s="60"/>
      <c r="AE18" s="61"/>
      <c r="AF18" s="60"/>
      <c r="AG18" s="60"/>
      <c r="AH18" s="61"/>
      <c r="AI18" s="60" t="s">
        <v>33</v>
      </c>
      <c r="AJ18" s="60"/>
      <c r="AK18" s="60"/>
      <c r="AL18" s="56"/>
      <c r="AM18" s="62"/>
      <c r="AN18" s="259"/>
    </row>
    <row r="19" spans="1:53" ht="12.95" customHeight="1" x14ac:dyDescent="0.2">
      <c r="A19" s="258" t="s">
        <v>52</v>
      </c>
      <c r="B19" s="51" t="s">
        <v>53</v>
      </c>
      <c r="C19" s="52"/>
      <c r="D19" s="52"/>
      <c r="E19" s="228"/>
      <c r="F19" s="53"/>
      <c r="G19" s="53"/>
      <c r="H19" s="53"/>
      <c r="I19" s="54"/>
      <c r="J19" s="63"/>
      <c r="K19" s="55"/>
      <c r="L19" s="55"/>
      <c r="M19" s="53"/>
      <c r="N19" s="53"/>
      <c r="O19" s="56"/>
      <c r="P19" s="53"/>
      <c r="Q19" s="53"/>
      <c r="R19" s="53"/>
      <c r="S19" s="53"/>
      <c r="T19" s="57"/>
      <c r="U19" s="58" t="s">
        <v>54</v>
      </c>
      <c r="V19" s="64"/>
      <c r="W19" s="64"/>
      <c r="X19" s="65"/>
      <c r="Y19" s="64"/>
      <c r="Z19" s="60"/>
      <c r="AA19" s="66"/>
      <c r="AB19" s="66"/>
      <c r="AC19" s="66"/>
      <c r="AD19" s="66"/>
      <c r="AE19" s="66"/>
      <c r="AF19" s="66"/>
      <c r="AG19" s="66"/>
      <c r="AH19" s="66"/>
      <c r="AI19" s="60" t="s">
        <v>33</v>
      </c>
      <c r="AJ19" s="53"/>
      <c r="AK19" s="53"/>
      <c r="AL19" s="56"/>
      <c r="AM19" s="62"/>
      <c r="AN19" s="259"/>
      <c r="AO19" s="216"/>
    </row>
    <row r="20" spans="1:53" ht="12.95" customHeight="1" x14ac:dyDescent="0.2">
      <c r="A20" s="258" t="s">
        <v>55</v>
      </c>
      <c r="B20" s="67" t="s">
        <v>56</v>
      </c>
      <c r="C20" s="68"/>
      <c r="D20" s="68"/>
      <c r="E20" s="68"/>
      <c r="F20" s="69" t="s">
        <v>57</v>
      </c>
      <c r="G20" s="70"/>
      <c r="H20" s="70"/>
      <c r="I20" s="70"/>
      <c r="J20" s="71"/>
      <c r="K20" s="72"/>
      <c r="L20" s="72"/>
      <c r="M20" s="70"/>
      <c r="N20" s="70"/>
      <c r="O20" s="73"/>
      <c r="P20" s="70"/>
      <c r="Q20" s="70"/>
      <c r="R20" s="70"/>
      <c r="S20" s="70"/>
      <c r="T20" s="74"/>
      <c r="U20" s="58"/>
      <c r="V20" s="64"/>
      <c r="W20" s="64"/>
      <c r="X20" s="64"/>
      <c r="Y20" s="65"/>
      <c r="Z20" s="70"/>
      <c r="AA20" s="70"/>
      <c r="AB20" s="70"/>
      <c r="AC20" s="69"/>
      <c r="AD20" s="75"/>
      <c r="AE20" s="76"/>
      <c r="AF20" s="70"/>
      <c r="AG20" s="70"/>
      <c r="AH20" s="76"/>
      <c r="AI20" s="70"/>
      <c r="AJ20" s="70"/>
      <c r="AK20" s="70"/>
      <c r="AL20" s="73"/>
      <c r="AM20" s="77"/>
      <c r="AN20" s="260"/>
      <c r="AO20" s="221"/>
    </row>
    <row r="21" spans="1:53" ht="12.95" customHeight="1" x14ac:dyDescent="0.2">
      <c r="A21" s="261"/>
      <c r="B21" s="710" t="s">
        <v>58</v>
      </c>
      <c r="C21" s="711"/>
      <c r="D21" s="711"/>
      <c r="E21" s="711"/>
      <c r="F21" s="711"/>
      <c r="G21" s="711"/>
      <c r="H21" s="711"/>
      <c r="I21" s="711"/>
      <c r="J21" s="711"/>
      <c r="K21" s="711"/>
      <c r="L21" s="711"/>
      <c r="M21" s="711"/>
      <c r="N21" s="711"/>
      <c r="O21" s="711"/>
      <c r="P21" s="711"/>
      <c r="Q21" s="711"/>
      <c r="R21" s="711"/>
      <c r="S21" s="711"/>
      <c r="T21" s="711"/>
      <c r="U21" s="711"/>
      <c r="V21" s="711"/>
      <c r="W21" s="711"/>
      <c r="X21" s="711"/>
      <c r="Y21" s="711"/>
      <c r="Z21" s="711"/>
      <c r="AA21" s="711"/>
      <c r="AB21" s="711"/>
      <c r="AC21" s="711"/>
      <c r="AD21" s="711"/>
      <c r="AE21" s="711"/>
      <c r="AF21" s="711"/>
      <c r="AG21" s="711"/>
      <c r="AH21" s="711"/>
      <c r="AI21" s="711"/>
      <c r="AJ21" s="711"/>
      <c r="AK21" s="711"/>
      <c r="AL21" s="711"/>
      <c r="AM21" s="711"/>
      <c r="AN21" s="712"/>
      <c r="AO21" s="221"/>
    </row>
    <row r="22" spans="1:53" ht="12.95" customHeight="1" x14ac:dyDescent="0.2">
      <c r="A22" s="262" t="s">
        <v>45</v>
      </c>
      <c r="B22" s="78" t="s">
        <v>59</v>
      </c>
      <c r="C22" s="79"/>
      <c r="D22" s="79"/>
      <c r="E22" s="79"/>
      <c r="F22" s="79"/>
      <c r="G22" s="80"/>
      <c r="H22" s="79"/>
      <c r="I22" s="63"/>
      <c r="J22" s="713"/>
      <c r="K22" s="713"/>
      <c r="L22" s="713"/>
      <c r="M22" s="713"/>
      <c r="N22" s="713"/>
      <c r="O22" s="713"/>
      <c r="P22" s="713"/>
      <c r="Q22" s="713"/>
      <c r="R22" s="713"/>
      <c r="S22" s="713"/>
      <c r="T22" s="714"/>
      <c r="U22" s="81" t="s">
        <v>60</v>
      </c>
      <c r="V22" s="79"/>
      <c r="W22" s="79"/>
      <c r="X22" s="80"/>
      <c r="Y22" s="79"/>
      <c r="Z22" s="63"/>
      <c r="AA22" s="63"/>
      <c r="AB22" s="82" t="s">
        <v>61</v>
      </c>
      <c r="AC22" s="83"/>
      <c r="AD22" s="215" t="s">
        <v>33</v>
      </c>
      <c r="AE22" s="215"/>
      <c r="AF22" s="215"/>
      <c r="AG22" s="215"/>
      <c r="AH22" s="215"/>
      <c r="AI22" s="215"/>
      <c r="AJ22" s="215"/>
      <c r="AK22" s="215"/>
      <c r="AL22" s="215"/>
      <c r="AM22" s="215"/>
      <c r="AN22" s="263"/>
      <c r="AO22" s="221"/>
    </row>
    <row r="23" spans="1:53" ht="12.95" customHeight="1" x14ac:dyDescent="0.2">
      <c r="A23" s="262" t="s">
        <v>62</v>
      </c>
      <c r="B23" s="78" t="s">
        <v>63</v>
      </c>
      <c r="C23" s="79"/>
      <c r="D23" s="79"/>
      <c r="E23" s="79"/>
      <c r="F23" s="80"/>
      <c r="G23" s="79"/>
      <c r="H23" s="84" t="s">
        <v>64</v>
      </c>
      <c r="I23" s="63"/>
      <c r="J23" s="715"/>
      <c r="K23" s="715"/>
      <c r="L23" s="715"/>
      <c r="M23" s="715"/>
      <c r="N23" s="715"/>
      <c r="O23" s="715"/>
      <c r="P23" s="715"/>
      <c r="Q23" s="715"/>
      <c r="R23" s="715"/>
      <c r="S23" s="715"/>
      <c r="T23" s="716"/>
      <c r="U23" s="81" t="s">
        <v>278</v>
      </c>
      <c r="V23" s="79"/>
      <c r="W23" s="79"/>
      <c r="X23" s="79"/>
      <c r="Y23" s="79"/>
      <c r="Z23" s="79"/>
      <c r="AA23" s="79"/>
      <c r="AB23" s="85" t="s">
        <v>66</v>
      </c>
      <c r="AC23" s="86"/>
      <c r="AD23" s="220" t="s">
        <v>44</v>
      </c>
      <c r="AE23" s="220"/>
      <c r="AF23" s="220"/>
      <c r="AG23" s="220"/>
      <c r="AH23" s="220"/>
      <c r="AI23" s="220"/>
      <c r="AJ23" s="220"/>
      <c r="AK23" s="220"/>
      <c r="AL23" s="220"/>
      <c r="AM23" s="220"/>
      <c r="AN23" s="264"/>
      <c r="AO23" s="223"/>
    </row>
    <row r="24" spans="1:53" ht="12.95" customHeight="1" x14ac:dyDescent="0.2">
      <c r="A24" s="262" t="s">
        <v>67</v>
      </c>
      <c r="B24" s="78" t="s">
        <v>68</v>
      </c>
      <c r="C24" s="79"/>
      <c r="D24" s="79"/>
      <c r="E24" s="79"/>
      <c r="F24" s="79"/>
      <c r="G24" s="79"/>
      <c r="H24" s="82" t="s">
        <v>69</v>
      </c>
      <c r="I24" s="63"/>
      <c r="J24" s="690" t="s">
        <v>70</v>
      </c>
      <c r="K24" s="690"/>
      <c r="L24" s="690"/>
      <c r="M24" s="690"/>
      <c r="N24" s="690"/>
      <c r="O24" s="690"/>
      <c r="P24" s="690"/>
      <c r="Q24" s="690"/>
      <c r="R24" s="690"/>
      <c r="S24" s="690"/>
      <c r="T24" s="691"/>
      <c r="U24" s="81" t="s">
        <v>71</v>
      </c>
      <c r="V24" s="79"/>
      <c r="W24" s="79"/>
      <c r="X24" s="79"/>
      <c r="Y24" s="79"/>
      <c r="Z24" s="80"/>
      <c r="AA24" s="79"/>
      <c r="AB24" s="63"/>
      <c r="AC24" s="86"/>
      <c r="AD24" s="220" t="s">
        <v>65</v>
      </c>
      <c r="AE24" s="220"/>
      <c r="AF24" s="220"/>
      <c r="AG24" s="220"/>
      <c r="AH24" s="220"/>
      <c r="AI24" s="220"/>
      <c r="AJ24" s="220"/>
      <c r="AK24" s="220"/>
      <c r="AL24" s="220"/>
      <c r="AM24" s="220"/>
      <c r="AN24" s="264"/>
      <c r="AO24" s="35"/>
    </row>
    <row r="25" spans="1:53" ht="12.95" customHeight="1" x14ac:dyDescent="0.2">
      <c r="A25" s="265" t="s">
        <v>72</v>
      </c>
      <c r="B25" s="78" t="s">
        <v>73</v>
      </c>
      <c r="C25" s="79"/>
      <c r="D25" s="87"/>
      <c r="E25" s="79"/>
      <c r="F25" s="79"/>
      <c r="G25" s="79"/>
      <c r="H25" s="82" t="s">
        <v>74</v>
      </c>
      <c r="I25" s="63"/>
      <c r="J25" s="719" t="s">
        <v>33</v>
      </c>
      <c r="K25" s="719"/>
      <c r="L25" s="719"/>
      <c r="M25" s="719"/>
      <c r="N25" s="719"/>
      <c r="O25" s="719"/>
      <c r="P25" s="719"/>
      <c r="Q25" s="719"/>
      <c r="R25" s="719"/>
      <c r="S25" s="719"/>
      <c r="T25" s="720"/>
      <c r="U25" s="81" t="s">
        <v>75</v>
      </c>
      <c r="V25" s="87"/>
      <c r="W25" s="79"/>
      <c r="X25" s="79"/>
      <c r="Y25" s="79"/>
      <c r="Z25" s="63"/>
      <c r="AA25" s="63"/>
      <c r="AB25" s="82" t="s">
        <v>76</v>
      </c>
      <c r="AC25" s="88"/>
      <c r="AD25" s="220" t="s">
        <v>65</v>
      </c>
      <c r="AE25" s="220"/>
      <c r="AF25" s="220"/>
      <c r="AG25" s="220"/>
      <c r="AH25" s="220"/>
      <c r="AI25" s="220"/>
      <c r="AJ25" s="220"/>
      <c r="AK25" s="220"/>
      <c r="AL25" s="220"/>
      <c r="AM25" s="220"/>
      <c r="AN25" s="264"/>
      <c r="AO25" s="219"/>
    </row>
    <row r="26" spans="1:53" ht="12.95" customHeight="1" x14ac:dyDescent="0.2">
      <c r="A26" s="265" t="s">
        <v>77</v>
      </c>
      <c r="B26" s="78" t="s">
        <v>78</v>
      </c>
      <c r="C26" s="79"/>
      <c r="D26" s="79"/>
      <c r="E26" s="79"/>
      <c r="F26" s="79"/>
      <c r="G26" s="79"/>
      <c r="H26" s="89" t="s">
        <v>79</v>
      </c>
      <c r="I26" s="63"/>
      <c r="J26" s="721" t="s">
        <v>80</v>
      </c>
      <c r="K26" s="721"/>
      <c r="L26" s="721"/>
      <c r="M26" s="721"/>
      <c r="N26" s="721"/>
      <c r="O26" s="721"/>
      <c r="P26" s="721"/>
      <c r="Q26" s="721"/>
      <c r="R26" s="721"/>
      <c r="S26" s="721"/>
      <c r="T26" s="722"/>
      <c r="U26" s="81" t="s">
        <v>81</v>
      </c>
      <c r="V26" s="81"/>
      <c r="W26" s="79"/>
      <c r="X26" s="79"/>
      <c r="Y26" s="79"/>
      <c r="Z26" s="79"/>
      <c r="AA26" s="80"/>
      <c r="AB26" s="90"/>
      <c r="AC26" s="91"/>
      <c r="AD26" s="222" t="s">
        <v>82</v>
      </c>
      <c r="AE26" s="222"/>
      <c r="AF26" s="222"/>
      <c r="AG26" s="222"/>
      <c r="AH26" s="222"/>
      <c r="AI26" s="222" t="s">
        <v>83</v>
      </c>
      <c r="AJ26" s="222"/>
      <c r="AK26" s="222"/>
      <c r="AL26" s="222"/>
      <c r="AM26" s="222"/>
      <c r="AN26" s="266"/>
      <c r="AO26" s="214"/>
    </row>
    <row r="27" spans="1:53" ht="12.95" customHeight="1" x14ac:dyDescent="0.2">
      <c r="A27" s="258"/>
      <c r="B27" s="710" t="s">
        <v>84</v>
      </c>
      <c r="C27" s="711"/>
      <c r="D27" s="711"/>
      <c r="E27" s="711"/>
      <c r="F27" s="711"/>
      <c r="G27" s="711"/>
      <c r="H27" s="711"/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Y27" s="711"/>
      <c r="Z27" s="711"/>
      <c r="AA27" s="711"/>
      <c r="AB27" s="711"/>
      <c r="AC27" s="711"/>
      <c r="AD27" s="711"/>
      <c r="AE27" s="711"/>
      <c r="AF27" s="711"/>
      <c r="AG27" s="711"/>
      <c r="AH27" s="711"/>
      <c r="AI27" s="711"/>
      <c r="AJ27" s="711"/>
      <c r="AK27" s="711"/>
      <c r="AL27" s="711"/>
      <c r="AM27" s="711"/>
      <c r="AN27" s="712"/>
      <c r="AO27" s="21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ht="12.95" customHeight="1" x14ac:dyDescent="0.2">
      <c r="A28" s="258" t="s">
        <v>85</v>
      </c>
      <c r="B28" s="78" t="s">
        <v>86</v>
      </c>
      <c r="C28" s="79"/>
      <c r="D28" s="79"/>
      <c r="E28" s="79"/>
      <c r="F28" s="79"/>
      <c r="G28" s="92"/>
      <c r="H28" s="84" t="s">
        <v>64</v>
      </c>
      <c r="I28" s="63"/>
      <c r="J28" s="723"/>
      <c r="K28" s="723"/>
      <c r="L28" s="723"/>
      <c r="M28" s="723"/>
      <c r="N28" s="723"/>
      <c r="O28" s="723"/>
      <c r="P28" s="723"/>
      <c r="Q28" s="723"/>
      <c r="R28" s="723"/>
      <c r="S28" s="723"/>
      <c r="T28" s="724"/>
      <c r="U28" s="93" t="s">
        <v>87</v>
      </c>
      <c r="V28" s="79"/>
      <c r="W28" s="79"/>
      <c r="X28" s="79"/>
      <c r="Y28" s="79"/>
      <c r="Z28" s="80"/>
      <c r="AA28" s="79"/>
      <c r="AB28" s="79"/>
      <c r="AC28" s="63"/>
      <c r="AD28" s="219" t="s">
        <v>88</v>
      </c>
      <c r="AE28" s="219"/>
      <c r="AF28" s="219"/>
      <c r="AG28" s="219"/>
      <c r="AH28" s="219"/>
      <c r="AI28" s="219"/>
      <c r="AJ28" s="219"/>
      <c r="AK28" s="219"/>
      <c r="AL28" s="219"/>
      <c r="AM28" s="219"/>
      <c r="AN28" s="267"/>
      <c r="AO28" s="214"/>
      <c r="AP28" s="37"/>
      <c r="AQ28" s="37"/>
      <c r="AR28" s="37"/>
      <c r="AS28" s="38"/>
      <c r="AT28" s="38"/>
      <c r="AU28" s="38"/>
      <c r="AV28" s="38"/>
      <c r="AW28" s="38"/>
      <c r="AX28" s="38"/>
      <c r="AY28" s="38"/>
      <c r="AZ28" s="38"/>
      <c r="BA28" s="38"/>
    </row>
    <row r="29" spans="1:53" ht="12.95" customHeight="1" x14ac:dyDescent="0.2">
      <c r="A29" s="258" t="s">
        <v>89</v>
      </c>
      <c r="B29" s="78" t="s">
        <v>90</v>
      </c>
      <c r="C29" s="79"/>
      <c r="D29" s="79"/>
      <c r="E29" s="79"/>
      <c r="F29" s="79"/>
      <c r="G29" s="79"/>
      <c r="H29" s="82" t="s">
        <v>69</v>
      </c>
      <c r="I29" s="63"/>
      <c r="J29" s="725"/>
      <c r="K29" s="725"/>
      <c r="L29" s="725"/>
      <c r="M29" s="725"/>
      <c r="N29" s="725"/>
      <c r="O29" s="725"/>
      <c r="P29" s="725"/>
      <c r="Q29" s="725"/>
      <c r="R29" s="725"/>
      <c r="S29" s="725"/>
      <c r="T29" s="726"/>
      <c r="U29" s="78" t="s">
        <v>91</v>
      </c>
      <c r="V29" s="79"/>
      <c r="W29" s="79"/>
      <c r="X29" s="79"/>
      <c r="Y29" s="80"/>
      <c r="Z29" s="79"/>
      <c r="AA29" s="79"/>
      <c r="AB29" s="82" t="s">
        <v>74</v>
      </c>
      <c r="AC29" s="63"/>
      <c r="AD29" s="214" t="s">
        <v>33</v>
      </c>
      <c r="AE29" s="214"/>
      <c r="AF29" s="214"/>
      <c r="AG29" s="214"/>
      <c r="AH29" s="214"/>
      <c r="AI29" s="214"/>
      <c r="AJ29" s="214"/>
      <c r="AK29" s="214"/>
      <c r="AL29" s="214"/>
      <c r="AM29" s="214"/>
      <c r="AN29" s="268"/>
      <c r="AO29" s="214"/>
      <c r="AP29" s="37"/>
      <c r="AQ29" s="37"/>
      <c r="AR29" s="37"/>
      <c r="AS29" s="38"/>
      <c r="AT29" s="38"/>
      <c r="AU29" s="38"/>
      <c r="AV29" s="38"/>
      <c r="AW29" s="38"/>
      <c r="AX29" s="38"/>
      <c r="AY29" s="38"/>
      <c r="AZ29" s="38"/>
      <c r="BA29" s="38"/>
    </row>
    <row r="30" spans="1:53" ht="12.95" customHeight="1" x14ac:dyDescent="0.2">
      <c r="A30" s="258" t="s">
        <v>92</v>
      </c>
      <c r="B30" s="78" t="s">
        <v>93</v>
      </c>
      <c r="C30" s="79"/>
      <c r="D30" s="79"/>
      <c r="E30" s="79"/>
      <c r="F30" s="79"/>
      <c r="G30" s="79"/>
      <c r="H30" s="82" t="s">
        <v>69</v>
      </c>
      <c r="I30" s="63"/>
      <c r="J30" s="727"/>
      <c r="K30" s="727"/>
      <c r="L30" s="727"/>
      <c r="M30" s="727"/>
      <c r="N30" s="727"/>
      <c r="O30" s="727"/>
      <c r="P30" s="727"/>
      <c r="Q30" s="727"/>
      <c r="R30" s="727"/>
      <c r="S30" s="727"/>
      <c r="T30" s="728"/>
      <c r="U30" s="78" t="s">
        <v>94</v>
      </c>
      <c r="V30" s="79"/>
      <c r="W30" s="79"/>
      <c r="X30" s="79"/>
      <c r="Y30" s="79"/>
      <c r="Z30" s="79"/>
      <c r="AA30" s="79"/>
      <c r="AB30" s="82" t="s">
        <v>74</v>
      </c>
      <c r="AC30" s="63"/>
      <c r="AD30" s="214" t="s">
        <v>33</v>
      </c>
      <c r="AE30" s="214"/>
      <c r="AF30" s="214"/>
      <c r="AG30" s="214"/>
      <c r="AH30" s="214"/>
      <c r="AI30" s="214"/>
      <c r="AJ30" s="214"/>
      <c r="AK30" s="214"/>
      <c r="AL30" s="214"/>
      <c r="AM30" s="214"/>
      <c r="AN30" s="268"/>
      <c r="AO30" s="214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4"/>
      <c r="BA30" s="34"/>
    </row>
    <row r="31" spans="1:53" ht="12.95" customHeight="1" x14ac:dyDescent="0.2">
      <c r="A31" s="258" t="s">
        <v>95</v>
      </c>
      <c r="B31" s="78" t="s">
        <v>96</v>
      </c>
      <c r="C31" s="79"/>
      <c r="D31" s="79"/>
      <c r="E31" s="79"/>
      <c r="F31" s="79"/>
      <c r="G31" s="79"/>
      <c r="H31" s="82" t="s">
        <v>97</v>
      </c>
      <c r="I31" s="63"/>
      <c r="J31" s="729" t="s">
        <v>98</v>
      </c>
      <c r="K31" s="729"/>
      <c r="L31" s="729"/>
      <c r="M31" s="729"/>
      <c r="N31" s="729"/>
      <c r="O31" s="729"/>
      <c r="P31" s="729"/>
      <c r="Q31" s="729"/>
      <c r="R31" s="729"/>
      <c r="S31" s="729"/>
      <c r="T31" s="730"/>
      <c r="U31" s="78" t="s">
        <v>99</v>
      </c>
      <c r="V31" s="79"/>
      <c r="W31" s="79"/>
      <c r="X31" s="79"/>
      <c r="Y31" s="79"/>
      <c r="Z31" s="79"/>
      <c r="AA31" s="80"/>
      <c r="AB31" s="82" t="s">
        <v>100</v>
      </c>
      <c r="AC31" s="63"/>
      <c r="AD31" s="214" t="s">
        <v>33</v>
      </c>
      <c r="AE31" s="214"/>
      <c r="AF31" s="214"/>
      <c r="AG31" s="214"/>
      <c r="AH31" s="214"/>
      <c r="AI31" s="214"/>
      <c r="AJ31" s="214"/>
      <c r="AK31" s="214"/>
      <c r="AL31" s="214"/>
      <c r="AM31" s="214"/>
      <c r="AN31" s="268"/>
      <c r="AO31" s="214"/>
    </row>
    <row r="32" spans="1:53" ht="12.95" customHeight="1" x14ac:dyDescent="0.2">
      <c r="A32" s="258" t="s">
        <v>101</v>
      </c>
      <c r="B32" s="78" t="s">
        <v>102</v>
      </c>
      <c r="C32" s="79"/>
      <c r="D32" s="79"/>
      <c r="E32" s="79"/>
      <c r="F32" s="79"/>
      <c r="G32" s="79"/>
      <c r="H32" s="82" t="s">
        <v>103</v>
      </c>
      <c r="I32" s="63"/>
      <c r="J32" s="731" t="s">
        <v>33</v>
      </c>
      <c r="K32" s="731"/>
      <c r="L32" s="731"/>
      <c r="M32" s="731"/>
      <c r="N32" s="731"/>
      <c r="O32" s="731"/>
      <c r="P32" s="731"/>
      <c r="Q32" s="731"/>
      <c r="R32" s="731"/>
      <c r="S32" s="731"/>
      <c r="T32" s="732"/>
      <c r="U32" s="78" t="s">
        <v>104</v>
      </c>
      <c r="V32" s="79"/>
      <c r="W32" s="79"/>
      <c r="X32" s="79"/>
      <c r="Y32" s="79"/>
      <c r="Z32" s="80"/>
      <c r="AA32" s="79"/>
      <c r="AB32" s="82" t="s">
        <v>100</v>
      </c>
      <c r="AC32" s="63"/>
      <c r="AD32" s="214" t="s">
        <v>33</v>
      </c>
      <c r="AE32" s="214"/>
      <c r="AF32" s="214"/>
      <c r="AG32" s="214"/>
      <c r="AH32" s="214"/>
      <c r="AI32" s="214"/>
      <c r="AJ32" s="214"/>
      <c r="AK32" s="214"/>
      <c r="AL32" s="214"/>
      <c r="AM32" s="214"/>
      <c r="AN32" s="268"/>
      <c r="AO32" s="214"/>
    </row>
    <row r="33" spans="1:41" ht="12.95" customHeight="1" x14ac:dyDescent="0.2">
      <c r="A33" s="258" t="s">
        <v>105</v>
      </c>
      <c r="B33" s="78" t="s">
        <v>106</v>
      </c>
      <c r="C33" s="79"/>
      <c r="D33" s="79"/>
      <c r="E33" s="79"/>
      <c r="F33" s="79"/>
      <c r="G33" s="79"/>
      <c r="H33" s="82" t="s">
        <v>103</v>
      </c>
      <c r="I33" s="63"/>
      <c r="J33" s="731" t="s">
        <v>33</v>
      </c>
      <c r="K33" s="731"/>
      <c r="L33" s="731"/>
      <c r="M33" s="731"/>
      <c r="N33" s="731"/>
      <c r="O33" s="731"/>
      <c r="P33" s="731"/>
      <c r="Q33" s="731"/>
      <c r="R33" s="731"/>
      <c r="S33" s="731"/>
      <c r="T33" s="732"/>
      <c r="U33" s="78" t="s">
        <v>107</v>
      </c>
      <c r="V33" s="79"/>
      <c r="W33" s="79"/>
      <c r="X33" s="79"/>
      <c r="Y33" s="79"/>
      <c r="Z33" s="79"/>
      <c r="AA33" s="79"/>
      <c r="AB33" s="82" t="s">
        <v>100</v>
      </c>
      <c r="AC33" s="63"/>
      <c r="AD33" s="214" t="s">
        <v>33</v>
      </c>
      <c r="AE33" s="214"/>
      <c r="AF33" s="214"/>
      <c r="AG33" s="214"/>
      <c r="AH33" s="214"/>
      <c r="AI33" s="214"/>
      <c r="AJ33" s="214"/>
      <c r="AK33" s="214"/>
      <c r="AL33" s="214"/>
      <c r="AM33" s="214"/>
      <c r="AN33" s="268"/>
      <c r="AO33" s="214"/>
    </row>
    <row r="34" spans="1:41" ht="12.95" customHeight="1" x14ac:dyDescent="0.2">
      <c r="A34" s="258" t="s">
        <v>108</v>
      </c>
      <c r="B34" s="78" t="s">
        <v>109</v>
      </c>
      <c r="C34" s="79"/>
      <c r="D34" s="79"/>
      <c r="E34" s="79"/>
      <c r="F34" s="79"/>
      <c r="G34" s="79"/>
      <c r="H34" s="82" t="s">
        <v>103</v>
      </c>
      <c r="I34" s="63"/>
      <c r="J34" s="733" t="s">
        <v>33</v>
      </c>
      <c r="K34" s="733"/>
      <c r="L34" s="733"/>
      <c r="M34" s="733"/>
      <c r="N34" s="733"/>
      <c r="O34" s="733"/>
      <c r="P34" s="733"/>
      <c r="Q34" s="733"/>
      <c r="R34" s="733"/>
      <c r="S34" s="733"/>
      <c r="T34" s="734"/>
      <c r="U34" s="78" t="s">
        <v>110</v>
      </c>
      <c r="V34" s="79"/>
      <c r="W34" s="79"/>
      <c r="X34" s="80"/>
      <c r="Y34" s="79"/>
      <c r="Z34" s="79"/>
      <c r="AA34" s="79"/>
      <c r="AB34" s="82"/>
      <c r="AC34" s="63"/>
      <c r="AD34" s="214" t="s">
        <v>33</v>
      </c>
      <c r="AE34" s="214"/>
      <c r="AF34" s="214"/>
      <c r="AG34" s="214"/>
      <c r="AH34" s="214"/>
      <c r="AI34" s="214"/>
      <c r="AJ34" s="214"/>
      <c r="AK34" s="214"/>
      <c r="AL34" s="214"/>
      <c r="AM34" s="214"/>
      <c r="AN34" s="268"/>
      <c r="AO34" s="214"/>
    </row>
    <row r="35" spans="1:41" ht="12.95" customHeight="1" x14ac:dyDescent="0.2">
      <c r="A35" s="258" t="s">
        <v>111</v>
      </c>
      <c r="B35" s="78" t="s">
        <v>112</v>
      </c>
      <c r="C35" s="79"/>
      <c r="D35" s="79"/>
      <c r="E35" s="79"/>
      <c r="F35" s="79"/>
      <c r="G35" s="80"/>
      <c r="H35" s="82" t="s">
        <v>103</v>
      </c>
      <c r="I35" s="63"/>
      <c r="J35" s="733" t="s">
        <v>33</v>
      </c>
      <c r="K35" s="733"/>
      <c r="L35" s="733"/>
      <c r="M35" s="733"/>
      <c r="N35" s="733"/>
      <c r="O35" s="733"/>
      <c r="P35" s="733"/>
      <c r="Q35" s="733"/>
      <c r="R35" s="733"/>
      <c r="S35" s="733"/>
      <c r="T35" s="734"/>
      <c r="U35" s="94" t="s">
        <v>113</v>
      </c>
      <c r="V35" s="79"/>
      <c r="W35" s="79"/>
      <c r="X35" s="79"/>
      <c r="Y35" s="79"/>
      <c r="Z35" s="79"/>
      <c r="AA35" s="79"/>
      <c r="AB35" s="82" t="s">
        <v>114</v>
      </c>
      <c r="AC35" s="63"/>
      <c r="AD35" s="214" t="s">
        <v>34</v>
      </c>
      <c r="AE35" s="214"/>
      <c r="AF35" s="214"/>
      <c r="AG35" s="214"/>
      <c r="AH35" s="214"/>
      <c r="AI35" s="214"/>
      <c r="AJ35" s="214"/>
      <c r="AK35" s="214"/>
      <c r="AL35" s="214"/>
      <c r="AM35" s="214"/>
      <c r="AN35" s="268"/>
      <c r="AO35" s="213"/>
    </row>
    <row r="36" spans="1:41" ht="12.95" customHeight="1" x14ac:dyDescent="0.2">
      <c r="A36" s="258" t="s">
        <v>115</v>
      </c>
      <c r="B36" s="78" t="s">
        <v>116</v>
      </c>
      <c r="C36" s="79"/>
      <c r="D36" s="79"/>
      <c r="E36" s="79"/>
      <c r="F36" s="79"/>
      <c r="G36" s="79"/>
      <c r="H36" s="82" t="s">
        <v>103</v>
      </c>
      <c r="I36" s="63"/>
      <c r="J36" s="717">
        <v>3.2</v>
      </c>
      <c r="K36" s="717"/>
      <c r="L36" s="717"/>
      <c r="M36" s="717"/>
      <c r="N36" s="717"/>
      <c r="O36" s="717"/>
      <c r="P36" s="717"/>
      <c r="Q36" s="717"/>
      <c r="R36" s="717"/>
      <c r="S36" s="717"/>
      <c r="T36" s="718"/>
      <c r="U36" s="78" t="s">
        <v>117</v>
      </c>
      <c r="V36" s="79"/>
      <c r="W36" s="79"/>
      <c r="X36" s="79"/>
      <c r="Y36" s="79"/>
      <c r="Z36" s="79"/>
      <c r="AA36" s="79"/>
      <c r="AB36" s="82"/>
      <c r="AC36" s="63"/>
      <c r="AD36" s="214" t="s">
        <v>34</v>
      </c>
      <c r="AE36" s="214"/>
      <c r="AF36" s="214"/>
      <c r="AG36" s="214"/>
      <c r="AH36" s="214"/>
      <c r="AI36" s="214"/>
      <c r="AJ36" s="214"/>
      <c r="AK36" s="214"/>
      <c r="AL36" s="214"/>
      <c r="AM36" s="214"/>
      <c r="AN36" s="268"/>
    </row>
    <row r="37" spans="1:41" ht="12.95" customHeight="1" x14ac:dyDescent="0.2">
      <c r="A37" s="258" t="s">
        <v>118</v>
      </c>
      <c r="B37" s="78" t="s">
        <v>119</v>
      </c>
      <c r="C37" s="79"/>
      <c r="D37" s="79"/>
      <c r="E37" s="79"/>
      <c r="F37" s="79"/>
      <c r="G37" s="79"/>
      <c r="H37" s="82"/>
      <c r="I37" s="63"/>
      <c r="J37" s="737" t="s">
        <v>33</v>
      </c>
      <c r="K37" s="737"/>
      <c r="L37" s="737"/>
      <c r="M37" s="737"/>
      <c r="N37" s="737"/>
      <c r="O37" s="737"/>
      <c r="P37" s="737"/>
      <c r="Q37" s="737"/>
      <c r="R37" s="737"/>
      <c r="S37" s="737"/>
      <c r="T37" s="738"/>
      <c r="U37" s="94" t="s">
        <v>120</v>
      </c>
      <c r="V37" s="79"/>
      <c r="W37" s="79"/>
      <c r="X37" s="79"/>
      <c r="Y37" s="86"/>
      <c r="Z37" s="86"/>
      <c r="AA37" s="86"/>
      <c r="AB37" s="82" t="s">
        <v>121</v>
      </c>
      <c r="AC37" s="63"/>
      <c r="AD37" s="229" t="s">
        <v>284</v>
      </c>
      <c r="AE37" s="214"/>
      <c r="AF37" s="214"/>
      <c r="AG37" s="214"/>
      <c r="AH37" s="214"/>
      <c r="AI37" s="214"/>
      <c r="AJ37" s="214"/>
      <c r="AK37" s="214"/>
      <c r="AL37" s="214"/>
      <c r="AM37" s="214"/>
      <c r="AN37" s="268"/>
      <c r="AO37" s="105"/>
    </row>
    <row r="38" spans="1:41" ht="12.95" customHeight="1" x14ac:dyDescent="0.2">
      <c r="A38" s="258" t="s">
        <v>122</v>
      </c>
      <c r="B38" s="78" t="s">
        <v>123</v>
      </c>
      <c r="C38" s="79"/>
      <c r="D38" s="79"/>
      <c r="E38" s="79"/>
      <c r="F38" s="79"/>
      <c r="G38" s="79"/>
      <c r="H38" s="95"/>
      <c r="I38" s="79"/>
      <c r="J38" s="739"/>
      <c r="K38" s="739"/>
      <c r="L38" s="739"/>
      <c r="M38" s="739"/>
      <c r="N38" s="739"/>
      <c r="O38" s="739"/>
      <c r="P38" s="739"/>
      <c r="Q38" s="739"/>
      <c r="R38" s="739"/>
      <c r="S38" s="739"/>
      <c r="T38" s="740"/>
      <c r="U38" s="96" t="s">
        <v>124</v>
      </c>
      <c r="V38" s="79"/>
      <c r="W38" s="79"/>
      <c r="X38" s="79"/>
      <c r="Y38" s="80"/>
      <c r="Z38" s="79"/>
      <c r="AA38" s="79"/>
      <c r="AB38" s="82" t="s">
        <v>103</v>
      </c>
      <c r="AC38" s="63"/>
      <c r="AD38" s="213" t="s">
        <v>125</v>
      </c>
      <c r="AE38" s="213"/>
      <c r="AF38" s="213"/>
      <c r="AG38" s="213"/>
      <c r="AH38" s="213"/>
      <c r="AI38" s="213"/>
      <c r="AJ38" s="213"/>
      <c r="AK38" s="213"/>
      <c r="AL38" s="213"/>
      <c r="AM38" s="213"/>
      <c r="AN38" s="269"/>
    </row>
    <row r="39" spans="1:41" ht="12.95" customHeight="1" x14ac:dyDescent="0.2">
      <c r="A39" s="258"/>
      <c r="B39" s="710" t="s">
        <v>126</v>
      </c>
      <c r="C39" s="711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711"/>
      <c r="R39" s="711"/>
      <c r="S39" s="711"/>
      <c r="T39" s="711"/>
      <c r="U39" s="711"/>
      <c r="V39" s="711"/>
      <c r="W39" s="711"/>
      <c r="X39" s="711"/>
      <c r="Y39" s="711"/>
      <c r="Z39" s="711"/>
      <c r="AA39" s="711"/>
      <c r="AB39" s="711"/>
      <c r="AC39" s="711"/>
      <c r="AD39" s="711"/>
      <c r="AE39" s="711"/>
      <c r="AF39" s="711"/>
      <c r="AG39" s="711"/>
      <c r="AH39" s="711"/>
      <c r="AI39" s="711"/>
      <c r="AJ39" s="711"/>
      <c r="AK39" s="711"/>
      <c r="AL39" s="711"/>
      <c r="AM39" s="711"/>
      <c r="AN39" s="712"/>
      <c r="AO39" s="224"/>
    </row>
    <row r="40" spans="1:41" ht="12.95" customHeight="1" x14ac:dyDescent="0.2">
      <c r="A40" s="258" t="s">
        <v>127</v>
      </c>
      <c r="B40" s="97" t="s">
        <v>128</v>
      </c>
      <c r="C40" s="98"/>
      <c r="D40" s="98"/>
      <c r="E40" s="98"/>
      <c r="F40" s="98"/>
      <c r="G40" s="98"/>
      <c r="H40" s="98"/>
      <c r="I40" s="98"/>
      <c r="J40" s="98" t="s">
        <v>129</v>
      </c>
      <c r="K40" s="99"/>
      <c r="L40" s="98"/>
      <c r="M40" s="98"/>
      <c r="N40" s="98"/>
      <c r="O40" s="100"/>
      <c r="P40" s="101"/>
      <c r="Q40" s="98"/>
      <c r="R40" s="98"/>
      <c r="S40" s="98"/>
      <c r="T40" s="102"/>
      <c r="U40" s="103" t="s">
        <v>130</v>
      </c>
      <c r="V40" s="104"/>
      <c r="W40" s="98"/>
      <c r="X40" s="98"/>
      <c r="Y40" s="98"/>
      <c r="Z40" s="98"/>
      <c r="AA40" s="98"/>
      <c r="AB40" s="98"/>
      <c r="AC40" s="98" t="s">
        <v>131</v>
      </c>
      <c r="AD40" s="99"/>
      <c r="AE40" s="98"/>
      <c r="AF40" s="98"/>
      <c r="AG40" s="98"/>
      <c r="AH40" s="99"/>
      <c r="AI40" s="98"/>
      <c r="AJ40" s="98"/>
      <c r="AK40" s="105"/>
      <c r="AL40" s="105"/>
      <c r="AM40" s="105"/>
      <c r="AN40" s="270"/>
      <c r="AO40" s="225"/>
    </row>
    <row r="41" spans="1:41" ht="12.95" customHeight="1" x14ac:dyDescent="0.2">
      <c r="A41" s="258"/>
      <c r="B41" s="710" t="s">
        <v>132</v>
      </c>
      <c r="C41" s="711"/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711"/>
      <c r="O41" s="711"/>
      <c r="P41" s="711"/>
      <c r="Q41" s="711"/>
      <c r="R41" s="711"/>
      <c r="S41" s="711"/>
      <c r="T41" s="711"/>
      <c r="U41" s="711"/>
      <c r="V41" s="711"/>
      <c r="W41" s="711"/>
      <c r="X41" s="711"/>
      <c r="Y41" s="711"/>
      <c r="Z41" s="711"/>
      <c r="AA41" s="711"/>
      <c r="AB41" s="711"/>
      <c r="AC41" s="711"/>
      <c r="AD41" s="711"/>
      <c r="AE41" s="711"/>
      <c r="AF41" s="711"/>
      <c r="AG41" s="711"/>
      <c r="AH41" s="711"/>
      <c r="AI41" s="711"/>
      <c r="AJ41" s="711"/>
      <c r="AK41" s="711"/>
      <c r="AL41" s="711"/>
      <c r="AM41" s="711"/>
      <c r="AN41" s="712"/>
      <c r="AO41" s="225"/>
    </row>
    <row r="42" spans="1:41" ht="12.95" customHeight="1" x14ac:dyDescent="0.2">
      <c r="A42" s="258" t="s">
        <v>133</v>
      </c>
      <c r="B42" s="78" t="s">
        <v>134</v>
      </c>
      <c r="C42" s="79"/>
      <c r="D42" s="79"/>
      <c r="E42" s="79"/>
      <c r="F42" s="79"/>
      <c r="G42" s="79"/>
      <c r="H42" s="63"/>
      <c r="I42" s="63"/>
      <c r="J42" s="741" t="s">
        <v>135</v>
      </c>
      <c r="K42" s="741"/>
      <c r="L42" s="741"/>
      <c r="M42" s="741"/>
      <c r="N42" s="741"/>
      <c r="O42" s="741"/>
      <c r="P42" s="741"/>
      <c r="Q42" s="741"/>
      <c r="R42" s="741"/>
      <c r="S42" s="741"/>
      <c r="T42" s="742"/>
      <c r="U42" s="93" t="s">
        <v>136</v>
      </c>
      <c r="V42" s="63"/>
      <c r="W42" s="79"/>
      <c r="X42" s="79"/>
      <c r="Y42" s="79"/>
      <c r="Z42" s="79"/>
      <c r="AA42" s="79"/>
      <c r="AB42" s="230" t="s">
        <v>137</v>
      </c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71"/>
      <c r="AO42" s="225"/>
    </row>
    <row r="43" spans="1:41" ht="12.95" customHeight="1" x14ac:dyDescent="0.2">
      <c r="A43" s="258" t="s">
        <v>138</v>
      </c>
      <c r="B43" s="78" t="s">
        <v>139</v>
      </c>
      <c r="C43" s="79"/>
      <c r="D43" s="79"/>
      <c r="E43" s="79"/>
      <c r="F43" s="79"/>
      <c r="G43" s="87"/>
      <c r="H43" s="63"/>
      <c r="I43" s="63"/>
      <c r="J43" s="735" t="s">
        <v>140</v>
      </c>
      <c r="K43" s="735"/>
      <c r="L43" s="735"/>
      <c r="M43" s="735"/>
      <c r="N43" s="735"/>
      <c r="O43" s="735"/>
      <c r="P43" s="735"/>
      <c r="Q43" s="735"/>
      <c r="R43" s="735"/>
      <c r="S43" s="735"/>
      <c r="T43" s="736"/>
      <c r="U43" s="78" t="s">
        <v>141</v>
      </c>
      <c r="V43" s="63"/>
      <c r="W43" s="79"/>
      <c r="X43" s="79"/>
      <c r="Y43" s="79" t="s">
        <v>142</v>
      </c>
      <c r="Z43" s="63"/>
      <c r="AA43" s="80"/>
      <c r="AB43" s="231" t="s">
        <v>143</v>
      </c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39"/>
      <c r="AO43" s="225"/>
    </row>
    <row r="44" spans="1:41" ht="12.95" customHeight="1" x14ac:dyDescent="0.2">
      <c r="A44" s="258" t="s">
        <v>144</v>
      </c>
      <c r="B44" s="106" t="s">
        <v>145</v>
      </c>
      <c r="C44" s="79"/>
      <c r="D44" s="79"/>
      <c r="E44" s="79"/>
      <c r="F44" s="79"/>
      <c r="G44" s="79"/>
      <c r="H44" s="63"/>
      <c r="I44" s="63"/>
      <c r="J44" s="743" t="s">
        <v>146</v>
      </c>
      <c r="K44" s="743"/>
      <c r="L44" s="743"/>
      <c r="M44" s="743"/>
      <c r="N44" s="743"/>
      <c r="O44" s="743"/>
      <c r="P44" s="743"/>
      <c r="Q44" s="743"/>
      <c r="R44" s="743"/>
      <c r="S44" s="743"/>
      <c r="T44" s="744"/>
      <c r="U44" s="78" t="s">
        <v>147</v>
      </c>
      <c r="V44" s="63"/>
      <c r="W44" s="79"/>
      <c r="X44" s="79"/>
      <c r="Y44" s="79" t="s">
        <v>148</v>
      </c>
      <c r="Z44" s="63"/>
      <c r="AA44" s="79"/>
      <c r="AB44" s="231" t="s">
        <v>149</v>
      </c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39"/>
      <c r="AO44" s="225"/>
    </row>
    <row r="45" spans="1:41" ht="12.95" customHeight="1" x14ac:dyDescent="0.2">
      <c r="A45" s="258" t="s">
        <v>150</v>
      </c>
      <c r="B45" s="106" t="s">
        <v>151</v>
      </c>
      <c r="C45" s="79"/>
      <c r="D45" s="79"/>
      <c r="E45" s="79" t="s">
        <v>152</v>
      </c>
      <c r="F45" s="79"/>
      <c r="G45" s="79"/>
      <c r="H45" s="63"/>
      <c r="I45" s="63"/>
      <c r="J45" s="743" t="s">
        <v>34</v>
      </c>
      <c r="K45" s="743"/>
      <c r="L45" s="743"/>
      <c r="M45" s="743"/>
      <c r="N45" s="743"/>
      <c r="O45" s="743"/>
      <c r="P45" s="743"/>
      <c r="Q45" s="743"/>
      <c r="R45" s="743"/>
      <c r="S45" s="743"/>
      <c r="T45" s="744"/>
      <c r="U45" s="78"/>
      <c r="V45" s="63"/>
      <c r="W45" s="79"/>
      <c r="X45" s="79"/>
      <c r="Y45" s="79" t="s">
        <v>153</v>
      </c>
      <c r="Z45" s="63"/>
      <c r="AA45" s="79"/>
      <c r="AB45" s="231" t="s">
        <v>137</v>
      </c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39"/>
      <c r="AO45" s="225"/>
    </row>
    <row r="46" spans="1:41" ht="12.95" customHeight="1" x14ac:dyDescent="0.2">
      <c r="A46" s="258" t="s">
        <v>154</v>
      </c>
      <c r="B46" s="106"/>
      <c r="C46" s="79"/>
      <c r="D46" s="79"/>
      <c r="E46" s="79" t="s">
        <v>155</v>
      </c>
      <c r="F46" s="79"/>
      <c r="G46" s="79"/>
      <c r="H46" s="63"/>
      <c r="I46" s="63"/>
      <c r="J46" s="735" t="s">
        <v>140</v>
      </c>
      <c r="K46" s="735"/>
      <c r="L46" s="735"/>
      <c r="M46" s="735"/>
      <c r="N46" s="735"/>
      <c r="O46" s="735"/>
      <c r="P46" s="735"/>
      <c r="Q46" s="735"/>
      <c r="R46" s="735"/>
      <c r="S46" s="735"/>
      <c r="T46" s="736"/>
      <c r="U46" s="78" t="s">
        <v>156</v>
      </c>
      <c r="V46" s="63"/>
      <c r="W46" s="79"/>
      <c r="X46" s="79"/>
      <c r="Y46" s="79"/>
      <c r="Z46" s="79"/>
      <c r="AA46" s="79"/>
      <c r="AB46" s="231" t="s">
        <v>157</v>
      </c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39"/>
      <c r="AO46" s="225"/>
    </row>
    <row r="47" spans="1:41" ht="12.95" customHeight="1" x14ac:dyDescent="0.2">
      <c r="A47" s="258" t="s">
        <v>158</v>
      </c>
      <c r="B47" s="106" t="s">
        <v>159</v>
      </c>
      <c r="C47" s="107"/>
      <c r="D47" s="79"/>
      <c r="E47" s="79"/>
      <c r="F47" s="79"/>
      <c r="G47" s="79"/>
      <c r="H47" s="63"/>
      <c r="I47" s="63"/>
      <c r="J47" s="735" t="s">
        <v>160</v>
      </c>
      <c r="K47" s="735"/>
      <c r="L47" s="735"/>
      <c r="M47" s="735"/>
      <c r="N47" s="735"/>
      <c r="O47" s="735"/>
      <c r="P47" s="735"/>
      <c r="Q47" s="735"/>
      <c r="R47" s="735"/>
      <c r="S47" s="735"/>
      <c r="T47" s="736"/>
      <c r="U47" s="78" t="s">
        <v>161</v>
      </c>
      <c r="V47" s="63"/>
      <c r="W47" s="79"/>
      <c r="X47" s="79"/>
      <c r="Y47" s="87"/>
      <c r="Z47" s="108"/>
      <c r="AA47" s="79"/>
      <c r="AB47" s="231" t="s">
        <v>162</v>
      </c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39"/>
      <c r="AO47" s="212"/>
    </row>
    <row r="48" spans="1:41" ht="12.95" customHeight="1" x14ac:dyDescent="0.2">
      <c r="A48" s="258" t="s">
        <v>163</v>
      </c>
      <c r="B48" s="78" t="s">
        <v>164</v>
      </c>
      <c r="C48" s="79"/>
      <c r="D48" s="79"/>
      <c r="E48" s="79"/>
      <c r="F48" s="79"/>
      <c r="G48" s="79"/>
      <c r="H48" s="63"/>
      <c r="I48" s="63"/>
      <c r="J48" s="735" t="s">
        <v>165</v>
      </c>
      <c r="K48" s="735"/>
      <c r="L48" s="735"/>
      <c r="M48" s="735"/>
      <c r="N48" s="735"/>
      <c r="O48" s="735"/>
      <c r="P48" s="735"/>
      <c r="Q48" s="735"/>
      <c r="R48" s="735"/>
      <c r="S48" s="735"/>
      <c r="T48" s="736"/>
      <c r="U48" s="78" t="s">
        <v>166</v>
      </c>
      <c r="V48" s="63"/>
      <c r="W48" s="79"/>
      <c r="X48" s="79"/>
      <c r="Y48" s="79"/>
      <c r="Z48" s="87"/>
      <c r="AA48" s="79"/>
      <c r="AB48" s="231" t="s">
        <v>167</v>
      </c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39"/>
    </row>
    <row r="49" spans="1:48" ht="12.95" customHeight="1" x14ac:dyDescent="0.2">
      <c r="A49" s="258" t="s">
        <v>168</v>
      </c>
      <c r="B49" s="78" t="s">
        <v>169</v>
      </c>
      <c r="C49" s="79"/>
      <c r="D49" s="79"/>
      <c r="E49" s="79"/>
      <c r="F49" s="107"/>
      <c r="G49" s="79"/>
      <c r="H49" s="63"/>
      <c r="I49" s="63"/>
      <c r="J49" s="735" t="s">
        <v>170</v>
      </c>
      <c r="K49" s="735"/>
      <c r="L49" s="735"/>
      <c r="M49" s="735"/>
      <c r="N49" s="735"/>
      <c r="O49" s="735"/>
      <c r="P49" s="735"/>
      <c r="Q49" s="735"/>
      <c r="R49" s="735"/>
      <c r="S49" s="735"/>
      <c r="T49" s="736"/>
      <c r="U49" s="78" t="s">
        <v>171</v>
      </c>
      <c r="V49" s="63"/>
      <c r="W49" s="79"/>
      <c r="X49" s="79"/>
      <c r="Y49" s="79"/>
      <c r="Z49" s="87"/>
      <c r="AA49" s="79"/>
      <c r="AB49" s="231" t="s">
        <v>172</v>
      </c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39"/>
      <c r="AO49" s="109"/>
    </row>
    <row r="50" spans="1:48" ht="12.95" customHeight="1" x14ac:dyDescent="0.2">
      <c r="A50" s="258" t="s">
        <v>173</v>
      </c>
      <c r="B50" s="78" t="s">
        <v>174</v>
      </c>
      <c r="C50" s="79"/>
      <c r="D50" s="79"/>
      <c r="E50" s="80"/>
      <c r="F50" s="79"/>
      <c r="G50" s="79"/>
      <c r="H50" s="63"/>
      <c r="I50" s="63"/>
      <c r="J50" s="745" t="s">
        <v>140</v>
      </c>
      <c r="K50" s="745"/>
      <c r="L50" s="745"/>
      <c r="M50" s="745"/>
      <c r="N50" s="745"/>
      <c r="O50" s="745"/>
      <c r="P50" s="745"/>
      <c r="Q50" s="745"/>
      <c r="R50" s="745"/>
      <c r="S50" s="745"/>
      <c r="T50" s="746"/>
      <c r="U50" s="96" t="s">
        <v>175</v>
      </c>
      <c r="V50" s="63"/>
      <c r="W50" s="79"/>
      <c r="X50" s="79"/>
      <c r="Y50" s="79"/>
      <c r="Z50" s="87"/>
      <c r="AA50" s="79"/>
      <c r="AB50" s="232" t="s">
        <v>176</v>
      </c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72"/>
      <c r="AO50" s="62"/>
    </row>
    <row r="51" spans="1:48" ht="12.95" customHeight="1" x14ac:dyDescent="0.2">
      <c r="A51" s="258"/>
      <c r="B51" s="710" t="s">
        <v>177</v>
      </c>
      <c r="C51" s="711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1"/>
      <c r="O51" s="711"/>
      <c r="P51" s="711"/>
      <c r="Q51" s="711"/>
      <c r="R51" s="711"/>
      <c r="S51" s="711"/>
      <c r="T51" s="711"/>
      <c r="U51" s="711"/>
      <c r="V51" s="711"/>
      <c r="W51" s="711"/>
      <c r="X51" s="711"/>
      <c r="Y51" s="711"/>
      <c r="Z51" s="711"/>
      <c r="AA51" s="711"/>
      <c r="AB51" s="711"/>
      <c r="AC51" s="711"/>
      <c r="AD51" s="711"/>
      <c r="AE51" s="711"/>
      <c r="AF51" s="711"/>
      <c r="AG51" s="711"/>
      <c r="AH51" s="711"/>
      <c r="AI51" s="711"/>
      <c r="AJ51" s="711"/>
      <c r="AK51" s="711"/>
      <c r="AL51" s="711"/>
      <c r="AM51" s="711"/>
      <c r="AN51" s="712"/>
      <c r="AO51" s="62"/>
    </row>
    <row r="52" spans="1:48" ht="12.95" customHeight="1" x14ac:dyDescent="0.2">
      <c r="A52" s="258" t="s">
        <v>178</v>
      </c>
      <c r="B52" s="78" t="s">
        <v>179</v>
      </c>
      <c r="C52" s="79"/>
      <c r="D52" s="79"/>
      <c r="E52" s="79"/>
      <c r="F52" s="80"/>
      <c r="G52" s="79"/>
      <c r="H52" s="79"/>
      <c r="I52" s="79"/>
      <c r="J52" s="741" t="s">
        <v>180</v>
      </c>
      <c r="K52" s="741"/>
      <c r="L52" s="741"/>
      <c r="M52" s="741"/>
      <c r="N52" s="741"/>
      <c r="O52" s="741"/>
      <c r="P52" s="741"/>
      <c r="Q52" s="741"/>
      <c r="R52" s="741"/>
      <c r="S52" s="741"/>
      <c r="T52" s="742"/>
      <c r="U52" s="93" t="s">
        <v>181</v>
      </c>
      <c r="V52" s="63"/>
      <c r="W52" s="79"/>
      <c r="X52" s="79"/>
      <c r="Y52" s="79"/>
      <c r="Z52" s="79"/>
      <c r="AA52" s="63"/>
      <c r="AB52" s="741" t="s">
        <v>182</v>
      </c>
      <c r="AC52" s="741"/>
      <c r="AD52" s="741"/>
      <c r="AE52" s="741"/>
      <c r="AF52" s="741"/>
      <c r="AG52" s="741"/>
      <c r="AH52" s="741"/>
      <c r="AI52" s="741"/>
      <c r="AJ52" s="741"/>
      <c r="AK52" s="741"/>
      <c r="AL52" s="741"/>
      <c r="AM52" s="741"/>
      <c r="AN52" s="747"/>
      <c r="AO52" s="62"/>
    </row>
    <row r="53" spans="1:48" ht="12.95" customHeight="1" x14ac:dyDescent="0.2">
      <c r="A53" s="258" t="s">
        <v>42</v>
      </c>
      <c r="B53" s="78" t="s">
        <v>183</v>
      </c>
      <c r="C53" s="79"/>
      <c r="D53" s="79"/>
      <c r="E53" s="79"/>
      <c r="F53" s="80"/>
      <c r="G53" s="79"/>
      <c r="H53" s="79"/>
      <c r="I53" s="79"/>
      <c r="J53" s="735" t="s">
        <v>182</v>
      </c>
      <c r="K53" s="735"/>
      <c r="L53" s="735"/>
      <c r="M53" s="735"/>
      <c r="N53" s="735"/>
      <c r="O53" s="735"/>
      <c r="P53" s="735"/>
      <c r="Q53" s="735"/>
      <c r="R53" s="735"/>
      <c r="S53" s="735"/>
      <c r="T53" s="736"/>
      <c r="U53" s="78" t="s">
        <v>37</v>
      </c>
      <c r="V53" s="63"/>
      <c r="W53" s="79"/>
      <c r="X53" s="79"/>
      <c r="Y53" s="79"/>
      <c r="Z53" s="79"/>
      <c r="AA53" s="63"/>
      <c r="AB53" s="735" t="s">
        <v>182</v>
      </c>
      <c r="AC53" s="735"/>
      <c r="AD53" s="735"/>
      <c r="AE53" s="735"/>
      <c r="AF53" s="735"/>
      <c r="AG53" s="735"/>
      <c r="AH53" s="735"/>
      <c r="AI53" s="735"/>
      <c r="AJ53" s="735"/>
      <c r="AK53" s="735"/>
      <c r="AL53" s="735"/>
      <c r="AM53" s="735"/>
      <c r="AN53" s="748"/>
      <c r="AO53" s="110"/>
    </row>
    <row r="54" spans="1:48" ht="12.95" customHeight="1" x14ac:dyDescent="0.2">
      <c r="A54" s="258" t="s">
        <v>184</v>
      </c>
      <c r="B54" s="78" t="s">
        <v>185</v>
      </c>
      <c r="C54" s="79"/>
      <c r="D54" s="79"/>
      <c r="E54" s="79"/>
      <c r="F54" s="80"/>
      <c r="G54" s="79"/>
      <c r="H54" s="79"/>
      <c r="I54" s="79"/>
      <c r="J54" s="735" t="s">
        <v>182</v>
      </c>
      <c r="K54" s="735"/>
      <c r="L54" s="735"/>
      <c r="M54" s="735"/>
      <c r="N54" s="735"/>
      <c r="O54" s="735"/>
      <c r="P54" s="735"/>
      <c r="Q54" s="735"/>
      <c r="R54" s="735"/>
      <c r="S54" s="735"/>
      <c r="T54" s="736"/>
      <c r="U54" s="78" t="s">
        <v>186</v>
      </c>
      <c r="V54" s="63"/>
      <c r="W54" s="79"/>
      <c r="X54" s="80"/>
      <c r="Y54" s="79"/>
      <c r="Z54" s="79"/>
      <c r="AA54" s="63"/>
      <c r="AB54" s="751" t="s">
        <v>34</v>
      </c>
      <c r="AC54" s="751"/>
      <c r="AD54" s="751"/>
      <c r="AE54" s="751"/>
      <c r="AF54" s="751"/>
      <c r="AG54" s="751"/>
      <c r="AH54" s="751"/>
      <c r="AI54" s="751"/>
      <c r="AJ54" s="751"/>
      <c r="AK54" s="751"/>
      <c r="AL54" s="751"/>
      <c r="AM54" s="751"/>
      <c r="AN54" s="752"/>
    </row>
    <row r="55" spans="1:48" ht="12.95" customHeight="1" x14ac:dyDescent="0.2">
      <c r="A55" s="258" t="s">
        <v>187</v>
      </c>
      <c r="B55" s="78" t="s">
        <v>38</v>
      </c>
      <c r="C55" s="79"/>
      <c r="D55" s="79"/>
      <c r="E55" s="79"/>
      <c r="F55" s="79"/>
      <c r="G55" s="79"/>
      <c r="H55" s="79"/>
      <c r="I55" s="87"/>
      <c r="J55" s="753">
        <v>1</v>
      </c>
      <c r="K55" s="735"/>
      <c r="L55" s="735"/>
      <c r="M55" s="735"/>
      <c r="N55" s="735"/>
      <c r="O55" s="735"/>
      <c r="P55" s="735"/>
      <c r="Q55" s="735"/>
      <c r="R55" s="735"/>
      <c r="S55" s="735"/>
      <c r="T55" s="736"/>
      <c r="U55" s="78" t="s">
        <v>188</v>
      </c>
      <c r="V55" s="63"/>
      <c r="W55" s="79"/>
      <c r="X55" s="80"/>
      <c r="Y55" s="79"/>
      <c r="Z55" s="79"/>
      <c r="AA55" s="63"/>
      <c r="AB55" s="735" t="s">
        <v>182</v>
      </c>
      <c r="AC55" s="735"/>
      <c r="AD55" s="735"/>
      <c r="AE55" s="735"/>
      <c r="AF55" s="735"/>
      <c r="AG55" s="735"/>
      <c r="AH55" s="735"/>
      <c r="AI55" s="735"/>
      <c r="AJ55" s="735"/>
      <c r="AK55" s="735"/>
      <c r="AL55" s="735"/>
      <c r="AM55" s="735"/>
      <c r="AN55" s="748"/>
    </row>
    <row r="56" spans="1:48" ht="12.95" customHeight="1" x14ac:dyDescent="0.2">
      <c r="A56" s="258" t="s">
        <v>189</v>
      </c>
      <c r="B56" s="78" t="s">
        <v>190</v>
      </c>
      <c r="C56" s="79"/>
      <c r="D56" s="79"/>
      <c r="E56" s="79"/>
      <c r="F56" s="79"/>
      <c r="G56" s="79"/>
      <c r="H56" s="79"/>
      <c r="I56" s="79"/>
      <c r="J56" s="754" t="s">
        <v>182</v>
      </c>
      <c r="K56" s="754"/>
      <c r="L56" s="754"/>
      <c r="M56" s="754"/>
      <c r="N56" s="754"/>
      <c r="O56" s="754"/>
      <c r="P56" s="754"/>
      <c r="Q56" s="754"/>
      <c r="R56" s="754"/>
      <c r="S56" s="754"/>
      <c r="T56" s="755"/>
      <c r="U56" s="78" t="s">
        <v>191</v>
      </c>
      <c r="V56" s="81"/>
      <c r="W56" s="79"/>
      <c r="X56" s="79"/>
      <c r="Y56" s="79"/>
      <c r="Z56" s="79"/>
      <c r="AA56" s="63"/>
      <c r="AB56" s="735" t="s">
        <v>182</v>
      </c>
      <c r="AC56" s="735"/>
      <c r="AD56" s="735"/>
      <c r="AE56" s="735"/>
      <c r="AF56" s="735"/>
      <c r="AG56" s="735"/>
      <c r="AH56" s="735"/>
      <c r="AI56" s="735"/>
      <c r="AJ56" s="735"/>
      <c r="AK56" s="735"/>
      <c r="AL56" s="735"/>
      <c r="AM56" s="735"/>
      <c r="AN56" s="748"/>
      <c r="AO56" s="224"/>
    </row>
    <row r="57" spans="1:48" ht="12.95" customHeight="1" x14ac:dyDescent="0.2">
      <c r="A57" s="258" t="s">
        <v>192</v>
      </c>
      <c r="B57" s="78" t="s">
        <v>193</v>
      </c>
      <c r="C57" s="79"/>
      <c r="D57" s="79"/>
      <c r="E57" s="79"/>
      <c r="F57" s="87"/>
      <c r="G57" s="108"/>
      <c r="H57" s="108"/>
      <c r="I57" s="111"/>
      <c r="J57" s="112" t="s">
        <v>194</v>
      </c>
      <c r="K57" s="113"/>
      <c r="L57" s="113"/>
      <c r="M57" s="113"/>
      <c r="N57" s="113"/>
      <c r="O57" s="113"/>
      <c r="P57" s="113"/>
      <c r="Q57" s="113"/>
      <c r="R57" s="113"/>
      <c r="S57" s="114"/>
      <c r="T57" s="115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273"/>
      <c r="AO57" s="225"/>
    </row>
    <row r="58" spans="1:48" ht="12.95" customHeight="1" x14ac:dyDescent="0.2">
      <c r="A58" s="258"/>
      <c r="B58" s="710" t="s">
        <v>195</v>
      </c>
      <c r="C58" s="711"/>
      <c r="D58" s="711"/>
      <c r="E58" s="711"/>
      <c r="F58" s="711"/>
      <c r="G58" s="711"/>
      <c r="H58" s="711"/>
      <c r="I58" s="711"/>
      <c r="J58" s="711"/>
      <c r="K58" s="711"/>
      <c r="L58" s="711"/>
      <c r="M58" s="711"/>
      <c r="N58" s="711"/>
      <c r="O58" s="711"/>
      <c r="P58" s="711"/>
      <c r="Q58" s="711"/>
      <c r="R58" s="711"/>
      <c r="S58" s="711"/>
      <c r="T58" s="711"/>
      <c r="U58" s="711"/>
      <c r="V58" s="711"/>
      <c r="W58" s="711"/>
      <c r="X58" s="711"/>
      <c r="Y58" s="711"/>
      <c r="Z58" s="711"/>
      <c r="AA58" s="711"/>
      <c r="AB58" s="711"/>
      <c r="AC58" s="711"/>
      <c r="AD58" s="711"/>
      <c r="AE58" s="711"/>
      <c r="AF58" s="711"/>
      <c r="AG58" s="711"/>
      <c r="AH58" s="711"/>
      <c r="AI58" s="711"/>
      <c r="AJ58" s="711"/>
      <c r="AK58" s="711"/>
      <c r="AL58" s="711"/>
      <c r="AM58" s="711"/>
      <c r="AN58" s="712"/>
      <c r="AO58" s="77"/>
    </row>
    <row r="59" spans="1:48" ht="12.95" customHeight="1" x14ac:dyDescent="0.2">
      <c r="A59" s="258" t="s">
        <v>196</v>
      </c>
      <c r="B59" s="117" t="s">
        <v>197</v>
      </c>
      <c r="C59" s="79"/>
      <c r="D59" s="79"/>
      <c r="E59" s="79"/>
      <c r="F59" s="79"/>
      <c r="G59" s="79"/>
      <c r="H59" s="79" t="s">
        <v>198</v>
      </c>
      <c r="I59" s="63"/>
      <c r="J59" s="749" t="s">
        <v>199</v>
      </c>
      <c r="K59" s="749"/>
      <c r="L59" s="749"/>
      <c r="M59" s="749"/>
      <c r="N59" s="749"/>
      <c r="O59" s="749"/>
      <c r="P59" s="749"/>
      <c r="Q59" s="749"/>
      <c r="R59" s="749"/>
      <c r="S59" s="749"/>
      <c r="T59" s="749"/>
      <c r="U59" s="79"/>
      <c r="V59" s="63"/>
      <c r="W59" s="79"/>
      <c r="X59" s="63"/>
      <c r="Y59" s="63"/>
      <c r="Z59" s="86" t="s">
        <v>200</v>
      </c>
      <c r="AA59" s="83"/>
      <c r="AB59" s="83"/>
      <c r="AC59" s="230" t="s">
        <v>201</v>
      </c>
      <c r="AD59" s="224"/>
      <c r="AE59" s="224"/>
      <c r="AF59" s="224"/>
      <c r="AG59" s="224"/>
      <c r="AH59" s="224"/>
      <c r="AI59" s="224"/>
      <c r="AJ59" s="224"/>
      <c r="AK59" s="224"/>
      <c r="AL59" s="224"/>
      <c r="AM59" s="224"/>
      <c r="AN59" s="271"/>
      <c r="AO59" s="131"/>
      <c r="AP59" s="132"/>
      <c r="AQ59" s="132"/>
      <c r="AR59" s="132"/>
      <c r="AS59" s="132"/>
      <c r="AT59" s="132"/>
      <c r="AU59" s="132"/>
      <c r="AV59" s="132"/>
    </row>
    <row r="60" spans="1:48" ht="12.95" customHeight="1" x14ac:dyDescent="0.2">
      <c r="A60" s="258" t="s">
        <v>202</v>
      </c>
      <c r="B60" s="78" t="s">
        <v>203</v>
      </c>
      <c r="C60" s="79"/>
      <c r="D60" s="79"/>
      <c r="E60" s="79"/>
      <c r="F60" s="79"/>
      <c r="G60" s="79"/>
      <c r="H60" s="118" t="s">
        <v>198</v>
      </c>
      <c r="I60" s="63"/>
      <c r="J60" s="750" t="s">
        <v>34</v>
      </c>
      <c r="K60" s="750"/>
      <c r="L60" s="750"/>
      <c r="M60" s="750"/>
      <c r="N60" s="750"/>
      <c r="O60" s="750"/>
      <c r="P60" s="750"/>
      <c r="Q60" s="750"/>
      <c r="R60" s="750"/>
      <c r="S60" s="750"/>
      <c r="T60" s="750"/>
      <c r="U60" s="79"/>
      <c r="V60" s="63"/>
      <c r="W60" s="79"/>
      <c r="X60" s="63"/>
      <c r="Y60" s="63"/>
      <c r="Z60" s="86" t="s">
        <v>200</v>
      </c>
      <c r="AA60" s="83"/>
      <c r="AB60" s="83"/>
      <c r="AC60" s="233" t="s">
        <v>201</v>
      </c>
      <c r="AD60" s="225"/>
      <c r="AE60" s="225"/>
      <c r="AF60" s="225"/>
      <c r="AG60" s="225"/>
      <c r="AH60" s="225"/>
      <c r="AI60" s="225"/>
      <c r="AJ60" s="225"/>
      <c r="AK60" s="225"/>
      <c r="AL60" s="225"/>
      <c r="AM60" s="225"/>
      <c r="AN60" s="239"/>
      <c r="AO60" s="62"/>
      <c r="AP60" s="132"/>
      <c r="AQ60" s="132"/>
      <c r="AR60" s="132"/>
      <c r="AS60" s="132"/>
      <c r="AT60" s="132"/>
      <c r="AU60" s="132"/>
      <c r="AV60" s="132"/>
    </row>
    <row r="61" spans="1:48" ht="12.95" customHeight="1" x14ac:dyDescent="0.2">
      <c r="A61" s="258" t="s">
        <v>204</v>
      </c>
      <c r="B61" s="119"/>
      <c r="C61" s="90"/>
      <c r="D61" s="91"/>
      <c r="E61" s="91"/>
      <c r="F61" s="91"/>
      <c r="G61" s="91"/>
      <c r="H61" s="91"/>
      <c r="I61" s="91"/>
      <c r="J61" s="91"/>
      <c r="K61" s="91"/>
      <c r="L61" s="120"/>
      <c r="M61" s="120"/>
      <c r="N61" s="91"/>
      <c r="O61" s="121"/>
      <c r="P61" s="120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122"/>
      <c r="AD61" s="122"/>
      <c r="AE61" s="123"/>
      <c r="AF61" s="122"/>
      <c r="AG61" s="122"/>
      <c r="AH61" s="122"/>
      <c r="AI61" s="122"/>
      <c r="AJ61" s="122"/>
      <c r="AK61" s="122"/>
      <c r="AL61" s="122"/>
      <c r="AM61" s="122"/>
      <c r="AN61" s="274"/>
      <c r="AO61" s="141"/>
      <c r="AP61" s="142"/>
      <c r="AQ61" s="132"/>
      <c r="AR61" s="132"/>
      <c r="AS61" s="132"/>
      <c r="AT61" s="132"/>
      <c r="AU61" s="132"/>
      <c r="AV61" s="132"/>
    </row>
    <row r="62" spans="1:48" ht="12.95" customHeight="1" x14ac:dyDescent="0.2">
      <c r="A62" s="258"/>
      <c r="B62" s="124"/>
      <c r="C62" s="125"/>
      <c r="D62" s="126"/>
      <c r="E62" s="126"/>
      <c r="F62" s="126"/>
      <c r="G62" s="126"/>
      <c r="H62" s="126"/>
      <c r="I62" s="126"/>
      <c r="J62" s="126"/>
      <c r="K62" s="126"/>
      <c r="L62" s="127"/>
      <c r="M62" s="127"/>
      <c r="N62" s="126"/>
      <c r="O62" s="128"/>
      <c r="P62" s="127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9"/>
      <c r="AD62" s="129"/>
      <c r="AE62" s="130"/>
      <c r="AF62" s="129"/>
      <c r="AG62" s="129"/>
      <c r="AH62" s="129"/>
      <c r="AI62" s="129"/>
      <c r="AJ62" s="129"/>
      <c r="AK62" s="129"/>
      <c r="AL62" s="129"/>
      <c r="AM62" s="129"/>
      <c r="AN62" s="275"/>
      <c r="AO62" s="62"/>
      <c r="AP62" s="132"/>
      <c r="AQ62" s="132"/>
      <c r="AR62" s="132"/>
      <c r="AS62" s="132"/>
      <c r="AT62" s="132"/>
      <c r="AU62" s="132"/>
      <c r="AV62" s="132"/>
    </row>
    <row r="63" spans="1:48" ht="12.95" customHeight="1" x14ac:dyDescent="0.2">
      <c r="A63" s="258" t="s">
        <v>205</v>
      </c>
      <c r="B63" s="276" t="s">
        <v>206</v>
      </c>
      <c r="C63" s="63"/>
      <c r="D63" s="63"/>
      <c r="E63" s="133"/>
      <c r="F63" s="133"/>
      <c r="G63" s="133"/>
      <c r="H63" s="133"/>
      <c r="I63" s="133"/>
      <c r="J63" s="133"/>
      <c r="K63" s="133"/>
      <c r="L63" s="134"/>
      <c r="M63" s="134"/>
      <c r="N63" s="133"/>
      <c r="O63" s="135"/>
      <c r="P63" s="134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5"/>
      <c r="AF63" s="133"/>
      <c r="AG63" s="133"/>
      <c r="AH63" s="133"/>
      <c r="AI63" s="133"/>
      <c r="AJ63" s="133"/>
      <c r="AK63" s="133"/>
      <c r="AL63" s="133"/>
      <c r="AM63" s="133"/>
      <c r="AN63" s="277"/>
      <c r="AO63" s="54"/>
      <c r="AP63" s="132"/>
      <c r="AQ63" s="132"/>
      <c r="AR63" s="132"/>
      <c r="AS63" s="132"/>
      <c r="AT63" s="132"/>
      <c r="AU63" s="132"/>
      <c r="AV63" s="132"/>
    </row>
    <row r="64" spans="1:48" ht="12.95" customHeight="1" x14ac:dyDescent="0.2">
      <c r="A64" s="258" t="s">
        <v>207</v>
      </c>
      <c r="B64" s="136">
        <v>1</v>
      </c>
      <c r="C64" s="137" t="s">
        <v>208</v>
      </c>
      <c r="D64" s="138"/>
      <c r="E64" s="138"/>
      <c r="F64" s="138"/>
      <c r="G64" s="138"/>
      <c r="H64" s="138"/>
      <c r="I64" s="138"/>
      <c r="J64" s="138"/>
      <c r="K64" s="138"/>
      <c r="L64" s="139"/>
      <c r="M64" s="139"/>
      <c r="N64" s="138"/>
      <c r="O64" s="140"/>
      <c r="P64" s="139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40"/>
      <c r="AF64" s="138"/>
      <c r="AG64" s="138"/>
      <c r="AH64" s="138"/>
      <c r="AI64" s="138"/>
      <c r="AJ64" s="138"/>
      <c r="AK64" s="138"/>
      <c r="AL64" s="138"/>
      <c r="AM64" s="138"/>
      <c r="AN64" s="278"/>
      <c r="AO64" s="54"/>
      <c r="AP64" s="132"/>
      <c r="AQ64" s="132"/>
      <c r="AR64" s="132"/>
      <c r="AS64" s="132"/>
      <c r="AT64" s="132"/>
      <c r="AU64" s="132"/>
      <c r="AV64" s="132"/>
    </row>
    <row r="65" spans="1:48" ht="12.95" customHeight="1" x14ac:dyDescent="0.2">
      <c r="A65" s="258" t="s">
        <v>209</v>
      </c>
      <c r="B65" s="143">
        <v>2</v>
      </c>
      <c r="C65" s="144" t="s">
        <v>210</v>
      </c>
      <c r="D65" s="133"/>
      <c r="E65" s="133"/>
      <c r="F65" s="133"/>
      <c r="G65" s="133"/>
      <c r="H65" s="133"/>
      <c r="I65" s="133"/>
      <c r="J65" s="133"/>
      <c r="K65" s="133"/>
      <c r="L65" s="134"/>
      <c r="M65" s="134"/>
      <c r="N65" s="144"/>
      <c r="O65" s="135"/>
      <c r="P65" s="134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5"/>
      <c r="AF65" s="133"/>
      <c r="AG65" s="133"/>
      <c r="AH65" s="133"/>
      <c r="AI65" s="133"/>
      <c r="AJ65" s="133"/>
      <c r="AK65" s="133"/>
      <c r="AL65" s="62"/>
      <c r="AM65" s="62"/>
      <c r="AN65" s="259"/>
      <c r="AO65" s="146"/>
      <c r="AP65" s="147"/>
      <c r="AQ65" s="147"/>
      <c r="AR65" s="132"/>
      <c r="AS65" s="132"/>
      <c r="AT65" s="132"/>
      <c r="AU65" s="132"/>
      <c r="AV65" s="132"/>
    </row>
    <row r="66" spans="1:48" ht="12.95" customHeight="1" x14ac:dyDescent="0.2">
      <c r="A66" s="258" t="s">
        <v>211</v>
      </c>
      <c r="B66" s="143">
        <v>3</v>
      </c>
      <c r="C66" s="54" t="s">
        <v>212</v>
      </c>
      <c r="D66" s="133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241"/>
      <c r="AO66" s="54"/>
      <c r="AP66" s="132"/>
      <c r="AQ66" s="132"/>
      <c r="AR66" s="132"/>
      <c r="AS66" s="132"/>
      <c r="AT66" s="132"/>
      <c r="AU66" s="132"/>
      <c r="AV66" s="132"/>
    </row>
    <row r="67" spans="1:48" ht="12.95" customHeight="1" x14ac:dyDescent="0.2">
      <c r="A67" s="258" t="s">
        <v>213</v>
      </c>
      <c r="B67" s="143"/>
      <c r="C67" s="144" t="s">
        <v>214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241"/>
      <c r="AO67" s="54"/>
      <c r="AP67" s="132"/>
      <c r="AQ67" s="132"/>
      <c r="AR67" s="132"/>
      <c r="AS67" s="132"/>
      <c r="AT67" s="132"/>
      <c r="AU67" s="132"/>
      <c r="AV67" s="132"/>
    </row>
    <row r="68" spans="1:48" ht="12.95" customHeight="1" x14ac:dyDescent="0.2">
      <c r="A68" s="258" t="s">
        <v>215</v>
      </c>
      <c r="B68" s="145">
        <v>4</v>
      </c>
      <c r="C68" s="146" t="s">
        <v>282</v>
      </c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279"/>
      <c r="AO68" s="54"/>
      <c r="AP68" s="132"/>
      <c r="AQ68" s="132"/>
      <c r="AR68" s="132"/>
      <c r="AS68" s="132"/>
      <c r="AT68" s="132"/>
      <c r="AU68" s="132"/>
      <c r="AV68" s="132"/>
    </row>
    <row r="69" spans="1:48" ht="12.95" customHeight="1" x14ac:dyDescent="0.2">
      <c r="A69" s="258" t="s">
        <v>216</v>
      </c>
      <c r="B69" s="143"/>
      <c r="C69" s="144" t="s">
        <v>283</v>
      </c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241"/>
      <c r="AO69" s="54"/>
      <c r="AP69" s="132"/>
      <c r="AQ69" s="132"/>
      <c r="AR69" s="132"/>
      <c r="AS69" s="132"/>
      <c r="AT69" s="132"/>
      <c r="AU69" s="132"/>
      <c r="AV69" s="132"/>
    </row>
    <row r="70" spans="1:48" ht="12.95" customHeight="1" x14ac:dyDescent="0.2">
      <c r="A70" s="258" t="s">
        <v>217</v>
      </c>
      <c r="B70" s="143"/>
      <c r="C70" s="54"/>
      <c r="D70" s="54"/>
      <c r="E70" s="54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241"/>
      <c r="AO70" s="71"/>
      <c r="AP70" s="132"/>
      <c r="AQ70" s="132"/>
      <c r="AR70" s="132"/>
      <c r="AS70" s="132"/>
      <c r="AT70" s="132"/>
      <c r="AU70" s="132"/>
      <c r="AV70" s="132"/>
    </row>
    <row r="71" spans="1:48" ht="12.95" customHeight="1" x14ac:dyDescent="0.2">
      <c r="A71" s="258" t="s">
        <v>43</v>
      </c>
      <c r="B71" s="143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241"/>
    </row>
    <row r="72" spans="1:48" ht="12.95" customHeight="1" x14ac:dyDescent="0.2">
      <c r="A72" s="258" t="s">
        <v>218</v>
      </c>
      <c r="B72" s="149"/>
      <c r="C72" s="63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241"/>
    </row>
    <row r="73" spans="1:48" ht="12.95" customHeight="1" thickBot="1" x14ac:dyDescent="0.25">
      <c r="A73" s="280" t="s">
        <v>219</v>
      </c>
      <c r="B73" s="28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3"/>
    </row>
    <row r="74" spans="1:48" ht="12" customHeight="1" x14ac:dyDescent="0.2">
      <c r="A74" s="150"/>
      <c r="B74" s="39"/>
      <c r="C74" s="39"/>
      <c r="D74" s="39"/>
      <c r="E74" s="39"/>
      <c r="F74" s="39"/>
      <c r="G74" s="39"/>
      <c r="H74" s="39"/>
      <c r="I74" s="39"/>
      <c r="J74" s="39"/>
    </row>
  </sheetData>
  <mergeCells count="66">
    <mergeCell ref="B58:AN58"/>
    <mergeCell ref="J59:T59"/>
    <mergeCell ref="J60:T60"/>
    <mergeCell ref="J54:T54"/>
    <mergeCell ref="AB54:AN54"/>
    <mergeCell ref="J55:T55"/>
    <mergeCell ref="AB55:AN55"/>
    <mergeCell ref="J56:T56"/>
    <mergeCell ref="AB56:AN56"/>
    <mergeCell ref="J50:T50"/>
    <mergeCell ref="B51:AN51"/>
    <mergeCell ref="J52:T52"/>
    <mergeCell ref="AB52:AN52"/>
    <mergeCell ref="J53:T53"/>
    <mergeCell ref="AB53:AN53"/>
    <mergeCell ref="J49:T49"/>
    <mergeCell ref="J37:T37"/>
    <mergeCell ref="J38:T38"/>
    <mergeCell ref="B39:AN39"/>
    <mergeCell ref="B41:AN41"/>
    <mergeCell ref="J42:T42"/>
    <mergeCell ref="J43:T43"/>
    <mergeCell ref="J44:T44"/>
    <mergeCell ref="J45:T45"/>
    <mergeCell ref="J46:T46"/>
    <mergeCell ref="J47:T47"/>
    <mergeCell ref="J48:T48"/>
    <mergeCell ref="A14:AN14"/>
    <mergeCell ref="B21:AN21"/>
    <mergeCell ref="J22:T22"/>
    <mergeCell ref="J23:T23"/>
    <mergeCell ref="J36:T36"/>
    <mergeCell ref="J25:T25"/>
    <mergeCell ref="J26:T26"/>
    <mergeCell ref="B27:AN27"/>
    <mergeCell ref="J28:T28"/>
    <mergeCell ref="J29:T29"/>
    <mergeCell ref="J30:T30"/>
    <mergeCell ref="J31:T31"/>
    <mergeCell ref="J32:T32"/>
    <mergeCell ref="J33:T33"/>
    <mergeCell ref="J34:T34"/>
    <mergeCell ref="J35:T35"/>
    <mergeCell ref="J24:T24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A13:AN13"/>
    <mergeCell ref="L1:AD6"/>
    <mergeCell ref="AE1:AN4"/>
    <mergeCell ref="A5:K6"/>
    <mergeCell ref="AE5:AN6"/>
    <mergeCell ref="A7:K9"/>
    <mergeCell ref="L7:AD9"/>
    <mergeCell ref="AE7:AN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7" orientation="portrait" verticalDpi="300" r:id="rId1"/>
  <colBreaks count="1" manualBreakCount="1">
    <brk id="40" max="72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O74"/>
  <sheetViews>
    <sheetView view="pageBreakPreview" topLeftCell="A4" zoomScale="130" zoomScaleNormal="115" zoomScaleSheetLayoutView="130" workbookViewId="0">
      <selection activeCell="A13" sqref="A13:AN13"/>
    </sheetView>
  </sheetViews>
  <sheetFormatPr defaultRowHeight="12" customHeight="1" x14ac:dyDescent="0.2"/>
  <cols>
    <col min="1" max="39" width="2.42578125" style="28" customWidth="1"/>
    <col min="40" max="40" width="5" style="28" customWidth="1"/>
    <col min="41" max="41" width="9.140625" style="28" hidden="1" customWidth="1"/>
    <col min="42" max="256" width="9.140625" style="28"/>
    <col min="257" max="295" width="2.42578125" style="28" customWidth="1"/>
    <col min="296" max="296" width="5" style="28" customWidth="1"/>
    <col min="297" max="297" width="0" style="28" hidden="1" customWidth="1"/>
    <col min="298" max="512" width="9.140625" style="28"/>
    <col min="513" max="551" width="2.42578125" style="28" customWidth="1"/>
    <col min="552" max="552" width="5" style="28" customWidth="1"/>
    <col min="553" max="553" width="0" style="28" hidden="1" customWidth="1"/>
    <col min="554" max="768" width="9.140625" style="28"/>
    <col min="769" max="807" width="2.42578125" style="28" customWidth="1"/>
    <col min="808" max="808" width="5" style="28" customWidth="1"/>
    <col min="809" max="809" width="0" style="28" hidden="1" customWidth="1"/>
    <col min="810" max="1024" width="9.140625" style="28"/>
    <col min="1025" max="1063" width="2.42578125" style="28" customWidth="1"/>
    <col min="1064" max="1064" width="5" style="28" customWidth="1"/>
    <col min="1065" max="1065" width="0" style="28" hidden="1" customWidth="1"/>
    <col min="1066" max="1280" width="9.140625" style="28"/>
    <col min="1281" max="1319" width="2.42578125" style="28" customWidth="1"/>
    <col min="1320" max="1320" width="5" style="28" customWidth="1"/>
    <col min="1321" max="1321" width="0" style="28" hidden="1" customWidth="1"/>
    <col min="1322" max="1536" width="9.140625" style="28"/>
    <col min="1537" max="1575" width="2.42578125" style="28" customWidth="1"/>
    <col min="1576" max="1576" width="5" style="28" customWidth="1"/>
    <col min="1577" max="1577" width="0" style="28" hidden="1" customWidth="1"/>
    <col min="1578" max="1792" width="9.140625" style="28"/>
    <col min="1793" max="1831" width="2.42578125" style="28" customWidth="1"/>
    <col min="1832" max="1832" width="5" style="28" customWidth="1"/>
    <col min="1833" max="1833" width="0" style="28" hidden="1" customWidth="1"/>
    <col min="1834" max="2048" width="9.140625" style="28"/>
    <col min="2049" max="2087" width="2.42578125" style="28" customWidth="1"/>
    <col min="2088" max="2088" width="5" style="28" customWidth="1"/>
    <col min="2089" max="2089" width="0" style="28" hidden="1" customWidth="1"/>
    <col min="2090" max="2304" width="9.140625" style="28"/>
    <col min="2305" max="2343" width="2.42578125" style="28" customWidth="1"/>
    <col min="2344" max="2344" width="5" style="28" customWidth="1"/>
    <col min="2345" max="2345" width="0" style="28" hidden="1" customWidth="1"/>
    <col min="2346" max="2560" width="9.140625" style="28"/>
    <col min="2561" max="2599" width="2.42578125" style="28" customWidth="1"/>
    <col min="2600" max="2600" width="5" style="28" customWidth="1"/>
    <col min="2601" max="2601" width="0" style="28" hidden="1" customWidth="1"/>
    <col min="2602" max="2816" width="9.140625" style="28"/>
    <col min="2817" max="2855" width="2.42578125" style="28" customWidth="1"/>
    <col min="2856" max="2856" width="5" style="28" customWidth="1"/>
    <col min="2857" max="2857" width="0" style="28" hidden="1" customWidth="1"/>
    <col min="2858" max="3072" width="9.140625" style="28"/>
    <col min="3073" max="3111" width="2.42578125" style="28" customWidth="1"/>
    <col min="3112" max="3112" width="5" style="28" customWidth="1"/>
    <col min="3113" max="3113" width="0" style="28" hidden="1" customWidth="1"/>
    <col min="3114" max="3328" width="9.140625" style="28"/>
    <col min="3329" max="3367" width="2.42578125" style="28" customWidth="1"/>
    <col min="3368" max="3368" width="5" style="28" customWidth="1"/>
    <col min="3369" max="3369" width="0" style="28" hidden="1" customWidth="1"/>
    <col min="3370" max="3584" width="9.140625" style="28"/>
    <col min="3585" max="3623" width="2.42578125" style="28" customWidth="1"/>
    <col min="3624" max="3624" width="5" style="28" customWidth="1"/>
    <col min="3625" max="3625" width="0" style="28" hidden="1" customWidth="1"/>
    <col min="3626" max="3840" width="9.140625" style="28"/>
    <col min="3841" max="3879" width="2.42578125" style="28" customWidth="1"/>
    <col min="3880" max="3880" width="5" style="28" customWidth="1"/>
    <col min="3881" max="3881" width="0" style="28" hidden="1" customWidth="1"/>
    <col min="3882" max="4096" width="9.140625" style="28"/>
    <col min="4097" max="4135" width="2.42578125" style="28" customWidth="1"/>
    <col min="4136" max="4136" width="5" style="28" customWidth="1"/>
    <col min="4137" max="4137" width="0" style="28" hidden="1" customWidth="1"/>
    <col min="4138" max="4352" width="9.140625" style="28"/>
    <col min="4353" max="4391" width="2.42578125" style="28" customWidth="1"/>
    <col min="4392" max="4392" width="5" style="28" customWidth="1"/>
    <col min="4393" max="4393" width="0" style="28" hidden="1" customWidth="1"/>
    <col min="4394" max="4608" width="9.140625" style="28"/>
    <col min="4609" max="4647" width="2.42578125" style="28" customWidth="1"/>
    <col min="4648" max="4648" width="5" style="28" customWidth="1"/>
    <col min="4649" max="4649" width="0" style="28" hidden="1" customWidth="1"/>
    <col min="4650" max="4864" width="9.140625" style="28"/>
    <col min="4865" max="4903" width="2.42578125" style="28" customWidth="1"/>
    <col min="4904" max="4904" width="5" style="28" customWidth="1"/>
    <col min="4905" max="4905" width="0" style="28" hidden="1" customWidth="1"/>
    <col min="4906" max="5120" width="9.140625" style="28"/>
    <col min="5121" max="5159" width="2.42578125" style="28" customWidth="1"/>
    <col min="5160" max="5160" width="5" style="28" customWidth="1"/>
    <col min="5161" max="5161" width="0" style="28" hidden="1" customWidth="1"/>
    <col min="5162" max="5376" width="9.140625" style="28"/>
    <col min="5377" max="5415" width="2.42578125" style="28" customWidth="1"/>
    <col min="5416" max="5416" width="5" style="28" customWidth="1"/>
    <col min="5417" max="5417" width="0" style="28" hidden="1" customWidth="1"/>
    <col min="5418" max="5632" width="9.140625" style="28"/>
    <col min="5633" max="5671" width="2.42578125" style="28" customWidth="1"/>
    <col min="5672" max="5672" width="5" style="28" customWidth="1"/>
    <col min="5673" max="5673" width="0" style="28" hidden="1" customWidth="1"/>
    <col min="5674" max="5888" width="9.140625" style="28"/>
    <col min="5889" max="5927" width="2.42578125" style="28" customWidth="1"/>
    <col min="5928" max="5928" width="5" style="28" customWidth="1"/>
    <col min="5929" max="5929" width="0" style="28" hidden="1" customWidth="1"/>
    <col min="5930" max="6144" width="9.140625" style="28"/>
    <col min="6145" max="6183" width="2.42578125" style="28" customWidth="1"/>
    <col min="6184" max="6184" width="5" style="28" customWidth="1"/>
    <col min="6185" max="6185" width="0" style="28" hidden="1" customWidth="1"/>
    <col min="6186" max="6400" width="9.140625" style="28"/>
    <col min="6401" max="6439" width="2.42578125" style="28" customWidth="1"/>
    <col min="6440" max="6440" width="5" style="28" customWidth="1"/>
    <col min="6441" max="6441" width="0" style="28" hidden="1" customWidth="1"/>
    <col min="6442" max="6656" width="9.140625" style="28"/>
    <col min="6657" max="6695" width="2.42578125" style="28" customWidth="1"/>
    <col min="6696" max="6696" width="5" style="28" customWidth="1"/>
    <col min="6697" max="6697" width="0" style="28" hidden="1" customWidth="1"/>
    <col min="6698" max="6912" width="9.140625" style="28"/>
    <col min="6913" max="6951" width="2.42578125" style="28" customWidth="1"/>
    <col min="6952" max="6952" width="5" style="28" customWidth="1"/>
    <col min="6953" max="6953" width="0" style="28" hidden="1" customWidth="1"/>
    <col min="6954" max="7168" width="9.140625" style="28"/>
    <col min="7169" max="7207" width="2.42578125" style="28" customWidth="1"/>
    <col min="7208" max="7208" width="5" style="28" customWidth="1"/>
    <col min="7209" max="7209" width="0" style="28" hidden="1" customWidth="1"/>
    <col min="7210" max="7424" width="9.140625" style="28"/>
    <col min="7425" max="7463" width="2.42578125" style="28" customWidth="1"/>
    <col min="7464" max="7464" width="5" style="28" customWidth="1"/>
    <col min="7465" max="7465" width="0" style="28" hidden="1" customWidth="1"/>
    <col min="7466" max="7680" width="9.140625" style="28"/>
    <col min="7681" max="7719" width="2.42578125" style="28" customWidth="1"/>
    <col min="7720" max="7720" width="5" style="28" customWidth="1"/>
    <col min="7721" max="7721" width="0" style="28" hidden="1" customWidth="1"/>
    <col min="7722" max="7936" width="9.140625" style="28"/>
    <col min="7937" max="7975" width="2.42578125" style="28" customWidth="1"/>
    <col min="7976" max="7976" width="5" style="28" customWidth="1"/>
    <col min="7977" max="7977" width="0" style="28" hidden="1" customWidth="1"/>
    <col min="7978" max="8192" width="9.140625" style="28"/>
    <col min="8193" max="8231" width="2.42578125" style="28" customWidth="1"/>
    <col min="8232" max="8232" width="5" style="28" customWidth="1"/>
    <col min="8233" max="8233" width="0" style="28" hidden="1" customWidth="1"/>
    <col min="8234" max="8448" width="9.140625" style="28"/>
    <col min="8449" max="8487" width="2.42578125" style="28" customWidth="1"/>
    <col min="8488" max="8488" width="5" style="28" customWidth="1"/>
    <col min="8489" max="8489" width="0" style="28" hidden="1" customWidth="1"/>
    <col min="8490" max="8704" width="9.140625" style="28"/>
    <col min="8705" max="8743" width="2.42578125" style="28" customWidth="1"/>
    <col min="8744" max="8744" width="5" style="28" customWidth="1"/>
    <col min="8745" max="8745" width="0" style="28" hidden="1" customWidth="1"/>
    <col min="8746" max="8960" width="9.140625" style="28"/>
    <col min="8961" max="8999" width="2.42578125" style="28" customWidth="1"/>
    <col min="9000" max="9000" width="5" style="28" customWidth="1"/>
    <col min="9001" max="9001" width="0" style="28" hidden="1" customWidth="1"/>
    <col min="9002" max="9216" width="9.140625" style="28"/>
    <col min="9217" max="9255" width="2.42578125" style="28" customWidth="1"/>
    <col min="9256" max="9256" width="5" style="28" customWidth="1"/>
    <col min="9257" max="9257" width="0" style="28" hidden="1" customWidth="1"/>
    <col min="9258" max="9472" width="9.140625" style="28"/>
    <col min="9473" max="9511" width="2.42578125" style="28" customWidth="1"/>
    <col min="9512" max="9512" width="5" style="28" customWidth="1"/>
    <col min="9513" max="9513" width="0" style="28" hidden="1" customWidth="1"/>
    <col min="9514" max="9728" width="9.140625" style="28"/>
    <col min="9729" max="9767" width="2.42578125" style="28" customWidth="1"/>
    <col min="9768" max="9768" width="5" style="28" customWidth="1"/>
    <col min="9769" max="9769" width="0" style="28" hidden="1" customWidth="1"/>
    <col min="9770" max="9984" width="9.140625" style="28"/>
    <col min="9985" max="10023" width="2.42578125" style="28" customWidth="1"/>
    <col min="10024" max="10024" width="5" style="28" customWidth="1"/>
    <col min="10025" max="10025" width="0" style="28" hidden="1" customWidth="1"/>
    <col min="10026" max="10240" width="9.140625" style="28"/>
    <col min="10241" max="10279" width="2.42578125" style="28" customWidth="1"/>
    <col min="10280" max="10280" width="5" style="28" customWidth="1"/>
    <col min="10281" max="10281" width="0" style="28" hidden="1" customWidth="1"/>
    <col min="10282" max="10496" width="9.140625" style="28"/>
    <col min="10497" max="10535" width="2.42578125" style="28" customWidth="1"/>
    <col min="10536" max="10536" width="5" style="28" customWidth="1"/>
    <col min="10537" max="10537" width="0" style="28" hidden="1" customWidth="1"/>
    <col min="10538" max="10752" width="9.140625" style="28"/>
    <col min="10753" max="10791" width="2.42578125" style="28" customWidth="1"/>
    <col min="10792" max="10792" width="5" style="28" customWidth="1"/>
    <col min="10793" max="10793" width="0" style="28" hidden="1" customWidth="1"/>
    <col min="10794" max="11008" width="9.140625" style="28"/>
    <col min="11009" max="11047" width="2.42578125" style="28" customWidth="1"/>
    <col min="11048" max="11048" width="5" style="28" customWidth="1"/>
    <col min="11049" max="11049" width="0" style="28" hidden="1" customWidth="1"/>
    <col min="11050" max="11264" width="9.140625" style="28"/>
    <col min="11265" max="11303" width="2.42578125" style="28" customWidth="1"/>
    <col min="11304" max="11304" width="5" style="28" customWidth="1"/>
    <col min="11305" max="11305" width="0" style="28" hidden="1" customWidth="1"/>
    <col min="11306" max="11520" width="9.140625" style="28"/>
    <col min="11521" max="11559" width="2.42578125" style="28" customWidth="1"/>
    <col min="11560" max="11560" width="5" style="28" customWidth="1"/>
    <col min="11561" max="11561" width="0" style="28" hidden="1" customWidth="1"/>
    <col min="11562" max="11776" width="9.140625" style="28"/>
    <col min="11777" max="11815" width="2.42578125" style="28" customWidth="1"/>
    <col min="11816" max="11816" width="5" style="28" customWidth="1"/>
    <col min="11817" max="11817" width="0" style="28" hidden="1" customWidth="1"/>
    <col min="11818" max="12032" width="9.140625" style="28"/>
    <col min="12033" max="12071" width="2.42578125" style="28" customWidth="1"/>
    <col min="12072" max="12072" width="5" style="28" customWidth="1"/>
    <col min="12073" max="12073" width="0" style="28" hidden="1" customWidth="1"/>
    <col min="12074" max="12288" width="9.140625" style="28"/>
    <col min="12289" max="12327" width="2.42578125" style="28" customWidth="1"/>
    <col min="12328" max="12328" width="5" style="28" customWidth="1"/>
    <col min="12329" max="12329" width="0" style="28" hidden="1" customWidth="1"/>
    <col min="12330" max="12544" width="9.140625" style="28"/>
    <col min="12545" max="12583" width="2.42578125" style="28" customWidth="1"/>
    <col min="12584" max="12584" width="5" style="28" customWidth="1"/>
    <col min="12585" max="12585" width="0" style="28" hidden="1" customWidth="1"/>
    <col min="12586" max="12800" width="9.140625" style="28"/>
    <col min="12801" max="12839" width="2.42578125" style="28" customWidth="1"/>
    <col min="12840" max="12840" width="5" style="28" customWidth="1"/>
    <col min="12841" max="12841" width="0" style="28" hidden="1" customWidth="1"/>
    <col min="12842" max="13056" width="9.140625" style="28"/>
    <col min="13057" max="13095" width="2.42578125" style="28" customWidth="1"/>
    <col min="13096" max="13096" width="5" style="28" customWidth="1"/>
    <col min="13097" max="13097" width="0" style="28" hidden="1" customWidth="1"/>
    <col min="13098" max="13312" width="9.140625" style="28"/>
    <col min="13313" max="13351" width="2.42578125" style="28" customWidth="1"/>
    <col min="13352" max="13352" width="5" style="28" customWidth="1"/>
    <col min="13353" max="13353" width="0" style="28" hidden="1" customWidth="1"/>
    <col min="13354" max="13568" width="9.140625" style="28"/>
    <col min="13569" max="13607" width="2.42578125" style="28" customWidth="1"/>
    <col min="13608" max="13608" width="5" style="28" customWidth="1"/>
    <col min="13609" max="13609" width="0" style="28" hidden="1" customWidth="1"/>
    <col min="13610" max="13824" width="9.140625" style="28"/>
    <col min="13825" max="13863" width="2.42578125" style="28" customWidth="1"/>
    <col min="13864" max="13864" width="5" style="28" customWidth="1"/>
    <col min="13865" max="13865" width="0" style="28" hidden="1" customWidth="1"/>
    <col min="13866" max="14080" width="9.140625" style="28"/>
    <col min="14081" max="14119" width="2.42578125" style="28" customWidth="1"/>
    <col min="14120" max="14120" width="5" style="28" customWidth="1"/>
    <col min="14121" max="14121" width="0" style="28" hidden="1" customWidth="1"/>
    <col min="14122" max="14336" width="9.140625" style="28"/>
    <col min="14337" max="14375" width="2.42578125" style="28" customWidth="1"/>
    <col min="14376" max="14376" width="5" style="28" customWidth="1"/>
    <col min="14377" max="14377" width="0" style="28" hidden="1" customWidth="1"/>
    <col min="14378" max="14592" width="9.140625" style="28"/>
    <col min="14593" max="14631" width="2.42578125" style="28" customWidth="1"/>
    <col min="14632" max="14632" width="5" style="28" customWidth="1"/>
    <col min="14633" max="14633" width="0" style="28" hidden="1" customWidth="1"/>
    <col min="14634" max="14848" width="9.140625" style="28"/>
    <col min="14849" max="14887" width="2.42578125" style="28" customWidth="1"/>
    <col min="14888" max="14888" width="5" style="28" customWidth="1"/>
    <col min="14889" max="14889" width="0" style="28" hidden="1" customWidth="1"/>
    <col min="14890" max="15104" width="9.140625" style="28"/>
    <col min="15105" max="15143" width="2.42578125" style="28" customWidth="1"/>
    <col min="15144" max="15144" width="5" style="28" customWidth="1"/>
    <col min="15145" max="15145" width="0" style="28" hidden="1" customWidth="1"/>
    <col min="15146" max="15360" width="9.140625" style="28"/>
    <col min="15361" max="15399" width="2.42578125" style="28" customWidth="1"/>
    <col min="15400" max="15400" width="5" style="28" customWidth="1"/>
    <col min="15401" max="15401" width="0" style="28" hidden="1" customWidth="1"/>
    <col min="15402" max="15616" width="9.140625" style="28"/>
    <col min="15617" max="15655" width="2.42578125" style="28" customWidth="1"/>
    <col min="15656" max="15656" width="5" style="28" customWidth="1"/>
    <col min="15657" max="15657" width="0" style="28" hidden="1" customWidth="1"/>
    <col min="15658" max="15872" width="9.140625" style="28"/>
    <col min="15873" max="15911" width="2.42578125" style="28" customWidth="1"/>
    <col min="15912" max="15912" width="5" style="28" customWidth="1"/>
    <col min="15913" max="15913" width="0" style="28" hidden="1" customWidth="1"/>
    <col min="15914" max="16128" width="9.140625" style="28"/>
    <col min="16129" max="16167" width="2.42578125" style="28" customWidth="1"/>
    <col min="16168" max="16168" width="5" style="28" customWidth="1"/>
    <col min="16169" max="16169" width="0" style="28" hidden="1" customWidth="1"/>
    <col min="16170" max="16384" width="9.140625" style="28"/>
  </cols>
  <sheetData>
    <row r="1" spans="1:40" ht="11.65" customHeight="1" x14ac:dyDescent="0.2">
      <c r="A1" s="26"/>
      <c r="B1" s="217"/>
      <c r="C1" s="217"/>
      <c r="D1" s="217"/>
      <c r="E1" s="217"/>
      <c r="F1" s="217"/>
      <c r="G1" s="217"/>
      <c r="H1" s="217"/>
      <c r="I1" s="217"/>
      <c r="J1" s="217"/>
      <c r="K1" s="27"/>
      <c r="L1" s="650" t="s">
        <v>279</v>
      </c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6"/>
      <c r="AF1" s="657"/>
      <c r="AG1" s="657"/>
      <c r="AH1" s="657"/>
      <c r="AI1" s="657"/>
      <c r="AJ1" s="657"/>
      <c r="AK1" s="657"/>
      <c r="AL1" s="657"/>
      <c r="AM1" s="657"/>
      <c r="AN1" s="658"/>
    </row>
    <row r="2" spans="1:40" ht="11.65" customHeight="1" x14ac:dyDescent="0.2">
      <c r="A2" s="29"/>
      <c r="B2" s="218"/>
      <c r="C2" s="218"/>
      <c r="D2" s="218"/>
      <c r="E2" s="218"/>
      <c r="F2" s="218"/>
      <c r="G2" s="218"/>
      <c r="H2" s="218"/>
      <c r="I2" s="218"/>
      <c r="J2" s="218"/>
      <c r="K2" s="30"/>
      <c r="L2" s="652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9"/>
      <c r="AF2" s="660"/>
      <c r="AG2" s="660"/>
      <c r="AH2" s="660"/>
      <c r="AI2" s="660"/>
      <c r="AJ2" s="660"/>
      <c r="AK2" s="660"/>
      <c r="AL2" s="660"/>
      <c r="AM2" s="660"/>
      <c r="AN2" s="661"/>
    </row>
    <row r="3" spans="1:40" ht="11.65" customHeight="1" x14ac:dyDescent="0.2">
      <c r="A3" s="29"/>
      <c r="B3" s="218"/>
      <c r="C3" s="218"/>
      <c r="D3" s="218"/>
      <c r="E3" s="218"/>
      <c r="F3" s="218"/>
      <c r="G3" s="218"/>
      <c r="H3" s="218"/>
      <c r="I3" s="218"/>
      <c r="J3" s="218"/>
      <c r="K3" s="30"/>
      <c r="L3" s="652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653"/>
      <c r="AA3" s="653"/>
      <c r="AB3" s="653"/>
      <c r="AC3" s="653"/>
      <c r="AD3" s="653"/>
      <c r="AE3" s="659"/>
      <c r="AF3" s="660"/>
      <c r="AG3" s="660"/>
      <c r="AH3" s="660"/>
      <c r="AI3" s="660"/>
      <c r="AJ3" s="660"/>
      <c r="AK3" s="660"/>
      <c r="AL3" s="660"/>
      <c r="AM3" s="660"/>
      <c r="AN3" s="661"/>
    </row>
    <row r="4" spans="1:40" ht="11.65" customHeight="1" x14ac:dyDescent="0.2">
      <c r="A4" s="29"/>
      <c r="B4" s="218"/>
      <c r="C4" s="218"/>
      <c r="D4" s="218"/>
      <c r="E4" s="218"/>
      <c r="F4" s="218"/>
      <c r="G4" s="218"/>
      <c r="H4" s="218"/>
      <c r="I4" s="218"/>
      <c r="J4" s="218"/>
      <c r="K4" s="30"/>
      <c r="L4" s="652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3"/>
      <c r="AB4" s="653"/>
      <c r="AC4" s="653"/>
      <c r="AD4" s="653"/>
      <c r="AE4" s="659"/>
      <c r="AF4" s="660"/>
      <c r="AG4" s="660"/>
      <c r="AH4" s="660"/>
      <c r="AI4" s="660"/>
      <c r="AJ4" s="660"/>
      <c r="AK4" s="660"/>
      <c r="AL4" s="660"/>
      <c r="AM4" s="660"/>
      <c r="AN4" s="661"/>
    </row>
    <row r="5" spans="1:40" ht="11.65" customHeight="1" x14ac:dyDescent="0.2">
      <c r="A5" s="662" t="s">
        <v>0</v>
      </c>
      <c r="B5" s="663"/>
      <c r="C5" s="663"/>
      <c r="D5" s="663"/>
      <c r="E5" s="663"/>
      <c r="F5" s="663"/>
      <c r="G5" s="663"/>
      <c r="H5" s="663"/>
      <c r="I5" s="663"/>
      <c r="J5" s="663"/>
      <c r="K5" s="664"/>
      <c r="L5" s="652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  <c r="Y5" s="653"/>
      <c r="Z5" s="653"/>
      <c r="AA5" s="653"/>
      <c r="AB5" s="653"/>
      <c r="AC5" s="653"/>
      <c r="AD5" s="653"/>
      <c r="AE5" s="665" t="s">
        <v>1</v>
      </c>
      <c r="AF5" s="666"/>
      <c r="AG5" s="666"/>
      <c r="AH5" s="666"/>
      <c r="AI5" s="666"/>
      <c r="AJ5" s="666"/>
      <c r="AK5" s="666"/>
      <c r="AL5" s="666"/>
      <c r="AM5" s="666"/>
      <c r="AN5" s="667"/>
    </row>
    <row r="6" spans="1:40" ht="11.65" customHeight="1" x14ac:dyDescent="0.2">
      <c r="A6" s="662"/>
      <c r="B6" s="663"/>
      <c r="C6" s="663"/>
      <c r="D6" s="663"/>
      <c r="E6" s="663"/>
      <c r="F6" s="663"/>
      <c r="G6" s="663"/>
      <c r="H6" s="663"/>
      <c r="I6" s="663"/>
      <c r="J6" s="663"/>
      <c r="K6" s="664"/>
      <c r="L6" s="654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68"/>
      <c r="AF6" s="669"/>
      <c r="AG6" s="669"/>
      <c r="AH6" s="669"/>
      <c r="AI6" s="669"/>
      <c r="AJ6" s="669"/>
      <c r="AK6" s="669"/>
      <c r="AL6" s="669"/>
      <c r="AM6" s="669"/>
      <c r="AN6" s="670"/>
    </row>
    <row r="7" spans="1:40" ht="11.65" customHeight="1" x14ac:dyDescent="0.2">
      <c r="A7" s="671" t="s">
        <v>2</v>
      </c>
      <c r="B7" s="672"/>
      <c r="C7" s="672"/>
      <c r="D7" s="672"/>
      <c r="E7" s="672"/>
      <c r="F7" s="672"/>
      <c r="G7" s="672"/>
      <c r="H7" s="672"/>
      <c r="I7" s="672"/>
      <c r="J7" s="672"/>
      <c r="K7" s="673"/>
      <c r="L7" s="677" t="s">
        <v>281</v>
      </c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  <c r="AB7" s="678"/>
      <c r="AC7" s="678"/>
      <c r="AD7" s="678"/>
      <c r="AE7" s="683" t="s">
        <v>3</v>
      </c>
      <c r="AF7" s="672"/>
      <c r="AG7" s="672"/>
      <c r="AH7" s="672"/>
      <c r="AI7" s="672"/>
      <c r="AJ7" s="672"/>
      <c r="AK7" s="672"/>
      <c r="AL7" s="672"/>
      <c r="AM7" s="672"/>
      <c r="AN7" s="684"/>
    </row>
    <row r="8" spans="1:40" ht="11.65" customHeight="1" x14ac:dyDescent="0.2">
      <c r="A8" s="674"/>
      <c r="B8" s="675"/>
      <c r="C8" s="675"/>
      <c r="D8" s="675"/>
      <c r="E8" s="675"/>
      <c r="F8" s="675"/>
      <c r="G8" s="675"/>
      <c r="H8" s="675"/>
      <c r="I8" s="675"/>
      <c r="J8" s="675"/>
      <c r="K8" s="676"/>
      <c r="L8" s="679"/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  <c r="Y8" s="680"/>
      <c r="Z8" s="680"/>
      <c r="AA8" s="680"/>
      <c r="AB8" s="680"/>
      <c r="AC8" s="680"/>
      <c r="AD8" s="680"/>
      <c r="AE8" s="685"/>
      <c r="AF8" s="675"/>
      <c r="AG8" s="675"/>
      <c r="AH8" s="675"/>
      <c r="AI8" s="675"/>
      <c r="AJ8" s="675"/>
      <c r="AK8" s="675"/>
      <c r="AL8" s="675"/>
      <c r="AM8" s="675"/>
      <c r="AN8" s="686"/>
    </row>
    <row r="9" spans="1:40" s="31" customFormat="1" ht="11.65" customHeight="1" x14ac:dyDescent="0.2">
      <c r="A9" s="674"/>
      <c r="B9" s="675"/>
      <c r="C9" s="675"/>
      <c r="D9" s="675"/>
      <c r="E9" s="675"/>
      <c r="F9" s="675"/>
      <c r="G9" s="675"/>
      <c r="H9" s="675"/>
      <c r="I9" s="675"/>
      <c r="J9" s="675"/>
      <c r="K9" s="676"/>
      <c r="L9" s="681"/>
      <c r="M9" s="682"/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7"/>
      <c r="AF9" s="688"/>
      <c r="AG9" s="688"/>
      <c r="AH9" s="688"/>
      <c r="AI9" s="688"/>
      <c r="AJ9" s="688"/>
      <c r="AK9" s="688"/>
      <c r="AL9" s="688"/>
      <c r="AM9" s="688"/>
      <c r="AN9" s="689"/>
    </row>
    <row r="10" spans="1:40" ht="11.65" customHeight="1" x14ac:dyDescent="0.2">
      <c r="A10" s="698" t="s">
        <v>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700"/>
      <c r="L10" s="692" t="s">
        <v>5</v>
      </c>
      <c r="M10" s="692"/>
      <c r="N10" s="692"/>
      <c r="O10" s="692"/>
      <c r="P10" s="692" t="s">
        <v>6</v>
      </c>
      <c r="Q10" s="692"/>
      <c r="R10" s="692"/>
      <c r="S10" s="692" t="s">
        <v>7</v>
      </c>
      <c r="T10" s="692"/>
      <c r="U10" s="692"/>
      <c r="V10" s="692" t="s">
        <v>8</v>
      </c>
      <c r="W10" s="692"/>
      <c r="X10" s="692"/>
      <c r="Y10" s="692" t="s">
        <v>9</v>
      </c>
      <c r="Z10" s="692"/>
      <c r="AA10" s="692"/>
      <c r="AB10" s="692" t="s">
        <v>10</v>
      </c>
      <c r="AC10" s="692"/>
      <c r="AD10" s="692"/>
      <c r="AE10" s="693" t="s">
        <v>40</v>
      </c>
      <c r="AF10" s="693"/>
      <c r="AG10" s="693"/>
      <c r="AH10" s="693"/>
      <c r="AI10" s="693"/>
      <c r="AJ10" s="693"/>
      <c r="AK10" s="693"/>
      <c r="AL10" s="693"/>
      <c r="AM10" s="693"/>
      <c r="AN10" s="694"/>
    </row>
    <row r="11" spans="1:40" ht="11.65" customHeight="1" thickBot="1" x14ac:dyDescent="0.25">
      <c r="A11" s="701"/>
      <c r="B11" s="702"/>
      <c r="C11" s="702"/>
      <c r="D11" s="702"/>
      <c r="E11" s="702"/>
      <c r="F11" s="702"/>
      <c r="G11" s="702"/>
      <c r="H11" s="702"/>
      <c r="I11" s="702"/>
      <c r="J11" s="702"/>
      <c r="K11" s="703"/>
      <c r="L11" s="697">
        <v>91215</v>
      </c>
      <c r="M11" s="697"/>
      <c r="N11" s="697"/>
      <c r="O11" s="697"/>
      <c r="P11" s="697" t="s">
        <v>280</v>
      </c>
      <c r="Q11" s="697"/>
      <c r="R11" s="697"/>
      <c r="S11" s="697" t="s">
        <v>11</v>
      </c>
      <c r="T11" s="697"/>
      <c r="U11" s="697"/>
      <c r="V11" s="697" t="s">
        <v>12</v>
      </c>
      <c r="W11" s="697"/>
      <c r="X11" s="697"/>
      <c r="Y11" s="697">
        <v>463</v>
      </c>
      <c r="Z11" s="697"/>
      <c r="AA11" s="697"/>
      <c r="AB11" s="697" t="s">
        <v>13</v>
      </c>
      <c r="AC11" s="697"/>
      <c r="AD11" s="697"/>
      <c r="AE11" s="695"/>
      <c r="AF11" s="695"/>
      <c r="AG11" s="695"/>
      <c r="AH11" s="695"/>
      <c r="AI11" s="695"/>
      <c r="AJ11" s="695"/>
      <c r="AK11" s="695"/>
      <c r="AL11" s="695"/>
      <c r="AM11" s="695"/>
      <c r="AN11" s="696"/>
    </row>
    <row r="12" spans="1:40" ht="15" customHeight="1" thickBot="1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2"/>
      <c r="V12" s="12"/>
      <c r="W12" s="13"/>
      <c r="X12" s="14"/>
      <c r="Y12" s="14"/>
      <c r="Z12" s="14"/>
      <c r="AA12" s="14"/>
      <c r="AB12" s="14"/>
      <c r="AC12" s="11"/>
      <c r="AD12" s="12"/>
      <c r="AE12" s="12"/>
      <c r="AF12" s="14"/>
      <c r="AG12" s="14"/>
      <c r="AH12" s="14"/>
      <c r="AI12" s="14"/>
      <c r="AJ12" s="14"/>
      <c r="AK12" s="14"/>
      <c r="AL12" s="15"/>
      <c r="AM12" s="12"/>
      <c r="AN12" s="10"/>
    </row>
    <row r="13" spans="1:40" ht="15" customHeight="1" x14ac:dyDescent="0.2">
      <c r="A13" s="704" t="s">
        <v>292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705"/>
      <c r="W13" s="705"/>
      <c r="X13" s="705"/>
      <c r="Y13" s="705"/>
      <c r="Z13" s="705"/>
      <c r="AA13" s="705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/>
      <c r="AN13" s="706"/>
    </row>
    <row r="14" spans="1:40" ht="15" customHeight="1" thickBot="1" x14ac:dyDescent="0.25">
      <c r="A14" s="707" t="s">
        <v>286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/>
      <c r="O14" s="708"/>
      <c r="P14" s="708"/>
      <c r="Q14" s="708"/>
      <c r="R14" s="708"/>
      <c r="S14" s="708"/>
      <c r="T14" s="708"/>
      <c r="U14" s="708"/>
      <c r="V14" s="708"/>
      <c r="W14" s="708"/>
      <c r="X14" s="708"/>
      <c r="Y14" s="708"/>
      <c r="Z14" s="708"/>
      <c r="AA14" s="708"/>
      <c r="AB14" s="708"/>
      <c r="AC14" s="708"/>
      <c r="AD14" s="708"/>
      <c r="AE14" s="708"/>
      <c r="AF14" s="708"/>
      <c r="AG14" s="708"/>
      <c r="AH14" s="708"/>
      <c r="AI14" s="708"/>
      <c r="AJ14" s="708"/>
      <c r="AK14" s="708"/>
      <c r="AL14" s="708"/>
      <c r="AM14" s="708"/>
      <c r="AN14" s="709"/>
    </row>
    <row r="15" spans="1:40" ht="15" customHeight="1" thickBot="1" x14ac:dyDescent="0.2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</row>
    <row r="16" spans="1:40" ht="12.95" customHeight="1" x14ac:dyDescent="0.25">
      <c r="A16" s="756" t="s">
        <v>220</v>
      </c>
      <c r="B16" s="757"/>
      <c r="C16" s="757"/>
      <c r="D16" s="757"/>
      <c r="E16" s="757"/>
      <c r="F16" s="757"/>
      <c r="G16" s="757"/>
      <c r="H16" s="757"/>
      <c r="I16" s="757"/>
      <c r="J16" s="757"/>
      <c r="K16" s="757"/>
      <c r="L16" s="757"/>
      <c r="M16" s="757"/>
      <c r="N16" s="757"/>
      <c r="O16" s="757"/>
      <c r="P16" s="757"/>
      <c r="Q16" s="757"/>
      <c r="R16" s="757"/>
      <c r="S16" s="757"/>
      <c r="T16" s="757"/>
      <c r="U16" s="757"/>
      <c r="V16" s="757"/>
      <c r="W16" s="757"/>
      <c r="X16" s="757"/>
      <c r="Y16" s="757"/>
      <c r="Z16" s="757"/>
      <c r="AA16" s="757"/>
      <c r="AB16" s="757"/>
      <c r="AC16" s="757"/>
      <c r="AD16" s="757"/>
      <c r="AE16" s="757"/>
      <c r="AF16" s="757"/>
      <c r="AG16" s="757"/>
      <c r="AH16" s="757"/>
      <c r="AI16" s="757"/>
      <c r="AJ16" s="757"/>
      <c r="AK16" s="757"/>
      <c r="AL16" s="757"/>
      <c r="AM16" s="757"/>
      <c r="AN16" s="758"/>
    </row>
    <row r="17" spans="1:40" ht="12.95" customHeight="1" x14ac:dyDescent="0.2">
      <c r="A17" s="291"/>
      <c r="B17" s="211"/>
      <c r="C17" s="151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1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211"/>
      <c r="AL17" s="211"/>
      <c r="AM17" s="211"/>
      <c r="AN17" s="244"/>
    </row>
    <row r="18" spans="1:40" ht="12.95" customHeight="1" x14ac:dyDescent="0.2">
      <c r="A18" s="291"/>
      <c r="B18" s="211"/>
      <c r="C18" s="153"/>
      <c r="D18" s="154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5"/>
      <c r="T18" s="153"/>
      <c r="U18" s="153"/>
      <c r="V18" s="153"/>
      <c r="W18" s="154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211"/>
      <c r="AL18" s="211"/>
      <c r="AM18" s="211"/>
      <c r="AN18" s="244"/>
    </row>
    <row r="19" spans="1:40" ht="12.95" customHeight="1" x14ac:dyDescent="0.2">
      <c r="A19" s="291"/>
      <c r="B19" s="211"/>
      <c r="C19" s="152"/>
      <c r="D19" s="152"/>
      <c r="E19" s="152"/>
      <c r="F19" s="151"/>
      <c r="G19" s="152"/>
      <c r="H19" s="152"/>
      <c r="I19" s="152"/>
      <c r="J19" s="152"/>
      <c r="K19" s="152"/>
      <c r="L19" s="152"/>
      <c r="M19" s="152"/>
      <c r="N19" s="151"/>
      <c r="O19" s="152"/>
      <c r="P19" s="152"/>
      <c r="Q19" s="152"/>
      <c r="R19" s="152"/>
      <c r="S19" s="156"/>
      <c r="T19" s="152"/>
      <c r="U19" s="152"/>
      <c r="V19" s="152"/>
      <c r="W19" s="151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211"/>
      <c r="AL19" s="211"/>
      <c r="AM19" s="211"/>
      <c r="AN19" s="244"/>
    </row>
    <row r="20" spans="1:40" ht="12.95" customHeight="1" x14ac:dyDescent="0.2">
      <c r="A20" s="291"/>
      <c r="B20" s="211"/>
      <c r="C20" s="152"/>
      <c r="D20" s="152"/>
      <c r="E20" s="151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6"/>
      <c r="T20" s="152"/>
      <c r="U20" s="152"/>
      <c r="V20" s="152"/>
      <c r="W20" s="152"/>
      <c r="X20" s="152"/>
      <c r="Y20" s="151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211"/>
      <c r="AL20" s="211"/>
      <c r="AM20" s="211"/>
      <c r="AN20" s="244"/>
    </row>
    <row r="21" spans="1:40" ht="12.95" customHeight="1" x14ac:dyDescent="0.2">
      <c r="A21" s="291"/>
      <c r="B21" s="211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6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211"/>
      <c r="AL21" s="211"/>
      <c r="AM21" s="211"/>
      <c r="AN21" s="244"/>
    </row>
    <row r="22" spans="1:40" ht="12.95" customHeight="1" x14ac:dyDescent="0.2">
      <c r="A22" s="291"/>
      <c r="B22" s="211"/>
      <c r="C22" s="157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6"/>
      <c r="T22" s="152"/>
      <c r="U22" s="157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211"/>
      <c r="AL22" s="211"/>
      <c r="AM22" s="211"/>
      <c r="AN22" s="244"/>
    </row>
    <row r="23" spans="1:40" ht="12.95" customHeight="1" x14ac:dyDescent="0.2">
      <c r="A23" s="291"/>
      <c r="B23" s="211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6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211"/>
      <c r="AL23" s="211"/>
      <c r="AM23" s="211"/>
      <c r="AN23" s="244"/>
    </row>
    <row r="24" spans="1:40" ht="12.95" customHeight="1" x14ac:dyDescent="0.2">
      <c r="A24" s="291"/>
      <c r="B24" s="211"/>
      <c r="C24" s="152"/>
      <c r="D24" s="152"/>
      <c r="E24" s="152"/>
      <c r="F24" s="152"/>
      <c r="G24" s="152"/>
      <c r="H24" s="152"/>
      <c r="I24" s="158"/>
      <c r="J24" s="152"/>
      <c r="K24" s="151"/>
      <c r="L24" s="152"/>
      <c r="M24" s="158"/>
      <c r="N24" s="152"/>
      <c r="O24" s="151"/>
      <c r="P24" s="152"/>
      <c r="Q24" s="152"/>
      <c r="R24" s="152"/>
      <c r="S24" s="152"/>
      <c r="T24" s="152"/>
      <c r="U24" s="152"/>
      <c r="V24" s="152"/>
      <c r="W24" s="152"/>
      <c r="X24" s="159"/>
      <c r="Y24" s="157"/>
      <c r="Z24" s="160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211"/>
      <c r="AL24" s="211"/>
      <c r="AM24" s="211"/>
      <c r="AN24" s="244"/>
    </row>
    <row r="25" spans="1:40" ht="12.95" customHeight="1" x14ac:dyDescent="0.2">
      <c r="A25" s="291"/>
      <c r="B25" s="211"/>
      <c r="C25" s="153"/>
      <c r="D25" s="153"/>
      <c r="E25" s="153"/>
      <c r="F25" s="153"/>
      <c r="G25" s="153"/>
      <c r="H25" s="153"/>
      <c r="I25" s="155"/>
      <c r="J25" s="153"/>
      <c r="K25" s="154"/>
      <c r="L25" s="153"/>
      <c r="M25" s="155"/>
      <c r="N25" s="153"/>
      <c r="O25" s="154"/>
      <c r="P25" s="153"/>
      <c r="Q25" s="153"/>
      <c r="R25" s="153"/>
      <c r="S25" s="153"/>
      <c r="T25" s="153"/>
      <c r="U25" s="153"/>
      <c r="V25" s="153"/>
      <c r="W25" s="153"/>
      <c r="X25" s="161"/>
      <c r="Y25" s="162"/>
      <c r="Z25" s="16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211"/>
      <c r="AL25" s="211"/>
      <c r="AM25" s="211"/>
      <c r="AN25" s="244"/>
    </row>
    <row r="26" spans="1:40" ht="12.95" customHeight="1" x14ac:dyDescent="0.3">
      <c r="A26" s="291"/>
      <c r="B26" s="211"/>
      <c r="C26" s="152"/>
      <c r="D26" s="152"/>
      <c r="E26" s="152"/>
      <c r="F26" s="164"/>
      <c r="G26" s="152"/>
      <c r="H26" s="151"/>
      <c r="I26" s="152"/>
      <c r="J26" s="152"/>
      <c r="K26" s="152"/>
      <c r="L26" s="164"/>
      <c r="M26" s="158"/>
      <c r="N26" s="151"/>
      <c r="O26" s="152"/>
      <c r="P26" s="152"/>
      <c r="Q26" s="152"/>
      <c r="R26" s="152"/>
      <c r="S26" s="156"/>
      <c r="T26" s="152"/>
      <c r="U26" s="152"/>
      <c r="V26" s="152"/>
      <c r="W26" s="152"/>
      <c r="X26" s="152"/>
      <c r="Y26" s="151"/>
      <c r="Z26" s="152"/>
      <c r="AA26" s="152"/>
      <c r="AB26" s="152"/>
      <c r="AC26" s="152"/>
      <c r="AD26" s="151"/>
      <c r="AE26" s="152"/>
      <c r="AF26" s="152"/>
      <c r="AG26" s="152"/>
      <c r="AH26" s="152"/>
      <c r="AI26" s="152"/>
      <c r="AJ26" s="152"/>
      <c r="AK26" s="211"/>
      <c r="AL26" s="211"/>
      <c r="AM26" s="211"/>
      <c r="AN26" s="244"/>
    </row>
    <row r="27" spans="1:40" ht="12.95" customHeight="1" x14ac:dyDescent="0.2">
      <c r="A27" s="291"/>
      <c r="B27" s="211"/>
      <c r="C27" s="152"/>
      <c r="D27" s="152"/>
      <c r="E27" s="152"/>
      <c r="F27" s="152"/>
      <c r="G27" s="151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6"/>
      <c r="T27" s="152"/>
      <c r="U27" s="152"/>
      <c r="V27" s="152"/>
      <c r="W27" s="152"/>
      <c r="X27" s="151"/>
      <c r="Y27" s="152"/>
      <c r="Z27" s="152"/>
      <c r="AA27" s="152"/>
      <c r="AB27" s="152"/>
      <c r="AC27" s="152"/>
      <c r="AD27" s="151"/>
      <c r="AE27" s="152"/>
      <c r="AF27" s="152"/>
      <c r="AG27" s="152"/>
      <c r="AH27" s="152"/>
      <c r="AI27" s="152"/>
      <c r="AJ27" s="152"/>
      <c r="AK27" s="211"/>
      <c r="AL27" s="211"/>
      <c r="AM27" s="211"/>
      <c r="AN27" s="244"/>
    </row>
    <row r="28" spans="1:40" ht="12.95" customHeight="1" x14ac:dyDescent="0.2">
      <c r="A28" s="291"/>
      <c r="B28" s="211"/>
      <c r="C28" s="152"/>
      <c r="D28" s="152"/>
      <c r="E28" s="152"/>
      <c r="F28" s="152"/>
      <c r="G28" s="152"/>
      <c r="H28" s="152"/>
      <c r="I28" s="152"/>
      <c r="J28" s="152"/>
      <c r="K28" s="151"/>
      <c r="L28" s="152"/>
      <c r="M28" s="152"/>
      <c r="N28" s="152"/>
      <c r="O28" s="152"/>
      <c r="P28" s="158"/>
      <c r="Q28" s="152"/>
      <c r="R28" s="152"/>
      <c r="S28" s="156"/>
      <c r="T28" s="152"/>
      <c r="U28" s="152"/>
      <c r="V28" s="152"/>
      <c r="W28" s="152"/>
      <c r="X28" s="152"/>
      <c r="Y28" s="152"/>
      <c r="Z28" s="152"/>
      <c r="AA28" s="152"/>
      <c r="AB28" s="158"/>
      <c r="AC28" s="152"/>
      <c r="AD28" s="152"/>
      <c r="AE28" s="152"/>
      <c r="AF28" s="152"/>
      <c r="AG28" s="152"/>
      <c r="AH28" s="152"/>
      <c r="AI28" s="152"/>
      <c r="AJ28" s="152"/>
      <c r="AK28" s="211"/>
      <c r="AL28" s="211"/>
      <c r="AM28" s="211"/>
      <c r="AN28" s="244"/>
    </row>
    <row r="29" spans="1:40" ht="12.95" customHeight="1" x14ac:dyDescent="0.2">
      <c r="A29" s="291"/>
      <c r="B29" s="211"/>
      <c r="C29" s="152"/>
      <c r="D29" s="152"/>
      <c r="E29" s="152"/>
      <c r="F29" s="152"/>
      <c r="G29" s="151"/>
      <c r="H29" s="152"/>
      <c r="I29" s="152"/>
      <c r="J29" s="152"/>
      <c r="K29" s="152"/>
      <c r="L29" s="151"/>
      <c r="M29" s="152"/>
      <c r="N29" s="152"/>
      <c r="O29" s="152"/>
      <c r="P29" s="152"/>
      <c r="Q29" s="152"/>
      <c r="R29" s="152"/>
      <c r="S29" s="156"/>
      <c r="T29" s="152"/>
      <c r="U29" s="152"/>
      <c r="V29" s="152"/>
      <c r="W29" s="152"/>
      <c r="X29" s="152"/>
      <c r="Y29" s="152"/>
      <c r="Z29" s="151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211"/>
      <c r="AL29" s="211"/>
      <c r="AM29" s="211"/>
      <c r="AN29" s="244"/>
    </row>
    <row r="30" spans="1:40" ht="12.95" customHeight="1" x14ac:dyDescent="0.3">
      <c r="A30" s="299"/>
      <c r="B30" s="34"/>
      <c r="C30" s="152"/>
      <c r="D30" s="152"/>
      <c r="E30" s="152"/>
      <c r="F30" s="152"/>
      <c r="G30" s="151"/>
      <c r="H30" s="152"/>
      <c r="I30" s="152"/>
      <c r="J30" s="152"/>
      <c r="K30" s="157"/>
      <c r="L30" s="164"/>
      <c r="M30" s="152"/>
      <c r="N30" s="152"/>
      <c r="O30" s="157"/>
      <c r="P30" s="152"/>
      <c r="Q30" s="152"/>
      <c r="R30" s="152"/>
      <c r="S30" s="156"/>
      <c r="T30" s="152"/>
      <c r="U30" s="152"/>
      <c r="V30" s="152"/>
      <c r="W30" s="152"/>
      <c r="X30" s="152"/>
      <c r="Y30" s="151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211"/>
      <c r="AL30" s="211"/>
      <c r="AM30" s="211"/>
      <c r="AN30" s="244"/>
    </row>
    <row r="31" spans="1:40" ht="12.95" customHeight="1" x14ac:dyDescent="0.3">
      <c r="A31" s="300"/>
      <c r="B31" s="38"/>
      <c r="C31" s="152"/>
      <c r="D31" s="152"/>
      <c r="E31" s="152"/>
      <c r="F31" s="152"/>
      <c r="G31" s="152"/>
      <c r="H31" s="152"/>
      <c r="I31" s="152"/>
      <c r="J31" s="152"/>
      <c r="K31" s="151"/>
      <c r="L31" s="152"/>
      <c r="M31" s="152"/>
      <c r="N31" s="152"/>
      <c r="O31" s="152"/>
      <c r="P31" s="152"/>
      <c r="Q31" s="164"/>
      <c r="R31" s="152"/>
      <c r="S31" s="156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211"/>
      <c r="AL31" s="211"/>
      <c r="AM31" s="211"/>
      <c r="AN31" s="244"/>
    </row>
    <row r="32" spans="1:40" ht="12.95" customHeight="1" x14ac:dyDescent="0.2">
      <c r="A32" s="300"/>
      <c r="B32" s="38"/>
      <c r="C32" s="152"/>
      <c r="D32" s="152"/>
      <c r="E32" s="152"/>
      <c r="F32" s="152"/>
      <c r="G32" s="152"/>
      <c r="H32" s="152"/>
      <c r="I32" s="151"/>
      <c r="J32" s="152"/>
      <c r="K32" s="152"/>
      <c r="L32" s="152"/>
      <c r="M32" s="152"/>
      <c r="N32" s="152"/>
      <c r="O32" s="152"/>
      <c r="P32" s="152"/>
      <c r="Q32" s="152"/>
      <c r="R32" s="152"/>
      <c r="S32" s="156"/>
      <c r="T32" s="152"/>
      <c r="U32" s="152"/>
      <c r="V32" s="152"/>
      <c r="W32" s="151"/>
      <c r="X32" s="152"/>
      <c r="Y32" s="152"/>
      <c r="Z32" s="152"/>
      <c r="AA32" s="152"/>
      <c r="AB32" s="152"/>
      <c r="AC32" s="152"/>
      <c r="AD32" s="152"/>
      <c r="AE32" s="152"/>
      <c r="AF32" s="151"/>
      <c r="AG32" s="152"/>
      <c r="AH32" s="152"/>
      <c r="AI32" s="152"/>
      <c r="AJ32" s="152"/>
      <c r="AK32" s="211"/>
      <c r="AL32" s="211"/>
      <c r="AM32" s="211"/>
      <c r="AN32" s="244"/>
    </row>
    <row r="33" spans="1:40" ht="12.95" customHeight="1" x14ac:dyDescent="0.2">
      <c r="A33" s="301"/>
      <c r="B33" s="36"/>
      <c r="C33" s="152"/>
      <c r="D33" s="152"/>
      <c r="E33" s="152"/>
      <c r="F33" s="151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6"/>
      <c r="T33" s="152"/>
      <c r="U33" s="152"/>
      <c r="V33" s="152"/>
      <c r="W33" s="152"/>
      <c r="X33" s="152"/>
      <c r="Y33" s="152"/>
      <c r="Z33" s="152"/>
      <c r="AA33" s="152"/>
      <c r="AB33" s="151"/>
      <c r="AC33" s="152"/>
      <c r="AD33" s="152"/>
      <c r="AE33" s="152"/>
      <c r="AF33" s="152"/>
      <c r="AG33" s="152"/>
      <c r="AH33" s="152"/>
      <c r="AI33" s="152"/>
      <c r="AJ33" s="152"/>
      <c r="AK33" s="211"/>
      <c r="AL33" s="211"/>
      <c r="AM33" s="211"/>
      <c r="AN33" s="244"/>
    </row>
    <row r="34" spans="1:40" ht="12.95" customHeight="1" x14ac:dyDescent="0.2">
      <c r="A34" s="291"/>
      <c r="B34" s="211"/>
      <c r="C34" s="152"/>
      <c r="D34" s="152"/>
      <c r="E34" s="152"/>
      <c r="F34" s="152"/>
      <c r="G34" s="152"/>
      <c r="H34" s="152"/>
      <c r="I34" s="151"/>
      <c r="J34" s="152"/>
      <c r="K34" s="152"/>
      <c r="L34" s="152"/>
      <c r="M34" s="152"/>
      <c r="N34" s="152"/>
      <c r="O34" s="152"/>
      <c r="P34" s="152"/>
      <c r="Q34" s="152"/>
      <c r="R34" s="152"/>
      <c r="S34" s="156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211"/>
      <c r="AL34" s="211"/>
      <c r="AM34" s="211"/>
      <c r="AN34" s="244"/>
    </row>
    <row r="35" spans="1:40" ht="12.95" customHeight="1" x14ac:dyDescent="0.2">
      <c r="A35" s="291"/>
      <c r="B35" s="211"/>
      <c r="C35" s="152"/>
      <c r="D35" s="152"/>
      <c r="E35" s="152"/>
      <c r="F35" s="152"/>
      <c r="G35" s="152"/>
      <c r="H35" s="152"/>
      <c r="I35" s="152"/>
      <c r="J35" s="152"/>
      <c r="K35" s="151"/>
      <c r="L35" s="152"/>
      <c r="M35" s="152"/>
      <c r="N35" s="165"/>
      <c r="O35" s="151"/>
      <c r="P35" s="152"/>
      <c r="Q35" s="152"/>
      <c r="R35" s="152"/>
      <c r="S35" s="156"/>
      <c r="T35" s="152"/>
      <c r="U35" s="152"/>
      <c r="V35" s="152"/>
      <c r="W35" s="152"/>
      <c r="X35" s="166"/>
      <c r="Y35" s="166"/>
      <c r="Z35" s="166"/>
      <c r="AA35" s="166"/>
      <c r="AB35" s="166"/>
      <c r="AC35" s="152"/>
      <c r="AD35" s="152"/>
      <c r="AE35" s="152"/>
      <c r="AF35" s="167"/>
      <c r="AG35" s="166"/>
      <c r="AH35" s="166"/>
      <c r="AI35" s="166"/>
      <c r="AJ35" s="166"/>
      <c r="AK35" s="211"/>
      <c r="AL35" s="211"/>
      <c r="AM35" s="211"/>
      <c r="AN35" s="244"/>
    </row>
    <row r="36" spans="1:40" ht="12.95" customHeight="1" x14ac:dyDescent="0.2">
      <c r="A36" s="291"/>
      <c r="B36" s="211"/>
      <c r="C36" s="152"/>
      <c r="D36" s="152"/>
      <c r="E36" s="152"/>
      <c r="F36" s="152"/>
      <c r="G36" s="152"/>
      <c r="H36" s="152"/>
      <c r="I36" s="152"/>
      <c r="J36" s="152"/>
      <c r="K36" s="151"/>
      <c r="L36" s="152"/>
      <c r="M36" s="152"/>
      <c r="N36" s="165"/>
      <c r="O36" s="151"/>
      <c r="P36" s="152"/>
      <c r="Q36" s="152"/>
      <c r="R36" s="152"/>
      <c r="S36" s="156"/>
      <c r="T36" s="152"/>
      <c r="U36" s="152"/>
      <c r="V36" s="152"/>
      <c r="W36" s="152"/>
      <c r="X36" s="166"/>
      <c r="Y36" s="166"/>
      <c r="Z36" s="166"/>
      <c r="AA36" s="166"/>
      <c r="AB36" s="166"/>
      <c r="AC36" s="152"/>
      <c r="AD36" s="152"/>
      <c r="AE36" s="152"/>
      <c r="AF36" s="167"/>
      <c r="AG36" s="166"/>
      <c r="AH36" s="166"/>
      <c r="AI36" s="166"/>
      <c r="AJ36" s="166"/>
      <c r="AK36" s="211"/>
      <c r="AL36" s="211"/>
      <c r="AM36" s="211"/>
      <c r="AN36" s="244"/>
    </row>
    <row r="37" spans="1:40" ht="12.95" customHeight="1" x14ac:dyDescent="0.2">
      <c r="A37" s="291"/>
      <c r="B37" s="211"/>
      <c r="C37" s="152"/>
      <c r="D37" s="152"/>
      <c r="E37" s="152"/>
      <c r="F37" s="152"/>
      <c r="G37" s="152"/>
      <c r="H37" s="152"/>
      <c r="I37" s="152"/>
      <c r="J37" s="152"/>
      <c r="K37" s="151"/>
      <c r="L37" s="152"/>
      <c r="M37" s="152"/>
      <c r="N37" s="165"/>
      <c r="O37" s="151"/>
      <c r="P37" s="152"/>
      <c r="Q37" s="152"/>
      <c r="R37" s="152"/>
      <c r="S37" s="156"/>
      <c r="T37" s="152"/>
      <c r="U37" s="152"/>
      <c r="V37" s="152"/>
      <c r="W37" s="152"/>
      <c r="X37" s="166"/>
      <c r="Y37" s="166"/>
      <c r="Z37" s="166"/>
      <c r="AA37" s="166"/>
      <c r="AB37" s="166"/>
      <c r="AC37" s="152"/>
      <c r="AD37" s="152"/>
      <c r="AE37" s="152"/>
      <c r="AF37" s="167"/>
      <c r="AG37" s="166"/>
      <c r="AH37" s="166"/>
      <c r="AI37" s="166"/>
      <c r="AJ37" s="166"/>
      <c r="AK37" s="211"/>
      <c r="AL37" s="211"/>
      <c r="AM37" s="211"/>
      <c r="AN37" s="244"/>
    </row>
    <row r="38" spans="1:40" ht="12.95" customHeight="1" x14ac:dyDescent="0.2">
      <c r="A38" s="291"/>
      <c r="B38" s="211"/>
      <c r="C38" s="152"/>
      <c r="D38" s="152"/>
      <c r="E38" s="152"/>
      <c r="F38" s="152"/>
      <c r="G38" s="152"/>
      <c r="H38" s="152"/>
      <c r="I38" s="152"/>
      <c r="J38" s="152"/>
      <c r="K38" s="151"/>
      <c r="L38" s="152"/>
      <c r="M38" s="152"/>
      <c r="N38" s="152"/>
      <c r="O38" s="152"/>
      <c r="P38" s="152"/>
      <c r="Q38" s="152"/>
      <c r="R38" s="152"/>
      <c r="S38" s="156"/>
      <c r="T38" s="152"/>
      <c r="U38" s="152"/>
      <c r="V38" s="152"/>
      <c r="W38" s="152"/>
      <c r="X38" s="151"/>
      <c r="Y38" s="152"/>
      <c r="Z38" s="152"/>
      <c r="AA38" s="152"/>
      <c r="AB38" s="152"/>
      <c r="AC38" s="152"/>
      <c r="AD38" s="152"/>
      <c r="AE38" s="152"/>
      <c r="AF38" s="151"/>
      <c r="AG38" s="152"/>
      <c r="AH38" s="152"/>
      <c r="AI38" s="152"/>
      <c r="AJ38" s="152"/>
      <c r="AK38" s="211"/>
      <c r="AL38" s="211"/>
      <c r="AM38" s="211"/>
      <c r="AN38" s="244"/>
    </row>
    <row r="39" spans="1:40" ht="12.95" customHeight="1" x14ac:dyDescent="0.3">
      <c r="A39" s="291"/>
      <c r="B39" s="211"/>
      <c r="C39" s="152"/>
      <c r="D39" s="152"/>
      <c r="E39" s="152"/>
      <c r="F39" s="152"/>
      <c r="G39" s="152"/>
      <c r="H39" s="152"/>
      <c r="I39" s="152"/>
      <c r="J39" s="152"/>
      <c r="K39" s="164"/>
      <c r="L39" s="164"/>
      <c r="M39" s="152"/>
      <c r="N39" s="157"/>
      <c r="O39" s="164"/>
      <c r="P39" s="152"/>
      <c r="Q39" s="152"/>
      <c r="R39" s="152"/>
      <c r="S39" s="156"/>
      <c r="T39" s="158"/>
      <c r="U39" s="152"/>
      <c r="V39" s="152"/>
      <c r="W39" s="152"/>
      <c r="X39" s="151"/>
      <c r="Y39" s="152"/>
      <c r="Z39" s="152"/>
      <c r="AA39" s="152"/>
      <c r="AB39" s="152"/>
      <c r="AC39" s="152"/>
      <c r="AD39" s="152"/>
      <c r="AE39" s="152"/>
      <c r="AF39" s="151"/>
      <c r="AG39" s="152"/>
      <c r="AH39" s="152"/>
      <c r="AI39" s="152"/>
      <c r="AJ39" s="152"/>
      <c r="AK39" s="211"/>
      <c r="AL39" s="211"/>
      <c r="AM39" s="211"/>
      <c r="AN39" s="244"/>
    </row>
    <row r="40" spans="1:40" ht="12.95" customHeight="1" x14ac:dyDescent="0.3">
      <c r="A40" s="291"/>
      <c r="B40" s="211"/>
      <c r="C40" s="153"/>
      <c r="D40" s="153"/>
      <c r="E40" s="153"/>
      <c r="F40" s="153"/>
      <c r="G40" s="153"/>
      <c r="H40" s="153"/>
      <c r="I40" s="153"/>
      <c r="J40" s="153"/>
      <c r="K40" s="168"/>
      <c r="L40" s="168"/>
      <c r="M40" s="153"/>
      <c r="N40" s="162"/>
      <c r="O40" s="168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4"/>
      <c r="AE40" s="153"/>
      <c r="AF40" s="153"/>
      <c r="AG40" s="153"/>
      <c r="AH40" s="153"/>
      <c r="AI40" s="153"/>
      <c r="AJ40" s="153"/>
      <c r="AK40" s="211"/>
      <c r="AL40" s="211"/>
      <c r="AM40" s="211"/>
      <c r="AN40" s="244"/>
    </row>
    <row r="41" spans="1:40" ht="12.95" customHeight="1" x14ac:dyDescent="0.3">
      <c r="A41" s="291"/>
      <c r="B41" s="211"/>
      <c r="C41" s="152"/>
      <c r="D41" s="152"/>
      <c r="E41" s="157"/>
      <c r="F41" s="152"/>
      <c r="G41" s="152"/>
      <c r="H41" s="152"/>
      <c r="I41" s="152"/>
      <c r="J41" s="157"/>
      <c r="K41" s="152"/>
      <c r="L41" s="152"/>
      <c r="M41" s="152"/>
      <c r="N41" s="157"/>
      <c r="O41" s="164"/>
      <c r="P41" s="152"/>
      <c r="Q41" s="152"/>
      <c r="R41" s="152"/>
      <c r="S41" s="156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1"/>
      <c r="AE41" s="152"/>
      <c r="AF41" s="152"/>
      <c r="AG41" s="152"/>
      <c r="AH41" s="151"/>
      <c r="AI41" s="152"/>
      <c r="AJ41" s="152"/>
      <c r="AK41" s="211"/>
      <c r="AL41" s="211"/>
      <c r="AM41" s="211"/>
      <c r="AN41" s="244"/>
    </row>
    <row r="42" spans="1:40" ht="12.95" customHeight="1" x14ac:dyDescent="0.3">
      <c r="A42" s="291"/>
      <c r="B42" s="211"/>
      <c r="C42" s="164"/>
      <c r="D42" s="152"/>
      <c r="E42" s="152"/>
      <c r="F42" s="152"/>
      <c r="G42" s="157"/>
      <c r="H42" s="164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6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211"/>
      <c r="AL42" s="211"/>
      <c r="AM42" s="211"/>
      <c r="AN42" s="244"/>
    </row>
    <row r="43" spans="1:40" ht="12.95" customHeight="1" x14ac:dyDescent="0.2">
      <c r="A43" s="291"/>
      <c r="B43" s="211"/>
      <c r="C43" s="152"/>
      <c r="D43" s="152"/>
      <c r="E43" s="152"/>
      <c r="F43" s="152"/>
      <c r="G43" s="152"/>
      <c r="H43" s="151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1"/>
      <c r="W43" s="152"/>
      <c r="X43" s="152"/>
      <c r="Y43" s="152"/>
      <c r="Z43" s="152"/>
      <c r="AA43" s="152"/>
      <c r="AB43" s="152"/>
      <c r="AC43" s="152"/>
      <c r="AD43" s="151"/>
      <c r="AE43" s="152"/>
      <c r="AF43" s="152"/>
      <c r="AG43" s="152"/>
      <c r="AH43" s="152"/>
      <c r="AI43" s="152"/>
      <c r="AJ43" s="152"/>
      <c r="AK43" s="211"/>
      <c r="AL43" s="211"/>
      <c r="AM43" s="211"/>
      <c r="AN43" s="244"/>
    </row>
    <row r="44" spans="1:40" ht="12.95" customHeight="1" x14ac:dyDescent="0.3">
      <c r="A44" s="291"/>
      <c r="B44" s="211"/>
      <c r="C44" s="153"/>
      <c r="D44" s="153"/>
      <c r="E44" s="153"/>
      <c r="F44" s="153"/>
      <c r="G44" s="153"/>
      <c r="H44" s="153"/>
      <c r="I44" s="153"/>
      <c r="J44" s="153"/>
      <c r="K44" s="168"/>
      <c r="L44" s="168"/>
      <c r="M44" s="153"/>
      <c r="N44" s="162"/>
      <c r="O44" s="168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4"/>
      <c r="AE44" s="153"/>
      <c r="AF44" s="153"/>
      <c r="AG44" s="153"/>
      <c r="AH44" s="153"/>
      <c r="AI44" s="153"/>
      <c r="AJ44" s="153"/>
      <c r="AK44" s="211"/>
      <c r="AL44" s="211"/>
      <c r="AM44" s="211"/>
      <c r="AN44" s="244"/>
    </row>
    <row r="45" spans="1:40" ht="12.95" customHeight="1" x14ac:dyDescent="0.2">
      <c r="A45" s="291"/>
      <c r="B45" s="211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6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211"/>
      <c r="AL45" s="211"/>
      <c r="AM45" s="211"/>
      <c r="AN45" s="244"/>
    </row>
    <row r="46" spans="1:40" ht="12.95" customHeight="1" x14ac:dyDescent="0.2">
      <c r="A46" s="291"/>
      <c r="B46" s="211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211"/>
      <c r="AL46" s="211"/>
      <c r="AM46" s="211"/>
      <c r="AN46" s="244"/>
    </row>
    <row r="47" spans="1:40" ht="12.95" customHeight="1" x14ac:dyDescent="0.3">
      <c r="A47" s="291"/>
      <c r="B47" s="211"/>
      <c r="C47" s="153"/>
      <c r="D47" s="153"/>
      <c r="E47" s="153"/>
      <c r="F47" s="153"/>
      <c r="G47" s="153"/>
      <c r="H47" s="153"/>
      <c r="I47" s="153"/>
      <c r="J47" s="153"/>
      <c r="K47" s="168"/>
      <c r="L47" s="168"/>
      <c r="M47" s="153"/>
      <c r="N47" s="162"/>
      <c r="O47" s="168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4"/>
      <c r="AE47" s="153"/>
      <c r="AF47" s="153"/>
      <c r="AG47" s="153"/>
      <c r="AH47" s="153"/>
      <c r="AI47" s="153"/>
      <c r="AJ47" s="153"/>
      <c r="AK47" s="211"/>
      <c r="AL47" s="211"/>
      <c r="AM47" s="211"/>
      <c r="AN47" s="244"/>
    </row>
    <row r="48" spans="1:40" ht="12.95" customHeight="1" x14ac:dyDescent="0.3">
      <c r="A48" s="291"/>
      <c r="B48" s="211"/>
      <c r="C48" s="153"/>
      <c r="D48" s="153"/>
      <c r="E48" s="154"/>
      <c r="F48" s="153"/>
      <c r="G48" s="153"/>
      <c r="H48" s="153"/>
      <c r="I48" s="153"/>
      <c r="J48" s="153"/>
      <c r="K48" s="153"/>
      <c r="L48" s="153"/>
      <c r="M48" s="154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Y48" s="153"/>
      <c r="Z48" s="153"/>
      <c r="AA48" s="153"/>
      <c r="AB48" s="153"/>
      <c r="AC48" s="153"/>
      <c r="AD48" s="153"/>
      <c r="AE48" s="153"/>
      <c r="AF48" s="154"/>
      <c r="AG48" s="153"/>
      <c r="AH48" s="153"/>
      <c r="AI48" s="153"/>
      <c r="AJ48" s="168"/>
      <c r="AK48" s="211"/>
      <c r="AL48" s="211"/>
      <c r="AM48" s="211"/>
      <c r="AN48" s="244"/>
    </row>
    <row r="49" spans="1:40" ht="12.95" customHeight="1" x14ac:dyDescent="0.2">
      <c r="A49" s="291"/>
      <c r="B49" s="211"/>
      <c r="C49" s="153"/>
      <c r="D49" s="153"/>
      <c r="E49" s="154"/>
      <c r="F49" s="153"/>
      <c r="G49" s="153"/>
      <c r="H49" s="153"/>
      <c r="I49" s="153"/>
      <c r="J49" s="153"/>
      <c r="K49" s="153"/>
      <c r="L49" s="153"/>
      <c r="M49" s="154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4"/>
      <c r="Y49" s="153"/>
      <c r="Z49" s="153"/>
      <c r="AA49" s="153"/>
      <c r="AB49" s="153"/>
      <c r="AC49" s="154"/>
      <c r="AD49" s="153"/>
      <c r="AE49" s="152"/>
      <c r="AF49" s="152"/>
      <c r="AG49" s="152"/>
      <c r="AH49" s="152"/>
      <c r="AI49" s="152"/>
      <c r="AJ49" s="152"/>
      <c r="AK49" s="211"/>
      <c r="AL49" s="211"/>
      <c r="AM49" s="211"/>
      <c r="AN49" s="244"/>
    </row>
    <row r="50" spans="1:40" ht="12.95" customHeight="1" x14ac:dyDescent="0.2">
      <c r="A50" s="291"/>
      <c r="B50" s="211"/>
      <c r="C50" s="152"/>
      <c r="D50" s="152"/>
      <c r="E50" s="151"/>
      <c r="F50" s="152"/>
      <c r="G50" s="152"/>
      <c r="H50" s="152"/>
      <c r="I50" s="152"/>
      <c r="J50" s="152"/>
      <c r="K50" s="152"/>
      <c r="L50" s="152"/>
      <c r="M50" s="151"/>
      <c r="N50" s="152"/>
      <c r="O50" s="152"/>
      <c r="P50" s="152"/>
      <c r="Q50" s="152"/>
      <c r="R50" s="152"/>
      <c r="S50" s="156"/>
      <c r="T50" s="152"/>
      <c r="U50" s="152"/>
      <c r="V50" s="151"/>
      <c r="W50" s="152"/>
      <c r="X50" s="152"/>
      <c r="Y50" s="158"/>
      <c r="Z50" s="152"/>
      <c r="AA50" s="152"/>
      <c r="AB50" s="152"/>
      <c r="AC50" s="152"/>
      <c r="AD50" s="152"/>
      <c r="AE50" s="152"/>
      <c r="AF50" s="152"/>
      <c r="AG50" s="152"/>
      <c r="AH50" s="152"/>
      <c r="AI50" s="151"/>
      <c r="AJ50" s="152"/>
      <c r="AK50" s="211"/>
      <c r="AL50" s="211"/>
      <c r="AM50" s="211"/>
      <c r="AN50" s="244"/>
    </row>
    <row r="51" spans="1:40" ht="12.95" customHeight="1" x14ac:dyDescent="0.2">
      <c r="A51" s="291"/>
      <c r="B51" s="211"/>
      <c r="C51" s="152"/>
      <c r="D51" s="152"/>
      <c r="E51" s="152"/>
      <c r="F51" s="152"/>
      <c r="G51" s="152"/>
      <c r="H51" s="157"/>
      <c r="I51" s="152"/>
      <c r="J51" s="152"/>
      <c r="K51" s="157"/>
      <c r="L51" s="152"/>
      <c r="M51" s="152"/>
      <c r="N51" s="152"/>
      <c r="O51" s="157"/>
      <c r="P51" s="151"/>
      <c r="Q51" s="152"/>
      <c r="R51" s="152"/>
      <c r="S51" s="156"/>
      <c r="T51" s="152"/>
      <c r="U51" s="152"/>
      <c r="V51" s="151"/>
      <c r="W51" s="152"/>
      <c r="X51" s="152"/>
      <c r="Y51" s="152"/>
      <c r="Z51" s="152"/>
      <c r="AA51" s="152"/>
      <c r="AB51" s="152"/>
      <c r="AC51" s="151"/>
      <c r="AD51" s="152"/>
      <c r="AE51" s="152"/>
      <c r="AF51" s="152"/>
      <c r="AG51" s="152"/>
      <c r="AH51" s="152"/>
      <c r="AI51" s="152"/>
      <c r="AJ51" s="152"/>
      <c r="AK51" s="211"/>
      <c r="AL51" s="211"/>
      <c r="AM51" s="211"/>
      <c r="AN51" s="244"/>
    </row>
    <row r="52" spans="1:40" ht="12.95" customHeight="1" x14ac:dyDescent="0.2">
      <c r="A52" s="291"/>
      <c r="B52" s="211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6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211"/>
      <c r="AL52" s="211"/>
      <c r="AM52" s="211"/>
      <c r="AN52" s="244"/>
    </row>
    <row r="53" spans="1:40" ht="12.95" customHeight="1" x14ac:dyDescent="0.3">
      <c r="A53" s="291"/>
      <c r="B53" s="211"/>
      <c r="C53" s="153"/>
      <c r="D53" s="153"/>
      <c r="E53" s="153"/>
      <c r="F53" s="153"/>
      <c r="G53" s="153"/>
      <c r="H53" s="153"/>
      <c r="I53" s="153"/>
      <c r="J53" s="153"/>
      <c r="K53" s="168"/>
      <c r="L53" s="168"/>
      <c r="M53" s="153"/>
      <c r="N53" s="162"/>
      <c r="O53" s="168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4"/>
      <c r="AE53" s="153"/>
      <c r="AF53" s="153"/>
      <c r="AG53" s="153"/>
      <c r="AH53" s="153"/>
      <c r="AI53" s="153"/>
      <c r="AJ53" s="153"/>
      <c r="AK53" s="211"/>
      <c r="AL53" s="211"/>
      <c r="AM53" s="211"/>
      <c r="AN53" s="244"/>
    </row>
    <row r="54" spans="1:40" ht="12.95" customHeight="1" x14ac:dyDescent="0.2">
      <c r="A54" s="291"/>
      <c r="B54" s="21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1"/>
      <c r="AC54" s="152"/>
      <c r="AD54" s="152"/>
      <c r="AE54" s="152"/>
      <c r="AF54" s="152"/>
      <c r="AG54" s="152"/>
      <c r="AH54" s="152"/>
      <c r="AI54" s="152"/>
      <c r="AJ54" s="152"/>
      <c r="AK54" s="211"/>
      <c r="AL54" s="211"/>
      <c r="AM54" s="211"/>
      <c r="AN54" s="244"/>
    </row>
    <row r="55" spans="1:40" ht="12.95" customHeight="1" x14ac:dyDescent="0.2">
      <c r="A55" s="291"/>
      <c r="B55" s="211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1"/>
      <c r="AB55" s="152"/>
      <c r="AC55" s="152"/>
      <c r="AD55" s="152"/>
      <c r="AE55" s="152"/>
      <c r="AF55" s="152"/>
      <c r="AG55" s="152"/>
      <c r="AH55" s="152"/>
      <c r="AI55" s="152"/>
      <c r="AJ55" s="152"/>
      <c r="AK55" s="211"/>
      <c r="AL55" s="211"/>
      <c r="AM55" s="211"/>
      <c r="AN55" s="244"/>
    </row>
    <row r="56" spans="1:40" ht="12.95" customHeight="1" x14ac:dyDescent="0.2">
      <c r="A56" s="291"/>
      <c r="B56" s="211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1"/>
      <c r="AC56" s="152"/>
      <c r="AD56" s="152"/>
      <c r="AE56" s="152"/>
      <c r="AF56" s="152"/>
      <c r="AG56" s="152"/>
      <c r="AH56" s="152"/>
      <c r="AI56" s="152"/>
      <c r="AJ56" s="152"/>
      <c r="AK56" s="211"/>
      <c r="AL56" s="211"/>
      <c r="AM56" s="211"/>
      <c r="AN56" s="244"/>
    </row>
    <row r="57" spans="1:40" ht="12.95" customHeight="1" x14ac:dyDescent="0.3">
      <c r="A57" s="291"/>
      <c r="B57" s="211"/>
      <c r="C57" s="153"/>
      <c r="D57" s="153"/>
      <c r="E57" s="153"/>
      <c r="F57" s="153"/>
      <c r="G57" s="153"/>
      <c r="H57" s="153"/>
      <c r="I57" s="153"/>
      <c r="J57" s="153"/>
      <c r="K57" s="168"/>
      <c r="L57" s="168"/>
      <c r="M57" s="153"/>
      <c r="N57" s="162"/>
      <c r="O57" s="168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4"/>
      <c r="AE57" s="153"/>
      <c r="AF57" s="153"/>
      <c r="AG57" s="153"/>
      <c r="AH57" s="153"/>
      <c r="AI57" s="153"/>
      <c r="AJ57" s="153"/>
      <c r="AK57" s="211"/>
      <c r="AL57" s="211"/>
      <c r="AM57" s="211"/>
      <c r="AN57" s="244"/>
    </row>
    <row r="58" spans="1:40" ht="12.95" customHeight="1" x14ac:dyDescent="0.3">
      <c r="A58" s="291"/>
      <c r="B58" s="211"/>
      <c r="C58" s="153"/>
      <c r="D58" s="153"/>
      <c r="E58" s="153"/>
      <c r="F58" s="153"/>
      <c r="G58" s="153"/>
      <c r="H58" s="153"/>
      <c r="I58" s="153"/>
      <c r="J58" s="153"/>
      <c r="K58" s="168"/>
      <c r="L58" s="168"/>
      <c r="M58" s="153"/>
      <c r="N58" s="162"/>
      <c r="O58" s="168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4"/>
      <c r="AE58" s="153"/>
      <c r="AF58" s="153"/>
      <c r="AG58" s="153"/>
      <c r="AH58" s="153"/>
      <c r="AI58" s="153"/>
      <c r="AJ58" s="153"/>
      <c r="AK58" s="211"/>
      <c r="AL58" s="211"/>
      <c r="AM58" s="211"/>
      <c r="AN58" s="244"/>
    </row>
    <row r="59" spans="1:40" ht="12.95" customHeight="1" x14ac:dyDescent="0.3">
      <c r="A59" s="291"/>
      <c r="B59" s="211"/>
      <c r="C59" s="153"/>
      <c r="D59" s="153"/>
      <c r="E59" s="153"/>
      <c r="F59" s="153"/>
      <c r="G59" s="153"/>
      <c r="H59" s="153"/>
      <c r="I59" s="153"/>
      <c r="J59" s="153"/>
      <c r="K59" s="168"/>
      <c r="L59" s="168"/>
      <c r="M59" s="153"/>
      <c r="N59" s="162"/>
      <c r="O59" s="168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4"/>
      <c r="AE59" s="153"/>
      <c r="AF59" s="153"/>
      <c r="AG59" s="153"/>
      <c r="AH59" s="153"/>
      <c r="AI59" s="153"/>
      <c r="AJ59" s="153"/>
      <c r="AK59" s="211"/>
      <c r="AL59" s="211"/>
      <c r="AM59" s="211"/>
      <c r="AN59" s="244"/>
    </row>
    <row r="60" spans="1:40" ht="12.95" customHeight="1" x14ac:dyDescent="0.3">
      <c r="A60" s="291"/>
      <c r="B60" s="211"/>
      <c r="C60" s="153"/>
      <c r="D60" s="153"/>
      <c r="E60" s="153"/>
      <c r="F60" s="153"/>
      <c r="G60" s="153"/>
      <c r="H60" s="153"/>
      <c r="I60" s="153"/>
      <c r="J60" s="153"/>
      <c r="K60" s="168"/>
      <c r="L60" s="168"/>
      <c r="M60" s="153"/>
      <c r="N60" s="162"/>
      <c r="O60" s="168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4"/>
      <c r="AE60" s="153"/>
      <c r="AF60" s="153"/>
      <c r="AG60" s="153"/>
      <c r="AH60" s="153"/>
      <c r="AI60" s="153"/>
      <c r="AJ60" s="153"/>
      <c r="AK60" s="211"/>
      <c r="AL60" s="211"/>
      <c r="AM60" s="211"/>
      <c r="AN60" s="244"/>
    </row>
    <row r="61" spans="1:40" ht="12.95" customHeight="1" x14ac:dyDescent="0.3">
      <c r="A61" s="291"/>
      <c r="B61" s="211"/>
      <c r="C61" s="153"/>
      <c r="D61" s="153"/>
      <c r="E61" s="153"/>
      <c r="F61" s="153"/>
      <c r="G61" s="153"/>
      <c r="H61" s="153"/>
      <c r="I61" s="153"/>
      <c r="J61" s="153"/>
      <c r="K61" s="168"/>
      <c r="L61" s="168"/>
      <c r="M61" s="153"/>
      <c r="N61" s="162"/>
      <c r="O61" s="168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4"/>
      <c r="AE61" s="153"/>
      <c r="AF61" s="153"/>
      <c r="AG61" s="153"/>
      <c r="AH61" s="153"/>
      <c r="AI61" s="153"/>
      <c r="AJ61" s="153"/>
      <c r="AK61" s="211"/>
      <c r="AL61" s="211"/>
      <c r="AM61" s="211"/>
      <c r="AN61" s="244"/>
    </row>
    <row r="62" spans="1:40" ht="12.95" customHeight="1" x14ac:dyDescent="0.3">
      <c r="A62" s="292"/>
      <c r="B62" s="63"/>
      <c r="C62" s="153"/>
      <c r="D62" s="153"/>
      <c r="E62" s="153"/>
      <c r="F62" s="153"/>
      <c r="G62" s="153"/>
      <c r="H62" s="153"/>
      <c r="I62" s="153"/>
      <c r="J62" s="153"/>
      <c r="K62" s="168"/>
      <c r="L62" s="168"/>
      <c r="M62" s="153"/>
      <c r="N62" s="162"/>
      <c r="O62" s="168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4"/>
      <c r="AE62" s="153"/>
      <c r="AF62" s="153"/>
      <c r="AG62" s="153"/>
      <c r="AH62" s="153"/>
      <c r="AI62" s="153"/>
      <c r="AJ62" s="153"/>
      <c r="AK62" s="211"/>
      <c r="AL62" s="211"/>
      <c r="AM62" s="211"/>
      <c r="AN62" s="244"/>
    </row>
    <row r="63" spans="1:40" ht="12.95" customHeight="1" x14ac:dyDescent="0.3">
      <c r="A63" s="292"/>
      <c r="B63" s="63"/>
      <c r="C63" s="153"/>
      <c r="D63" s="153"/>
      <c r="E63" s="153"/>
      <c r="F63" s="153"/>
      <c r="G63" s="153"/>
      <c r="H63" s="153"/>
      <c r="I63" s="153"/>
      <c r="J63" s="153"/>
      <c r="K63" s="168"/>
      <c r="L63" s="168"/>
      <c r="M63" s="153"/>
      <c r="N63" s="162"/>
      <c r="O63" s="168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4"/>
      <c r="AE63" s="153"/>
      <c r="AF63" s="153"/>
      <c r="AG63" s="153"/>
      <c r="AH63" s="153"/>
      <c r="AI63" s="153"/>
      <c r="AJ63" s="153"/>
      <c r="AK63" s="211"/>
      <c r="AL63" s="211"/>
      <c r="AM63" s="211"/>
      <c r="AN63" s="244"/>
    </row>
    <row r="64" spans="1:40" ht="12.95" customHeight="1" x14ac:dyDescent="0.3">
      <c r="A64" s="292"/>
      <c r="B64" s="63"/>
      <c r="C64" s="153"/>
      <c r="D64" s="153"/>
      <c r="E64" s="153"/>
      <c r="F64" s="153"/>
      <c r="G64" s="153"/>
      <c r="H64" s="153"/>
      <c r="I64" s="153"/>
      <c r="J64" s="153"/>
      <c r="K64" s="168"/>
      <c r="L64" s="168"/>
      <c r="M64" s="153"/>
      <c r="N64" s="162"/>
      <c r="O64" s="168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4"/>
      <c r="AE64" s="153"/>
      <c r="AF64" s="153"/>
      <c r="AG64" s="153"/>
      <c r="AH64" s="153"/>
      <c r="AI64" s="153"/>
      <c r="AJ64" s="153"/>
      <c r="AK64" s="211"/>
      <c r="AL64" s="211"/>
      <c r="AM64" s="211"/>
      <c r="AN64" s="244"/>
    </row>
    <row r="65" spans="1:40" ht="12.95" customHeight="1" x14ac:dyDescent="0.3">
      <c r="A65" s="292"/>
      <c r="B65" s="63"/>
      <c r="C65" s="153"/>
      <c r="D65" s="153"/>
      <c r="E65" s="153"/>
      <c r="F65" s="153"/>
      <c r="G65" s="153"/>
      <c r="H65" s="153"/>
      <c r="I65" s="153"/>
      <c r="J65" s="153"/>
      <c r="K65" s="168"/>
      <c r="L65" s="168"/>
      <c r="M65" s="153"/>
      <c r="N65" s="162"/>
      <c r="O65" s="168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4"/>
      <c r="AE65" s="153"/>
      <c r="AF65" s="153"/>
      <c r="AG65" s="153"/>
      <c r="AH65" s="153"/>
      <c r="AI65" s="153"/>
      <c r="AJ65" s="153"/>
      <c r="AK65" s="211"/>
      <c r="AL65" s="211"/>
      <c r="AM65" s="211"/>
      <c r="AN65" s="244"/>
    </row>
    <row r="66" spans="1:40" ht="12.95" customHeight="1" x14ac:dyDescent="0.3">
      <c r="A66" s="292"/>
      <c r="B66" s="63"/>
      <c r="C66" s="153"/>
      <c r="D66" s="153"/>
      <c r="E66" s="153"/>
      <c r="F66" s="153"/>
      <c r="G66" s="153"/>
      <c r="H66" s="153"/>
      <c r="I66" s="153"/>
      <c r="J66" s="153"/>
      <c r="K66" s="168"/>
      <c r="L66" s="168"/>
      <c r="M66" s="153"/>
      <c r="N66" s="162"/>
      <c r="O66" s="168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4"/>
      <c r="AE66" s="153"/>
      <c r="AF66" s="153"/>
      <c r="AG66" s="153"/>
      <c r="AH66" s="153"/>
      <c r="AI66" s="153"/>
      <c r="AJ66" s="153"/>
      <c r="AK66" s="211"/>
      <c r="AL66" s="211"/>
      <c r="AM66" s="211"/>
      <c r="AN66" s="244"/>
    </row>
    <row r="67" spans="1:40" ht="12.95" customHeight="1" x14ac:dyDescent="0.3">
      <c r="A67" s="292"/>
      <c r="B67" s="63"/>
      <c r="C67" s="153"/>
      <c r="D67" s="153"/>
      <c r="E67" s="153"/>
      <c r="F67" s="153"/>
      <c r="G67" s="153"/>
      <c r="H67" s="153"/>
      <c r="I67" s="153"/>
      <c r="J67" s="153"/>
      <c r="K67" s="168"/>
      <c r="L67" s="168"/>
      <c r="M67" s="153"/>
      <c r="N67" s="162"/>
      <c r="O67" s="168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9"/>
      <c r="AE67" s="153"/>
      <c r="AF67" s="153"/>
      <c r="AG67" s="153"/>
      <c r="AH67" s="153"/>
      <c r="AI67" s="153"/>
      <c r="AJ67" s="153"/>
      <c r="AK67" s="211"/>
      <c r="AL67" s="211"/>
      <c r="AM67" s="211"/>
      <c r="AN67" s="244"/>
    </row>
    <row r="68" spans="1:40" ht="12.95" customHeight="1" x14ac:dyDescent="0.2">
      <c r="A68" s="292"/>
      <c r="B68" s="63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7"/>
      <c r="AB68" s="152"/>
      <c r="AC68" s="152"/>
      <c r="AD68" s="159"/>
      <c r="AE68" s="157"/>
      <c r="AF68" s="152"/>
      <c r="AG68" s="152"/>
      <c r="AH68" s="152"/>
      <c r="AI68" s="152"/>
      <c r="AJ68" s="152"/>
      <c r="AK68" s="211"/>
      <c r="AL68" s="211"/>
      <c r="AM68" s="211"/>
      <c r="AN68" s="244"/>
    </row>
    <row r="69" spans="1:40" ht="12.95" customHeight="1" x14ac:dyDescent="0.2">
      <c r="A69" s="292"/>
      <c r="B69" s="63"/>
      <c r="C69" s="169" t="s">
        <v>221</v>
      </c>
      <c r="D69" s="152"/>
      <c r="E69" s="151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9"/>
      <c r="AE69" s="153"/>
      <c r="AF69" s="153"/>
      <c r="AG69" s="153"/>
      <c r="AH69" s="153"/>
      <c r="AI69" s="153"/>
      <c r="AJ69" s="153"/>
      <c r="AK69" s="211"/>
      <c r="AL69" s="211"/>
      <c r="AM69" s="211"/>
      <c r="AN69" s="244"/>
    </row>
    <row r="70" spans="1:40" ht="12.95" customHeight="1" x14ac:dyDescent="0.2">
      <c r="A70" s="292"/>
      <c r="B70" s="63"/>
      <c r="C70" s="152">
        <v>1</v>
      </c>
      <c r="D70" s="152" t="s">
        <v>222</v>
      </c>
      <c r="E70" s="151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3"/>
      <c r="T70" s="153"/>
      <c r="U70" s="153"/>
      <c r="V70" s="153"/>
      <c r="W70" s="153"/>
      <c r="X70" s="153"/>
      <c r="Y70" s="153"/>
      <c r="Z70" s="153"/>
      <c r="AA70" s="153"/>
      <c r="AB70" s="161"/>
      <c r="AC70" s="153"/>
      <c r="AD70" s="159"/>
      <c r="AE70" s="153"/>
      <c r="AF70" s="153"/>
      <c r="AG70" s="153"/>
      <c r="AH70" s="153"/>
      <c r="AI70" s="153"/>
      <c r="AJ70" s="153"/>
      <c r="AK70" s="211"/>
      <c r="AL70" s="211"/>
      <c r="AM70" s="211"/>
      <c r="AN70" s="244"/>
    </row>
    <row r="71" spans="1:40" ht="12.95" customHeight="1" x14ac:dyDescent="0.2">
      <c r="A71" s="292"/>
      <c r="B71" s="63"/>
      <c r="C71" s="152">
        <v>2</v>
      </c>
      <c r="D71" s="152" t="s">
        <v>223</v>
      </c>
      <c r="E71" s="151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3"/>
      <c r="T71" s="153"/>
      <c r="U71" s="153"/>
      <c r="V71" s="153"/>
      <c r="W71" s="153"/>
      <c r="X71" s="153"/>
      <c r="Y71" s="153"/>
      <c r="Z71" s="153"/>
      <c r="AA71" s="153"/>
      <c r="AB71" s="161"/>
      <c r="AC71" s="153"/>
      <c r="AD71" s="153"/>
      <c r="AE71" s="153"/>
      <c r="AF71" s="153"/>
      <c r="AG71" s="153"/>
      <c r="AH71" s="153"/>
      <c r="AI71" s="153"/>
      <c r="AJ71" s="153"/>
      <c r="AK71" s="211"/>
      <c r="AL71" s="211"/>
      <c r="AM71" s="211"/>
      <c r="AN71" s="244"/>
    </row>
    <row r="72" spans="1:40" ht="12.95" customHeight="1" x14ac:dyDescent="0.2">
      <c r="A72" s="292"/>
      <c r="B72" s="63"/>
      <c r="C72" s="152">
        <v>3</v>
      </c>
      <c r="D72" s="152" t="s">
        <v>224</v>
      </c>
      <c r="E72" s="151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3"/>
      <c r="T72" s="153"/>
      <c r="U72" s="153"/>
      <c r="V72" s="153"/>
      <c r="W72" s="153"/>
      <c r="X72" s="153"/>
      <c r="Y72" s="153"/>
      <c r="Z72" s="153"/>
      <c r="AA72" s="153"/>
      <c r="AB72" s="161"/>
      <c r="AC72" s="153"/>
      <c r="AD72" s="153"/>
      <c r="AE72" s="153"/>
      <c r="AF72" s="153"/>
      <c r="AG72" s="153"/>
      <c r="AH72" s="153"/>
      <c r="AI72" s="153"/>
      <c r="AJ72" s="153"/>
      <c r="AK72" s="211"/>
      <c r="AL72" s="211"/>
      <c r="AM72" s="211"/>
      <c r="AN72" s="244"/>
    </row>
    <row r="73" spans="1:40" ht="12.95" customHeight="1" thickBot="1" x14ac:dyDescent="0.35">
      <c r="A73" s="293"/>
      <c r="B73" s="294"/>
      <c r="C73" s="295">
        <v>4</v>
      </c>
      <c r="D73" s="295" t="s">
        <v>225</v>
      </c>
      <c r="E73" s="296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7"/>
      <c r="T73" s="297"/>
      <c r="U73" s="297"/>
      <c r="V73" s="297"/>
      <c r="W73" s="297"/>
      <c r="X73" s="297"/>
      <c r="Y73" s="297"/>
      <c r="Z73" s="297"/>
      <c r="AA73" s="297"/>
      <c r="AB73" s="298"/>
      <c r="AC73" s="298"/>
      <c r="AD73" s="297"/>
      <c r="AE73" s="297"/>
      <c r="AF73" s="297"/>
      <c r="AG73" s="297"/>
      <c r="AH73" s="297"/>
      <c r="AI73" s="297"/>
      <c r="AJ73" s="297"/>
      <c r="AK73" s="245"/>
      <c r="AL73" s="245"/>
      <c r="AM73" s="245"/>
      <c r="AN73" s="246"/>
    </row>
    <row r="74" spans="1:40" ht="12" customHeight="1" x14ac:dyDescent="0.2">
      <c r="A74" s="39"/>
      <c r="B74" s="39"/>
      <c r="C74" s="39"/>
      <c r="D74" s="39"/>
      <c r="E74" s="39"/>
      <c r="F74" s="39"/>
      <c r="G74" s="39"/>
    </row>
  </sheetData>
  <mergeCells count="24"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L1:AD6"/>
    <mergeCell ref="AE1:AN4"/>
    <mergeCell ref="A5:K6"/>
    <mergeCell ref="AE5:AN6"/>
    <mergeCell ref="A7:K9"/>
    <mergeCell ref="L7:AD9"/>
    <mergeCell ref="AE7:AN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O74"/>
  <sheetViews>
    <sheetView view="pageBreakPreview" zoomScale="130" zoomScaleNormal="115" zoomScaleSheetLayoutView="130" workbookViewId="0">
      <selection activeCell="A13" sqref="A13:AN13"/>
    </sheetView>
  </sheetViews>
  <sheetFormatPr defaultRowHeight="12" customHeight="1" x14ac:dyDescent="0.2"/>
  <cols>
    <col min="1" max="39" width="2.42578125" style="28" customWidth="1"/>
    <col min="40" max="40" width="5" style="28" customWidth="1"/>
    <col min="41" max="41" width="9.140625" style="28" hidden="1" customWidth="1"/>
    <col min="42" max="256" width="9.140625" style="28"/>
    <col min="257" max="295" width="2.42578125" style="28" customWidth="1"/>
    <col min="296" max="296" width="5" style="28" customWidth="1"/>
    <col min="297" max="297" width="0" style="28" hidden="1" customWidth="1"/>
    <col min="298" max="512" width="9.140625" style="28"/>
    <col min="513" max="551" width="2.42578125" style="28" customWidth="1"/>
    <col min="552" max="552" width="5" style="28" customWidth="1"/>
    <col min="553" max="553" width="0" style="28" hidden="1" customWidth="1"/>
    <col min="554" max="768" width="9.140625" style="28"/>
    <col min="769" max="807" width="2.42578125" style="28" customWidth="1"/>
    <col min="808" max="808" width="5" style="28" customWidth="1"/>
    <col min="809" max="809" width="0" style="28" hidden="1" customWidth="1"/>
    <col min="810" max="1024" width="9.140625" style="28"/>
    <col min="1025" max="1063" width="2.42578125" style="28" customWidth="1"/>
    <col min="1064" max="1064" width="5" style="28" customWidth="1"/>
    <col min="1065" max="1065" width="0" style="28" hidden="1" customWidth="1"/>
    <col min="1066" max="1280" width="9.140625" style="28"/>
    <col min="1281" max="1319" width="2.42578125" style="28" customWidth="1"/>
    <col min="1320" max="1320" width="5" style="28" customWidth="1"/>
    <col min="1321" max="1321" width="0" style="28" hidden="1" customWidth="1"/>
    <col min="1322" max="1536" width="9.140625" style="28"/>
    <col min="1537" max="1575" width="2.42578125" style="28" customWidth="1"/>
    <col min="1576" max="1576" width="5" style="28" customWidth="1"/>
    <col min="1577" max="1577" width="0" style="28" hidden="1" customWidth="1"/>
    <col min="1578" max="1792" width="9.140625" style="28"/>
    <col min="1793" max="1831" width="2.42578125" style="28" customWidth="1"/>
    <col min="1832" max="1832" width="5" style="28" customWidth="1"/>
    <col min="1833" max="1833" width="0" style="28" hidden="1" customWidth="1"/>
    <col min="1834" max="2048" width="9.140625" style="28"/>
    <col min="2049" max="2087" width="2.42578125" style="28" customWidth="1"/>
    <col min="2088" max="2088" width="5" style="28" customWidth="1"/>
    <col min="2089" max="2089" width="0" style="28" hidden="1" customWidth="1"/>
    <col min="2090" max="2304" width="9.140625" style="28"/>
    <col min="2305" max="2343" width="2.42578125" style="28" customWidth="1"/>
    <col min="2344" max="2344" width="5" style="28" customWidth="1"/>
    <col min="2345" max="2345" width="0" style="28" hidden="1" customWidth="1"/>
    <col min="2346" max="2560" width="9.140625" style="28"/>
    <col min="2561" max="2599" width="2.42578125" style="28" customWidth="1"/>
    <col min="2600" max="2600" width="5" style="28" customWidth="1"/>
    <col min="2601" max="2601" width="0" style="28" hidden="1" customWidth="1"/>
    <col min="2602" max="2816" width="9.140625" style="28"/>
    <col min="2817" max="2855" width="2.42578125" style="28" customWidth="1"/>
    <col min="2856" max="2856" width="5" style="28" customWidth="1"/>
    <col min="2857" max="2857" width="0" style="28" hidden="1" customWidth="1"/>
    <col min="2858" max="3072" width="9.140625" style="28"/>
    <col min="3073" max="3111" width="2.42578125" style="28" customWidth="1"/>
    <col min="3112" max="3112" width="5" style="28" customWidth="1"/>
    <col min="3113" max="3113" width="0" style="28" hidden="1" customWidth="1"/>
    <col min="3114" max="3328" width="9.140625" style="28"/>
    <col min="3329" max="3367" width="2.42578125" style="28" customWidth="1"/>
    <col min="3368" max="3368" width="5" style="28" customWidth="1"/>
    <col min="3369" max="3369" width="0" style="28" hidden="1" customWidth="1"/>
    <col min="3370" max="3584" width="9.140625" style="28"/>
    <col min="3585" max="3623" width="2.42578125" style="28" customWidth="1"/>
    <col min="3624" max="3624" width="5" style="28" customWidth="1"/>
    <col min="3625" max="3625" width="0" style="28" hidden="1" customWidth="1"/>
    <col min="3626" max="3840" width="9.140625" style="28"/>
    <col min="3841" max="3879" width="2.42578125" style="28" customWidth="1"/>
    <col min="3880" max="3880" width="5" style="28" customWidth="1"/>
    <col min="3881" max="3881" width="0" style="28" hidden="1" customWidth="1"/>
    <col min="3882" max="4096" width="9.140625" style="28"/>
    <col min="4097" max="4135" width="2.42578125" style="28" customWidth="1"/>
    <col min="4136" max="4136" width="5" style="28" customWidth="1"/>
    <col min="4137" max="4137" width="0" style="28" hidden="1" customWidth="1"/>
    <col min="4138" max="4352" width="9.140625" style="28"/>
    <col min="4353" max="4391" width="2.42578125" style="28" customWidth="1"/>
    <col min="4392" max="4392" width="5" style="28" customWidth="1"/>
    <col min="4393" max="4393" width="0" style="28" hidden="1" customWidth="1"/>
    <col min="4394" max="4608" width="9.140625" style="28"/>
    <col min="4609" max="4647" width="2.42578125" style="28" customWidth="1"/>
    <col min="4648" max="4648" width="5" style="28" customWidth="1"/>
    <col min="4649" max="4649" width="0" style="28" hidden="1" customWidth="1"/>
    <col min="4650" max="4864" width="9.140625" style="28"/>
    <col min="4865" max="4903" width="2.42578125" style="28" customWidth="1"/>
    <col min="4904" max="4904" width="5" style="28" customWidth="1"/>
    <col min="4905" max="4905" width="0" style="28" hidden="1" customWidth="1"/>
    <col min="4906" max="5120" width="9.140625" style="28"/>
    <col min="5121" max="5159" width="2.42578125" style="28" customWidth="1"/>
    <col min="5160" max="5160" width="5" style="28" customWidth="1"/>
    <col min="5161" max="5161" width="0" style="28" hidden="1" customWidth="1"/>
    <col min="5162" max="5376" width="9.140625" style="28"/>
    <col min="5377" max="5415" width="2.42578125" style="28" customWidth="1"/>
    <col min="5416" max="5416" width="5" style="28" customWidth="1"/>
    <col min="5417" max="5417" width="0" style="28" hidden="1" customWidth="1"/>
    <col min="5418" max="5632" width="9.140625" style="28"/>
    <col min="5633" max="5671" width="2.42578125" style="28" customWidth="1"/>
    <col min="5672" max="5672" width="5" style="28" customWidth="1"/>
    <col min="5673" max="5673" width="0" style="28" hidden="1" customWidth="1"/>
    <col min="5674" max="5888" width="9.140625" style="28"/>
    <col min="5889" max="5927" width="2.42578125" style="28" customWidth="1"/>
    <col min="5928" max="5928" width="5" style="28" customWidth="1"/>
    <col min="5929" max="5929" width="0" style="28" hidden="1" customWidth="1"/>
    <col min="5930" max="6144" width="9.140625" style="28"/>
    <col min="6145" max="6183" width="2.42578125" style="28" customWidth="1"/>
    <col min="6184" max="6184" width="5" style="28" customWidth="1"/>
    <col min="6185" max="6185" width="0" style="28" hidden="1" customWidth="1"/>
    <col min="6186" max="6400" width="9.140625" style="28"/>
    <col min="6401" max="6439" width="2.42578125" style="28" customWidth="1"/>
    <col min="6440" max="6440" width="5" style="28" customWidth="1"/>
    <col min="6441" max="6441" width="0" style="28" hidden="1" customWidth="1"/>
    <col min="6442" max="6656" width="9.140625" style="28"/>
    <col min="6657" max="6695" width="2.42578125" style="28" customWidth="1"/>
    <col min="6696" max="6696" width="5" style="28" customWidth="1"/>
    <col min="6697" max="6697" width="0" style="28" hidden="1" customWidth="1"/>
    <col min="6698" max="6912" width="9.140625" style="28"/>
    <col min="6913" max="6951" width="2.42578125" style="28" customWidth="1"/>
    <col min="6952" max="6952" width="5" style="28" customWidth="1"/>
    <col min="6953" max="6953" width="0" style="28" hidden="1" customWidth="1"/>
    <col min="6954" max="7168" width="9.140625" style="28"/>
    <col min="7169" max="7207" width="2.42578125" style="28" customWidth="1"/>
    <col min="7208" max="7208" width="5" style="28" customWidth="1"/>
    <col min="7209" max="7209" width="0" style="28" hidden="1" customWidth="1"/>
    <col min="7210" max="7424" width="9.140625" style="28"/>
    <col min="7425" max="7463" width="2.42578125" style="28" customWidth="1"/>
    <col min="7464" max="7464" width="5" style="28" customWidth="1"/>
    <col min="7465" max="7465" width="0" style="28" hidden="1" customWidth="1"/>
    <col min="7466" max="7680" width="9.140625" style="28"/>
    <col min="7681" max="7719" width="2.42578125" style="28" customWidth="1"/>
    <col min="7720" max="7720" width="5" style="28" customWidth="1"/>
    <col min="7721" max="7721" width="0" style="28" hidden="1" customWidth="1"/>
    <col min="7722" max="7936" width="9.140625" style="28"/>
    <col min="7937" max="7975" width="2.42578125" style="28" customWidth="1"/>
    <col min="7976" max="7976" width="5" style="28" customWidth="1"/>
    <col min="7977" max="7977" width="0" style="28" hidden="1" customWidth="1"/>
    <col min="7978" max="8192" width="9.140625" style="28"/>
    <col min="8193" max="8231" width="2.42578125" style="28" customWidth="1"/>
    <col min="8232" max="8232" width="5" style="28" customWidth="1"/>
    <col min="8233" max="8233" width="0" style="28" hidden="1" customWidth="1"/>
    <col min="8234" max="8448" width="9.140625" style="28"/>
    <col min="8449" max="8487" width="2.42578125" style="28" customWidth="1"/>
    <col min="8488" max="8488" width="5" style="28" customWidth="1"/>
    <col min="8489" max="8489" width="0" style="28" hidden="1" customWidth="1"/>
    <col min="8490" max="8704" width="9.140625" style="28"/>
    <col min="8705" max="8743" width="2.42578125" style="28" customWidth="1"/>
    <col min="8744" max="8744" width="5" style="28" customWidth="1"/>
    <col min="8745" max="8745" width="0" style="28" hidden="1" customWidth="1"/>
    <col min="8746" max="8960" width="9.140625" style="28"/>
    <col min="8961" max="8999" width="2.42578125" style="28" customWidth="1"/>
    <col min="9000" max="9000" width="5" style="28" customWidth="1"/>
    <col min="9001" max="9001" width="0" style="28" hidden="1" customWidth="1"/>
    <col min="9002" max="9216" width="9.140625" style="28"/>
    <col min="9217" max="9255" width="2.42578125" style="28" customWidth="1"/>
    <col min="9256" max="9256" width="5" style="28" customWidth="1"/>
    <col min="9257" max="9257" width="0" style="28" hidden="1" customWidth="1"/>
    <col min="9258" max="9472" width="9.140625" style="28"/>
    <col min="9473" max="9511" width="2.42578125" style="28" customWidth="1"/>
    <col min="9512" max="9512" width="5" style="28" customWidth="1"/>
    <col min="9513" max="9513" width="0" style="28" hidden="1" customWidth="1"/>
    <col min="9514" max="9728" width="9.140625" style="28"/>
    <col min="9729" max="9767" width="2.42578125" style="28" customWidth="1"/>
    <col min="9768" max="9768" width="5" style="28" customWidth="1"/>
    <col min="9769" max="9769" width="0" style="28" hidden="1" customWidth="1"/>
    <col min="9770" max="9984" width="9.140625" style="28"/>
    <col min="9985" max="10023" width="2.42578125" style="28" customWidth="1"/>
    <col min="10024" max="10024" width="5" style="28" customWidth="1"/>
    <col min="10025" max="10025" width="0" style="28" hidden="1" customWidth="1"/>
    <col min="10026" max="10240" width="9.140625" style="28"/>
    <col min="10241" max="10279" width="2.42578125" style="28" customWidth="1"/>
    <col min="10280" max="10280" width="5" style="28" customWidth="1"/>
    <col min="10281" max="10281" width="0" style="28" hidden="1" customWidth="1"/>
    <col min="10282" max="10496" width="9.140625" style="28"/>
    <col min="10497" max="10535" width="2.42578125" style="28" customWidth="1"/>
    <col min="10536" max="10536" width="5" style="28" customWidth="1"/>
    <col min="10537" max="10537" width="0" style="28" hidden="1" customWidth="1"/>
    <col min="10538" max="10752" width="9.140625" style="28"/>
    <col min="10753" max="10791" width="2.42578125" style="28" customWidth="1"/>
    <col min="10792" max="10792" width="5" style="28" customWidth="1"/>
    <col min="10793" max="10793" width="0" style="28" hidden="1" customWidth="1"/>
    <col min="10794" max="11008" width="9.140625" style="28"/>
    <col min="11009" max="11047" width="2.42578125" style="28" customWidth="1"/>
    <col min="11048" max="11048" width="5" style="28" customWidth="1"/>
    <col min="11049" max="11049" width="0" style="28" hidden="1" customWidth="1"/>
    <col min="11050" max="11264" width="9.140625" style="28"/>
    <col min="11265" max="11303" width="2.42578125" style="28" customWidth="1"/>
    <col min="11304" max="11304" width="5" style="28" customWidth="1"/>
    <col min="11305" max="11305" width="0" style="28" hidden="1" customWidth="1"/>
    <col min="11306" max="11520" width="9.140625" style="28"/>
    <col min="11521" max="11559" width="2.42578125" style="28" customWidth="1"/>
    <col min="11560" max="11560" width="5" style="28" customWidth="1"/>
    <col min="11561" max="11561" width="0" style="28" hidden="1" customWidth="1"/>
    <col min="11562" max="11776" width="9.140625" style="28"/>
    <col min="11777" max="11815" width="2.42578125" style="28" customWidth="1"/>
    <col min="11816" max="11816" width="5" style="28" customWidth="1"/>
    <col min="11817" max="11817" width="0" style="28" hidden="1" customWidth="1"/>
    <col min="11818" max="12032" width="9.140625" style="28"/>
    <col min="12033" max="12071" width="2.42578125" style="28" customWidth="1"/>
    <col min="12072" max="12072" width="5" style="28" customWidth="1"/>
    <col min="12073" max="12073" width="0" style="28" hidden="1" customWidth="1"/>
    <col min="12074" max="12288" width="9.140625" style="28"/>
    <col min="12289" max="12327" width="2.42578125" style="28" customWidth="1"/>
    <col min="12328" max="12328" width="5" style="28" customWidth="1"/>
    <col min="12329" max="12329" width="0" style="28" hidden="1" customWidth="1"/>
    <col min="12330" max="12544" width="9.140625" style="28"/>
    <col min="12545" max="12583" width="2.42578125" style="28" customWidth="1"/>
    <col min="12584" max="12584" width="5" style="28" customWidth="1"/>
    <col min="12585" max="12585" width="0" style="28" hidden="1" customWidth="1"/>
    <col min="12586" max="12800" width="9.140625" style="28"/>
    <col min="12801" max="12839" width="2.42578125" style="28" customWidth="1"/>
    <col min="12840" max="12840" width="5" style="28" customWidth="1"/>
    <col min="12841" max="12841" width="0" style="28" hidden="1" customWidth="1"/>
    <col min="12842" max="13056" width="9.140625" style="28"/>
    <col min="13057" max="13095" width="2.42578125" style="28" customWidth="1"/>
    <col min="13096" max="13096" width="5" style="28" customWidth="1"/>
    <col min="13097" max="13097" width="0" style="28" hidden="1" customWidth="1"/>
    <col min="13098" max="13312" width="9.140625" style="28"/>
    <col min="13313" max="13351" width="2.42578125" style="28" customWidth="1"/>
    <col min="13352" max="13352" width="5" style="28" customWidth="1"/>
    <col min="13353" max="13353" width="0" style="28" hidden="1" customWidth="1"/>
    <col min="13354" max="13568" width="9.140625" style="28"/>
    <col min="13569" max="13607" width="2.42578125" style="28" customWidth="1"/>
    <col min="13608" max="13608" width="5" style="28" customWidth="1"/>
    <col min="13609" max="13609" width="0" style="28" hidden="1" customWidth="1"/>
    <col min="13610" max="13824" width="9.140625" style="28"/>
    <col min="13825" max="13863" width="2.42578125" style="28" customWidth="1"/>
    <col min="13864" max="13864" width="5" style="28" customWidth="1"/>
    <col min="13865" max="13865" width="0" style="28" hidden="1" customWidth="1"/>
    <col min="13866" max="14080" width="9.140625" style="28"/>
    <col min="14081" max="14119" width="2.42578125" style="28" customWidth="1"/>
    <col min="14120" max="14120" width="5" style="28" customWidth="1"/>
    <col min="14121" max="14121" width="0" style="28" hidden="1" customWidth="1"/>
    <col min="14122" max="14336" width="9.140625" style="28"/>
    <col min="14337" max="14375" width="2.42578125" style="28" customWidth="1"/>
    <col min="14376" max="14376" width="5" style="28" customWidth="1"/>
    <col min="14377" max="14377" width="0" style="28" hidden="1" customWidth="1"/>
    <col min="14378" max="14592" width="9.140625" style="28"/>
    <col min="14593" max="14631" width="2.42578125" style="28" customWidth="1"/>
    <col min="14632" max="14632" width="5" style="28" customWidth="1"/>
    <col min="14633" max="14633" width="0" style="28" hidden="1" customWidth="1"/>
    <col min="14634" max="14848" width="9.140625" style="28"/>
    <col min="14849" max="14887" width="2.42578125" style="28" customWidth="1"/>
    <col min="14888" max="14888" width="5" style="28" customWidth="1"/>
    <col min="14889" max="14889" width="0" style="28" hidden="1" customWidth="1"/>
    <col min="14890" max="15104" width="9.140625" style="28"/>
    <col min="15105" max="15143" width="2.42578125" style="28" customWidth="1"/>
    <col min="15144" max="15144" width="5" style="28" customWidth="1"/>
    <col min="15145" max="15145" width="0" style="28" hidden="1" customWidth="1"/>
    <col min="15146" max="15360" width="9.140625" style="28"/>
    <col min="15361" max="15399" width="2.42578125" style="28" customWidth="1"/>
    <col min="15400" max="15400" width="5" style="28" customWidth="1"/>
    <col min="15401" max="15401" width="0" style="28" hidden="1" customWidth="1"/>
    <col min="15402" max="15616" width="9.140625" style="28"/>
    <col min="15617" max="15655" width="2.42578125" style="28" customWidth="1"/>
    <col min="15656" max="15656" width="5" style="28" customWidth="1"/>
    <col min="15657" max="15657" width="0" style="28" hidden="1" customWidth="1"/>
    <col min="15658" max="15872" width="9.140625" style="28"/>
    <col min="15873" max="15911" width="2.42578125" style="28" customWidth="1"/>
    <col min="15912" max="15912" width="5" style="28" customWidth="1"/>
    <col min="15913" max="15913" width="0" style="28" hidden="1" customWidth="1"/>
    <col min="15914" max="16128" width="9.140625" style="28"/>
    <col min="16129" max="16167" width="2.42578125" style="28" customWidth="1"/>
    <col min="16168" max="16168" width="5" style="28" customWidth="1"/>
    <col min="16169" max="16169" width="0" style="28" hidden="1" customWidth="1"/>
    <col min="16170" max="16384" width="9.140625" style="28"/>
  </cols>
  <sheetData>
    <row r="1" spans="1:41" ht="11.65" customHeight="1" x14ac:dyDescent="0.2">
      <c r="A1" s="26"/>
      <c r="B1" s="217"/>
      <c r="C1" s="217"/>
      <c r="D1" s="217"/>
      <c r="E1" s="217"/>
      <c r="F1" s="217"/>
      <c r="G1" s="217"/>
      <c r="H1" s="217"/>
      <c r="I1" s="217"/>
      <c r="J1" s="217"/>
      <c r="K1" s="27"/>
      <c r="L1" s="650" t="s">
        <v>279</v>
      </c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6"/>
      <c r="AF1" s="657"/>
      <c r="AG1" s="657"/>
      <c r="AH1" s="657"/>
      <c r="AI1" s="657"/>
      <c r="AJ1" s="657"/>
      <c r="AK1" s="657"/>
      <c r="AL1" s="657"/>
      <c r="AM1" s="657"/>
      <c r="AN1" s="658"/>
    </row>
    <row r="2" spans="1:41" ht="11.65" customHeight="1" x14ac:dyDescent="0.2">
      <c r="A2" s="29"/>
      <c r="B2" s="218"/>
      <c r="C2" s="218"/>
      <c r="D2" s="218"/>
      <c r="E2" s="218"/>
      <c r="F2" s="218"/>
      <c r="G2" s="218"/>
      <c r="H2" s="218"/>
      <c r="I2" s="218"/>
      <c r="J2" s="218"/>
      <c r="K2" s="30"/>
      <c r="L2" s="652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9"/>
      <c r="AF2" s="660"/>
      <c r="AG2" s="660"/>
      <c r="AH2" s="660"/>
      <c r="AI2" s="660"/>
      <c r="AJ2" s="660"/>
      <c r="AK2" s="660"/>
      <c r="AL2" s="660"/>
      <c r="AM2" s="660"/>
      <c r="AN2" s="661"/>
    </row>
    <row r="3" spans="1:41" ht="11.65" customHeight="1" x14ac:dyDescent="0.2">
      <c r="A3" s="29"/>
      <c r="B3" s="218"/>
      <c r="C3" s="218"/>
      <c r="D3" s="218"/>
      <c r="E3" s="218"/>
      <c r="F3" s="218"/>
      <c r="G3" s="218"/>
      <c r="H3" s="218"/>
      <c r="I3" s="218"/>
      <c r="J3" s="218"/>
      <c r="K3" s="30"/>
      <c r="L3" s="652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653"/>
      <c r="AA3" s="653"/>
      <c r="AB3" s="653"/>
      <c r="AC3" s="653"/>
      <c r="AD3" s="653"/>
      <c r="AE3" s="659"/>
      <c r="AF3" s="660"/>
      <c r="AG3" s="660"/>
      <c r="AH3" s="660"/>
      <c r="AI3" s="660"/>
      <c r="AJ3" s="660"/>
      <c r="AK3" s="660"/>
      <c r="AL3" s="660"/>
      <c r="AM3" s="660"/>
      <c r="AN3" s="661"/>
    </row>
    <row r="4" spans="1:41" ht="11.65" customHeight="1" x14ac:dyDescent="0.2">
      <c r="A4" s="29"/>
      <c r="B4" s="218"/>
      <c r="C4" s="218"/>
      <c r="D4" s="218"/>
      <c r="E4" s="218"/>
      <c r="F4" s="218"/>
      <c r="G4" s="218"/>
      <c r="H4" s="218"/>
      <c r="I4" s="218"/>
      <c r="J4" s="218"/>
      <c r="K4" s="30"/>
      <c r="L4" s="652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3"/>
      <c r="AB4" s="653"/>
      <c r="AC4" s="653"/>
      <c r="AD4" s="653"/>
      <c r="AE4" s="659"/>
      <c r="AF4" s="660"/>
      <c r="AG4" s="660"/>
      <c r="AH4" s="660"/>
      <c r="AI4" s="660"/>
      <c r="AJ4" s="660"/>
      <c r="AK4" s="660"/>
      <c r="AL4" s="660"/>
      <c r="AM4" s="660"/>
      <c r="AN4" s="661"/>
    </row>
    <row r="5" spans="1:41" ht="11.65" customHeight="1" x14ac:dyDescent="0.2">
      <c r="A5" s="662" t="s">
        <v>0</v>
      </c>
      <c r="B5" s="663"/>
      <c r="C5" s="663"/>
      <c r="D5" s="663"/>
      <c r="E5" s="663"/>
      <c r="F5" s="663"/>
      <c r="G5" s="663"/>
      <c r="H5" s="663"/>
      <c r="I5" s="663"/>
      <c r="J5" s="663"/>
      <c r="K5" s="664"/>
      <c r="L5" s="652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  <c r="Y5" s="653"/>
      <c r="Z5" s="653"/>
      <c r="AA5" s="653"/>
      <c r="AB5" s="653"/>
      <c r="AC5" s="653"/>
      <c r="AD5" s="653"/>
      <c r="AE5" s="665" t="s">
        <v>1</v>
      </c>
      <c r="AF5" s="666"/>
      <c r="AG5" s="666"/>
      <c r="AH5" s="666"/>
      <c r="AI5" s="666"/>
      <c r="AJ5" s="666"/>
      <c r="AK5" s="666"/>
      <c r="AL5" s="666"/>
      <c r="AM5" s="666"/>
      <c r="AN5" s="667"/>
    </row>
    <row r="6" spans="1:41" ht="11.65" customHeight="1" x14ac:dyDescent="0.2">
      <c r="A6" s="662"/>
      <c r="B6" s="663"/>
      <c r="C6" s="663"/>
      <c r="D6" s="663"/>
      <c r="E6" s="663"/>
      <c r="F6" s="663"/>
      <c r="G6" s="663"/>
      <c r="H6" s="663"/>
      <c r="I6" s="663"/>
      <c r="J6" s="663"/>
      <c r="K6" s="664"/>
      <c r="L6" s="654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68"/>
      <c r="AF6" s="669"/>
      <c r="AG6" s="669"/>
      <c r="AH6" s="669"/>
      <c r="AI6" s="669"/>
      <c r="AJ6" s="669"/>
      <c r="AK6" s="669"/>
      <c r="AL6" s="669"/>
      <c r="AM6" s="669"/>
      <c r="AN6" s="670"/>
    </row>
    <row r="7" spans="1:41" ht="11.65" customHeight="1" x14ac:dyDescent="0.2">
      <c r="A7" s="671" t="s">
        <v>2</v>
      </c>
      <c r="B7" s="672"/>
      <c r="C7" s="672"/>
      <c r="D7" s="672"/>
      <c r="E7" s="672"/>
      <c r="F7" s="672"/>
      <c r="G7" s="672"/>
      <c r="H7" s="672"/>
      <c r="I7" s="672"/>
      <c r="J7" s="672"/>
      <c r="K7" s="673"/>
      <c r="L7" s="677" t="s">
        <v>281</v>
      </c>
      <c r="M7" s="678"/>
      <c r="N7" s="678"/>
      <c r="O7" s="678"/>
      <c r="P7" s="678"/>
      <c r="Q7" s="678"/>
      <c r="R7" s="678"/>
      <c r="S7" s="678"/>
      <c r="T7" s="678"/>
      <c r="U7" s="678"/>
      <c r="V7" s="678"/>
      <c r="W7" s="678"/>
      <c r="X7" s="678"/>
      <c r="Y7" s="678"/>
      <c r="Z7" s="678"/>
      <c r="AA7" s="678"/>
      <c r="AB7" s="678"/>
      <c r="AC7" s="678"/>
      <c r="AD7" s="678"/>
      <c r="AE7" s="683" t="s">
        <v>3</v>
      </c>
      <c r="AF7" s="672"/>
      <c r="AG7" s="672"/>
      <c r="AH7" s="672"/>
      <c r="AI7" s="672"/>
      <c r="AJ7" s="672"/>
      <c r="AK7" s="672"/>
      <c r="AL7" s="672"/>
      <c r="AM7" s="672"/>
      <c r="AN7" s="684"/>
    </row>
    <row r="8" spans="1:41" ht="11.65" customHeight="1" x14ac:dyDescent="0.2">
      <c r="A8" s="674"/>
      <c r="B8" s="675"/>
      <c r="C8" s="675"/>
      <c r="D8" s="675"/>
      <c r="E8" s="675"/>
      <c r="F8" s="675"/>
      <c r="G8" s="675"/>
      <c r="H8" s="675"/>
      <c r="I8" s="675"/>
      <c r="J8" s="675"/>
      <c r="K8" s="676"/>
      <c r="L8" s="679"/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  <c r="Y8" s="680"/>
      <c r="Z8" s="680"/>
      <c r="AA8" s="680"/>
      <c r="AB8" s="680"/>
      <c r="AC8" s="680"/>
      <c r="AD8" s="680"/>
      <c r="AE8" s="685"/>
      <c r="AF8" s="675"/>
      <c r="AG8" s="675"/>
      <c r="AH8" s="675"/>
      <c r="AI8" s="675"/>
      <c r="AJ8" s="675"/>
      <c r="AK8" s="675"/>
      <c r="AL8" s="675"/>
      <c r="AM8" s="675"/>
      <c r="AN8" s="686"/>
    </row>
    <row r="9" spans="1:41" s="31" customFormat="1" ht="11.65" customHeight="1" x14ac:dyDescent="0.2">
      <c r="A9" s="674"/>
      <c r="B9" s="675"/>
      <c r="C9" s="675"/>
      <c r="D9" s="675"/>
      <c r="E9" s="675"/>
      <c r="F9" s="675"/>
      <c r="G9" s="675"/>
      <c r="H9" s="675"/>
      <c r="I9" s="675"/>
      <c r="J9" s="675"/>
      <c r="K9" s="676"/>
      <c r="L9" s="681"/>
      <c r="M9" s="682"/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7"/>
      <c r="AF9" s="688"/>
      <c r="AG9" s="688"/>
      <c r="AH9" s="688"/>
      <c r="AI9" s="688"/>
      <c r="AJ9" s="688"/>
      <c r="AK9" s="688"/>
      <c r="AL9" s="688"/>
      <c r="AM9" s="688"/>
      <c r="AN9" s="689"/>
    </row>
    <row r="10" spans="1:41" ht="11.65" customHeight="1" x14ac:dyDescent="0.2">
      <c r="A10" s="698" t="s">
        <v>4</v>
      </c>
      <c r="B10" s="699"/>
      <c r="C10" s="699"/>
      <c r="D10" s="699"/>
      <c r="E10" s="699"/>
      <c r="F10" s="699"/>
      <c r="G10" s="699"/>
      <c r="H10" s="699"/>
      <c r="I10" s="699"/>
      <c r="J10" s="699"/>
      <c r="K10" s="700"/>
      <c r="L10" s="692" t="s">
        <v>5</v>
      </c>
      <c r="M10" s="692"/>
      <c r="N10" s="692"/>
      <c r="O10" s="692"/>
      <c r="P10" s="692" t="s">
        <v>6</v>
      </c>
      <c r="Q10" s="692"/>
      <c r="R10" s="692"/>
      <c r="S10" s="692" t="s">
        <v>7</v>
      </c>
      <c r="T10" s="692"/>
      <c r="U10" s="692"/>
      <c r="V10" s="692" t="s">
        <v>8</v>
      </c>
      <c r="W10" s="692"/>
      <c r="X10" s="692"/>
      <c r="Y10" s="692" t="s">
        <v>9</v>
      </c>
      <c r="Z10" s="692"/>
      <c r="AA10" s="692"/>
      <c r="AB10" s="692" t="s">
        <v>10</v>
      </c>
      <c r="AC10" s="692"/>
      <c r="AD10" s="692"/>
      <c r="AE10" s="693" t="s">
        <v>40</v>
      </c>
      <c r="AF10" s="693"/>
      <c r="AG10" s="693"/>
      <c r="AH10" s="693"/>
      <c r="AI10" s="693"/>
      <c r="AJ10" s="693"/>
      <c r="AK10" s="693"/>
      <c r="AL10" s="693"/>
      <c r="AM10" s="693"/>
      <c r="AN10" s="694"/>
    </row>
    <row r="11" spans="1:41" ht="11.65" customHeight="1" thickBot="1" x14ac:dyDescent="0.25">
      <c r="A11" s="701"/>
      <c r="B11" s="702"/>
      <c r="C11" s="702"/>
      <c r="D11" s="702"/>
      <c r="E11" s="702"/>
      <c r="F11" s="702"/>
      <c r="G11" s="702"/>
      <c r="H11" s="702"/>
      <c r="I11" s="702"/>
      <c r="J11" s="702"/>
      <c r="K11" s="703"/>
      <c r="L11" s="697">
        <v>91215</v>
      </c>
      <c r="M11" s="697"/>
      <c r="N11" s="697"/>
      <c r="O11" s="697"/>
      <c r="P11" s="697" t="s">
        <v>280</v>
      </c>
      <c r="Q11" s="697"/>
      <c r="R11" s="697"/>
      <c r="S11" s="697" t="s">
        <v>11</v>
      </c>
      <c r="T11" s="697"/>
      <c r="U11" s="697"/>
      <c r="V11" s="697" t="s">
        <v>12</v>
      </c>
      <c r="W11" s="697"/>
      <c r="X11" s="697"/>
      <c r="Y11" s="697">
        <v>463</v>
      </c>
      <c r="Z11" s="697"/>
      <c r="AA11" s="697"/>
      <c r="AB11" s="697" t="s">
        <v>13</v>
      </c>
      <c r="AC11" s="697"/>
      <c r="AD11" s="697"/>
      <c r="AE11" s="695"/>
      <c r="AF11" s="695"/>
      <c r="AG11" s="695"/>
      <c r="AH11" s="695"/>
      <c r="AI11" s="695"/>
      <c r="AJ11" s="695"/>
      <c r="AK11" s="695"/>
      <c r="AL11" s="695"/>
      <c r="AM11" s="695"/>
      <c r="AN11" s="696"/>
    </row>
    <row r="12" spans="1:41" ht="15" customHeight="1" thickBot="1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2"/>
      <c r="V12" s="12"/>
      <c r="W12" s="13"/>
      <c r="X12" s="14"/>
      <c r="Y12" s="14"/>
      <c r="Z12" s="14"/>
      <c r="AA12" s="14"/>
      <c r="AB12" s="14"/>
      <c r="AC12" s="11"/>
      <c r="AD12" s="12"/>
      <c r="AE12" s="12"/>
      <c r="AF12" s="14"/>
      <c r="AG12" s="14"/>
      <c r="AH12" s="14"/>
      <c r="AI12" s="14"/>
      <c r="AJ12" s="14"/>
      <c r="AK12" s="14"/>
      <c r="AL12" s="15"/>
      <c r="AM12" s="12"/>
      <c r="AN12" s="10"/>
      <c r="AO12" s="170"/>
    </row>
    <row r="13" spans="1:41" ht="15" customHeight="1" x14ac:dyDescent="0.2">
      <c r="A13" s="704" t="s">
        <v>293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705"/>
      <c r="W13" s="705"/>
      <c r="X13" s="705"/>
      <c r="Y13" s="705"/>
      <c r="Z13" s="705"/>
      <c r="AA13" s="705"/>
      <c r="AB13" s="705"/>
      <c r="AC13" s="705"/>
      <c r="AD13" s="705"/>
      <c r="AE13" s="705"/>
      <c r="AF13" s="705"/>
      <c r="AG13" s="705"/>
      <c r="AH13" s="705"/>
      <c r="AI13" s="705"/>
      <c r="AJ13" s="705"/>
      <c r="AK13" s="705"/>
      <c r="AL13" s="705"/>
      <c r="AM13" s="705"/>
      <c r="AN13" s="706"/>
      <c r="AO13" s="172"/>
    </row>
    <row r="14" spans="1:41" ht="15" customHeight="1" thickBot="1" x14ac:dyDescent="0.25">
      <c r="A14" s="707" t="s">
        <v>287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/>
      <c r="O14" s="708"/>
      <c r="P14" s="708"/>
      <c r="Q14" s="708"/>
      <c r="R14" s="708"/>
      <c r="S14" s="708"/>
      <c r="T14" s="708"/>
      <c r="U14" s="708"/>
      <c r="V14" s="708"/>
      <c r="W14" s="708"/>
      <c r="X14" s="708"/>
      <c r="Y14" s="708"/>
      <c r="Z14" s="708"/>
      <c r="AA14" s="708"/>
      <c r="AB14" s="708"/>
      <c r="AC14" s="708"/>
      <c r="AD14" s="708"/>
      <c r="AE14" s="708"/>
      <c r="AF14" s="708"/>
      <c r="AG14" s="708"/>
      <c r="AH14" s="708"/>
      <c r="AI14" s="708"/>
      <c r="AJ14" s="708"/>
      <c r="AK14" s="708"/>
      <c r="AL14" s="708"/>
      <c r="AM14" s="708"/>
      <c r="AN14" s="709"/>
      <c r="AO14" s="172"/>
    </row>
    <row r="15" spans="1:41" ht="15" customHeight="1" thickBot="1" x14ac:dyDescent="0.2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172"/>
    </row>
    <row r="16" spans="1:41" ht="12.95" customHeight="1" x14ac:dyDescent="0.2">
      <c r="A16" s="759" t="s">
        <v>226</v>
      </c>
      <c r="B16" s="760"/>
      <c r="C16" s="760"/>
      <c r="D16" s="760"/>
      <c r="E16" s="760"/>
      <c r="F16" s="760"/>
      <c r="G16" s="760"/>
      <c r="H16" s="760"/>
      <c r="I16" s="760"/>
      <c r="J16" s="760"/>
      <c r="K16" s="760"/>
      <c r="L16" s="760"/>
      <c r="M16" s="760"/>
      <c r="N16" s="760"/>
      <c r="O16" s="760"/>
      <c r="P16" s="760"/>
      <c r="Q16" s="760"/>
      <c r="R16" s="760"/>
      <c r="S16" s="760"/>
      <c r="T16" s="760"/>
      <c r="U16" s="760"/>
      <c r="V16" s="760"/>
      <c r="W16" s="760"/>
      <c r="X16" s="760"/>
      <c r="Y16" s="760"/>
      <c r="Z16" s="760"/>
      <c r="AA16" s="760"/>
      <c r="AB16" s="760"/>
      <c r="AC16" s="760"/>
      <c r="AD16" s="760"/>
      <c r="AE16" s="760"/>
      <c r="AF16" s="760"/>
      <c r="AG16" s="760"/>
      <c r="AH16" s="760"/>
      <c r="AI16" s="760"/>
      <c r="AJ16" s="760"/>
      <c r="AK16" s="760"/>
      <c r="AL16" s="760"/>
      <c r="AM16" s="760"/>
      <c r="AN16" s="761"/>
      <c r="AO16" s="172"/>
    </row>
    <row r="17" spans="1:41" ht="12.95" customHeight="1" x14ac:dyDescent="0.2">
      <c r="A17" s="282" t="s">
        <v>227</v>
      </c>
      <c r="B17" s="172"/>
      <c r="C17" s="173"/>
      <c r="D17" s="171" t="s">
        <v>228</v>
      </c>
      <c r="E17" s="173"/>
      <c r="F17" s="174" t="s">
        <v>229</v>
      </c>
      <c r="G17" s="175"/>
      <c r="H17" s="171" t="s">
        <v>230</v>
      </c>
      <c r="I17" s="172"/>
      <c r="J17" s="173"/>
      <c r="K17" s="171" t="s">
        <v>231</v>
      </c>
      <c r="L17" s="172"/>
      <c r="M17" s="173"/>
      <c r="N17" s="174" t="s">
        <v>31</v>
      </c>
      <c r="O17" s="100"/>
      <c r="P17" s="175"/>
      <c r="Q17" s="171" t="s">
        <v>30</v>
      </c>
      <c r="R17" s="172"/>
      <c r="S17" s="172"/>
      <c r="T17" s="172"/>
      <c r="U17" s="172"/>
      <c r="V17" s="173"/>
      <c r="W17" s="171" t="s">
        <v>32</v>
      </c>
      <c r="X17" s="172"/>
      <c r="Y17" s="172"/>
      <c r="Z17" s="172"/>
      <c r="AA17" s="173"/>
      <c r="AB17" s="171" t="s">
        <v>232</v>
      </c>
      <c r="AC17" s="172"/>
      <c r="AD17" s="172"/>
      <c r="AE17" s="173"/>
      <c r="AF17" s="171" t="s">
        <v>233</v>
      </c>
      <c r="AG17" s="172"/>
      <c r="AH17" s="172"/>
      <c r="AI17" s="172"/>
      <c r="AJ17" s="172"/>
      <c r="AK17" s="172"/>
      <c r="AL17" s="172"/>
      <c r="AM17" s="172"/>
      <c r="AN17" s="283"/>
      <c r="AO17" s="172"/>
    </row>
    <row r="18" spans="1:41" ht="12.95" customHeight="1" x14ac:dyDescent="0.2">
      <c r="A18" s="282" t="s">
        <v>234</v>
      </c>
      <c r="B18" s="172"/>
      <c r="C18" s="173"/>
      <c r="D18" s="171" t="s">
        <v>235</v>
      </c>
      <c r="E18" s="173"/>
      <c r="F18" s="237" t="s">
        <v>236</v>
      </c>
      <c r="G18" s="177"/>
      <c r="H18" s="189" t="s">
        <v>237</v>
      </c>
      <c r="I18" s="172"/>
      <c r="J18" s="173"/>
      <c r="K18" s="171" t="s">
        <v>238</v>
      </c>
      <c r="L18" s="172"/>
      <c r="M18" s="173"/>
      <c r="N18" s="236" t="s">
        <v>239</v>
      </c>
      <c r="O18" s="100"/>
      <c r="P18" s="175"/>
      <c r="Q18" s="234" t="s">
        <v>240</v>
      </c>
      <c r="R18" s="235"/>
      <c r="S18" s="179"/>
      <c r="T18" s="179"/>
      <c r="U18" s="179"/>
      <c r="V18" s="180"/>
      <c r="W18" s="181" t="s">
        <v>33</v>
      </c>
      <c r="X18" s="182"/>
      <c r="Y18" s="182"/>
      <c r="Z18" s="182"/>
      <c r="AA18" s="183"/>
      <c r="AB18" s="171" t="s">
        <v>33</v>
      </c>
      <c r="AC18" s="172"/>
      <c r="AD18" s="172"/>
      <c r="AE18" s="173"/>
      <c r="AF18" s="171"/>
      <c r="AG18" s="172"/>
      <c r="AH18" s="172"/>
      <c r="AI18" s="172"/>
      <c r="AJ18" s="172"/>
      <c r="AK18" s="172"/>
      <c r="AL18" s="172"/>
      <c r="AM18" s="172"/>
      <c r="AN18" s="283"/>
      <c r="AO18" s="172"/>
    </row>
    <row r="19" spans="1:41" ht="12.95" customHeight="1" x14ac:dyDescent="0.2">
      <c r="A19" s="282" t="s">
        <v>241</v>
      </c>
      <c r="B19" s="172"/>
      <c r="C19" s="173"/>
      <c r="D19" s="171" t="s">
        <v>235</v>
      </c>
      <c r="E19" s="173"/>
      <c r="F19" s="237" t="s">
        <v>236</v>
      </c>
      <c r="G19" s="177"/>
      <c r="H19" s="189" t="s">
        <v>237</v>
      </c>
      <c r="I19" s="172"/>
      <c r="J19" s="173"/>
      <c r="K19" s="171" t="s">
        <v>238</v>
      </c>
      <c r="L19" s="172"/>
      <c r="M19" s="173"/>
      <c r="N19" s="236" t="s">
        <v>239</v>
      </c>
      <c r="O19" s="100"/>
      <c r="P19" s="175"/>
      <c r="Q19" s="234" t="s">
        <v>242</v>
      </c>
      <c r="R19" s="235"/>
      <c r="S19" s="179"/>
      <c r="T19" s="179"/>
      <c r="U19" s="179"/>
      <c r="V19" s="180"/>
      <c r="W19" s="181" t="s">
        <v>33</v>
      </c>
      <c r="X19" s="182"/>
      <c r="Y19" s="182"/>
      <c r="Z19" s="182"/>
      <c r="AA19" s="183"/>
      <c r="AB19" s="171" t="s">
        <v>33</v>
      </c>
      <c r="AC19" s="172"/>
      <c r="AD19" s="172"/>
      <c r="AE19" s="173"/>
      <c r="AF19" s="171"/>
      <c r="AG19" s="172"/>
      <c r="AH19" s="172"/>
      <c r="AI19" s="172"/>
      <c r="AJ19" s="172"/>
      <c r="AK19" s="172"/>
      <c r="AL19" s="172"/>
      <c r="AM19" s="172"/>
      <c r="AN19" s="283"/>
      <c r="AO19" s="172"/>
    </row>
    <row r="20" spans="1:41" ht="12.95" customHeight="1" x14ac:dyDescent="0.2">
      <c r="A20" s="282" t="s">
        <v>243</v>
      </c>
      <c r="B20" s="172"/>
      <c r="C20" s="173"/>
      <c r="D20" s="171" t="s">
        <v>244</v>
      </c>
      <c r="E20" s="173"/>
      <c r="F20" s="176" t="s">
        <v>245</v>
      </c>
      <c r="G20" s="177"/>
      <c r="H20" s="171" t="s">
        <v>33</v>
      </c>
      <c r="I20" s="172"/>
      <c r="J20" s="173"/>
      <c r="K20" s="171" t="s">
        <v>238</v>
      </c>
      <c r="L20" s="172"/>
      <c r="M20" s="173"/>
      <c r="N20" s="236" t="s">
        <v>239</v>
      </c>
      <c r="O20" s="100"/>
      <c r="P20" s="175"/>
      <c r="Q20" s="234" t="s">
        <v>246</v>
      </c>
      <c r="R20" s="235"/>
      <c r="S20" s="179"/>
      <c r="T20" s="179"/>
      <c r="U20" s="179"/>
      <c r="V20" s="180"/>
      <c r="W20" s="181" t="s">
        <v>33</v>
      </c>
      <c r="X20" s="182"/>
      <c r="Y20" s="182"/>
      <c r="Z20" s="182"/>
      <c r="AA20" s="183"/>
      <c r="AB20" s="171" t="s">
        <v>33</v>
      </c>
      <c r="AC20" s="172"/>
      <c r="AD20" s="172"/>
      <c r="AE20" s="173"/>
      <c r="AF20" s="171"/>
      <c r="AG20" s="172"/>
      <c r="AH20" s="172"/>
      <c r="AI20" s="172"/>
      <c r="AJ20" s="172"/>
      <c r="AK20" s="172"/>
      <c r="AL20" s="172"/>
      <c r="AM20" s="172"/>
      <c r="AN20" s="283"/>
      <c r="AO20" s="172"/>
    </row>
    <row r="21" spans="1:41" ht="12.95" customHeight="1" x14ac:dyDescent="0.2">
      <c r="A21" s="282" t="s">
        <v>247</v>
      </c>
      <c r="B21" s="172"/>
      <c r="C21" s="173"/>
      <c r="D21" s="171" t="s">
        <v>235</v>
      </c>
      <c r="E21" s="173"/>
      <c r="F21" s="176" t="s">
        <v>248</v>
      </c>
      <c r="G21" s="177"/>
      <c r="H21" s="189" t="s">
        <v>249</v>
      </c>
      <c r="I21" s="172"/>
      <c r="J21" s="173"/>
      <c r="K21" s="171" t="s">
        <v>238</v>
      </c>
      <c r="L21" s="172"/>
      <c r="M21" s="173"/>
      <c r="N21" s="236" t="s">
        <v>250</v>
      </c>
      <c r="O21" s="100"/>
      <c r="P21" s="175"/>
      <c r="Q21" s="234" t="s">
        <v>251</v>
      </c>
      <c r="R21" s="235"/>
      <c r="S21" s="179"/>
      <c r="T21" s="179"/>
      <c r="U21" s="179"/>
      <c r="V21" s="180"/>
      <c r="W21" s="181" t="s">
        <v>33</v>
      </c>
      <c r="X21" s="182"/>
      <c r="Y21" s="182"/>
      <c r="Z21" s="182"/>
      <c r="AA21" s="183"/>
      <c r="AB21" s="171" t="s">
        <v>33</v>
      </c>
      <c r="AC21" s="172"/>
      <c r="AD21" s="172"/>
      <c r="AE21" s="173"/>
      <c r="AF21" s="171"/>
      <c r="AG21" s="172"/>
      <c r="AH21" s="172"/>
      <c r="AI21" s="172"/>
      <c r="AJ21" s="172"/>
      <c r="AK21" s="172"/>
      <c r="AL21" s="172"/>
      <c r="AM21" s="172"/>
      <c r="AN21" s="283"/>
      <c r="AO21" s="172"/>
    </row>
    <row r="22" spans="1:41" ht="12.95" customHeight="1" x14ac:dyDescent="0.2">
      <c r="A22" s="282" t="s">
        <v>252</v>
      </c>
      <c r="B22" s="172"/>
      <c r="C22" s="173"/>
      <c r="D22" s="171" t="s">
        <v>235</v>
      </c>
      <c r="E22" s="173"/>
      <c r="F22" s="176" t="s">
        <v>253</v>
      </c>
      <c r="G22" s="177"/>
      <c r="H22" s="189" t="s">
        <v>249</v>
      </c>
      <c r="I22" s="172"/>
      <c r="J22" s="173"/>
      <c r="K22" s="171" t="s">
        <v>238</v>
      </c>
      <c r="L22" s="172"/>
      <c r="M22" s="173"/>
      <c r="N22" s="236" t="s">
        <v>239</v>
      </c>
      <c r="O22" s="100"/>
      <c r="P22" s="175"/>
      <c r="Q22" s="234" t="s">
        <v>36</v>
      </c>
      <c r="R22" s="235"/>
      <c r="S22" s="179"/>
      <c r="T22" s="179"/>
      <c r="U22" s="179"/>
      <c r="V22" s="180"/>
      <c r="W22" s="181" t="s">
        <v>33</v>
      </c>
      <c r="X22" s="182"/>
      <c r="Y22" s="182"/>
      <c r="Z22" s="182"/>
      <c r="AA22" s="183"/>
      <c r="AB22" s="171" t="s">
        <v>33</v>
      </c>
      <c r="AC22" s="172"/>
      <c r="AD22" s="172"/>
      <c r="AE22" s="173"/>
      <c r="AF22" s="171"/>
      <c r="AG22" s="172"/>
      <c r="AH22" s="172"/>
      <c r="AI22" s="172"/>
      <c r="AJ22" s="172"/>
      <c r="AK22" s="172"/>
      <c r="AL22" s="172"/>
      <c r="AM22" s="172"/>
      <c r="AN22" s="283"/>
      <c r="AO22" s="172"/>
    </row>
    <row r="23" spans="1:41" ht="12.95" customHeight="1" x14ac:dyDescent="0.2">
      <c r="A23" s="282" t="s">
        <v>254</v>
      </c>
      <c r="B23" s="172"/>
      <c r="C23" s="173"/>
      <c r="D23" s="171" t="s">
        <v>235</v>
      </c>
      <c r="E23" s="173"/>
      <c r="F23" s="176" t="s">
        <v>248</v>
      </c>
      <c r="G23" s="177"/>
      <c r="H23" s="189" t="s">
        <v>249</v>
      </c>
      <c r="I23" s="172"/>
      <c r="J23" s="173"/>
      <c r="K23" s="171" t="s">
        <v>238</v>
      </c>
      <c r="L23" s="172"/>
      <c r="M23" s="173"/>
      <c r="N23" s="236" t="s">
        <v>250</v>
      </c>
      <c r="O23" s="100"/>
      <c r="P23" s="175"/>
      <c r="Q23" s="234" t="s">
        <v>36</v>
      </c>
      <c r="R23" s="235"/>
      <c r="S23" s="179"/>
      <c r="T23" s="179"/>
      <c r="U23" s="179"/>
      <c r="V23" s="180"/>
      <c r="W23" s="181" t="s">
        <v>33</v>
      </c>
      <c r="X23" s="182"/>
      <c r="Y23" s="182"/>
      <c r="Z23" s="182"/>
      <c r="AA23" s="183"/>
      <c r="AB23" s="171" t="s">
        <v>33</v>
      </c>
      <c r="AC23" s="172"/>
      <c r="AD23" s="172"/>
      <c r="AE23" s="173"/>
      <c r="AF23" s="171"/>
      <c r="AG23" s="172"/>
      <c r="AH23" s="172"/>
      <c r="AI23" s="172"/>
      <c r="AJ23" s="172"/>
      <c r="AK23" s="172"/>
      <c r="AL23" s="172"/>
      <c r="AM23" s="172"/>
      <c r="AN23" s="283"/>
      <c r="AO23" s="172"/>
    </row>
    <row r="24" spans="1:41" ht="12.95" customHeight="1" x14ac:dyDescent="0.2">
      <c r="A24" s="282" t="s">
        <v>255</v>
      </c>
      <c r="B24" s="172"/>
      <c r="C24" s="173"/>
      <c r="D24" s="171" t="s">
        <v>235</v>
      </c>
      <c r="E24" s="173"/>
      <c r="F24" s="176" t="s">
        <v>253</v>
      </c>
      <c r="G24" s="177"/>
      <c r="H24" s="189" t="s">
        <v>249</v>
      </c>
      <c r="I24" s="172"/>
      <c r="J24" s="173"/>
      <c r="K24" s="171" t="s">
        <v>238</v>
      </c>
      <c r="L24" s="172"/>
      <c r="M24" s="173"/>
      <c r="N24" s="236" t="s">
        <v>239</v>
      </c>
      <c r="O24" s="100"/>
      <c r="P24" s="175"/>
      <c r="Q24" s="234" t="s">
        <v>36</v>
      </c>
      <c r="R24" s="235"/>
      <c r="S24" s="179"/>
      <c r="T24" s="179"/>
      <c r="U24" s="179"/>
      <c r="V24" s="180"/>
      <c r="W24" s="181" t="s">
        <v>33</v>
      </c>
      <c r="X24" s="182"/>
      <c r="Y24" s="182"/>
      <c r="Z24" s="182"/>
      <c r="AA24" s="183"/>
      <c r="AB24" s="184" t="s">
        <v>33</v>
      </c>
      <c r="AC24" s="226"/>
      <c r="AD24" s="226"/>
      <c r="AE24" s="185"/>
      <c r="AF24" s="171"/>
      <c r="AG24" s="172"/>
      <c r="AH24" s="172"/>
      <c r="AI24" s="172"/>
      <c r="AJ24" s="172"/>
      <c r="AK24" s="172"/>
      <c r="AL24" s="172"/>
      <c r="AM24" s="172"/>
      <c r="AN24" s="283"/>
      <c r="AO24" s="172"/>
    </row>
    <row r="25" spans="1:41" ht="12.95" customHeight="1" x14ac:dyDescent="0.2">
      <c r="A25" s="282" t="s">
        <v>256</v>
      </c>
      <c r="B25" s="172"/>
      <c r="C25" s="173"/>
      <c r="D25" s="171" t="s">
        <v>235</v>
      </c>
      <c r="E25" s="173"/>
      <c r="F25" s="176" t="s">
        <v>248</v>
      </c>
      <c r="G25" s="177"/>
      <c r="H25" s="189" t="s">
        <v>249</v>
      </c>
      <c r="I25" s="172"/>
      <c r="J25" s="173"/>
      <c r="K25" s="171" t="s">
        <v>238</v>
      </c>
      <c r="L25" s="172"/>
      <c r="M25" s="173"/>
      <c r="N25" s="236" t="s">
        <v>250</v>
      </c>
      <c r="O25" s="100"/>
      <c r="P25" s="175"/>
      <c r="Q25" s="234" t="s">
        <v>35</v>
      </c>
      <c r="R25" s="235"/>
      <c r="S25" s="179"/>
      <c r="T25" s="179"/>
      <c r="U25" s="179"/>
      <c r="V25" s="180"/>
      <c r="W25" s="181" t="s">
        <v>33</v>
      </c>
      <c r="X25" s="182"/>
      <c r="Y25" s="182"/>
      <c r="Z25" s="182"/>
      <c r="AA25" s="183"/>
      <c r="AB25" s="171" t="s">
        <v>33</v>
      </c>
      <c r="AC25" s="172"/>
      <c r="AD25" s="172"/>
      <c r="AE25" s="173"/>
      <c r="AF25" s="171"/>
      <c r="AG25" s="172"/>
      <c r="AH25" s="172"/>
      <c r="AI25" s="172"/>
      <c r="AJ25" s="172"/>
      <c r="AK25" s="172"/>
      <c r="AL25" s="172"/>
      <c r="AM25" s="172"/>
      <c r="AN25" s="283"/>
      <c r="AO25" s="172"/>
    </row>
    <row r="26" spans="1:41" ht="12.95" customHeight="1" x14ac:dyDescent="0.2">
      <c r="A26" s="282" t="s">
        <v>257</v>
      </c>
      <c r="B26" s="172"/>
      <c r="C26" s="173"/>
      <c r="D26" s="171" t="s">
        <v>258</v>
      </c>
      <c r="E26" s="173"/>
      <c r="F26" s="176" t="s">
        <v>259</v>
      </c>
      <c r="G26" s="177"/>
      <c r="H26" s="189" t="s">
        <v>237</v>
      </c>
      <c r="I26" s="172"/>
      <c r="J26" s="173"/>
      <c r="K26" s="171" t="s">
        <v>238</v>
      </c>
      <c r="L26" s="172"/>
      <c r="M26" s="173"/>
      <c r="N26" s="236" t="s">
        <v>239</v>
      </c>
      <c r="O26" s="100"/>
      <c r="P26" s="175"/>
      <c r="Q26" s="234" t="s">
        <v>260</v>
      </c>
      <c r="R26" s="235"/>
      <c r="S26" s="179"/>
      <c r="T26" s="179"/>
      <c r="U26" s="179"/>
      <c r="V26" s="180"/>
      <c r="W26" s="181" t="s">
        <v>33</v>
      </c>
      <c r="X26" s="182"/>
      <c r="Y26" s="182"/>
      <c r="Z26" s="182"/>
      <c r="AA26" s="183"/>
      <c r="AB26" s="171" t="s">
        <v>33</v>
      </c>
      <c r="AC26" s="172"/>
      <c r="AD26" s="172"/>
      <c r="AE26" s="173"/>
      <c r="AF26" s="189" t="s">
        <v>261</v>
      </c>
      <c r="AG26" s="172"/>
      <c r="AH26" s="172"/>
      <c r="AI26" s="172"/>
      <c r="AJ26" s="172"/>
      <c r="AK26" s="172"/>
      <c r="AL26" s="172"/>
      <c r="AM26" s="172"/>
      <c r="AN26" s="283"/>
      <c r="AO26" s="172"/>
    </row>
    <row r="27" spans="1:41" ht="12.95" customHeight="1" x14ac:dyDescent="0.2">
      <c r="A27" s="282" t="s">
        <v>262</v>
      </c>
      <c r="B27" s="172"/>
      <c r="C27" s="173"/>
      <c r="D27" s="171" t="s">
        <v>258</v>
      </c>
      <c r="E27" s="173"/>
      <c r="F27" s="176" t="s">
        <v>248</v>
      </c>
      <c r="G27" s="177"/>
      <c r="H27" s="189" t="s">
        <v>249</v>
      </c>
      <c r="I27" s="172"/>
      <c r="J27" s="173"/>
      <c r="K27" s="171" t="s">
        <v>238</v>
      </c>
      <c r="L27" s="172"/>
      <c r="M27" s="173"/>
      <c r="N27" s="236" t="s">
        <v>250</v>
      </c>
      <c r="O27" s="100"/>
      <c r="P27" s="175"/>
      <c r="Q27" s="234" t="s">
        <v>263</v>
      </c>
      <c r="R27" s="235"/>
      <c r="S27" s="179"/>
      <c r="T27" s="179"/>
      <c r="U27" s="179"/>
      <c r="V27" s="180"/>
      <c r="W27" s="181" t="s">
        <v>33</v>
      </c>
      <c r="X27" s="182"/>
      <c r="Y27" s="182"/>
      <c r="Z27" s="182"/>
      <c r="AA27" s="183"/>
      <c r="AB27" s="171" t="s">
        <v>33</v>
      </c>
      <c r="AC27" s="172"/>
      <c r="AD27" s="172"/>
      <c r="AE27" s="173"/>
      <c r="AF27" s="189" t="s">
        <v>261</v>
      </c>
      <c r="AG27" s="172"/>
      <c r="AH27" s="172"/>
      <c r="AI27" s="172"/>
      <c r="AJ27" s="172"/>
      <c r="AK27" s="172"/>
      <c r="AL27" s="172"/>
      <c r="AM27" s="172"/>
      <c r="AN27" s="283"/>
      <c r="AO27" s="172"/>
    </row>
    <row r="28" spans="1:41" ht="12.95" customHeight="1" x14ac:dyDescent="0.2">
      <c r="A28" s="282" t="s">
        <v>264</v>
      </c>
      <c r="B28" s="172"/>
      <c r="C28" s="173"/>
      <c r="D28" s="171" t="s">
        <v>235</v>
      </c>
      <c r="E28" s="173"/>
      <c r="F28" s="176" t="s">
        <v>248</v>
      </c>
      <c r="G28" s="177"/>
      <c r="H28" s="189" t="s">
        <v>249</v>
      </c>
      <c r="I28" s="172"/>
      <c r="J28" s="173"/>
      <c r="K28" s="171" t="s">
        <v>238</v>
      </c>
      <c r="L28" s="172"/>
      <c r="M28" s="173"/>
      <c r="N28" s="236" t="s">
        <v>250</v>
      </c>
      <c r="O28" s="100"/>
      <c r="P28" s="175"/>
      <c r="Q28" s="234" t="s">
        <v>265</v>
      </c>
      <c r="R28" s="235"/>
      <c r="S28" s="179"/>
      <c r="T28" s="179"/>
      <c r="U28" s="179"/>
      <c r="V28" s="180"/>
      <c r="W28" s="181" t="s">
        <v>33</v>
      </c>
      <c r="X28" s="182"/>
      <c r="Y28" s="182"/>
      <c r="Z28" s="182"/>
      <c r="AA28" s="183"/>
      <c r="AB28" s="171" t="s">
        <v>33</v>
      </c>
      <c r="AC28" s="172"/>
      <c r="AD28" s="172"/>
      <c r="AE28" s="173"/>
      <c r="AF28" s="189"/>
      <c r="AG28" s="172"/>
      <c r="AH28" s="172"/>
      <c r="AI28" s="172"/>
      <c r="AJ28" s="172"/>
      <c r="AK28" s="172"/>
      <c r="AL28" s="172"/>
      <c r="AM28" s="172"/>
      <c r="AN28" s="283"/>
      <c r="AO28" s="172"/>
    </row>
    <row r="29" spans="1:41" ht="12.95" customHeight="1" x14ac:dyDescent="0.2">
      <c r="A29" s="282" t="s">
        <v>266</v>
      </c>
      <c r="B29" s="172"/>
      <c r="C29" s="173"/>
      <c r="D29" s="171" t="s">
        <v>235</v>
      </c>
      <c r="E29" s="173"/>
      <c r="F29" s="176" t="s">
        <v>248</v>
      </c>
      <c r="G29" s="177"/>
      <c r="H29" s="189" t="s">
        <v>249</v>
      </c>
      <c r="I29" s="172"/>
      <c r="J29" s="173"/>
      <c r="K29" s="171" t="s">
        <v>238</v>
      </c>
      <c r="L29" s="172"/>
      <c r="M29" s="173"/>
      <c r="N29" s="236" t="s">
        <v>250</v>
      </c>
      <c r="O29" s="100"/>
      <c r="P29" s="175"/>
      <c r="Q29" s="234" t="s">
        <v>265</v>
      </c>
      <c r="R29" s="235"/>
      <c r="S29" s="179"/>
      <c r="T29" s="179"/>
      <c r="U29" s="179"/>
      <c r="V29" s="180"/>
      <c r="W29" s="181" t="s">
        <v>33</v>
      </c>
      <c r="X29" s="182"/>
      <c r="Y29" s="182"/>
      <c r="Z29" s="182"/>
      <c r="AA29" s="183"/>
      <c r="AB29" s="171" t="s">
        <v>33</v>
      </c>
      <c r="AC29" s="172"/>
      <c r="AD29" s="172"/>
      <c r="AE29" s="173"/>
      <c r="AF29" s="189"/>
      <c r="AG29" s="172"/>
      <c r="AH29" s="172"/>
      <c r="AI29" s="172"/>
      <c r="AJ29" s="172"/>
      <c r="AK29" s="172"/>
      <c r="AL29" s="172"/>
      <c r="AM29" s="172"/>
      <c r="AN29" s="283"/>
      <c r="AO29" s="172"/>
    </row>
    <row r="30" spans="1:41" ht="12.95" customHeight="1" x14ac:dyDescent="0.2">
      <c r="A30" s="282" t="s">
        <v>267</v>
      </c>
      <c r="B30" s="172"/>
      <c r="C30" s="173"/>
      <c r="D30" s="171" t="s">
        <v>258</v>
      </c>
      <c r="E30" s="173"/>
      <c r="F30" s="176" t="s">
        <v>259</v>
      </c>
      <c r="G30" s="177"/>
      <c r="H30" s="189" t="s">
        <v>237</v>
      </c>
      <c r="I30" s="172"/>
      <c r="J30" s="173"/>
      <c r="K30" s="171" t="s">
        <v>238</v>
      </c>
      <c r="L30" s="172"/>
      <c r="M30" s="173"/>
      <c r="N30" s="236" t="s">
        <v>239</v>
      </c>
      <c r="O30" s="100"/>
      <c r="P30" s="175"/>
      <c r="Q30" s="234" t="s">
        <v>268</v>
      </c>
      <c r="R30" s="235"/>
      <c r="S30" s="179"/>
      <c r="T30" s="179"/>
      <c r="U30" s="179"/>
      <c r="V30" s="180"/>
      <c r="W30" s="181" t="s">
        <v>33</v>
      </c>
      <c r="X30" s="182"/>
      <c r="Y30" s="182"/>
      <c r="Z30" s="182"/>
      <c r="AA30" s="183"/>
      <c r="AB30" s="171" t="s">
        <v>33</v>
      </c>
      <c r="AC30" s="172"/>
      <c r="AD30" s="172"/>
      <c r="AE30" s="173"/>
      <c r="AF30" s="189" t="s">
        <v>261</v>
      </c>
      <c r="AG30" s="172"/>
      <c r="AH30" s="172"/>
      <c r="AI30" s="172"/>
      <c r="AJ30" s="172"/>
      <c r="AK30" s="172"/>
      <c r="AL30" s="172"/>
      <c r="AM30" s="172"/>
      <c r="AN30" s="283"/>
      <c r="AO30" s="172"/>
    </row>
    <row r="31" spans="1:41" ht="12.95" customHeight="1" x14ac:dyDescent="0.2">
      <c r="A31" s="282" t="s">
        <v>269</v>
      </c>
      <c r="B31" s="172"/>
      <c r="C31" s="173"/>
      <c r="D31" s="171" t="s">
        <v>235</v>
      </c>
      <c r="E31" s="173"/>
      <c r="F31" s="176" t="s">
        <v>33</v>
      </c>
      <c r="G31" s="177"/>
      <c r="H31" s="189" t="s">
        <v>33</v>
      </c>
      <c r="I31" s="172"/>
      <c r="J31" s="173"/>
      <c r="K31" s="171" t="s">
        <v>238</v>
      </c>
      <c r="L31" s="172"/>
      <c r="M31" s="173"/>
      <c r="N31" s="236" t="s">
        <v>239</v>
      </c>
      <c r="O31" s="100"/>
      <c r="P31" s="175"/>
      <c r="Q31" s="234" t="s">
        <v>270</v>
      </c>
      <c r="R31" s="235"/>
      <c r="S31" s="179"/>
      <c r="T31" s="179"/>
      <c r="U31" s="179"/>
      <c r="V31" s="180"/>
      <c r="W31" s="181" t="s">
        <v>33</v>
      </c>
      <c r="X31" s="182"/>
      <c r="Y31" s="182"/>
      <c r="Z31" s="182"/>
      <c r="AA31" s="183"/>
      <c r="AB31" s="171" t="s">
        <v>33</v>
      </c>
      <c r="AC31" s="172"/>
      <c r="AD31" s="172"/>
      <c r="AE31" s="173"/>
      <c r="AF31" s="171"/>
      <c r="AG31" s="172"/>
      <c r="AH31" s="172"/>
      <c r="AI31" s="172"/>
      <c r="AJ31" s="172"/>
      <c r="AK31" s="172"/>
      <c r="AL31" s="172"/>
      <c r="AM31" s="172"/>
      <c r="AN31" s="283"/>
      <c r="AO31" s="172"/>
    </row>
    <row r="32" spans="1:41" ht="12.95" customHeight="1" x14ac:dyDescent="0.2">
      <c r="A32" s="282"/>
      <c r="B32" s="172"/>
      <c r="C32" s="173"/>
      <c r="D32" s="171"/>
      <c r="E32" s="173"/>
      <c r="F32" s="176"/>
      <c r="G32" s="177"/>
      <c r="H32" s="171"/>
      <c r="I32" s="172"/>
      <c r="J32" s="173"/>
      <c r="K32" s="171"/>
      <c r="L32" s="172"/>
      <c r="M32" s="173"/>
      <c r="N32" s="174"/>
      <c r="O32" s="100"/>
      <c r="P32" s="175"/>
      <c r="Q32" s="178"/>
      <c r="R32" s="179"/>
      <c r="S32" s="179"/>
      <c r="T32" s="179"/>
      <c r="U32" s="179"/>
      <c r="V32" s="180"/>
      <c r="W32" s="181"/>
      <c r="X32" s="182"/>
      <c r="Y32" s="182"/>
      <c r="Z32" s="182"/>
      <c r="AA32" s="183"/>
      <c r="AB32" s="171"/>
      <c r="AC32" s="172"/>
      <c r="AD32" s="172"/>
      <c r="AE32" s="173"/>
      <c r="AF32" s="171"/>
      <c r="AG32" s="172"/>
      <c r="AH32" s="172"/>
      <c r="AI32" s="172"/>
      <c r="AJ32" s="172"/>
      <c r="AK32" s="172"/>
      <c r="AL32" s="172"/>
      <c r="AM32" s="172"/>
      <c r="AN32" s="283"/>
      <c r="AO32" s="172"/>
    </row>
    <row r="33" spans="1:41" ht="12.95" customHeight="1" x14ac:dyDescent="0.2">
      <c r="A33" s="282"/>
      <c r="B33" s="172"/>
      <c r="C33" s="173"/>
      <c r="D33" s="171"/>
      <c r="E33" s="173"/>
      <c r="F33" s="176"/>
      <c r="G33" s="177"/>
      <c r="H33" s="171"/>
      <c r="I33" s="172"/>
      <c r="J33" s="173"/>
      <c r="K33" s="171"/>
      <c r="L33" s="172"/>
      <c r="M33" s="173"/>
      <c r="N33" s="174"/>
      <c r="O33" s="100"/>
      <c r="P33" s="175"/>
      <c r="Q33" s="178"/>
      <c r="R33" s="179"/>
      <c r="S33" s="179"/>
      <c r="T33" s="179"/>
      <c r="U33" s="179"/>
      <c r="V33" s="180"/>
      <c r="W33" s="181"/>
      <c r="X33" s="182"/>
      <c r="Y33" s="182"/>
      <c r="Z33" s="182"/>
      <c r="AA33" s="183"/>
      <c r="AB33" s="171"/>
      <c r="AC33" s="172"/>
      <c r="AD33" s="172"/>
      <c r="AE33" s="173"/>
      <c r="AF33" s="171"/>
      <c r="AG33" s="172"/>
      <c r="AH33" s="172"/>
      <c r="AI33" s="172"/>
      <c r="AJ33" s="172"/>
      <c r="AK33" s="172"/>
      <c r="AL33" s="172"/>
      <c r="AM33" s="172"/>
      <c r="AN33" s="283"/>
      <c r="AO33" s="172"/>
    </row>
    <row r="34" spans="1:41" ht="12.95" customHeight="1" x14ac:dyDescent="0.2">
      <c r="A34" s="282" t="s">
        <v>271</v>
      </c>
      <c r="B34" s="172"/>
      <c r="C34" s="173"/>
      <c r="D34" s="189" t="s">
        <v>258</v>
      </c>
      <c r="E34" s="190"/>
      <c r="F34" s="237" t="s">
        <v>272</v>
      </c>
      <c r="G34" s="238"/>
      <c r="H34" s="189" t="s">
        <v>237</v>
      </c>
      <c r="I34" s="98"/>
      <c r="J34" s="190"/>
      <c r="K34" s="189" t="s">
        <v>238</v>
      </c>
      <c r="L34" s="98"/>
      <c r="M34" s="190"/>
      <c r="N34" s="236" t="s">
        <v>239</v>
      </c>
      <c r="O34" s="99"/>
      <c r="P34" s="175"/>
      <c r="Q34" s="189" t="s">
        <v>273</v>
      </c>
      <c r="R34" s="179"/>
      <c r="S34" s="179"/>
      <c r="T34" s="179"/>
      <c r="U34" s="179"/>
      <c r="V34" s="180"/>
      <c r="W34" s="181" t="s">
        <v>33</v>
      </c>
      <c r="X34" s="182"/>
      <c r="Y34" s="182"/>
      <c r="Z34" s="182"/>
      <c r="AA34" s="183"/>
      <c r="AB34" s="171" t="s">
        <v>33</v>
      </c>
      <c r="AC34" s="172"/>
      <c r="AD34" s="172"/>
      <c r="AE34" s="173"/>
      <c r="AF34" s="171"/>
      <c r="AG34" s="172"/>
      <c r="AH34" s="172"/>
      <c r="AI34" s="172"/>
      <c r="AJ34" s="172"/>
      <c r="AK34" s="172"/>
      <c r="AL34" s="172"/>
      <c r="AM34" s="172"/>
      <c r="AN34" s="283"/>
      <c r="AO34" s="172"/>
    </row>
    <row r="35" spans="1:41" ht="12.95" customHeight="1" x14ac:dyDescent="0.2">
      <c r="A35" s="282"/>
      <c r="B35" s="172"/>
      <c r="C35" s="173"/>
      <c r="D35" s="171"/>
      <c r="E35" s="173"/>
      <c r="F35" s="176"/>
      <c r="G35" s="177"/>
      <c r="H35" s="171"/>
      <c r="I35" s="172"/>
      <c r="J35" s="173"/>
      <c r="K35" s="171"/>
      <c r="L35" s="172"/>
      <c r="M35" s="173"/>
      <c r="N35" s="174"/>
      <c r="O35" s="100"/>
      <c r="P35" s="175"/>
      <c r="Q35" s="178"/>
      <c r="R35" s="179"/>
      <c r="S35" s="179"/>
      <c r="T35" s="179"/>
      <c r="U35" s="179"/>
      <c r="V35" s="180"/>
      <c r="W35" s="181"/>
      <c r="X35" s="182"/>
      <c r="Y35" s="182"/>
      <c r="Z35" s="182"/>
      <c r="AA35" s="183"/>
      <c r="AB35" s="171"/>
      <c r="AC35" s="172"/>
      <c r="AD35" s="172"/>
      <c r="AE35" s="173"/>
      <c r="AF35" s="171"/>
      <c r="AG35" s="172"/>
      <c r="AH35" s="172"/>
      <c r="AI35" s="172"/>
      <c r="AJ35" s="172"/>
      <c r="AK35" s="172"/>
      <c r="AL35" s="172"/>
      <c r="AM35" s="172"/>
      <c r="AN35" s="283"/>
      <c r="AO35" s="172"/>
    </row>
    <row r="36" spans="1:41" ht="12.95" customHeight="1" x14ac:dyDescent="0.2">
      <c r="A36" s="282"/>
      <c r="B36" s="172"/>
      <c r="C36" s="173"/>
      <c r="D36" s="171"/>
      <c r="E36" s="173"/>
      <c r="F36" s="176"/>
      <c r="G36" s="177"/>
      <c r="H36" s="171"/>
      <c r="I36" s="172"/>
      <c r="J36" s="173"/>
      <c r="K36" s="171"/>
      <c r="L36" s="172"/>
      <c r="M36" s="173"/>
      <c r="N36" s="174"/>
      <c r="O36" s="100"/>
      <c r="P36" s="175"/>
      <c r="Q36" s="178"/>
      <c r="R36" s="179"/>
      <c r="S36" s="179"/>
      <c r="T36" s="179"/>
      <c r="U36" s="179"/>
      <c r="V36" s="180"/>
      <c r="W36" s="181"/>
      <c r="X36" s="182"/>
      <c r="Y36" s="182"/>
      <c r="Z36" s="182"/>
      <c r="AA36" s="183"/>
      <c r="AB36" s="171"/>
      <c r="AC36" s="172"/>
      <c r="AD36" s="172"/>
      <c r="AE36" s="173"/>
      <c r="AF36" s="171"/>
      <c r="AG36" s="172"/>
      <c r="AH36" s="172"/>
      <c r="AI36" s="172"/>
      <c r="AJ36" s="172"/>
      <c r="AK36" s="172"/>
      <c r="AL36" s="172"/>
      <c r="AM36" s="172"/>
      <c r="AN36" s="283"/>
      <c r="AO36" s="172"/>
    </row>
    <row r="37" spans="1:41" ht="12.95" customHeight="1" x14ac:dyDescent="0.2">
      <c r="A37" s="282"/>
      <c r="B37" s="172"/>
      <c r="C37" s="173"/>
      <c r="D37" s="171"/>
      <c r="E37" s="173"/>
      <c r="F37" s="176"/>
      <c r="G37" s="177"/>
      <c r="H37" s="171"/>
      <c r="I37" s="172"/>
      <c r="J37" s="173"/>
      <c r="K37" s="171"/>
      <c r="L37" s="172"/>
      <c r="M37" s="173"/>
      <c r="N37" s="174"/>
      <c r="O37" s="100"/>
      <c r="P37" s="175"/>
      <c r="Q37" s="178"/>
      <c r="R37" s="179"/>
      <c r="S37" s="179"/>
      <c r="T37" s="179"/>
      <c r="U37" s="179"/>
      <c r="V37" s="180"/>
      <c r="W37" s="181"/>
      <c r="X37" s="182"/>
      <c r="Y37" s="182"/>
      <c r="Z37" s="182"/>
      <c r="AA37" s="183"/>
      <c r="AB37" s="171"/>
      <c r="AC37" s="172"/>
      <c r="AD37" s="172"/>
      <c r="AE37" s="173"/>
      <c r="AF37" s="171"/>
      <c r="AG37" s="172"/>
      <c r="AH37" s="172"/>
      <c r="AI37" s="172"/>
      <c r="AJ37" s="172"/>
      <c r="AK37" s="172"/>
      <c r="AL37" s="172"/>
      <c r="AM37" s="172"/>
      <c r="AN37" s="283"/>
      <c r="AO37" s="172"/>
    </row>
    <row r="38" spans="1:41" ht="12.95" customHeight="1" x14ac:dyDescent="0.2">
      <c r="A38" s="282"/>
      <c r="B38" s="172"/>
      <c r="C38" s="173"/>
      <c r="D38" s="171"/>
      <c r="E38" s="173"/>
      <c r="F38" s="176"/>
      <c r="G38" s="177"/>
      <c r="H38" s="171"/>
      <c r="I38" s="172"/>
      <c r="J38" s="173"/>
      <c r="K38" s="171"/>
      <c r="L38" s="172"/>
      <c r="M38" s="173"/>
      <c r="N38" s="174"/>
      <c r="O38" s="100"/>
      <c r="P38" s="175"/>
      <c r="Q38" s="178"/>
      <c r="R38" s="179"/>
      <c r="S38" s="179"/>
      <c r="T38" s="179"/>
      <c r="U38" s="179"/>
      <c r="V38" s="180"/>
      <c r="W38" s="181"/>
      <c r="X38" s="182"/>
      <c r="Y38" s="182"/>
      <c r="Z38" s="182"/>
      <c r="AA38" s="183"/>
      <c r="AB38" s="171"/>
      <c r="AC38" s="172"/>
      <c r="AD38" s="172"/>
      <c r="AE38" s="173"/>
      <c r="AF38" s="171"/>
      <c r="AG38" s="172"/>
      <c r="AH38" s="172"/>
      <c r="AI38" s="172"/>
      <c r="AJ38" s="172"/>
      <c r="AK38" s="172"/>
      <c r="AL38" s="172"/>
      <c r="AM38" s="172"/>
      <c r="AN38" s="283"/>
      <c r="AO38" s="172"/>
    </row>
    <row r="39" spans="1:41" ht="12.95" customHeight="1" x14ac:dyDescent="0.2">
      <c r="A39" s="282"/>
      <c r="B39" s="172"/>
      <c r="C39" s="173"/>
      <c r="D39" s="171"/>
      <c r="E39" s="173"/>
      <c r="F39" s="176"/>
      <c r="G39" s="177"/>
      <c r="H39" s="171"/>
      <c r="I39" s="172"/>
      <c r="J39" s="173"/>
      <c r="K39" s="171"/>
      <c r="L39" s="172"/>
      <c r="M39" s="173"/>
      <c r="N39" s="174"/>
      <c r="O39" s="100"/>
      <c r="P39" s="175"/>
      <c r="Q39" s="178"/>
      <c r="R39" s="179"/>
      <c r="S39" s="179"/>
      <c r="T39" s="179"/>
      <c r="U39" s="179"/>
      <c r="V39" s="180"/>
      <c r="W39" s="181"/>
      <c r="X39" s="182"/>
      <c r="Y39" s="182"/>
      <c r="Z39" s="182"/>
      <c r="AA39" s="183"/>
      <c r="AB39" s="171"/>
      <c r="AC39" s="172"/>
      <c r="AD39" s="172"/>
      <c r="AE39" s="173"/>
      <c r="AF39" s="171"/>
      <c r="AG39" s="172"/>
      <c r="AH39" s="172"/>
      <c r="AI39" s="172"/>
      <c r="AJ39" s="172"/>
      <c r="AK39" s="172"/>
      <c r="AL39" s="172"/>
      <c r="AM39" s="172"/>
      <c r="AN39" s="283"/>
      <c r="AO39" s="170"/>
    </row>
    <row r="40" spans="1:41" ht="12.95" customHeight="1" x14ac:dyDescent="0.2">
      <c r="A40" s="282"/>
      <c r="B40" s="172"/>
      <c r="C40" s="173"/>
      <c r="D40" s="171"/>
      <c r="E40" s="173"/>
      <c r="F40" s="176"/>
      <c r="G40" s="177"/>
      <c r="H40" s="171"/>
      <c r="I40" s="172"/>
      <c r="J40" s="173"/>
      <c r="K40" s="171"/>
      <c r="L40" s="172"/>
      <c r="M40" s="173"/>
      <c r="N40" s="174"/>
      <c r="O40" s="100"/>
      <c r="P40" s="175"/>
      <c r="Q40" s="178"/>
      <c r="R40" s="179"/>
      <c r="S40" s="179"/>
      <c r="T40" s="179"/>
      <c r="U40" s="179"/>
      <c r="V40" s="180"/>
      <c r="W40" s="181"/>
      <c r="X40" s="182"/>
      <c r="Y40" s="182"/>
      <c r="Z40" s="182"/>
      <c r="AA40" s="183"/>
      <c r="AB40" s="171"/>
      <c r="AC40" s="172"/>
      <c r="AD40" s="172"/>
      <c r="AE40" s="173"/>
      <c r="AF40" s="171"/>
      <c r="AG40" s="172"/>
      <c r="AH40" s="172"/>
      <c r="AI40" s="172"/>
      <c r="AJ40" s="172"/>
      <c r="AK40" s="172"/>
      <c r="AL40" s="172"/>
      <c r="AM40" s="172"/>
      <c r="AN40" s="283"/>
      <c r="AO40" s="170"/>
    </row>
    <row r="41" spans="1:41" ht="12.95" customHeight="1" x14ac:dyDescent="0.2">
      <c r="A41" s="282"/>
      <c r="B41" s="172"/>
      <c r="C41" s="173"/>
      <c r="D41" s="171"/>
      <c r="E41" s="173"/>
      <c r="F41" s="176"/>
      <c r="G41" s="177"/>
      <c r="H41" s="171"/>
      <c r="I41" s="172"/>
      <c r="J41" s="173"/>
      <c r="K41" s="171"/>
      <c r="L41" s="172"/>
      <c r="M41" s="173"/>
      <c r="N41" s="174"/>
      <c r="O41" s="100"/>
      <c r="P41" s="175"/>
      <c r="Q41" s="178"/>
      <c r="R41" s="179"/>
      <c r="S41" s="179"/>
      <c r="T41" s="179"/>
      <c r="U41" s="179"/>
      <c r="V41" s="180"/>
      <c r="W41" s="181"/>
      <c r="X41" s="182"/>
      <c r="Y41" s="182"/>
      <c r="Z41" s="182"/>
      <c r="AA41" s="183"/>
      <c r="AB41" s="171"/>
      <c r="AC41" s="172"/>
      <c r="AD41" s="172"/>
      <c r="AE41" s="173"/>
      <c r="AF41" s="171"/>
      <c r="AG41" s="172"/>
      <c r="AH41" s="172"/>
      <c r="AI41" s="172"/>
      <c r="AJ41" s="172"/>
      <c r="AK41" s="172"/>
      <c r="AL41" s="172"/>
      <c r="AM41" s="172"/>
      <c r="AN41" s="283"/>
      <c r="AO41" s="170"/>
    </row>
    <row r="42" spans="1:41" ht="12.95" customHeight="1" x14ac:dyDescent="0.2">
      <c r="A42" s="282"/>
      <c r="B42" s="172"/>
      <c r="C42" s="173"/>
      <c r="D42" s="171"/>
      <c r="E42" s="173"/>
      <c r="F42" s="176"/>
      <c r="G42" s="177"/>
      <c r="H42" s="171"/>
      <c r="I42" s="172"/>
      <c r="J42" s="173"/>
      <c r="K42" s="171"/>
      <c r="L42" s="172"/>
      <c r="M42" s="173"/>
      <c r="N42" s="174"/>
      <c r="O42" s="100"/>
      <c r="P42" s="175"/>
      <c r="Q42" s="178"/>
      <c r="R42" s="179"/>
      <c r="S42" s="179"/>
      <c r="T42" s="179"/>
      <c r="U42" s="179"/>
      <c r="V42" s="180"/>
      <c r="W42" s="186"/>
      <c r="X42" s="187"/>
      <c r="Y42" s="187"/>
      <c r="Z42" s="187"/>
      <c r="AA42" s="188"/>
      <c r="AB42" s="189"/>
      <c r="AC42" s="98"/>
      <c r="AD42" s="98"/>
      <c r="AE42" s="190"/>
      <c r="AF42" s="191"/>
      <c r="AG42" s="192"/>
      <c r="AH42" s="192"/>
      <c r="AI42" s="192"/>
      <c r="AJ42" s="192"/>
      <c r="AK42" s="192"/>
      <c r="AL42" s="192"/>
      <c r="AM42" s="193"/>
      <c r="AN42" s="240"/>
      <c r="AO42" s="170"/>
    </row>
    <row r="43" spans="1:41" ht="12.95" customHeight="1" x14ac:dyDescent="0.3">
      <c r="A43" s="282"/>
      <c r="B43" s="172"/>
      <c r="C43" s="173"/>
      <c r="D43" s="171"/>
      <c r="E43" s="173"/>
      <c r="F43" s="176"/>
      <c r="G43" s="177"/>
      <c r="H43" s="171"/>
      <c r="I43" s="172"/>
      <c r="J43" s="173"/>
      <c r="K43" s="171"/>
      <c r="L43" s="172"/>
      <c r="M43" s="173"/>
      <c r="N43" s="174"/>
      <c r="O43" s="100"/>
      <c r="P43" s="175"/>
      <c r="Q43" s="178"/>
      <c r="R43" s="179"/>
      <c r="S43" s="179"/>
      <c r="T43" s="179"/>
      <c r="U43" s="179"/>
      <c r="V43" s="180"/>
      <c r="W43" s="186"/>
      <c r="X43" s="187"/>
      <c r="Y43" s="187"/>
      <c r="Z43" s="187"/>
      <c r="AA43" s="188"/>
      <c r="AB43" s="191"/>
      <c r="AC43" s="192"/>
      <c r="AD43" s="192"/>
      <c r="AE43" s="194"/>
      <c r="AF43" s="191"/>
      <c r="AG43" s="192"/>
      <c r="AH43" s="192"/>
      <c r="AI43" s="192"/>
      <c r="AJ43" s="192"/>
      <c r="AK43" s="192"/>
      <c r="AL43" s="192"/>
      <c r="AM43" s="193"/>
      <c r="AN43" s="240"/>
      <c r="AO43" s="203"/>
    </row>
    <row r="44" spans="1:41" ht="12.95" customHeight="1" x14ac:dyDescent="0.3">
      <c r="A44" s="282"/>
      <c r="B44" s="172"/>
      <c r="C44" s="173"/>
      <c r="D44" s="171"/>
      <c r="E44" s="173"/>
      <c r="F44" s="176"/>
      <c r="G44" s="177"/>
      <c r="H44" s="171"/>
      <c r="I44" s="172"/>
      <c r="J44" s="173"/>
      <c r="K44" s="171"/>
      <c r="L44" s="172"/>
      <c r="M44" s="173"/>
      <c r="N44" s="174"/>
      <c r="O44" s="100"/>
      <c r="P44" s="175"/>
      <c r="Q44" s="178"/>
      <c r="R44" s="179"/>
      <c r="S44" s="179"/>
      <c r="T44" s="179"/>
      <c r="U44" s="179"/>
      <c r="V44" s="180"/>
      <c r="W44" s="186"/>
      <c r="X44" s="187"/>
      <c r="Y44" s="187"/>
      <c r="Z44" s="187"/>
      <c r="AA44" s="188"/>
      <c r="AB44" s="191"/>
      <c r="AC44" s="192"/>
      <c r="AD44" s="192"/>
      <c r="AE44" s="194"/>
      <c r="AF44" s="191"/>
      <c r="AG44" s="192"/>
      <c r="AH44" s="192"/>
      <c r="AI44" s="192"/>
      <c r="AJ44" s="192"/>
      <c r="AK44" s="192"/>
      <c r="AL44" s="192"/>
      <c r="AM44" s="193"/>
      <c r="AN44" s="240"/>
      <c r="AO44" s="203"/>
    </row>
    <row r="45" spans="1:41" ht="12.95" customHeight="1" x14ac:dyDescent="0.3">
      <c r="A45" s="284"/>
      <c r="B45" s="195"/>
      <c r="C45" s="196"/>
      <c r="D45" s="171"/>
      <c r="E45" s="173"/>
      <c r="F45" s="174"/>
      <c r="G45" s="175"/>
      <c r="H45" s="171"/>
      <c r="I45" s="172"/>
      <c r="J45" s="173"/>
      <c r="K45" s="189"/>
      <c r="L45" s="98"/>
      <c r="M45" s="190"/>
      <c r="N45" s="189"/>
      <c r="O45" s="98"/>
      <c r="P45" s="190"/>
      <c r="Q45" s="191"/>
      <c r="R45" s="192"/>
      <c r="S45" s="192"/>
      <c r="T45" s="192"/>
      <c r="U45" s="192"/>
      <c r="V45" s="194"/>
      <c r="W45" s="191"/>
      <c r="X45" s="192"/>
      <c r="Y45" s="192"/>
      <c r="Z45" s="192"/>
      <c r="AA45" s="194"/>
      <c r="AB45" s="191"/>
      <c r="AC45" s="192"/>
      <c r="AD45" s="192"/>
      <c r="AE45" s="194"/>
      <c r="AF45" s="191"/>
      <c r="AG45" s="192"/>
      <c r="AH45" s="192"/>
      <c r="AI45" s="192"/>
      <c r="AJ45" s="192"/>
      <c r="AK45" s="192"/>
      <c r="AL45" s="192"/>
      <c r="AM45" s="193"/>
      <c r="AN45" s="240"/>
      <c r="AO45" s="203"/>
    </row>
    <row r="46" spans="1:41" ht="12.95" customHeight="1" x14ac:dyDescent="0.3">
      <c r="A46" s="285"/>
      <c r="B46" s="197"/>
      <c r="C46" s="198"/>
      <c r="D46" s="198"/>
      <c r="E46" s="198"/>
      <c r="F46" s="199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1"/>
      <c r="AN46" s="286"/>
      <c r="AO46" s="203"/>
    </row>
    <row r="47" spans="1:41" ht="12.95" customHeight="1" x14ac:dyDescent="0.3">
      <c r="A47" s="285"/>
      <c r="B47" s="287" t="s">
        <v>41</v>
      </c>
      <c r="C47" s="288"/>
      <c r="D47" s="198"/>
      <c r="E47" s="198"/>
      <c r="F47" s="199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1"/>
      <c r="AN47" s="286"/>
    </row>
    <row r="48" spans="1:41" ht="12.95" customHeight="1" x14ac:dyDescent="0.3">
      <c r="A48" s="285"/>
      <c r="B48" s="204">
        <v>1</v>
      </c>
      <c r="C48" s="288" t="s">
        <v>274</v>
      </c>
      <c r="D48" s="205"/>
      <c r="E48" s="205"/>
      <c r="F48" s="205"/>
      <c r="G48" s="205"/>
      <c r="H48" s="205"/>
      <c r="I48" s="206"/>
      <c r="J48" s="198"/>
      <c r="K48" s="198"/>
      <c r="L48" s="198"/>
      <c r="M48" s="206"/>
      <c r="N48" s="198"/>
      <c r="O48" s="198"/>
      <c r="P48" s="198"/>
      <c r="Q48" s="198"/>
      <c r="R48" s="198"/>
      <c r="S48" s="206"/>
      <c r="T48" s="200"/>
      <c r="U48" s="200"/>
      <c r="V48" s="200"/>
      <c r="W48" s="200"/>
      <c r="X48" s="200"/>
      <c r="Y48" s="200"/>
      <c r="Z48" s="206"/>
      <c r="AA48" s="200"/>
      <c r="AB48" s="200"/>
      <c r="AC48" s="200"/>
      <c r="AD48" s="200"/>
      <c r="AE48" s="200"/>
      <c r="AF48" s="200"/>
      <c r="AG48" s="206"/>
      <c r="AH48" s="200"/>
      <c r="AI48" s="200"/>
      <c r="AJ48" s="200"/>
      <c r="AK48" s="200"/>
      <c r="AL48" s="201"/>
      <c r="AM48" s="202"/>
      <c r="AN48" s="244"/>
    </row>
    <row r="49" spans="1:40" ht="12.95" customHeight="1" x14ac:dyDescent="0.3">
      <c r="A49" s="285"/>
      <c r="B49" s="204"/>
      <c r="C49" s="288" t="s">
        <v>275</v>
      </c>
      <c r="D49" s="205"/>
      <c r="E49" s="205"/>
      <c r="F49" s="205"/>
      <c r="G49" s="205"/>
      <c r="H49" s="205"/>
      <c r="I49" s="206"/>
      <c r="J49" s="198"/>
      <c r="K49" s="198"/>
      <c r="L49" s="198"/>
      <c r="M49" s="207"/>
      <c r="N49" s="198"/>
      <c r="O49" s="198"/>
      <c r="P49" s="198"/>
      <c r="Q49" s="198"/>
      <c r="R49" s="198"/>
      <c r="S49" s="207"/>
      <c r="T49" s="200"/>
      <c r="U49" s="200"/>
      <c r="V49" s="200"/>
      <c r="W49" s="200"/>
      <c r="X49" s="200"/>
      <c r="Y49" s="200"/>
      <c r="Z49" s="207"/>
      <c r="AA49" s="200"/>
      <c r="AB49" s="200"/>
      <c r="AC49" s="200"/>
      <c r="AD49" s="200"/>
      <c r="AE49" s="200"/>
      <c r="AF49" s="200"/>
      <c r="AG49" s="208"/>
      <c r="AH49" s="200"/>
      <c r="AI49" s="200"/>
      <c r="AJ49" s="200"/>
      <c r="AK49" s="200"/>
      <c r="AL49" s="201"/>
      <c r="AM49" s="202"/>
      <c r="AN49" s="244"/>
    </row>
    <row r="50" spans="1:40" ht="12.95" customHeight="1" x14ac:dyDescent="0.3">
      <c r="A50" s="285"/>
      <c r="B50" s="289">
        <v>2</v>
      </c>
      <c r="C50" s="288" t="s">
        <v>276</v>
      </c>
      <c r="D50" s="205"/>
      <c r="E50" s="205"/>
      <c r="F50" s="205"/>
      <c r="G50" s="205"/>
      <c r="H50" s="205"/>
      <c r="I50" s="206"/>
      <c r="J50" s="198"/>
      <c r="K50" s="198"/>
      <c r="L50" s="198"/>
      <c r="M50" s="207"/>
      <c r="N50" s="198"/>
      <c r="O50" s="198"/>
      <c r="P50" s="198"/>
      <c r="Q50" s="198"/>
      <c r="R50" s="198"/>
      <c r="S50" s="207"/>
      <c r="T50" s="200"/>
      <c r="U50" s="200"/>
      <c r="V50" s="200"/>
      <c r="W50" s="200"/>
      <c r="X50" s="200"/>
      <c r="Y50" s="200"/>
      <c r="Z50" s="207"/>
      <c r="AA50" s="200"/>
      <c r="AB50" s="200"/>
      <c r="AC50" s="200"/>
      <c r="AD50" s="200"/>
      <c r="AE50" s="200"/>
      <c r="AF50" s="200"/>
      <c r="AG50" s="208"/>
      <c r="AH50" s="200"/>
      <c r="AI50" s="200"/>
      <c r="AJ50" s="200"/>
      <c r="AK50" s="200"/>
      <c r="AL50" s="201"/>
      <c r="AM50" s="202"/>
      <c r="AN50" s="290"/>
    </row>
    <row r="51" spans="1:40" ht="12.95" customHeight="1" x14ac:dyDescent="0.3">
      <c r="A51" s="285"/>
      <c r="B51" s="288"/>
      <c r="C51" s="288" t="s">
        <v>277</v>
      </c>
      <c r="D51" s="205"/>
      <c r="E51" s="205"/>
      <c r="F51" s="206"/>
      <c r="G51" s="205"/>
      <c r="H51" s="205"/>
      <c r="I51" s="206"/>
      <c r="J51" s="198"/>
      <c r="K51" s="198"/>
      <c r="L51" s="198"/>
      <c r="M51" s="207"/>
      <c r="N51" s="198"/>
      <c r="O51" s="198"/>
      <c r="P51" s="198"/>
      <c r="Q51" s="198"/>
      <c r="R51" s="198"/>
      <c r="S51" s="207"/>
      <c r="T51" s="209"/>
      <c r="U51" s="209"/>
      <c r="V51" s="209"/>
      <c r="W51" s="209"/>
      <c r="X51" s="209"/>
      <c r="Y51" s="209"/>
      <c r="Z51" s="207"/>
      <c r="AA51" s="209"/>
      <c r="AB51" s="209"/>
      <c r="AC51" s="209"/>
      <c r="AD51" s="209"/>
      <c r="AE51" s="209"/>
      <c r="AF51" s="209"/>
      <c r="AG51" s="208"/>
      <c r="AH51" s="209"/>
      <c r="AI51" s="209"/>
      <c r="AJ51" s="209"/>
      <c r="AK51" s="209"/>
      <c r="AL51" s="201"/>
      <c r="AM51" s="210"/>
      <c r="AN51" s="290"/>
    </row>
    <row r="52" spans="1:40" ht="12.95" customHeight="1" x14ac:dyDescent="0.2">
      <c r="A52" s="29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44"/>
    </row>
    <row r="53" spans="1:40" ht="12.95" customHeight="1" x14ac:dyDescent="0.3">
      <c r="A53" s="291"/>
      <c r="B53" s="211"/>
      <c r="C53" s="153"/>
      <c r="D53" s="153"/>
      <c r="E53" s="153"/>
      <c r="F53" s="153"/>
      <c r="G53" s="153"/>
      <c r="H53" s="153"/>
      <c r="I53" s="153"/>
      <c r="J53" s="153"/>
      <c r="K53" s="168"/>
      <c r="L53" s="168"/>
      <c r="M53" s="153"/>
      <c r="N53" s="162"/>
      <c r="O53" s="168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4"/>
      <c r="AE53" s="153"/>
      <c r="AF53" s="153"/>
      <c r="AG53" s="153"/>
      <c r="AH53" s="153"/>
      <c r="AI53" s="153"/>
      <c r="AJ53" s="153"/>
      <c r="AK53" s="211"/>
      <c r="AL53" s="211"/>
      <c r="AM53" s="211"/>
      <c r="AN53" s="244"/>
    </row>
    <row r="54" spans="1:40" ht="12.95" customHeight="1" x14ac:dyDescent="0.2">
      <c r="A54" s="291"/>
      <c r="B54" s="21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1"/>
      <c r="AC54" s="152"/>
      <c r="AD54" s="152"/>
      <c r="AE54" s="152"/>
      <c r="AF54" s="152"/>
      <c r="AG54" s="152"/>
      <c r="AH54" s="152"/>
      <c r="AI54" s="152"/>
      <c r="AJ54" s="152"/>
      <c r="AK54" s="211"/>
      <c r="AL54" s="211"/>
      <c r="AM54" s="211"/>
      <c r="AN54" s="244"/>
    </row>
    <row r="55" spans="1:40" ht="12.95" customHeight="1" x14ac:dyDescent="0.2">
      <c r="A55" s="291"/>
      <c r="B55" s="211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1"/>
      <c r="AB55" s="152"/>
      <c r="AC55" s="152"/>
      <c r="AD55" s="152"/>
      <c r="AE55" s="152"/>
      <c r="AF55" s="152"/>
      <c r="AG55" s="152"/>
      <c r="AH55" s="152"/>
      <c r="AI55" s="152"/>
      <c r="AJ55" s="152"/>
      <c r="AK55" s="211"/>
      <c r="AL55" s="211"/>
      <c r="AM55" s="211"/>
      <c r="AN55" s="244"/>
    </row>
    <row r="56" spans="1:40" ht="12.95" customHeight="1" x14ac:dyDescent="0.2">
      <c r="A56" s="291"/>
      <c r="B56" s="211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1"/>
      <c r="AC56" s="152"/>
      <c r="AD56" s="152"/>
      <c r="AE56" s="152"/>
      <c r="AF56" s="152"/>
      <c r="AG56" s="152"/>
      <c r="AH56" s="152"/>
      <c r="AI56" s="152"/>
      <c r="AJ56" s="152"/>
      <c r="AK56" s="211"/>
      <c r="AL56" s="211"/>
      <c r="AM56" s="211"/>
      <c r="AN56" s="244"/>
    </row>
    <row r="57" spans="1:40" ht="12.95" customHeight="1" x14ac:dyDescent="0.3">
      <c r="A57" s="291"/>
      <c r="B57" s="211"/>
      <c r="C57" s="153"/>
      <c r="D57" s="153"/>
      <c r="E57" s="153"/>
      <c r="F57" s="153"/>
      <c r="G57" s="153"/>
      <c r="H57" s="153"/>
      <c r="I57" s="153"/>
      <c r="J57" s="153"/>
      <c r="K57" s="168"/>
      <c r="L57" s="168"/>
      <c r="M57" s="153"/>
      <c r="N57" s="162"/>
      <c r="O57" s="168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4"/>
      <c r="AE57" s="153"/>
      <c r="AF57" s="153"/>
      <c r="AG57" s="153"/>
      <c r="AH57" s="153"/>
      <c r="AI57" s="153"/>
      <c r="AJ57" s="153"/>
      <c r="AK57" s="211"/>
      <c r="AL57" s="211"/>
      <c r="AM57" s="211"/>
      <c r="AN57" s="244"/>
    </row>
    <row r="58" spans="1:40" ht="12.95" customHeight="1" x14ac:dyDescent="0.3">
      <c r="A58" s="291"/>
      <c r="B58" s="211"/>
      <c r="C58" s="153"/>
      <c r="D58" s="153"/>
      <c r="E58" s="153"/>
      <c r="F58" s="153"/>
      <c r="G58" s="153"/>
      <c r="H58" s="153"/>
      <c r="I58" s="153"/>
      <c r="J58" s="153"/>
      <c r="K58" s="168"/>
      <c r="L58" s="168"/>
      <c r="M58" s="153"/>
      <c r="N58" s="162"/>
      <c r="O58" s="168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4"/>
      <c r="AE58" s="153"/>
      <c r="AF58" s="153"/>
      <c r="AG58" s="153"/>
      <c r="AH58" s="153"/>
      <c r="AI58" s="153"/>
      <c r="AJ58" s="153"/>
      <c r="AK58" s="211"/>
      <c r="AL58" s="211"/>
      <c r="AM58" s="211"/>
      <c r="AN58" s="244"/>
    </row>
    <row r="59" spans="1:40" ht="12.95" customHeight="1" x14ac:dyDescent="0.3">
      <c r="A59" s="291"/>
      <c r="B59" s="211"/>
      <c r="C59" s="153"/>
      <c r="D59" s="153"/>
      <c r="E59" s="153"/>
      <c r="F59" s="153"/>
      <c r="G59" s="153"/>
      <c r="H59" s="153"/>
      <c r="I59" s="153"/>
      <c r="J59" s="153"/>
      <c r="K59" s="168"/>
      <c r="L59" s="168"/>
      <c r="M59" s="153"/>
      <c r="N59" s="162"/>
      <c r="O59" s="168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4"/>
      <c r="AE59" s="153"/>
      <c r="AF59" s="153"/>
      <c r="AG59" s="153"/>
      <c r="AH59" s="153"/>
      <c r="AI59" s="153"/>
      <c r="AJ59" s="153"/>
      <c r="AK59" s="211"/>
      <c r="AL59" s="211"/>
      <c r="AM59" s="211"/>
      <c r="AN59" s="244"/>
    </row>
    <row r="60" spans="1:40" ht="12.95" customHeight="1" x14ac:dyDescent="0.3">
      <c r="A60" s="291"/>
      <c r="B60" s="211"/>
      <c r="C60" s="153"/>
      <c r="D60" s="153"/>
      <c r="E60" s="153"/>
      <c r="F60" s="153"/>
      <c r="G60" s="153"/>
      <c r="H60" s="153"/>
      <c r="I60" s="153"/>
      <c r="J60" s="153"/>
      <c r="K60" s="168"/>
      <c r="L60" s="168"/>
      <c r="M60" s="153"/>
      <c r="N60" s="162"/>
      <c r="O60" s="168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4"/>
      <c r="AE60" s="153"/>
      <c r="AF60" s="153"/>
      <c r="AG60" s="153"/>
      <c r="AH60" s="153"/>
      <c r="AI60" s="153"/>
      <c r="AJ60" s="153"/>
      <c r="AK60" s="211"/>
      <c r="AL60" s="211"/>
      <c r="AM60" s="211"/>
      <c r="AN60" s="244"/>
    </row>
    <row r="61" spans="1:40" ht="12.95" customHeight="1" x14ac:dyDescent="0.3">
      <c r="A61" s="291"/>
      <c r="B61" s="211"/>
      <c r="C61" s="153"/>
      <c r="D61" s="153"/>
      <c r="E61" s="153"/>
      <c r="F61" s="153"/>
      <c r="G61" s="153"/>
      <c r="H61" s="153"/>
      <c r="I61" s="153"/>
      <c r="J61" s="153"/>
      <c r="K61" s="168"/>
      <c r="L61" s="168"/>
      <c r="M61" s="153"/>
      <c r="N61" s="162"/>
      <c r="O61" s="168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4"/>
      <c r="AE61" s="153"/>
      <c r="AF61" s="153"/>
      <c r="AG61" s="153"/>
      <c r="AH61" s="153"/>
      <c r="AI61" s="153"/>
      <c r="AJ61" s="153"/>
      <c r="AK61" s="211"/>
      <c r="AL61" s="211"/>
      <c r="AM61" s="211"/>
      <c r="AN61" s="244"/>
    </row>
    <row r="62" spans="1:40" ht="12.95" customHeight="1" x14ac:dyDescent="0.3">
      <c r="A62" s="292"/>
      <c r="B62" s="63"/>
      <c r="C62" s="153"/>
      <c r="D62" s="153"/>
      <c r="E62" s="153"/>
      <c r="F62" s="153"/>
      <c r="G62" s="153"/>
      <c r="H62" s="153"/>
      <c r="I62" s="153"/>
      <c r="J62" s="153"/>
      <c r="K62" s="168"/>
      <c r="L62" s="168"/>
      <c r="M62" s="153"/>
      <c r="N62" s="162"/>
      <c r="O62" s="168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4"/>
      <c r="AE62" s="153"/>
      <c r="AF62" s="153"/>
      <c r="AG62" s="153"/>
      <c r="AH62" s="153"/>
      <c r="AI62" s="153"/>
      <c r="AJ62" s="153"/>
      <c r="AK62" s="211"/>
      <c r="AL62" s="211"/>
      <c r="AM62" s="211"/>
      <c r="AN62" s="244"/>
    </row>
    <row r="63" spans="1:40" ht="12.95" customHeight="1" x14ac:dyDescent="0.3">
      <c r="A63" s="292"/>
      <c r="B63" s="63"/>
      <c r="C63" s="153"/>
      <c r="D63" s="153"/>
      <c r="E63" s="153"/>
      <c r="F63" s="153"/>
      <c r="G63" s="153"/>
      <c r="H63" s="153"/>
      <c r="I63" s="153"/>
      <c r="J63" s="153"/>
      <c r="K63" s="168"/>
      <c r="L63" s="168"/>
      <c r="M63" s="153"/>
      <c r="N63" s="162"/>
      <c r="O63" s="168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4"/>
      <c r="AE63" s="153"/>
      <c r="AF63" s="153"/>
      <c r="AG63" s="153"/>
      <c r="AH63" s="153"/>
      <c r="AI63" s="153"/>
      <c r="AJ63" s="153"/>
      <c r="AK63" s="211"/>
      <c r="AL63" s="211"/>
      <c r="AM63" s="211"/>
      <c r="AN63" s="244"/>
    </row>
    <row r="64" spans="1:40" ht="12.95" customHeight="1" x14ac:dyDescent="0.3">
      <c r="A64" s="292"/>
      <c r="B64" s="63"/>
      <c r="C64" s="153"/>
      <c r="D64" s="153"/>
      <c r="E64" s="153"/>
      <c r="F64" s="153"/>
      <c r="G64" s="153"/>
      <c r="H64" s="153"/>
      <c r="I64" s="153"/>
      <c r="J64" s="153"/>
      <c r="K64" s="168"/>
      <c r="L64" s="168"/>
      <c r="M64" s="153"/>
      <c r="N64" s="162"/>
      <c r="O64" s="168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4"/>
      <c r="AE64" s="153"/>
      <c r="AF64" s="153"/>
      <c r="AG64" s="153"/>
      <c r="AH64" s="153"/>
      <c r="AI64" s="153"/>
      <c r="AJ64" s="153"/>
      <c r="AK64" s="211"/>
      <c r="AL64" s="211"/>
      <c r="AM64" s="211"/>
      <c r="AN64" s="244"/>
    </row>
    <row r="65" spans="1:40" ht="12.95" customHeight="1" x14ac:dyDescent="0.3">
      <c r="A65" s="292"/>
      <c r="B65" s="63"/>
      <c r="C65" s="153"/>
      <c r="D65" s="153"/>
      <c r="E65" s="153"/>
      <c r="F65" s="153"/>
      <c r="G65" s="153"/>
      <c r="H65" s="153"/>
      <c r="I65" s="153"/>
      <c r="J65" s="153"/>
      <c r="K65" s="168"/>
      <c r="L65" s="168"/>
      <c r="M65" s="153"/>
      <c r="N65" s="162"/>
      <c r="O65" s="168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4"/>
      <c r="AE65" s="153"/>
      <c r="AF65" s="153"/>
      <c r="AG65" s="153"/>
      <c r="AH65" s="153"/>
      <c r="AI65" s="153"/>
      <c r="AJ65" s="153"/>
      <c r="AK65" s="211"/>
      <c r="AL65" s="211"/>
      <c r="AM65" s="211"/>
      <c r="AN65" s="244"/>
    </row>
    <row r="66" spans="1:40" ht="12.95" customHeight="1" x14ac:dyDescent="0.3">
      <c r="A66" s="292"/>
      <c r="B66" s="63"/>
      <c r="C66" s="153"/>
      <c r="D66" s="153"/>
      <c r="E66" s="153"/>
      <c r="F66" s="153"/>
      <c r="G66" s="153"/>
      <c r="H66" s="153"/>
      <c r="I66" s="153"/>
      <c r="J66" s="153"/>
      <c r="K66" s="168"/>
      <c r="L66" s="168"/>
      <c r="M66" s="153"/>
      <c r="N66" s="162"/>
      <c r="O66" s="168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4"/>
      <c r="AE66" s="153"/>
      <c r="AF66" s="153"/>
      <c r="AG66" s="153"/>
      <c r="AH66" s="153"/>
      <c r="AI66" s="153"/>
      <c r="AJ66" s="153"/>
      <c r="AK66" s="211"/>
      <c r="AL66" s="211"/>
      <c r="AM66" s="211"/>
      <c r="AN66" s="244"/>
    </row>
    <row r="67" spans="1:40" ht="12.95" customHeight="1" x14ac:dyDescent="0.3">
      <c r="A67" s="292"/>
      <c r="B67" s="63"/>
      <c r="C67" s="153"/>
      <c r="D67" s="153"/>
      <c r="E67" s="153"/>
      <c r="F67" s="153"/>
      <c r="G67" s="153"/>
      <c r="H67" s="153"/>
      <c r="I67" s="153"/>
      <c r="J67" s="153"/>
      <c r="K67" s="168"/>
      <c r="L67" s="168"/>
      <c r="M67" s="153"/>
      <c r="N67" s="162"/>
      <c r="O67" s="168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9"/>
      <c r="AE67" s="153"/>
      <c r="AF67" s="153"/>
      <c r="AG67" s="153"/>
      <c r="AH67" s="153"/>
      <c r="AI67" s="153"/>
      <c r="AJ67" s="153"/>
      <c r="AK67" s="211"/>
      <c r="AL67" s="211"/>
      <c r="AM67" s="211"/>
      <c r="AN67" s="244"/>
    </row>
    <row r="68" spans="1:40" ht="12.95" customHeight="1" x14ac:dyDescent="0.2">
      <c r="A68" s="292"/>
      <c r="B68" s="63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7"/>
      <c r="AB68" s="152"/>
      <c r="AC68" s="152"/>
      <c r="AD68" s="159"/>
      <c r="AE68" s="157"/>
      <c r="AF68" s="152"/>
      <c r="AG68" s="152"/>
      <c r="AH68" s="152"/>
      <c r="AI68" s="152"/>
      <c r="AJ68" s="152"/>
      <c r="AK68" s="211"/>
      <c r="AL68" s="211"/>
      <c r="AM68" s="211"/>
      <c r="AN68" s="244"/>
    </row>
    <row r="69" spans="1:40" ht="12.95" customHeight="1" x14ac:dyDescent="0.2">
      <c r="A69" s="292"/>
      <c r="B69" s="63"/>
      <c r="C69" s="169"/>
      <c r="D69" s="152"/>
      <c r="E69" s="151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9"/>
      <c r="AE69" s="153"/>
      <c r="AF69" s="153"/>
      <c r="AG69" s="153"/>
      <c r="AH69" s="153"/>
      <c r="AI69" s="153"/>
      <c r="AJ69" s="153"/>
      <c r="AK69" s="211"/>
      <c r="AL69" s="211"/>
      <c r="AM69" s="211"/>
      <c r="AN69" s="244"/>
    </row>
    <row r="70" spans="1:40" ht="12.95" customHeight="1" x14ac:dyDescent="0.2">
      <c r="A70" s="292"/>
      <c r="B70" s="63"/>
      <c r="C70" s="152"/>
      <c r="D70" s="152"/>
      <c r="E70" s="151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3"/>
      <c r="T70" s="153"/>
      <c r="U70" s="153"/>
      <c r="V70" s="153"/>
      <c r="W70" s="153"/>
      <c r="X70" s="153"/>
      <c r="Y70" s="153"/>
      <c r="Z70" s="153"/>
      <c r="AA70" s="153"/>
      <c r="AB70" s="161"/>
      <c r="AC70" s="153"/>
      <c r="AD70" s="159"/>
      <c r="AE70" s="153"/>
      <c r="AF70" s="153"/>
      <c r="AG70" s="153"/>
      <c r="AH70" s="153"/>
      <c r="AI70" s="153"/>
      <c r="AJ70" s="153"/>
      <c r="AK70" s="211"/>
      <c r="AL70" s="211"/>
      <c r="AM70" s="211"/>
      <c r="AN70" s="244"/>
    </row>
    <row r="71" spans="1:40" ht="12.95" customHeight="1" x14ac:dyDescent="0.2">
      <c r="A71" s="292"/>
      <c r="B71" s="63"/>
      <c r="C71" s="152"/>
      <c r="D71" s="152"/>
      <c r="E71" s="151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3"/>
      <c r="T71" s="153"/>
      <c r="U71" s="153"/>
      <c r="V71" s="153"/>
      <c r="W71" s="153"/>
      <c r="X71" s="153"/>
      <c r="Y71" s="153"/>
      <c r="Z71" s="153"/>
      <c r="AA71" s="153"/>
      <c r="AB71" s="161"/>
      <c r="AC71" s="153"/>
      <c r="AD71" s="153"/>
      <c r="AE71" s="153"/>
      <c r="AF71" s="153"/>
      <c r="AG71" s="153"/>
      <c r="AH71" s="153"/>
      <c r="AI71" s="153"/>
      <c r="AJ71" s="153"/>
      <c r="AK71" s="211"/>
      <c r="AL71" s="211"/>
      <c r="AM71" s="211"/>
      <c r="AN71" s="244"/>
    </row>
    <row r="72" spans="1:40" ht="12.95" customHeight="1" x14ac:dyDescent="0.2">
      <c r="A72" s="292"/>
      <c r="B72" s="63"/>
      <c r="C72" s="152"/>
      <c r="D72" s="152"/>
      <c r="E72" s="151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3"/>
      <c r="T72" s="153"/>
      <c r="U72" s="153"/>
      <c r="V72" s="153"/>
      <c r="W72" s="153"/>
      <c r="X72" s="153"/>
      <c r="Y72" s="153"/>
      <c r="Z72" s="153"/>
      <c r="AA72" s="153"/>
      <c r="AB72" s="161"/>
      <c r="AC72" s="153"/>
      <c r="AD72" s="153"/>
      <c r="AE72" s="153"/>
      <c r="AF72" s="153"/>
      <c r="AG72" s="153"/>
      <c r="AH72" s="153"/>
      <c r="AI72" s="153"/>
      <c r="AJ72" s="153"/>
      <c r="AK72" s="211"/>
      <c r="AL72" s="211"/>
      <c r="AM72" s="211"/>
      <c r="AN72" s="244"/>
    </row>
    <row r="73" spans="1:40" ht="12.95" customHeight="1" thickBot="1" x14ac:dyDescent="0.35">
      <c r="A73" s="293"/>
      <c r="B73" s="294"/>
      <c r="C73" s="295"/>
      <c r="D73" s="295"/>
      <c r="E73" s="296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7"/>
      <c r="T73" s="297"/>
      <c r="U73" s="297"/>
      <c r="V73" s="297"/>
      <c r="W73" s="297"/>
      <c r="X73" s="297"/>
      <c r="Y73" s="297"/>
      <c r="Z73" s="297"/>
      <c r="AA73" s="297"/>
      <c r="AB73" s="298"/>
      <c r="AC73" s="298"/>
      <c r="AD73" s="297"/>
      <c r="AE73" s="297"/>
      <c r="AF73" s="297"/>
      <c r="AG73" s="297"/>
      <c r="AH73" s="297"/>
      <c r="AI73" s="297"/>
      <c r="AJ73" s="297"/>
      <c r="AK73" s="245"/>
      <c r="AL73" s="245"/>
      <c r="AM73" s="245"/>
      <c r="AN73" s="246"/>
    </row>
    <row r="74" spans="1:40" ht="12" customHeight="1" x14ac:dyDescent="0.2">
      <c r="A74" s="39"/>
      <c r="B74" s="39"/>
      <c r="C74" s="39"/>
      <c r="D74" s="39"/>
      <c r="E74" s="39"/>
      <c r="F74" s="39"/>
      <c r="G74" s="39"/>
    </row>
  </sheetData>
  <mergeCells count="24"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L1:AD6"/>
    <mergeCell ref="AE1:AN4"/>
    <mergeCell ref="A5:K6"/>
    <mergeCell ref="AE5:AN6"/>
    <mergeCell ref="A7:K9"/>
    <mergeCell ref="L7:AD9"/>
    <mergeCell ref="AE7:AN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36</vt:i4>
      </vt:variant>
    </vt:vector>
  </HeadingPairs>
  <TitlesOfParts>
    <vt:vector size="64" baseType="lpstr">
      <vt:lpstr>Cover</vt:lpstr>
      <vt:lpstr>Record Sheet</vt:lpstr>
      <vt:lpstr>TITLE</vt:lpstr>
      <vt:lpstr>DESALTER</vt:lpstr>
      <vt:lpstr>HEATERS</vt:lpstr>
      <vt:lpstr>VESSELS</vt:lpstr>
      <vt:lpstr>TANKS</vt:lpstr>
      <vt:lpstr>EXCHANG.</vt:lpstr>
      <vt:lpstr>PUMPS</vt:lpstr>
      <vt:lpstr>C.I.P.</vt:lpstr>
      <vt:lpstr>DEAERATOR</vt:lpstr>
      <vt:lpstr>IGF</vt:lpstr>
      <vt:lpstr>FILTERS</vt:lpstr>
      <vt:lpstr>FLARE</vt:lpstr>
      <vt:lpstr>BURN PIT</vt:lpstr>
      <vt:lpstr>AIR COMP.</vt:lpstr>
      <vt:lpstr>AIR DRYER</vt:lpstr>
      <vt:lpstr>CRANES</vt:lpstr>
      <vt:lpstr>Lab Equip</vt:lpstr>
      <vt:lpstr>Consumables</vt:lpstr>
      <vt:lpstr>Spare parts</vt:lpstr>
      <vt:lpstr>TOTAL</vt:lpstr>
      <vt:lpstr>DE-112  (1)-Asmari</vt:lpstr>
      <vt:lpstr>DE-112  (2)-Asmari</vt:lpstr>
      <vt:lpstr>DE-112 (3)-Asmari</vt:lpstr>
      <vt:lpstr>DE-112  (1)-Bangestan</vt:lpstr>
      <vt:lpstr>DE-112  (2)-Bangestan</vt:lpstr>
      <vt:lpstr>DE-112 (3)-Bangestan</vt:lpstr>
      <vt:lpstr>'DE-112  (1)-Asmari'!C_PageNo_Total</vt:lpstr>
      <vt:lpstr>'DE-112  (1)-Bangestan'!C_PageNo_Total</vt:lpstr>
      <vt:lpstr>'DE-112  (2)-Asmari'!C_PageNo_Total</vt:lpstr>
      <vt:lpstr>'DE-112  (2)-Bangestan'!C_PageNo_Total</vt:lpstr>
      <vt:lpstr>'DE-112 (3)-Asmari'!C_PageNo_Total</vt:lpstr>
      <vt:lpstr>'DE-112 (3)-Bangestan'!C_PageNo_Total</vt:lpstr>
      <vt:lpstr>'AIR COMP.'!Print_Area</vt:lpstr>
      <vt:lpstr>'AIR DRYER'!Print_Area</vt:lpstr>
      <vt:lpstr>'BURN PIT'!Print_Area</vt:lpstr>
      <vt:lpstr>C.I.P.!Print_Area</vt:lpstr>
      <vt:lpstr>Consumables!Print_Area</vt:lpstr>
      <vt:lpstr>Cover!Print_Area</vt:lpstr>
      <vt:lpstr>CRANES!Print_Area</vt:lpstr>
      <vt:lpstr>'DE-112  (1)-Asmari'!Print_Area</vt:lpstr>
      <vt:lpstr>'DE-112  (1)-Bangestan'!Print_Area</vt:lpstr>
      <vt:lpstr>'DE-112  (2)-Asmari'!Print_Area</vt:lpstr>
      <vt:lpstr>'DE-112  (2)-Bangestan'!Print_Area</vt:lpstr>
      <vt:lpstr>'DE-112 (3)-Asmari'!Print_Area</vt:lpstr>
      <vt:lpstr>'DE-112 (3)-Bangestan'!Print_Area</vt:lpstr>
      <vt:lpstr>DEAERATOR!Print_Area</vt:lpstr>
      <vt:lpstr>DESALTER!Print_Area</vt:lpstr>
      <vt:lpstr>EXCHANG.!Print_Area</vt:lpstr>
      <vt:lpstr>FILTERS!Print_Area</vt:lpstr>
      <vt:lpstr>FLARE!Print_Area</vt:lpstr>
      <vt:lpstr>HEATERS!Print_Area</vt:lpstr>
      <vt:lpstr>IGF!Print_Area</vt:lpstr>
      <vt:lpstr>PUMPS!Print_Area</vt:lpstr>
      <vt:lpstr>'Record Sheet'!Print_Area</vt:lpstr>
      <vt:lpstr>TANKS!Print_Area</vt:lpstr>
      <vt:lpstr>TITLE!Print_Area</vt:lpstr>
      <vt:lpstr>TOTAL!Print_Area</vt:lpstr>
      <vt:lpstr>VESSELS!Print_Area</vt:lpstr>
      <vt:lpstr>C.I.P.!Print_Titles</vt:lpstr>
      <vt:lpstr>CRANES!Print_Titles</vt:lpstr>
      <vt:lpstr>PUMPS!Print_Titles</vt:lpstr>
      <vt:lpstr>VESSELS!Print_Titles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s.mirrazavi</dc:creator>
  <cp:lastModifiedBy>RahimiMonjezi Iraj</cp:lastModifiedBy>
  <cp:lastPrinted>2025-07-27T05:57:19Z</cp:lastPrinted>
  <dcterms:created xsi:type="dcterms:W3CDTF">2013-05-07T10:52:42Z</dcterms:created>
  <dcterms:modified xsi:type="dcterms:W3CDTF">2025-07-27T06:01:48Z</dcterms:modified>
</cp:coreProperties>
</file>
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\Desktop\دیگر ملزومات بانک قیمت نمکزدائی\نمونه ها\ولی زاده 1405-06-21\PMS\EST\"/>
    </mc:Choice>
  </mc:AlternateContent>
  <xr:revisionPtr revIDLastSave="0" documentId="13_ncr:1_{31F5A7C7-DCCF-4A4B-9145-DFF94DF69BEA}" xr6:coauthVersionLast="47" xr6:coauthVersionMax="47" xr10:uidLastSave="{00000000-0000-0000-0000-000000000000}"/>
  <bookViews>
    <workbookView xWindow="-120" yWindow="-120" windowWidth="20730" windowHeight="11160" tabRatio="815" firstSheet="17" activeTab="25" xr2:uid="{00000000-000D-0000-FFFF-FFFF00000000}"/>
  </bookViews>
  <sheets>
    <sheet name="EPC 1402 (2)" sheetId="34" r:id="rId1"/>
    <sheet name="E.1392" sheetId="12" r:id="rId2"/>
    <sheet name="p.lab.1392" sheetId="16" r:id="rId3"/>
    <sheet name="EL.p.1392" sheetId="7" r:id="rId4"/>
    <sheet name="IN.p&amp;C.1392" sheetId="9" r:id="rId5"/>
    <sheet name="ME.p.1392" sheetId="6" r:id="rId6"/>
    <sheet name="SEFTY.p.1392" sheetId="13" r:id="rId7"/>
    <sheet name="p.summary1392" sheetId="2" r:id="rId8"/>
    <sheet name="CV1392" sheetId="10" r:id="rId9"/>
    <sheet name="c.cefty.1392" sheetId="23" r:id="rId10"/>
    <sheet name="c.summary1392" sheetId="4" r:id="rId11"/>
    <sheet name="E.p.c summary 1392" sheetId="3" r:id="rId12"/>
    <sheet name="Inflation" sheetId="15" r:id="rId13"/>
    <sheet name="E.1405" sheetId="31" r:id="rId14"/>
    <sheet name="IN.P&amp;C 1405" sheetId="30" r:id="rId15"/>
    <sheet name="ME.P.1405" sheetId="29" r:id="rId16"/>
    <sheet name="EL.P.1405" sheetId="25" r:id="rId17"/>
    <sheet name="CV1405" sheetId="11" r:id="rId18"/>
    <sheet name="Sheet1" sheetId="35" r:id="rId19"/>
    <sheet name="Extra.1405" sheetId="14" r:id="rId20"/>
    <sheet name="c.summary1405" sheetId="26" r:id="rId21"/>
    <sheet name="p.summary1405" sheetId="27" r:id="rId22"/>
    <sheet name="Summary_M3 1405" sheetId="20" r:id="rId23"/>
    <sheet name="EPC 1405" sheetId="21" r:id="rId24"/>
    <sheet name="FR1405" sheetId="28" r:id="rId25"/>
    <sheet name="RFCS LEVEL 2" sheetId="33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2" hidden="1">'p.lab.1392'!$A$6:$H$30</definedName>
    <definedName name="_xlnm._FilterDatabase" localSheetId="6" hidden="1">'SEFTY.p.1392'!$A$6:$H$35</definedName>
    <definedName name="aa">[1]Doc.List!$C$11:$AX$1835</definedName>
    <definedName name="Ahvaz_Transport">1000000</definedName>
    <definedName name="Ali">[2]Cover!$E$67:$G$616</definedName>
    <definedName name="asdsf" localSheetId="9">IF(c.cefty.1392!ulkuykuk*c.cefty.1392!jljuul*c.cefty.1392!liuluill*c.cefty.1392!ukuyluyl&gt;0,1,0)</definedName>
    <definedName name="asdsf" localSheetId="0">IF('EPC 1402 (2)'!ulkuykuk*'EPC 1402 (2)'!jljuul*'EPC 1402 (2)'!liuluill*'EPC 1402 (2)'!ukuyluyl&gt;0,1,0)</definedName>
    <definedName name="asdsf" localSheetId="19">IF(Extra.1405!ulkuykuk*Extra.1405!jljuul*Extra.1405!liuluill*Extra.1405!ukuyluyl&gt;0,1,0)</definedName>
    <definedName name="asdsf" localSheetId="24">IF('FR1405'!ulkuykuk*'FR1405'!jljuul*'FR1405'!liuluill*'FR1405'!ukuyluyl&gt;0,1,0)</definedName>
    <definedName name="asdsf" localSheetId="12">IF(Inflation!ulkuykuk*Inflation!jljuul*Inflation!liuluill*Inflation!ukuyluyl&gt;0,1,0)</definedName>
    <definedName name="asdsf" localSheetId="2">IF(p.lab.1392!ulkuykuk*p.lab.1392!jljuul*p.lab.1392!liuluill*p.lab.1392!ukuyluyl&gt;0,1,0)</definedName>
    <definedName name="asdsf" localSheetId="22">IF('Summary_M3 1405'!ulkuykuk*'Summary_M3 1405'!jljuul*'Summary_M3 1405'!liuluill*'Summary_M3 1405'!ukuyluyl&gt;0,1,0)</definedName>
    <definedName name="asdsf">IF([0]!ulkuykuk*[0]!jljuul*[0]!liuluill*[0]!ukuyluyl&gt;0,1,0)</definedName>
    <definedName name="c_az" localSheetId="9">'[3]200'!#REF!</definedName>
    <definedName name="c_az" localSheetId="0">'[3]200'!#REF!</definedName>
    <definedName name="c_az" localSheetId="19">'[3]200'!#REF!</definedName>
    <definedName name="c_az" localSheetId="24">'[3]200'!#REF!</definedName>
    <definedName name="c_az" localSheetId="12">'[3]200'!#REF!</definedName>
    <definedName name="c_az" localSheetId="2">'[3]200'!#REF!</definedName>
    <definedName name="c_az" localSheetId="22">'[3]200'!#REF!</definedName>
    <definedName name="c_az">'[3]200'!#REF!</definedName>
    <definedName name="c_az1" localSheetId="9">'[3]200'!#REF!</definedName>
    <definedName name="c_az1" localSheetId="0">'[3]200'!#REF!</definedName>
    <definedName name="c_az1" localSheetId="19">'[3]200'!#REF!</definedName>
    <definedName name="c_az1" localSheetId="24">'[3]200'!#REF!</definedName>
    <definedName name="c_az1" localSheetId="12">'[3]200'!#REF!</definedName>
    <definedName name="c_az1" localSheetId="2">'[3]200'!#REF!</definedName>
    <definedName name="c_az1" localSheetId="22">'[3]200'!#REF!</definedName>
    <definedName name="c_az1">'[3]200'!#REF!</definedName>
    <definedName name="Categories" localSheetId="9">#REF!</definedName>
    <definedName name="Categories" localSheetId="0">#REF!</definedName>
    <definedName name="Categories" localSheetId="19">#REF!</definedName>
    <definedName name="Categories" localSheetId="24">#REF!</definedName>
    <definedName name="Categories" localSheetId="12">#REF!</definedName>
    <definedName name="Categories" localSheetId="2">#REF!</definedName>
    <definedName name="Categories" localSheetId="22">#REF!</definedName>
    <definedName name="Categories">#REF!</definedName>
    <definedName name="Catering_Ahvaz">4500000</definedName>
    <definedName name="Catering_Gachsaran">5500000</definedName>
    <definedName name="Chapters" localSheetId="9">#REF!</definedName>
    <definedName name="Chapters" localSheetId="0">#REF!</definedName>
    <definedName name="Chapters" localSheetId="19">#REF!</definedName>
    <definedName name="Chapters" localSheetId="24">#REF!</definedName>
    <definedName name="Chapters" localSheetId="12">#REF!</definedName>
    <definedName name="Chapters" localSheetId="2">#REF!</definedName>
    <definedName name="Chapters" localSheetId="22">#REF!</definedName>
    <definedName name="Chapters">#REF!</definedName>
    <definedName name="chart">'[4]PLAN QTY'!$AI$25</definedName>
    <definedName name="CoefDetails" localSheetId="9">#REF!</definedName>
    <definedName name="CoefDetails" localSheetId="0">#REF!</definedName>
    <definedName name="CoefDetails" localSheetId="19">#REF!</definedName>
    <definedName name="CoefDetails" localSheetId="24">#REF!</definedName>
    <definedName name="CoefDetails" localSheetId="12">#REF!</definedName>
    <definedName name="CoefDetails" localSheetId="2">#REF!</definedName>
    <definedName name="CoefDetails" localSheetId="22">#REF!</definedName>
    <definedName name="CoefDetails">#REF!</definedName>
    <definedName name="Coefs" localSheetId="9">#REF!</definedName>
    <definedName name="Coefs" localSheetId="0">#REF!</definedName>
    <definedName name="Coefs" localSheetId="19">#REF!</definedName>
    <definedName name="Coefs" localSheetId="24">#REF!</definedName>
    <definedName name="Coefs" localSheetId="12">#REF!</definedName>
    <definedName name="Coefs" localSheetId="2">#REF!</definedName>
    <definedName name="Coefs" localSheetId="22">#REF!</definedName>
    <definedName name="Coefs">#REF!</definedName>
    <definedName name="CoefSections" localSheetId="9">#REF!</definedName>
    <definedName name="CoefSections" localSheetId="0">#REF!</definedName>
    <definedName name="CoefSections" localSheetId="19">#REF!</definedName>
    <definedName name="CoefSections" localSheetId="24">#REF!</definedName>
    <definedName name="CoefSections" localSheetId="12">#REF!</definedName>
    <definedName name="CoefSections" localSheetId="2">#REF!</definedName>
    <definedName name="CoefSections" localSheetId="22">#REF!</definedName>
    <definedName name="CoefSections">#REF!</definedName>
    <definedName name="CoefSituations" localSheetId="9">#REF!</definedName>
    <definedName name="CoefSituations" localSheetId="0">#REF!</definedName>
    <definedName name="CoefSituations" localSheetId="19">#REF!</definedName>
    <definedName name="CoefSituations" localSheetId="24">#REF!</definedName>
    <definedName name="CoefSituations" localSheetId="12">#REF!</definedName>
    <definedName name="CoefSituations" localSheetId="2">#REF!</definedName>
    <definedName name="CoefSituations" localSheetId="22">#REF!</definedName>
    <definedName name="CoefSituations">#REF!</definedName>
    <definedName name="COVER" localSheetId="9">#REF!</definedName>
    <definedName name="COVER" localSheetId="0">#REF!</definedName>
    <definedName name="COVER" localSheetId="19">#REF!</definedName>
    <definedName name="COVER" localSheetId="24">#REF!</definedName>
    <definedName name="COVER" localSheetId="12">#REF!</definedName>
    <definedName name="COVER" localSheetId="2">#REF!</definedName>
    <definedName name="COVER" localSheetId="6">#REF!</definedName>
    <definedName name="COVER" localSheetId="22">#REF!</definedName>
    <definedName name="COVER">#REF!</definedName>
    <definedName name="CRate" localSheetId="9">#REF!</definedName>
    <definedName name="CRate" localSheetId="0">#REF!</definedName>
    <definedName name="CRate" localSheetId="19">#REF!</definedName>
    <definedName name="CRate" localSheetId="24">#REF!</definedName>
    <definedName name="CRate" localSheetId="12">#REF!</definedName>
    <definedName name="CRate" localSheetId="2">#REF!</definedName>
    <definedName name="CRate" localSheetId="22">#REF!</definedName>
    <definedName name="CRate">#REF!</definedName>
    <definedName name="_xlnm.Database" localSheetId="9">#REF!</definedName>
    <definedName name="_xlnm.Database" localSheetId="0">#REF!</definedName>
    <definedName name="_xlnm.Database" localSheetId="19">#REF!</definedName>
    <definedName name="_xlnm.Database" localSheetId="24">#REF!</definedName>
    <definedName name="_xlnm.Database" localSheetId="12">#REF!</definedName>
    <definedName name="_xlnm.Database" localSheetId="2">#REF!</definedName>
    <definedName name="_xlnm.Database" localSheetId="6">#REF!</definedName>
    <definedName name="_xlnm.Database" localSheetId="22">#REF!</definedName>
    <definedName name="_xlnm.Database">#REF!</definedName>
    <definedName name="Date">#N/A</definedName>
    <definedName name="date1">#N/A</definedName>
    <definedName name="DATE11">#N/A</definedName>
    <definedName name="dfdfdf">#N/A</definedName>
    <definedName name="dfgg">#N/A</definedName>
    <definedName name="dgdg">#N/A</definedName>
    <definedName name="dsfdfdf">#N/A</definedName>
    <definedName name="e" localSheetId="9">#REF!</definedName>
    <definedName name="e" localSheetId="0">#REF!</definedName>
    <definedName name="e" localSheetId="19">#REF!</definedName>
    <definedName name="e" localSheetId="24">#REF!</definedName>
    <definedName name="e" localSheetId="12">#REF!</definedName>
    <definedName name="e" localSheetId="2">#REF!</definedName>
    <definedName name="e" localSheetId="22">#REF!</definedName>
    <definedName name="e">#REF!</definedName>
    <definedName name="End_Bal" localSheetId="9">#REF!</definedName>
    <definedName name="End_Bal" localSheetId="0">#REF!</definedName>
    <definedName name="End_Bal" localSheetId="19">#REF!</definedName>
    <definedName name="End_Bal" localSheetId="24">#REF!</definedName>
    <definedName name="End_Bal" localSheetId="12">#REF!</definedName>
    <definedName name="End_Bal" localSheetId="2">#REF!</definedName>
    <definedName name="End_Bal" localSheetId="22">#REF!</definedName>
    <definedName name="End_Bal">#REF!</definedName>
    <definedName name="EPC_IRR">'[5]EPC Summary'!$H$5</definedName>
    <definedName name="etgee">#N/A</definedName>
    <definedName name="Euro_Inflation_Factor" localSheetId="0">#REF!</definedName>
    <definedName name="Euro_Inflation_Factor" localSheetId="24">#REF!</definedName>
    <definedName name="Euro_Inflation_Factor" localSheetId="12">Inflation!$D$17</definedName>
    <definedName name="Euro_Inflation_Factor">#REF!</definedName>
    <definedName name="Exchange_Rate" localSheetId="9">c.cefty.1392!Sanarate1401*Inflation_factor_E</definedName>
    <definedName name="Exchange_Rate" localSheetId="0">'EPC 1402 (2)'!Sanarate1401*'EPC 1402 (2)'!Inflation_factor_E</definedName>
    <definedName name="Exchange_Rate" localSheetId="19">Extra.1405!Sanarate1401*[0]!Inflation_factor_E</definedName>
    <definedName name="Exchange_Rate" localSheetId="24">'FR1405'!Sanarate1401*'FR1405'!Inflation_factor_E</definedName>
    <definedName name="Exchange_Rate" localSheetId="12">Inflation!Sanarate1401*[0]!Inflation_factor_E</definedName>
    <definedName name="Exchange_Rate" localSheetId="2">p.lab.1392!Sanarate1401*[0]!Inflation_factor_E</definedName>
    <definedName name="Exchange_Rate" localSheetId="22">'Summary_M3 1405'!Sanarate1401*[0]!Inflation_factor_E</definedName>
    <definedName name="Exchange_Rate">Sanarate1401*Inflation_factor_E</definedName>
    <definedName name="factor">2.8</definedName>
    <definedName name="fddfdf">#N/A</definedName>
    <definedName name="Full_Print" localSheetId="9">#REF!</definedName>
    <definedName name="Full_Print" localSheetId="0">#REF!</definedName>
    <definedName name="Full_Print" localSheetId="19">#REF!</definedName>
    <definedName name="Full_Print" localSheetId="24">#REF!</definedName>
    <definedName name="Full_Print" localSheetId="12">#REF!</definedName>
    <definedName name="Full_Print" localSheetId="2">#REF!</definedName>
    <definedName name="Full_Print" localSheetId="22">#REF!</definedName>
    <definedName name="Full_Print">#REF!</definedName>
    <definedName name="Gachsaran_Transport">40000000</definedName>
    <definedName name="gee">#N/A</definedName>
    <definedName name="gegegeg" localSheetId="9">#REF!</definedName>
    <definedName name="gegegeg" localSheetId="0">#REF!</definedName>
    <definedName name="gegegeg" localSheetId="19">#REF!</definedName>
    <definedName name="gegegeg" localSheetId="24">#REF!</definedName>
    <definedName name="gegegeg" localSheetId="12">#REF!</definedName>
    <definedName name="gegegeg" localSheetId="2">#REF!</definedName>
    <definedName name="gegegeg" localSheetId="22">#REF!</definedName>
    <definedName name="gegegeg">#REF!</definedName>
    <definedName name="Generale" localSheetId="9">#REF!</definedName>
    <definedName name="Generale" localSheetId="0">#REF!</definedName>
    <definedName name="Generale" localSheetId="19">#REF!</definedName>
    <definedName name="Generale" localSheetId="24">#REF!</definedName>
    <definedName name="Generale" localSheetId="12">#REF!</definedName>
    <definedName name="Generale" localSheetId="2">#REF!</definedName>
    <definedName name="Generale" localSheetId="6">#REF!</definedName>
    <definedName name="Generale" localSheetId="22">#REF!</definedName>
    <definedName name="Generale">#REF!</definedName>
    <definedName name="Graph">'[4]PLAN QTY'!$T$51</definedName>
    <definedName name="GRAPH2">'[4]PLAN QTY'!$T$50:$AG$73</definedName>
    <definedName name="Header_Row" localSheetId="0">ROW(#REF!)</definedName>
    <definedName name="Header_Row" localSheetId="22">ROW(#REF!)</definedName>
    <definedName name="Header_Row">ROW(#REF!)</definedName>
    <definedName name="hjmhm" localSheetId="9">IF(c.cefty.1392!ulkuykuk*c.cefty.1392!jljuul*c.cefty.1392!liuluill*c.cefty.1392!ukuyluyl&gt;0,1,0)</definedName>
    <definedName name="hjmhm" localSheetId="0">IF('EPC 1402 (2)'!ulkuykuk*'EPC 1402 (2)'!jljuul*'EPC 1402 (2)'!liuluill*'EPC 1402 (2)'!ukuyluyl&gt;0,1,0)</definedName>
    <definedName name="hjmhm" localSheetId="19">IF(Extra.1405!ulkuykuk*Extra.1405!jljuul*Extra.1405!liuluill*Extra.1405!ukuyluyl&gt;0,1,0)</definedName>
    <definedName name="hjmhm" localSheetId="24">IF('FR1405'!ulkuykuk*'FR1405'!jljuul*'FR1405'!liuluill*'FR1405'!ukuyluyl&gt;0,1,0)</definedName>
    <definedName name="hjmhm" localSheetId="12">IF(Inflation!ulkuykuk*Inflation!jljuul*Inflation!liuluill*Inflation!ukuyluyl&gt;0,1,0)</definedName>
    <definedName name="hjmhm" localSheetId="2">IF(p.lab.1392!ulkuykuk*p.lab.1392!jljuul*p.lab.1392!liuluill*p.lab.1392!ukuyluyl&gt;0,1,0)</definedName>
    <definedName name="hjmhm" localSheetId="22">IF('Summary_M3 1405'!ulkuykuk*'Summary_M3 1405'!jljuul*'Summary_M3 1405'!liuluill*'Summary_M3 1405'!ukuyluyl&gt;0,1,0)</definedName>
    <definedName name="hjmhm">IF([0]!ulkuykuk*[0]!jljuul*[0]!liuluill*[0]!ukuyluyl&gt;0,1,0)</definedName>
    <definedName name="Hotel">15000000</definedName>
    <definedName name="IIIC">[6]Cover!$F$47:$H$596</definedName>
    <definedName name="Indicators" localSheetId="9">#REF!</definedName>
    <definedName name="Indicators" localSheetId="0">#REF!</definedName>
    <definedName name="Indicators" localSheetId="19">#REF!</definedName>
    <definedName name="Indicators" localSheetId="24">#REF!</definedName>
    <definedName name="Indicators" localSheetId="12">#REF!</definedName>
    <definedName name="Indicators" localSheetId="2">#REF!</definedName>
    <definedName name="Indicators" localSheetId="22">#REF!</definedName>
    <definedName name="Indicators">#REF!</definedName>
    <definedName name="IndicatorsPeyvast1" localSheetId="9">#REF!</definedName>
    <definedName name="IndicatorsPeyvast1" localSheetId="0">#REF!</definedName>
    <definedName name="IndicatorsPeyvast1" localSheetId="19">#REF!</definedName>
    <definedName name="IndicatorsPeyvast1" localSheetId="24">#REF!</definedName>
    <definedName name="IndicatorsPeyvast1" localSheetId="12">#REF!</definedName>
    <definedName name="IndicatorsPeyvast1" localSheetId="2">#REF!</definedName>
    <definedName name="IndicatorsPeyvast1" localSheetId="22">#REF!</definedName>
    <definedName name="IndicatorsPeyvast1">#REF!</definedName>
    <definedName name="IndicatorsPeyvast2" localSheetId="9">#REF!</definedName>
    <definedName name="IndicatorsPeyvast2" localSheetId="0">#REF!</definedName>
    <definedName name="IndicatorsPeyvast2" localSheetId="19">#REF!</definedName>
    <definedName name="IndicatorsPeyvast2" localSheetId="24">#REF!</definedName>
    <definedName name="IndicatorsPeyvast2" localSheetId="12">#REF!</definedName>
    <definedName name="IndicatorsPeyvast2" localSheetId="2">#REF!</definedName>
    <definedName name="IndicatorsPeyvast2" localSheetId="22">#REF!</definedName>
    <definedName name="IndicatorsPeyvast2">#REF!</definedName>
    <definedName name="inf" localSheetId="9">#REF!</definedName>
    <definedName name="inf" localSheetId="0">#REF!</definedName>
    <definedName name="inf" localSheetId="19">#REF!</definedName>
    <definedName name="inf" localSheetId="24">#REF!</definedName>
    <definedName name="inf" localSheetId="12">#REF!</definedName>
    <definedName name="inf" localSheetId="2">#REF!</definedName>
    <definedName name="inf" localSheetId="22">#REF!</definedName>
    <definedName name="inf">#REF!</definedName>
    <definedName name="INFLATION" localSheetId="0">#REF!</definedName>
    <definedName name="INFLATION" localSheetId="24">#REF!</definedName>
    <definedName name="INFLATION">#REF!</definedName>
    <definedName name="Inflation_factor" localSheetId="0">#REF!</definedName>
    <definedName name="Inflation_factor" localSheetId="24">#REF!</definedName>
    <definedName name="Inflation_factor">#REF!</definedName>
    <definedName name="Inflation_factor_E" localSheetId="0">#REF!</definedName>
    <definedName name="Inflation_factor_E" localSheetId="24">#REF!</definedName>
    <definedName name="Inflation_factor_E">#REF!</definedName>
    <definedName name="INFLATION_RIAL_99_1401">2.8</definedName>
    <definedName name="Interest_Rate" localSheetId="9">#REF!</definedName>
    <definedName name="Interest_Rate" localSheetId="0">#REF!</definedName>
    <definedName name="Interest_Rate" localSheetId="19">#REF!</definedName>
    <definedName name="Interest_Rate" localSheetId="24">#REF!</definedName>
    <definedName name="Interest_Rate" localSheetId="12">#REF!</definedName>
    <definedName name="Interest_Rate" localSheetId="2">#REF!</definedName>
    <definedName name="Interest_Rate" localSheetId="22">#REF!</definedName>
    <definedName name="Interest_Rate">#REF!</definedName>
    <definedName name="IRR_EL_Inflation_Factor" localSheetId="0">#REF!</definedName>
    <definedName name="IRR_EL_Inflation_Factor" localSheetId="24">#REF!</definedName>
    <definedName name="IRR_EL_Inflation_Factor">#REF!</definedName>
    <definedName name="IRR_IN_Inflation_Factor" localSheetId="0">#REF!</definedName>
    <definedName name="IRR_IN_Inflation_Factor" localSheetId="24">#REF!</definedName>
    <definedName name="IRR_IN_Inflation_Factor">#REF!</definedName>
    <definedName name="IRR_Inflation_Factor" localSheetId="0">#REF!</definedName>
    <definedName name="IRR_Inflation_Factor" localSheetId="24">#REF!</definedName>
    <definedName name="IRR_Inflation_Factor" localSheetId="12">Inflation!$C$17</definedName>
    <definedName name="IRR_Inflation_Factor">#REF!</definedName>
    <definedName name="IRR_ME_Inflation_Factor" localSheetId="0">AVERAGE(#REF!,#REF!)</definedName>
    <definedName name="IRR_ME_Inflation_Factor" localSheetId="24">AVERAGE(#REF!,#REF!)</definedName>
    <definedName name="IRR_ME_Inflation_Factor">AVERAGE(#REF!,#REF!)</definedName>
    <definedName name="jjtj" localSheetId="0">ROW(#REF!)</definedName>
    <definedName name="jjtj" localSheetId="22">ROW(#REF!)</definedName>
    <definedName name="jjtj">ROW(#REF!)</definedName>
    <definedName name="jljuul" localSheetId="9">#REF!</definedName>
    <definedName name="jljuul" localSheetId="0">#REF!</definedName>
    <definedName name="jljuul" localSheetId="19">#REF!</definedName>
    <definedName name="jljuul" localSheetId="24">#REF!</definedName>
    <definedName name="jljuul" localSheetId="12">#REF!</definedName>
    <definedName name="jljuul" localSheetId="2">#REF!</definedName>
    <definedName name="jljuul" localSheetId="22">#REF!</definedName>
    <definedName name="jljuul">#REF!</definedName>
    <definedName name="Last_Row" localSheetId="9">IF(c.cefty.1392!Values_Entered,Header_Row+c.cefty.1392!Number_of_Payments,Header_Row)</definedName>
    <definedName name="Last_Row" localSheetId="0">IF('EPC 1402 (2)'!Values_Entered,'EPC 1402 (2)'!Header_Row+'EPC 1402 (2)'!Number_of_Payments,'EPC 1402 (2)'!Header_Row)</definedName>
    <definedName name="Last_Row" localSheetId="19">IF(Extra.1405!Values_Entered,Header_Row+Extra.1405!Number_of_Payments,Header_Row)</definedName>
    <definedName name="Last_Row" localSheetId="24">IF('FR1405'!Values_Entered,Header_Row+'FR1405'!Number_of_Payments,Header_Row)</definedName>
    <definedName name="Last_Row" localSheetId="12">IF(Inflation!Values_Entered,Header_Row+Inflation!Number_of_Payments,Header_Row)</definedName>
    <definedName name="Last_Row" localSheetId="2">IF(p.lab.1392!Values_Entered,Header_Row+p.lab.1392!Number_of_Payments,Header_Row)</definedName>
    <definedName name="Last_Row" localSheetId="22">IF('Summary_M3 1405'!Values_Entered,'Summary_M3 1405'!Header_Row+'Summary_M3 1405'!Number_of_Payments,'Summary_M3 1405'!Header_Row)</definedName>
    <definedName name="Last_Row">IF([0]!Values_Entered,Header_Row+[0]!Number_of_Payments,Header_Row)</definedName>
    <definedName name="LAYOUT" localSheetId="9">#REF!</definedName>
    <definedName name="LAYOUT" localSheetId="0">#REF!</definedName>
    <definedName name="LAYOUT" localSheetId="19">#REF!</definedName>
    <definedName name="LAYOUT" localSheetId="24">#REF!</definedName>
    <definedName name="LAYOUT" localSheetId="12">#REF!</definedName>
    <definedName name="LAYOUT" localSheetId="2">#REF!</definedName>
    <definedName name="LAYOUT" localSheetId="6">#REF!</definedName>
    <definedName name="LAYOUT" localSheetId="22">#REF!</definedName>
    <definedName name="LAYOUT">#REF!</definedName>
    <definedName name="liuluill" localSheetId="9">#REF!</definedName>
    <definedName name="liuluill" localSheetId="0">#REF!</definedName>
    <definedName name="liuluill" localSheetId="19">#REF!</definedName>
    <definedName name="liuluill" localSheetId="24">#REF!</definedName>
    <definedName name="liuluill" localSheetId="12">#REF!</definedName>
    <definedName name="liuluill" localSheetId="2">#REF!</definedName>
    <definedName name="liuluill" localSheetId="22">#REF!</definedName>
    <definedName name="liuluill">#REF!</definedName>
    <definedName name="Loan_Amount" localSheetId="9">#REF!</definedName>
    <definedName name="Loan_Amount" localSheetId="0">#REF!</definedName>
    <definedName name="Loan_Amount" localSheetId="19">#REF!</definedName>
    <definedName name="Loan_Amount" localSheetId="24">#REF!</definedName>
    <definedName name="Loan_Amount" localSheetId="12">#REF!</definedName>
    <definedName name="Loan_Amount" localSheetId="2">#REF!</definedName>
    <definedName name="Loan_Amount" localSheetId="22">#REF!</definedName>
    <definedName name="Loan_Amount">#REF!</definedName>
    <definedName name="Loan_Start" localSheetId="9">#REF!</definedName>
    <definedName name="Loan_Start" localSheetId="0">#REF!</definedName>
    <definedName name="Loan_Start" localSheetId="19">#REF!</definedName>
    <definedName name="Loan_Start" localSheetId="24">#REF!</definedName>
    <definedName name="Loan_Start" localSheetId="12">#REF!</definedName>
    <definedName name="Loan_Start" localSheetId="2">#REF!</definedName>
    <definedName name="Loan_Start" localSheetId="22">#REF!</definedName>
    <definedName name="Loan_Start">#REF!</definedName>
    <definedName name="Loan_Years" localSheetId="9">#REF!</definedName>
    <definedName name="Loan_Years" localSheetId="0">#REF!</definedName>
    <definedName name="Loan_Years" localSheetId="19">#REF!</definedName>
    <definedName name="Loan_Years" localSheetId="24">#REF!</definedName>
    <definedName name="Loan_Years" localSheetId="12">#REF!</definedName>
    <definedName name="Loan_Years" localSheetId="2">#REF!</definedName>
    <definedName name="Loan_Years" localSheetId="22">#REF!</definedName>
    <definedName name="Loan_Years">#REF!</definedName>
    <definedName name="Max">#N/A</definedName>
    <definedName name="Min">#N/A</definedName>
    <definedName name="mine">#N/A</definedName>
    <definedName name="Number_of_Payments" localSheetId="9">MATCH(0.01,c.cefty.1392!End_Bal,-1)+1</definedName>
    <definedName name="Number_of_Payments" localSheetId="0">MATCH(0.01,'EPC 1402 (2)'!End_Bal,-1)+1</definedName>
    <definedName name="Number_of_Payments" localSheetId="19">MATCH(0.01,Extra.1405!End_Bal,-1)+1</definedName>
    <definedName name="Number_of_Payments" localSheetId="24">MATCH(0.01,'FR1405'!End_Bal,-1)+1</definedName>
    <definedName name="Number_of_Payments" localSheetId="12">MATCH(0.01,Inflation!End_Bal,-1)+1</definedName>
    <definedName name="Number_of_Payments" localSheetId="2">MATCH(0.01,p.lab.1392!End_Bal,-1)+1</definedName>
    <definedName name="Number_of_Payments" localSheetId="22">MATCH(0.01,'Summary_M3 1405'!End_Bal,-1)+1</definedName>
    <definedName name="Number_of_Payments">MATCH(0.01,[0]!End_Bal,-1)+1</definedName>
    <definedName name="PAGE" localSheetId="9">#REF!</definedName>
    <definedName name="PAGE" localSheetId="0">#REF!</definedName>
    <definedName name="PAGE" localSheetId="19">#REF!</definedName>
    <definedName name="PAGE" localSheetId="24">#REF!</definedName>
    <definedName name="PAGE" localSheetId="12">#REF!</definedName>
    <definedName name="PAGE" localSheetId="2">#REF!</definedName>
    <definedName name="PAGE" localSheetId="6">#REF!</definedName>
    <definedName name="PAGE" localSheetId="22">#REF!</definedName>
    <definedName name="PAGE">#REF!</definedName>
    <definedName name="pagina_10" localSheetId="9">'[3]200'!#REF!</definedName>
    <definedName name="pagina_10" localSheetId="0">'[3]200'!#REF!</definedName>
    <definedName name="pagina_10" localSheetId="19">'[3]200'!#REF!</definedName>
    <definedName name="pagina_10" localSheetId="24">'[3]200'!#REF!</definedName>
    <definedName name="pagina_10" localSheetId="12">'[3]200'!#REF!</definedName>
    <definedName name="pagina_10" localSheetId="2">'[3]200'!#REF!</definedName>
    <definedName name="pagina_10" localSheetId="6">'[3]200'!#REF!</definedName>
    <definedName name="pagina_10" localSheetId="22">'[3]200'!#REF!</definedName>
    <definedName name="pagina_10">'[3]200'!#REF!</definedName>
    <definedName name="pagina_11" localSheetId="9">'[3]200'!#REF!</definedName>
    <definedName name="pagina_11" localSheetId="0">'[3]200'!#REF!</definedName>
    <definedName name="pagina_11" localSheetId="19">'[3]200'!#REF!</definedName>
    <definedName name="pagina_11" localSheetId="24">'[3]200'!#REF!</definedName>
    <definedName name="pagina_11" localSheetId="12">'[3]200'!#REF!</definedName>
    <definedName name="pagina_11" localSheetId="2">'[3]200'!#REF!</definedName>
    <definedName name="pagina_11" localSheetId="6">'[3]200'!#REF!</definedName>
    <definedName name="pagina_11" localSheetId="22">'[3]200'!#REF!</definedName>
    <definedName name="pagina_11">'[3]200'!#REF!</definedName>
    <definedName name="pagina_12" localSheetId="9">'[3]200'!#REF!</definedName>
    <definedName name="pagina_12" localSheetId="0">'[3]200'!#REF!</definedName>
    <definedName name="pagina_12" localSheetId="19">'[3]200'!#REF!</definedName>
    <definedName name="pagina_12" localSheetId="24">'[3]200'!#REF!</definedName>
    <definedName name="pagina_12" localSheetId="12">'[3]200'!#REF!</definedName>
    <definedName name="pagina_12" localSheetId="2">'[3]200'!#REF!</definedName>
    <definedName name="pagina_12" localSheetId="6">'[3]200'!#REF!</definedName>
    <definedName name="pagina_12" localSheetId="22">'[3]200'!#REF!</definedName>
    <definedName name="pagina_12">'[3]200'!#REF!</definedName>
    <definedName name="pagina_121" localSheetId="9">'[3]200'!#REF!</definedName>
    <definedName name="pagina_121" localSheetId="0">'[3]200'!#REF!</definedName>
    <definedName name="pagina_121" localSheetId="19">'[3]200'!#REF!</definedName>
    <definedName name="pagina_121" localSheetId="24">'[3]200'!#REF!</definedName>
    <definedName name="pagina_121" localSheetId="12">'[3]200'!#REF!</definedName>
    <definedName name="pagina_121" localSheetId="2">'[3]200'!#REF!</definedName>
    <definedName name="pagina_121" localSheetId="6">'[3]200'!#REF!</definedName>
    <definedName name="pagina_121" localSheetId="22">'[3]200'!#REF!</definedName>
    <definedName name="pagina_121">'[3]200'!#REF!</definedName>
    <definedName name="pagina_13" localSheetId="9">'[3]200'!#REF!</definedName>
    <definedName name="pagina_13" localSheetId="0">'[3]200'!#REF!</definedName>
    <definedName name="pagina_13" localSheetId="19">'[3]200'!#REF!</definedName>
    <definedName name="pagina_13" localSheetId="24">'[3]200'!#REF!</definedName>
    <definedName name="pagina_13" localSheetId="12">'[3]200'!#REF!</definedName>
    <definedName name="pagina_13" localSheetId="2">'[3]200'!#REF!</definedName>
    <definedName name="pagina_13" localSheetId="6">'[3]200'!#REF!</definedName>
    <definedName name="pagina_13" localSheetId="22">'[3]200'!#REF!</definedName>
    <definedName name="pagina_13">'[3]200'!#REF!</definedName>
    <definedName name="pagina_14" localSheetId="9">'[3]200'!#REF!</definedName>
    <definedName name="pagina_14" localSheetId="0">'[3]200'!#REF!</definedName>
    <definedName name="pagina_14" localSheetId="19">'[3]200'!#REF!</definedName>
    <definedName name="pagina_14" localSheetId="24">'[3]200'!#REF!</definedName>
    <definedName name="pagina_14" localSheetId="12">'[3]200'!#REF!</definedName>
    <definedName name="pagina_14" localSheetId="2">'[3]200'!#REF!</definedName>
    <definedName name="pagina_14" localSheetId="6">'[3]200'!#REF!</definedName>
    <definedName name="pagina_14" localSheetId="22">'[3]200'!#REF!</definedName>
    <definedName name="pagina_14">'[3]200'!#REF!</definedName>
    <definedName name="pagina_15" localSheetId="9">'[3]200'!#REF!</definedName>
    <definedName name="pagina_15" localSheetId="0">'[3]200'!#REF!</definedName>
    <definedName name="pagina_15" localSheetId="19">'[3]200'!#REF!</definedName>
    <definedName name="pagina_15" localSheetId="24">'[3]200'!#REF!</definedName>
    <definedName name="pagina_15" localSheetId="12">'[3]200'!#REF!</definedName>
    <definedName name="pagina_15" localSheetId="2">'[3]200'!#REF!</definedName>
    <definedName name="pagina_15" localSheetId="6">'[3]200'!#REF!</definedName>
    <definedName name="pagina_15" localSheetId="22">'[3]200'!#REF!</definedName>
    <definedName name="pagina_15">'[3]200'!#REF!</definedName>
    <definedName name="pagina_16" localSheetId="9">'[3]200'!#REF!</definedName>
    <definedName name="pagina_16" localSheetId="0">'[3]200'!#REF!</definedName>
    <definedName name="pagina_16" localSheetId="19">'[3]200'!#REF!</definedName>
    <definedName name="pagina_16" localSheetId="24">'[3]200'!#REF!</definedName>
    <definedName name="pagina_16" localSheetId="12">'[3]200'!#REF!</definedName>
    <definedName name="pagina_16" localSheetId="2">'[3]200'!#REF!</definedName>
    <definedName name="pagina_16" localSheetId="6">'[3]200'!#REF!</definedName>
    <definedName name="pagina_16" localSheetId="22">'[3]200'!#REF!</definedName>
    <definedName name="pagina_16">'[3]200'!#REF!</definedName>
    <definedName name="pagina_17" localSheetId="9">'[3]200'!#REF!</definedName>
    <definedName name="pagina_17" localSheetId="0">'[3]200'!#REF!</definedName>
    <definedName name="pagina_17" localSheetId="19">'[3]200'!#REF!</definedName>
    <definedName name="pagina_17" localSheetId="24">'[3]200'!#REF!</definedName>
    <definedName name="pagina_17" localSheetId="12">'[3]200'!#REF!</definedName>
    <definedName name="pagina_17" localSheetId="2">'[3]200'!#REF!</definedName>
    <definedName name="pagina_17" localSheetId="6">'[3]200'!#REF!</definedName>
    <definedName name="pagina_17" localSheetId="22">'[3]200'!#REF!</definedName>
    <definedName name="pagina_17">'[3]200'!#REF!</definedName>
    <definedName name="pagina_5" localSheetId="9">'[3]200'!#REF!</definedName>
    <definedName name="pagina_5" localSheetId="0">'[3]200'!#REF!</definedName>
    <definedName name="pagina_5" localSheetId="19">'[3]200'!#REF!</definedName>
    <definedName name="pagina_5" localSheetId="24">'[3]200'!#REF!</definedName>
    <definedName name="pagina_5" localSheetId="12">'[3]200'!#REF!</definedName>
    <definedName name="pagina_5" localSheetId="2">'[3]200'!#REF!</definedName>
    <definedName name="pagina_5" localSheetId="6">'[3]200'!#REF!</definedName>
    <definedName name="pagina_5" localSheetId="22">'[3]200'!#REF!</definedName>
    <definedName name="pagina_5">'[3]200'!#REF!</definedName>
    <definedName name="pagina_6" localSheetId="9">'[3]200'!#REF!</definedName>
    <definedName name="pagina_6" localSheetId="0">'[3]200'!#REF!</definedName>
    <definedName name="pagina_6" localSheetId="19">'[3]200'!#REF!</definedName>
    <definedName name="pagina_6" localSheetId="24">'[3]200'!#REF!</definedName>
    <definedName name="pagina_6" localSheetId="12">'[3]200'!#REF!</definedName>
    <definedName name="pagina_6" localSheetId="2">'[3]200'!#REF!</definedName>
    <definedName name="pagina_6" localSheetId="6">'[3]200'!#REF!</definedName>
    <definedName name="pagina_6" localSheetId="22">'[3]200'!#REF!</definedName>
    <definedName name="pagina_6">'[3]200'!#REF!</definedName>
    <definedName name="pagina_7" localSheetId="9">'[3]200'!#REF!</definedName>
    <definedName name="pagina_7" localSheetId="0">'[3]200'!#REF!</definedName>
    <definedName name="pagina_7" localSheetId="19">'[3]200'!#REF!</definedName>
    <definedName name="pagina_7" localSheetId="24">'[3]200'!#REF!</definedName>
    <definedName name="pagina_7" localSheetId="12">'[3]200'!#REF!</definedName>
    <definedName name="pagina_7" localSheetId="2">'[3]200'!#REF!</definedName>
    <definedName name="pagina_7" localSheetId="6">'[3]200'!#REF!</definedName>
    <definedName name="pagina_7" localSheetId="22">'[3]200'!#REF!</definedName>
    <definedName name="pagina_7">'[3]200'!#REF!</definedName>
    <definedName name="pagina_8" localSheetId="9">'[3]200'!#REF!</definedName>
    <definedName name="pagina_8" localSheetId="0">'[3]200'!#REF!</definedName>
    <definedName name="pagina_8" localSheetId="19">'[3]200'!#REF!</definedName>
    <definedName name="pagina_8" localSheetId="24">'[3]200'!#REF!</definedName>
    <definedName name="pagina_8" localSheetId="12">'[3]200'!#REF!</definedName>
    <definedName name="pagina_8" localSheetId="2">'[3]200'!#REF!</definedName>
    <definedName name="pagina_8" localSheetId="6">'[3]200'!#REF!</definedName>
    <definedName name="pagina_8" localSheetId="22">'[3]200'!#REF!</definedName>
    <definedName name="pagina_8">'[3]200'!#REF!</definedName>
    <definedName name="pagina_9" localSheetId="9">'[3]200'!#REF!</definedName>
    <definedName name="pagina_9" localSheetId="0">'[3]200'!#REF!</definedName>
    <definedName name="pagina_9" localSheetId="19">'[3]200'!#REF!</definedName>
    <definedName name="pagina_9" localSheetId="24">'[3]200'!#REF!</definedName>
    <definedName name="pagina_9" localSheetId="12">'[3]200'!#REF!</definedName>
    <definedName name="pagina_9" localSheetId="2">'[3]200'!#REF!</definedName>
    <definedName name="pagina_9" localSheetId="6">'[3]200'!#REF!</definedName>
    <definedName name="pagina_9" localSheetId="22">'[3]200'!#REF!</definedName>
    <definedName name="pagina_9">'[3]200'!#REF!</definedName>
    <definedName name="per_Euro" localSheetId="9">#REF!</definedName>
    <definedName name="per_Euro" localSheetId="0">#REF!</definedName>
    <definedName name="per_Euro" localSheetId="19">#REF!</definedName>
    <definedName name="per_Euro" localSheetId="24">#REF!</definedName>
    <definedName name="per_Euro" localSheetId="12">Inflation!#REF!</definedName>
    <definedName name="per_Euro" localSheetId="2">#REF!</definedName>
    <definedName name="per_Euro" localSheetId="22">#REF!</definedName>
    <definedName name="per_Euro">#REF!</definedName>
    <definedName name="plan">'[4]PLAN QTY'!$B$1:$R$38</definedName>
    <definedName name="PriceList" localSheetId="9">#REF!</definedName>
    <definedName name="PriceList" localSheetId="0">#REF!</definedName>
    <definedName name="PriceList" localSheetId="19">#REF!</definedName>
    <definedName name="PriceList" localSheetId="24">#REF!</definedName>
    <definedName name="PriceList" localSheetId="12">#REF!</definedName>
    <definedName name="PriceList" localSheetId="2">#REF!</definedName>
    <definedName name="PriceList" localSheetId="22">#REF!</definedName>
    <definedName name="PriceList">#REF!</definedName>
    <definedName name="_xlnm.Print_Area" localSheetId="9">'c.cefty.1392'!$A$1:$G$15</definedName>
    <definedName name="_xlnm.Print_Area" localSheetId="3">'EL.p.1392'!$D$24:$L$32</definedName>
    <definedName name="_xlnm.Print_Area" localSheetId="0">#REF!</definedName>
    <definedName name="_xlnm.Print_Area" localSheetId="19">Extra.1405!$A$1:$A$19</definedName>
    <definedName name="_xlnm.Print_Area" localSheetId="12">Inflation!$B$2:$E$18</definedName>
    <definedName name="_xlnm.Print_Area" localSheetId="2">#REF!</definedName>
    <definedName name="_xlnm.Print_Area" localSheetId="22">'Summary_M3 1405'!$A$1:$H$23</definedName>
    <definedName name="_xlnm.Print_Area">#REF!</definedName>
    <definedName name="Print_Area_MI" localSheetId="9">'[3]200'!#REF!</definedName>
    <definedName name="Print_Area_MI" localSheetId="0">'[3]200'!#REF!</definedName>
    <definedName name="Print_Area_MI" localSheetId="19">'[3]200'!#REF!</definedName>
    <definedName name="Print_Area_MI" localSheetId="24">'[3]200'!#REF!</definedName>
    <definedName name="Print_Area_MI" localSheetId="12">'[3]200'!#REF!</definedName>
    <definedName name="Print_Area_MI" localSheetId="2">'[3]200'!#REF!</definedName>
    <definedName name="Print_Area_MI" localSheetId="6">'[3]200'!#REF!</definedName>
    <definedName name="Print_Area_MI" localSheetId="22">'[3]200'!#REF!</definedName>
    <definedName name="Print_Area_MI">'[3]200'!#REF!</definedName>
    <definedName name="q" localSheetId="9">#REF!</definedName>
    <definedName name="q" localSheetId="0">#REF!</definedName>
    <definedName name="q" localSheetId="19">#REF!</definedName>
    <definedName name="q" localSheetId="24">#REF!</definedName>
    <definedName name="q" localSheetId="12">#REF!</definedName>
    <definedName name="q" localSheetId="2">#REF!</definedName>
    <definedName name="q" localSheetId="22">#REF!</definedName>
    <definedName name="q">#REF!</definedName>
    <definedName name="rerwr">#N/A</definedName>
    <definedName name="rgrhr">#N/A</definedName>
    <definedName name="rherhreh" localSheetId="9">#REF!</definedName>
    <definedName name="rherhreh" localSheetId="0">#REF!</definedName>
    <definedName name="rherhreh" localSheetId="19">#REF!</definedName>
    <definedName name="rherhreh" localSheetId="24">#REF!</definedName>
    <definedName name="rherhreh" localSheetId="12">#REF!</definedName>
    <definedName name="rherhreh" localSheetId="2">#REF!</definedName>
    <definedName name="rherhreh" localSheetId="22">#REF!</definedName>
    <definedName name="rherhreh">#REF!</definedName>
    <definedName name="rhrhr">#N/A</definedName>
    <definedName name="rr" localSheetId="9">#REF!</definedName>
    <definedName name="rr" localSheetId="0">#REF!</definedName>
    <definedName name="rr" localSheetId="19">#REF!</definedName>
    <definedName name="rr" localSheetId="24">#REF!</definedName>
    <definedName name="rr" localSheetId="12">#REF!</definedName>
    <definedName name="rr" localSheetId="2">#REF!</definedName>
    <definedName name="rr" localSheetId="22">#REF!</definedName>
    <definedName name="rr">#REF!</definedName>
    <definedName name="SanaRate">[7]Total!$J$20</definedName>
    <definedName name="SanaRate1399" localSheetId="9">#REF!</definedName>
    <definedName name="SanaRate1399" localSheetId="0">#REF!</definedName>
    <definedName name="SanaRate1399" localSheetId="19">#REF!</definedName>
    <definedName name="SanaRate1399" localSheetId="24">#REF!</definedName>
    <definedName name="SanaRate1399" localSheetId="12">#REF!</definedName>
    <definedName name="SanaRate1399" localSheetId="2">#REF!</definedName>
    <definedName name="SanaRate1399" localSheetId="22">#REF!</definedName>
    <definedName name="SanaRate1399">#REF!</definedName>
    <definedName name="Sanarate1401" localSheetId="9">#REF!</definedName>
    <definedName name="Sanarate1401" localSheetId="0">#REF!</definedName>
    <definedName name="Sanarate1401" localSheetId="19">#REF!</definedName>
    <definedName name="Sanarate1401" localSheetId="24">#REF!</definedName>
    <definedName name="Sanarate1401" localSheetId="12">#REF!</definedName>
    <definedName name="Sanarate1401" localSheetId="2">#REF!</definedName>
    <definedName name="Sanarate1401" localSheetId="22">#REF!</definedName>
    <definedName name="Sanarate1401">#REF!</definedName>
    <definedName name="sdfdsf">#N/A</definedName>
    <definedName name="smokeless_factor">2.5</definedName>
    <definedName name="SpecDEBUT" localSheetId="9">#REF!</definedName>
    <definedName name="SpecDEBUT" localSheetId="0">#REF!</definedName>
    <definedName name="SpecDEBUT" localSheetId="19">#REF!</definedName>
    <definedName name="SpecDEBUT" localSheetId="24">#REF!</definedName>
    <definedName name="SpecDEBUT" localSheetId="12">#REF!</definedName>
    <definedName name="SpecDEBUT" localSheetId="2">#REF!</definedName>
    <definedName name="SpecDEBUT" localSheetId="6">#REF!</definedName>
    <definedName name="SpecDEBUT" localSheetId="22">#REF!</definedName>
    <definedName name="SpecDEBUT">#REF!</definedName>
    <definedName name="SpecFIN" localSheetId="9">#REF!</definedName>
    <definedName name="SpecFIN" localSheetId="0">#REF!</definedName>
    <definedName name="SpecFIN" localSheetId="19">#REF!</definedName>
    <definedName name="SpecFIN" localSheetId="24">#REF!</definedName>
    <definedName name="SpecFIN" localSheetId="12">#REF!</definedName>
    <definedName name="SpecFIN" localSheetId="2">#REF!</definedName>
    <definedName name="SpecFIN" localSheetId="6">#REF!</definedName>
    <definedName name="SpecFIN" localSheetId="22">#REF!</definedName>
    <definedName name="SpecFIN">#REF!</definedName>
    <definedName name="STATUS" localSheetId="9">#REF!</definedName>
    <definedName name="STATUS" localSheetId="0">#REF!</definedName>
    <definedName name="STATUS" localSheetId="19">#REF!</definedName>
    <definedName name="STATUS" localSheetId="24">#REF!</definedName>
    <definedName name="STATUS" localSheetId="12">#REF!</definedName>
    <definedName name="STATUS" localSheetId="2">#REF!</definedName>
    <definedName name="STATUS" localSheetId="22">#REF!</definedName>
    <definedName name="STATUS">#REF!</definedName>
    <definedName name="SWBR_5021A" localSheetId="9">#REF!</definedName>
    <definedName name="SWBR_5021A" localSheetId="0">#REF!</definedName>
    <definedName name="SWBR_5021A" localSheetId="19">#REF!</definedName>
    <definedName name="SWBR_5021A" localSheetId="24">#REF!</definedName>
    <definedName name="SWBR_5021A" localSheetId="12">#REF!</definedName>
    <definedName name="SWBR_5021A" localSheetId="2">#REF!</definedName>
    <definedName name="SWBR_5021A" localSheetId="6">#REF!</definedName>
    <definedName name="SWBR_5021A" localSheetId="22">#REF!</definedName>
    <definedName name="SWBR_5021A">#REF!</definedName>
    <definedName name="SWBR_5021B" localSheetId="9">#REF!</definedName>
    <definedName name="SWBR_5021B" localSheetId="0">#REF!</definedName>
    <definedName name="SWBR_5021B" localSheetId="19">#REF!</definedName>
    <definedName name="SWBR_5021B" localSheetId="24">#REF!</definedName>
    <definedName name="SWBR_5021B" localSheetId="12">#REF!</definedName>
    <definedName name="SWBR_5021B" localSheetId="2">#REF!</definedName>
    <definedName name="SWBR_5021B" localSheetId="6">#REF!</definedName>
    <definedName name="SWBR_5021B" localSheetId="22">#REF!</definedName>
    <definedName name="SWBR_5021B">#REF!</definedName>
    <definedName name="SWBR_5021E" localSheetId="9">#REF!</definedName>
    <definedName name="SWBR_5021E" localSheetId="0">#REF!</definedName>
    <definedName name="SWBR_5021E" localSheetId="19">#REF!</definedName>
    <definedName name="SWBR_5021E" localSheetId="24">#REF!</definedName>
    <definedName name="SWBR_5021E" localSheetId="12">#REF!</definedName>
    <definedName name="SWBR_5021E" localSheetId="2">#REF!</definedName>
    <definedName name="SWBR_5021E" localSheetId="6">#REF!</definedName>
    <definedName name="SWBR_5021E" localSheetId="22">#REF!</definedName>
    <definedName name="SWBR_5021E">#REF!</definedName>
    <definedName name="SWBR_5031A" localSheetId="9">#REF!</definedName>
    <definedName name="SWBR_5031A" localSheetId="0">#REF!</definedName>
    <definedName name="SWBR_5031A" localSheetId="19">#REF!</definedName>
    <definedName name="SWBR_5031A" localSheetId="24">#REF!</definedName>
    <definedName name="SWBR_5031A" localSheetId="12">#REF!</definedName>
    <definedName name="SWBR_5031A" localSheetId="2">#REF!</definedName>
    <definedName name="SWBR_5031A" localSheetId="6">#REF!</definedName>
    <definedName name="SWBR_5031A" localSheetId="22">#REF!</definedName>
    <definedName name="SWBR_5031A">#REF!</definedName>
    <definedName name="SWBR_5031B" localSheetId="9">#REF!</definedName>
    <definedName name="SWBR_5031B" localSheetId="0">#REF!</definedName>
    <definedName name="SWBR_5031B" localSheetId="19">#REF!</definedName>
    <definedName name="SWBR_5031B" localSheetId="24">#REF!</definedName>
    <definedName name="SWBR_5031B" localSheetId="12">#REF!</definedName>
    <definedName name="SWBR_5031B" localSheetId="2">#REF!</definedName>
    <definedName name="SWBR_5031B" localSheetId="6">#REF!</definedName>
    <definedName name="SWBR_5031B" localSheetId="22">#REF!</definedName>
    <definedName name="SWBR_5031B">#REF!</definedName>
    <definedName name="SWBR_5031E" localSheetId="9">#REF!</definedName>
    <definedName name="SWBR_5031E" localSheetId="0">#REF!</definedName>
    <definedName name="SWBR_5031E" localSheetId="19">#REF!</definedName>
    <definedName name="SWBR_5031E" localSheetId="24">#REF!</definedName>
    <definedName name="SWBR_5031E" localSheetId="12">#REF!</definedName>
    <definedName name="SWBR_5031E" localSheetId="2">#REF!</definedName>
    <definedName name="SWBR_5031E" localSheetId="6">#REF!</definedName>
    <definedName name="SWBR_5031E" localSheetId="22">#REF!</definedName>
    <definedName name="SWBR_5031E">#REF!</definedName>
    <definedName name="t" localSheetId="9">#REF!</definedName>
    <definedName name="t" localSheetId="0">#REF!</definedName>
    <definedName name="t" localSheetId="19">#REF!</definedName>
    <definedName name="t" localSheetId="24">#REF!</definedName>
    <definedName name="t" localSheetId="12">#REF!</definedName>
    <definedName name="t" localSheetId="2">#REF!</definedName>
    <definedName name="t" localSheetId="22">#REF!</definedName>
    <definedName name="t">#REF!</definedName>
    <definedName name="TABMOT" localSheetId="9">[8]SS2!#REF!</definedName>
    <definedName name="TABMOT" localSheetId="0">[8]SS2!#REF!</definedName>
    <definedName name="TABMOT" localSheetId="19">[8]SS2!#REF!</definedName>
    <definedName name="TABMOT" localSheetId="24">[8]SS2!#REF!</definedName>
    <definedName name="TABMOT" localSheetId="12">[8]SS2!#REF!</definedName>
    <definedName name="TABMOT" localSheetId="2">[8]SS2!#REF!</definedName>
    <definedName name="TABMOT" localSheetId="6">[8]SS2!#REF!</definedName>
    <definedName name="TABMOT" localSheetId="22">[8]SS2!#REF!</definedName>
    <definedName name="TABMOT">[8]SS2!#REF!</definedName>
    <definedName name="Test">Inflation!#REF!</definedName>
    <definedName name="Ticket">12000000</definedName>
    <definedName name="tytyty">#N/A</definedName>
    <definedName name="ukuyluyl" localSheetId="9">#REF!</definedName>
    <definedName name="ukuyluyl" localSheetId="0">#REF!</definedName>
    <definedName name="ukuyluyl" localSheetId="19">#REF!</definedName>
    <definedName name="ukuyluyl" localSheetId="24">#REF!</definedName>
    <definedName name="ukuyluyl" localSheetId="12">#REF!</definedName>
    <definedName name="ukuyluyl" localSheetId="2">#REF!</definedName>
    <definedName name="ukuyluyl" localSheetId="22">#REF!</definedName>
    <definedName name="ukuyluyl">#REF!</definedName>
    <definedName name="ulkuykuk" localSheetId="9">#REF!</definedName>
    <definedName name="ulkuykuk" localSheetId="0">#REF!</definedName>
    <definedName name="ulkuykuk" localSheetId="19">#REF!</definedName>
    <definedName name="ulkuykuk" localSheetId="24">#REF!</definedName>
    <definedName name="ulkuykuk" localSheetId="12">#REF!</definedName>
    <definedName name="ulkuykuk" localSheetId="2">#REF!</definedName>
    <definedName name="ulkuykuk" localSheetId="22">#REF!</definedName>
    <definedName name="ulkuykuk">#REF!</definedName>
    <definedName name="UNIT_1000" localSheetId="9">#REF!</definedName>
    <definedName name="UNIT_1000" localSheetId="0">#REF!</definedName>
    <definedName name="UNIT_1000" localSheetId="19">#REF!</definedName>
    <definedName name="UNIT_1000" localSheetId="24">#REF!</definedName>
    <definedName name="UNIT_1000" localSheetId="12">#REF!</definedName>
    <definedName name="UNIT_1000" localSheetId="2">#REF!</definedName>
    <definedName name="UNIT_1000" localSheetId="6">#REF!</definedName>
    <definedName name="UNIT_1000" localSheetId="22">#REF!</definedName>
    <definedName name="UNIT_1000">#REF!</definedName>
    <definedName name="UNIT_1200" localSheetId="9">#REF!</definedName>
    <definedName name="UNIT_1200" localSheetId="0">#REF!</definedName>
    <definedName name="UNIT_1200" localSheetId="19">#REF!</definedName>
    <definedName name="UNIT_1200" localSheetId="24">#REF!</definedName>
    <definedName name="UNIT_1200" localSheetId="12">#REF!</definedName>
    <definedName name="UNIT_1200" localSheetId="2">#REF!</definedName>
    <definedName name="UNIT_1200" localSheetId="6">#REF!</definedName>
    <definedName name="UNIT_1200" localSheetId="22">#REF!</definedName>
    <definedName name="UNIT_1200">#REF!</definedName>
    <definedName name="UNIT_1300" localSheetId="9">#REF!</definedName>
    <definedName name="UNIT_1300" localSheetId="0">#REF!</definedName>
    <definedName name="UNIT_1300" localSheetId="19">#REF!</definedName>
    <definedName name="UNIT_1300" localSheetId="24">#REF!</definedName>
    <definedName name="UNIT_1300" localSheetId="12">#REF!</definedName>
    <definedName name="UNIT_1300" localSheetId="2">#REF!</definedName>
    <definedName name="UNIT_1300" localSheetId="6">#REF!</definedName>
    <definedName name="UNIT_1300" localSheetId="22">#REF!</definedName>
    <definedName name="UNIT_1300">#REF!</definedName>
    <definedName name="UNIT_1600" localSheetId="9">#REF!</definedName>
    <definedName name="UNIT_1600" localSheetId="0">#REF!</definedName>
    <definedName name="UNIT_1600" localSheetId="19">#REF!</definedName>
    <definedName name="UNIT_1600" localSheetId="24">#REF!</definedName>
    <definedName name="UNIT_1600" localSheetId="12">#REF!</definedName>
    <definedName name="UNIT_1600" localSheetId="2">#REF!</definedName>
    <definedName name="UNIT_1600" localSheetId="6">#REF!</definedName>
    <definedName name="UNIT_1600" localSheetId="22">#REF!</definedName>
    <definedName name="UNIT_1600">#REF!</definedName>
    <definedName name="UNIT_200" localSheetId="9">#REF!</definedName>
    <definedName name="UNIT_200" localSheetId="0">#REF!</definedName>
    <definedName name="UNIT_200" localSheetId="19">#REF!</definedName>
    <definedName name="UNIT_200" localSheetId="24">#REF!</definedName>
    <definedName name="UNIT_200" localSheetId="12">#REF!</definedName>
    <definedName name="UNIT_200" localSheetId="2">#REF!</definedName>
    <definedName name="UNIT_200" localSheetId="6">#REF!</definedName>
    <definedName name="UNIT_200" localSheetId="22">#REF!</definedName>
    <definedName name="UNIT_200">#REF!</definedName>
    <definedName name="UNIT_250" localSheetId="9">#REF!</definedName>
    <definedName name="UNIT_250" localSheetId="0">#REF!</definedName>
    <definedName name="UNIT_250" localSheetId="19">#REF!</definedName>
    <definedName name="UNIT_250" localSheetId="24">#REF!</definedName>
    <definedName name="UNIT_250" localSheetId="12">#REF!</definedName>
    <definedName name="UNIT_250" localSheetId="2">#REF!</definedName>
    <definedName name="UNIT_250" localSheetId="6">#REF!</definedName>
    <definedName name="UNIT_250" localSheetId="22">#REF!</definedName>
    <definedName name="UNIT_250">#REF!</definedName>
    <definedName name="UNIT_300" localSheetId="9">#REF!</definedName>
    <definedName name="UNIT_300" localSheetId="0">#REF!</definedName>
    <definedName name="UNIT_300" localSheetId="19">#REF!</definedName>
    <definedName name="UNIT_300" localSheetId="24">#REF!</definedName>
    <definedName name="UNIT_300" localSheetId="12">#REF!</definedName>
    <definedName name="UNIT_300" localSheetId="2">#REF!</definedName>
    <definedName name="UNIT_300" localSheetId="6">#REF!</definedName>
    <definedName name="UNIT_300" localSheetId="22">#REF!</definedName>
    <definedName name="UNIT_300">#REF!</definedName>
    <definedName name="UNIT_400" localSheetId="9">#REF!</definedName>
    <definedName name="UNIT_400" localSheetId="0">#REF!</definedName>
    <definedName name="UNIT_400" localSheetId="19">#REF!</definedName>
    <definedName name="UNIT_400" localSheetId="24">#REF!</definedName>
    <definedName name="UNIT_400" localSheetId="12">#REF!</definedName>
    <definedName name="UNIT_400" localSheetId="2">#REF!</definedName>
    <definedName name="UNIT_400" localSheetId="6">#REF!</definedName>
    <definedName name="UNIT_400" localSheetId="22">#REF!</definedName>
    <definedName name="UNIT_400">#REF!</definedName>
    <definedName name="UNIT_500" localSheetId="9">#REF!</definedName>
    <definedName name="UNIT_500" localSheetId="0">#REF!</definedName>
    <definedName name="UNIT_500" localSheetId="19">#REF!</definedName>
    <definedName name="UNIT_500" localSheetId="24">#REF!</definedName>
    <definedName name="UNIT_500" localSheetId="12">#REF!</definedName>
    <definedName name="UNIT_500" localSheetId="2">#REF!</definedName>
    <definedName name="UNIT_500" localSheetId="6">#REF!</definedName>
    <definedName name="UNIT_500" localSheetId="22">#REF!</definedName>
    <definedName name="UNIT_500">#REF!</definedName>
    <definedName name="UNIT_600" localSheetId="9">#REF!</definedName>
    <definedName name="UNIT_600" localSheetId="0">#REF!</definedName>
    <definedName name="UNIT_600" localSheetId="19">#REF!</definedName>
    <definedName name="UNIT_600" localSheetId="24">#REF!</definedName>
    <definedName name="UNIT_600" localSheetId="12">#REF!</definedName>
    <definedName name="UNIT_600" localSheetId="2">#REF!</definedName>
    <definedName name="UNIT_600" localSheetId="6">#REF!</definedName>
    <definedName name="UNIT_600" localSheetId="22">#REF!</definedName>
    <definedName name="UNIT_600">#REF!</definedName>
    <definedName name="UNIT_800" localSheetId="9">#REF!</definedName>
    <definedName name="UNIT_800" localSheetId="0">#REF!</definedName>
    <definedName name="UNIT_800" localSheetId="19">#REF!</definedName>
    <definedName name="UNIT_800" localSheetId="24">#REF!</definedName>
    <definedName name="UNIT_800" localSheetId="12">#REF!</definedName>
    <definedName name="UNIT_800" localSheetId="2">#REF!</definedName>
    <definedName name="UNIT_800" localSheetId="6">#REF!</definedName>
    <definedName name="UNIT_800" localSheetId="22">#REF!</definedName>
    <definedName name="UNIT_800">#REF!</definedName>
    <definedName name="UNIT_900" localSheetId="9">#REF!</definedName>
    <definedName name="UNIT_900" localSheetId="0">#REF!</definedName>
    <definedName name="UNIT_900" localSheetId="19">#REF!</definedName>
    <definedName name="UNIT_900" localSheetId="24">#REF!</definedName>
    <definedName name="UNIT_900" localSheetId="12">#REF!</definedName>
    <definedName name="UNIT_900" localSheetId="2">#REF!</definedName>
    <definedName name="UNIT_900" localSheetId="6">#REF!</definedName>
    <definedName name="UNIT_900" localSheetId="22">#REF!</definedName>
    <definedName name="UNIT_900">#REF!</definedName>
    <definedName name="Units" localSheetId="9">#REF!</definedName>
    <definedName name="Units" localSheetId="0">#REF!</definedName>
    <definedName name="Units" localSheetId="19">#REF!</definedName>
    <definedName name="Units" localSheetId="24">#REF!</definedName>
    <definedName name="Units" localSheetId="12">#REF!</definedName>
    <definedName name="Units" localSheetId="2">#REF!</definedName>
    <definedName name="Units" localSheetId="22">#REF!</definedName>
    <definedName name="Units">#REF!</definedName>
    <definedName name="USD_Change_IRR" localSheetId="9">#REF!</definedName>
    <definedName name="USD_Change_IRR" localSheetId="0">#REF!</definedName>
    <definedName name="USD_Change_IRR" localSheetId="19">#REF!</definedName>
    <definedName name="USD_Change_IRR" localSheetId="24">#REF!</definedName>
    <definedName name="USD_Change_IRR" localSheetId="12">Inflation!#REF!</definedName>
    <definedName name="USD_Change_IRR" localSheetId="2">#REF!</definedName>
    <definedName name="USD_Change_IRR" localSheetId="22">#REF!</definedName>
    <definedName name="USD_Change_IRR">#REF!</definedName>
    <definedName name="USD_Inflation_Factor">'[5]basic data'!$C$18</definedName>
    <definedName name="Values_Entered" localSheetId="9">IF(c.cefty.1392!Loan_Amount*c.cefty.1392!Interest_Rate*c.cefty.1392!Loan_Years*c.cefty.1392!Loan_Start&gt;0,1,0)</definedName>
    <definedName name="Values_Entered" localSheetId="0">IF('EPC 1402 (2)'!Loan_Amount*'EPC 1402 (2)'!Interest_Rate*'EPC 1402 (2)'!Loan_Years*'EPC 1402 (2)'!Loan_Start&gt;0,1,0)</definedName>
    <definedName name="Values_Entered" localSheetId="19">IF(Extra.1405!Loan_Amount*Extra.1405!Interest_Rate*Extra.1405!Loan_Years*Extra.1405!Loan_Start&gt;0,1,0)</definedName>
    <definedName name="Values_Entered" localSheetId="24">IF('FR1405'!Loan_Amount*'FR1405'!Interest_Rate*'FR1405'!Loan_Years*'FR1405'!Loan_Start&gt;0,1,0)</definedName>
    <definedName name="Values_Entered" localSheetId="12">IF(Inflation!Loan_Amount*Inflation!Interest_Rate*Inflation!Loan_Years*Inflation!Loan_Start&gt;0,1,0)</definedName>
    <definedName name="Values_Entered" localSheetId="2">IF(p.lab.1392!Loan_Amount*p.lab.1392!Interest_Rate*p.lab.1392!Loan_Years*p.lab.1392!Loan_Start&gt;0,1,0)</definedName>
    <definedName name="Values_Entered" localSheetId="22">IF('Summary_M3 1405'!Loan_Amount*'Summary_M3 1405'!Interest_Rate*'Summary_M3 1405'!Loan_Years*'Summary_M3 1405'!Loan_Start&gt;0,1,0)</definedName>
    <definedName name="Values_Entered">IF([0]!Loan_Amount*[0]!Interest_Rate*[0]!Loan_Years*[0]!Loan_Start&gt;0,1,0)</definedName>
    <definedName name="w" localSheetId="9">#REF!</definedName>
    <definedName name="w" localSheetId="0">#REF!</definedName>
    <definedName name="w" localSheetId="19">#REF!</definedName>
    <definedName name="w" localSheetId="24">#REF!</definedName>
    <definedName name="w" localSheetId="12">#REF!</definedName>
    <definedName name="w" localSheetId="2">#REF!</definedName>
    <definedName name="w" localSheetId="22">#REF!</definedName>
    <definedName name="w">#REF!</definedName>
    <definedName name="wetwtwt" localSheetId="9">MATCH(0.01,c.cefty.1392!gegegeg,-1)+1</definedName>
    <definedName name="wetwtwt" localSheetId="0">MATCH(0.01,'EPC 1402 (2)'!gegegeg,-1)+1</definedName>
    <definedName name="wetwtwt" localSheetId="19">MATCH(0.01,Extra.1405!gegegeg,-1)+1</definedName>
    <definedName name="wetwtwt" localSheetId="24">MATCH(0.01,'FR1405'!gegegeg,-1)+1</definedName>
    <definedName name="wetwtwt" localSheetId="12">MATCH(0.01,Inflation!gegegeg,-1)+1</definedName>
    <definedName name="wetwtwt" localSheetId="2">MATCH(0.01,p.lab.1392!gegegeg,-1)+1</definedName>
    <definedName name="wetwtwt" localSheetId="22">MATCH(0.01,'Summary_M3 1405'!gegegeg,-1)+1</definedName>
    <definedName name="wetwtwt">MATCH(0.01,gegegeg,-1)+1</definedName>
    <definedName name="y" localSheetId="9">#REF!</definedName>
    <definedName name="y" localSheetId="0">#REF!</definedName>
    <definedName name="y" localSheetId="19">#REF!</definedName>
    <definedName name="y" localSheetId="24">#REF!</definedName>
    <definedName name="y" localSheetId="12">#REF!</definedName>
    <definedName name="y" localSheetId="2">#REF!</definedName>
    <definedName name="y" localSheetId="22">#REF!</definedName>
    <definedName name="y">#REF!</definedName>
    <definedName name="yy" localSheetId="9">#REF!</definedName>
    <definedName name="yy" localSheetId="0">#REF!</definedName>
    <definedName name="yy" localSheetId="19">#REF!</definedName>
    <definedName name="yy" localSheetId="24">#REF!</definedName>
    <definedName name="yy" localSheetId="12">#REF!</definedName>
    <definedName name="yy" localSheetId="2">#REF!</definedName>
    <definedName name="yy" localSheetId="22">#REF!</definedName>
    <definedName name="yy">#REF!</definedName>
    <definedName name="yyyy" localSheetId="9">#REF!</definedName>
    <definedName name="yyyy" localSheetId="0">#REF!</definedName>
    <definedName name="yyyy" localSheetId="19">#REF!</definedName>
    <definedName name="yyyy" localSheetId="24">#REF!</definedName>
    <definedName name="yyyy" localSheetId="12">#REF!</definedName>
    <definedName name="yyyy" localSheetId="2">#REF!</definedName>
    <definedName name="yyyy" localSheetId="22">#REF!</definedName>
    <definedName name="yyyy">#REF!</definedName>
    <definedName name="ارتباط_بين_ديسيپلينها">0.5</definedName>
    <definedName name="پ" localSheetId="9">#REF!</definedName>
    <definedName name="پ" localSheetId="0">#REF!</definedName>
    <definedName name="پ" localSheetId="19">#REF!</definedName>
    <definedName name="پ" localSheetId="24">#REF!</definedName>
    <definedName name="پ" localSheetId="12">#REF!</definedName>
    <definedName name="پ" localSheetId="2">#REF!</definedName>
    <definedName name="پ" localSheetId="22">#REF!</definedName>
    <definedName name="پ">#REF!</definedName>
    <definedName name="ث" localSheetId="9">#REF!</definedName>
    <definedName name="ث" localSheetId="0">#REF!</definedName>
    <definedName name="ث" localSheetId="19">#REF!</definedName>
    <definedName name="ث" localSheetId="24">#REF!</definedName>
    <definedName name="ث" localSheetId="12">#REF!</definedName>
    <definedName name="ث" localSheetId="2">#REF!</definedName>
    <definedName name="ث" localSheetId="22">#REF!</definedName>
    <definedName name="ث">#REF!</definedName>
    <definedName name="ج" localSheetId="9">#REF!</definedName>
    <definedName name="ج" localSheetId="0">#REF!</definedName>
    <definedName name="ج" localSheetId="19">#REF!</definedName>
    <definedName name="ج" localSheetId="24">#REF!</definedName>
    <definedName name="ج" localSheetId="12">#REF!</definedName>
    <definedName name="ج" localSheetId="2">#REF!</definedName>
    <definedName name="ج" localSheetId="22">#REF!</definedName>
    <definedName name="ج">#REF!</definedName>
    <definedName name="چ" localSheetId="9">#REF!</definedName>
    <definedName name="چ" localSheetId="0">#REF!</definedName>
    <definedName name="چ" localSheetId="19">#REF!</definedName>
    <definedName name="چ" localSheetId="24">#REF!</definedName>
    <definedName name="چ" localSheetId="12">#REF!</definedName>
    <definedName name="چ" localSheetId="2">#REF!</definedName>
    <definedName name="چ" localSheetId="22">#REF!</definedName>
    <definedName name="چ">#REF!</definedName>
    <definedName name="ح" localSheetId="9">#REF!</definedName>
    <definedName name="ح" localSheetId="0">#REF!</definedName>
    <definedName name="ح" localSheetId="19">#REF!</definedName>
    <definedName name="ح" localSheetId="24">#REF!</definedName>
    <definedName name="ح" localSheetId="12">#REF!</definedName>
    <definedName name="ح" localSheetId="2">#REF!</definedName>
    <definedName name="ح" localSheetId="22">#REF!</definedName>
    <definedName name="ح">#REF!</definedName>
    <definedName name="خ" localSheetId="9">#REF!</definedName>
    <definedName name="خ" localSheetId="0">#REF!</definedName>
    <definedName name="خ" localSheetId="19">#REF!</definedName>
    <definedName name="خ" localSheetId="24">#REF!</definedName>
    <definedName name="خ" localSheetId="12">#REF!</definedName>
    <definedName name="خ" localSheetId="2">#REF!</definedName>
    <definedName name="خ" localSheetId="22">#REF!</definedName>
    <definedName name="خ">#REF!</definedName>
    <definedName name="ز62" localSheetId="9">#REF!</definedName>
    <definedName name="ز62" localSheetId="0">#REF!</definedName>
    <definedName name="ز62" localSheetId="19">#REF!</definedName>
    <definedName name="ز62" localSheetId="24">#REF!</definedName>
    <definedName name="ز62" localSheetId="12">#REF!</definedName>
    <definedName name="ز62" localSheetId="2">#REF!</definedName>
    <definedName name="ز62" localSheetId="22">#REF!</definedName>
    <definedName name="ز62">#REF!</definedName>
    <definedName name="ش" localSheetId="9">[9]Piping!#REF!</definedName>
    <definedName name="ش" localSheetId="0">[9]Piping!#REF!</definedName>
    <definedName name="ش" localSheetId="19">[9]Piping!#REF!</definedName>
    <definedName name="ش" localSheetId="24">[9]Piping!#REF!</definedName>
    <definedName name="ش" localSheetId="12">[9]Piping!#REF!</definedName>
    <definedName name="ش" localSheetId="2">[9]Piping!#REF!</definedName>
    <definedName name="ش" localSheetId="22">[9]Piping!#REF!</definedName>
    <definedName name="ش">[9]Piping!#REF!</definedName>
    <definedName name="ص" localSheetId="9">#REF!</definedName>
    <definedName name="ص" localSheetId="0">#REF!</definedName>
    <definedName name="ص" localSheetId="19">#REF!</definedName>
    <definedName name="ص" localSheetId="24">#REF!</definedName>
    <definedName name="ص" localSheetId="12">#REF!</definedName>
    <definedName name="ص" localSheetId="2">#REF!</definedName>
    <definedName name="ص" localSheetId="22">#REF!</definedName>
    <definedName name="ص">#REF!</definedName>
    <definedName name="ض" localSheetId="9">#REF!</definedName>
    <definedName name="ض" localSheetId="0">#REF!</definedName>
    <definedName name="ض" localSheetId="19">#REF!</definedName>
    <definedName name="ض" localSheetId="24">#REF!</definedName>
    <definedName name="ض" localSheetId="12">#REF!</definedName>
    <definedName name="ض" localSheetId="2">#REF!</definedName>
    <definedName name="ض" localSheetId="22">#REF!</definedName>
    <definedName name="ض">#REF!</definedName>
    <definedName name="ع" localSheetId="9">#REF!</definedName>
    <definedName name="ع" localSheetId="0">#REF!</definedName>
    <definedName name="ع" localSheetId="19">#REF!</definedName>
    <definedName name="ع" localSheetId="24">#REF!</definedName>
    <definedName name="ع" localSheetId="12">#REF!</definedName>
    <definedName name="ع" localSheetId="2">#REF!</definedName>
    <definedName name="ع" localSheetId="22">#REF!</definedName>
    <definedName name="ع">#REF!</definedName>
    <definedName name="غ" localSheetId="9">#REF!</definedName>
    <definedName name="غ" localSheetId="0">#REF!</definedName>
    <definedName name="غ" localSheetId="19">#REF!</definedName>
    <definedName name="غ" localSheetId="24">#REF!</definedName>
    <definedName name="غ" localSheetId="12">#REF!</definedName>
    <definedName name="غ" localSheetId="2">#REF!</definedName>
    <definedName name="غ" localSheetId="22">#REF!</definedName>
    <definedName name="غ">#REF!</definedName>
    <definedName name="ف" localSheetId="9">#REF!</definedName>
    <definedName name="ف" localSheetId="0">#REF!</definedName>
    <definedName name="ف" localSheetId="19">#REF!</definedName>
    <definedName name="ف" localSheetId="24">#REF!</definedName>
    <definedName name="ف" localSheetId="12">#REF!</definedName>
    <definedName name="ف" localSheetId="2">#REF!</definedName>
    <definedName name="ف" localSheetId="22">#REF!</definedName>
    <definedName name="ف">#REF!</definedName>
    <definedName name="ق" localSheetId="9">#REF!</definedName>
    <definedName name="ق" localSheetId="0">#REF!</definedName>
    <definedName name="ق" localSheetId="19">#REF!</definedName>
    <definedName name="ق" localSheetId="24">#REF!</definedName>
    <definedName name="ق" localSheetId="12">#REF!</definedName>
    <definedName name="ق" localSheetId="2">#REF!</definedName>
    <definedName name="ق" localSheetId="22">#REF!</definedName>
    <definedName name="ق">#REF!</definedName>
    <definedName name="م1" localSheetId="9">[10]PI!#REF!</definedName>
    <definedName name="م1" localSheetId="0">[10]PI!#REF!</definedName>
    <definedName name="م1" localSheetId="19">#REF!</definedName>
    <definedName name="م1" localSheetId="24">[10]PI!#REF!</definedName>
    <definedName name="م1" localSheetId="4">[11]Piping!#REF!</definedName>
    <definedName name="م1" localSheetId="12">#REF!</definedName>
    <definedName name="م1" localSheetId="2">[12]Piping!#REF!</definedName>
    <definedName name="م1" localSheetId="6">[12]Piping!#REF!</definedName>
    <definedName name="م1" localSheetId="22">#REF!</definedName>
    <definedName name="م1">[10]PI!#REF!</definedName>
    <definedName name="ه" localSheetId="9">#REF!</definedName>
    <definedName name="ه" localSheetId="0">#REF!</definedName>
    <definedName name="ه" localSheetId="19">#REF!</definedName>
    <definedName name="ه" localSheetId="24">#REF!</definedName>
    <definedName name="ه" localSheetId="12">#REF!</definedName>
    <definedName name="ه" localSheetId="2">#REF!</definedName>
    <definedName name="ه" localSheetId="22">#REF!</definedName>
    <definedName name="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5" l="1"/>
  <c r="C17" i="15"/>
  <c r="E9" i="34" l="1"/>
  <c r="D9" i="34"/>
  <c r="N19" i="20" l="1"/>
  <c r="G9" i="15" l="1"/>
  <c r="L10" i="26" l="1"/>
  <c r="E19" i="20" s="1"/>
  <c r="F6" i="26" l="1"/>
  <c r="L11" i="26" s="1"/>
  <c r="F27" i="33"/>
  <c r="F26" i="33" l="1"/>
  <c r="E18" i="20"/>
  <c r="K16" i="31" l="1"/>
  <c r="J16" i="31"/>
  <c r="G16" i="31"/>
  <c r="L14" i="31"/>
  <c r="I14" i="31"/>
  <c r="L13" i="31"/>
  <c r="I13" i="31"/>
  <c r="L12" i="31"/>
  <c r="I12" i="31"/>
  <c r="L11" i="31"/>
  <c r="I11" i="31"/>
  <c r="L10" i="31"/>
  <c r="I10" i="31"/>
  <c r="L9" i="31"/>
  <c r="I9" i="31"/>
  <c r="L8" i="31"/>
  <c r="I8" i="31"/>
  <c r="I16" i="31" l="1"/>
  <c r="L16" i="31"/>
  <c r="H25" i="28" l="1"/>
  <c r="C8" i="14" l="1"/>
  <c r="C3" i="14"/>
  <c r="G4" i="9" l="1"/>
  <c r="J9" i="6" l="1"/>
  <c r="F16" i="9" l="1"/>
  <c r="I20" i="6"/>
  <c r="C17" i="14" l="1"/>
  <c r="H9" i="28" l="1"/>
  <c r="J11" i="25" l="1"/>
  <c r="I11" i="25"/>
  <c r="J10" i="25"/>
  <c r="J16" i="25" s="1"/>
  <c r="F5" i="27" s="1"/>
  <c r="F6" i="33" s="1"/>
  <c r="I10" i="25"/>
  <c r="I16" i="25" s="1"/>
  <c r="H5" i="27" s="1"/>
  <c r="G6" i="33" s="1"/>
  <c r="M10" i="7"/>
  <c r="N10" i="7"/>
  <c r="N15" i="7" s="1"/>
  <c r="M9" i="7"/>
  <c r="M15" i="7" s="1"/>
  <c r="N9" i="7"/>
  <c r="I9" i="7"/>
  <c r="I6" i="33" l="1"/>
  <c r="I31" i="7"/>
  <c r="T37" i="7" l="1"/>
  <c r="I30" i="7"/>
  <c r="I26" i="7"/>
  <c r="I27" i="7"/>
  <c r="I28" i="7"/>
  <c r="I29" i="7"/>
  <c r="L31" i="7"/>
  <c r="K31" i="7" s="1"/>
  <c r="J31" i="7" l="1"/>
  <c r="H31" i="7" l="1"/>
  <c r="G31" i="7"/>
  <c r="F31" i="7" s="1"/>
  <c r="U6" i="14"/>
  <c r="C12" i="14" s="1"/>
  <c r="E31" i="7" l="1"/>
  <c r="D31" i="7"/>
  <c r="C4" i="23" l="1"/>
  <c r="C5" i="23"/>
  <c r="H25" i="23"/>
  <c r="C6" i="23" s="1"/>
  <c r="F31" i="23"/>
  <c r="C7" i="23" s="1"/>
  <c r="G62" i="23"/>
  <c r="G63" i="23"/>
  <c r="H63" i="23" s="1"/>
  <c r="G64" i="23"/>
  <c r="H64" i="23" s="1"/>
  <c r="G65" i="23"/>
  <c r="G66" i="23"/>
  <c r="H66" i="23"/>
  <c r="G67" i="23"/>
  <c r="G68" i="23"/>
  <c r="G69" i="23"/>
  <c r="H69" i="23"/>
  <c r="G70" i="23"/>
  <c r="H70" i="23"/>
  <c r="G71" i="23"/>
  <c r="H71" i="23"/>
  <c r="G72" i="23"/>
  <c r="G73" i="23"/>
  <c r="H73" i="23" s="1"/>
  <c r="G74" i="23"/>
  <c r="H74" i="23" s="1"/>
  <c r="G75" i="23"/>
  <c r="G76" i="23"/>
  <c r="G77" i="23"/>
  <c r="H79" i="23"/>
  <c r="H80" i="23"/>
  <c r="H81" i="23"/>
  <c r="H82" i="23"/>
  <c r="H83" i="23"/>
  <c r="H84" i="23" l="1"/>
  <c r="C3" i="23" s="1"/>
  <c r="C8" i="23" s="1"/>
  <c r="H10" i="4" s="1"/>
  <c r="H7" i="2" l="1"/>
  <c r="E12" i="9"/>
  <c r="G7" i="2" s="1"/>
  <c r="D17" i="9"/>
  <c r="G11" i="20" l="1"/>
  <c r="I5" i="14" l="1"/>
  <c r="K23" i="11" l="1"/>
  <c r="N42" i="11"/>
  <c r="N31" i="11"/>
  <c r="N33" i="11" s="1"/>
  <c r="I5" i="11" s="1"/>
  <c r="I6" i="11" l="1"/>
  <c r="I3" i="11"/>
  <c r="I4" i="11"/>
  <c r="G18" i="14"/>
  <c r="I17" i="14"/>
  <c r="I16" i="14"/>
  <c r="I15" i="14"/>
  <c r="I14" i="14"/>
  <c r="I13" i="14"/>
  <c r="I7" i="14"/>
  <c r="I18" i="14" l="1"/>
  <c r="C18" i="14" s="1"/>
  <c r="E11" i="20" s="1"/>
  <c r="F17" i="33" s="1"/>
  <c r="K6" i="6"/>
  <c r="J20" i="6"/>
  <c r="I5" i="2" l="1"/>
  <c r="G8" i="3"/>
  <c r="J15" i="7"/>
  <c r="L18" i="31" l="1"/>
  <c r="M15" i="31"/>
  <c r="M11" i="31"/>
  <c r="M10" i="31"/>
  <c r="M12" i="31"/>
  <c r="M13" i="31"/>
  <c r="M14" i="31"/>
  <c r="M9" i="31"/>
  <c r="M8" i="31"/>
  <c r="H8" i="29"/>
  <c r="H18" i="28"/>
  <c r="H20" i="28"/>
  <c r="H19" i="28"/>
  <c r="I38" i="11"/>
  <c r="I15" i="11"/>
  <c r="F13" i="26"/>
  <c r="F8" i="26"/>
  <c r="H20" i="29"/>
  <c r="E10" i="30"/>
  <c r="H7" i="29"/>
  <c r="H21" i="29"/>
  <c r="E11" i="30"/>
  <c r="I15" i="4"/>
  <c r="L9" i="7"/>
  <c r="L13" i="7"/>
  <c r="L8" i="7"/>
  <c r="L10" i="7"/>
  <c r="L14" i="7"/>
  <c r="L6" i="7"/>
  <c r="L12" i="7"/>
  <c r="L7" i="7"/>
  <c r="J23" i="6"/>
  <c r="F13" i="9"/>
  <c r="F14" i="9" s="1"/>
  <c r="G14" i="9" s="1"/>
  <c r="I42" i="11"/>
  <c r="I26" i="11"/>
  <c r="I30" i="11"/>
  <c r="I23" i="11"/>
  <c r="I16" i="11"/>
  <c r="I37" i="11"/>
  <c r="I14" i="11"/>
  <c r="I32" i="11"/>
  <c r="I43" i="11"/>
  <c r="I13" i="11"/>
  <c r="I11" i="11"/>
  <c r="I22" i="11"/>
  <c r="I29" i="11"/>
  <c r="I9" i="11"/>
  <c r="I34" i="11"/>
  <c r="I44" i="11"/>
  <c r="I28" i="11"/>
  <c r="I8" i="11"/>
  <c r="I40" i="11"/>
  <c r="I20" i="11"/>
  <c r="I19" i="11"/>
  <c r="I24" i="11"/>
  <c r="I41" i="11"/>
  <c r="I25" i="11"/>
  <c r="I36" i="11"/>
  <c r="I10" i="11"/>
  <c r="I27" i="11"/>
  <c r="I18" i="11"/>
  <c r="I7" i="11"/>
  <c r="I12" i="11"/>
  <c r="I33" i="11"/>
  <c r="I39" i="11"/>
  <c r="I35" i="11"/>
  <c r="I17" i="11"/>
  <c r="M16" i="31" l="1"/>
  <c r="E5" i="20" s="1"/>
  <c r="F4" i="33" s="1"/>
  <c r="L7" i="26"/>
  <c r="F22" i="33" s="1"/>
  <c r="F18" i="30"/>
  <c r="F6" i="27" s="1"/>
  <c r="F7" i="33" s="1"/>
  <c r="L30" i="7"/>
  <c r="K30" i="7" s="1"/>
  <c r="J30" i="7"/>
  <c r="L28" i="7"/>
  <c r="J28" i="7"/>
  <c r="H28" i="7" s="1"/>
  <c r="L27" i="7"/>
  <c r="K27" i="7" s="1"/>
  <c r="J27" i="7"/>
  <c r="L15" i="7"/>
  <c r="S34" i="7" s="1"/>
  <c r="J25" i="16"/>
  <c r="G25" i="16"/>
  <c r="G32" i="16" s="1"/>
  <c r="H24" i="16"/>
  <c r="J23" i="16"/>
  <c r="H23" i="16"/>
  <c r="J22" i="16"/>
  <c r="H22" i="16"/>
  <c r="J21" i="16"/>
  <c r="H21" i="16"/>
  <c r="H20" i="16"/>
  <c r="J19" i="16"/>
  <c r="H19" i="16"/>
  <c r="J18" i="16"/>
  <c r="H18" i="16"/>
  <c r="H17" i="16"/>
  <c r="H16" i="16"/>
  <c r="H15" i="16"/>
  <c r="J14" i="16"/>
  <c r="H14" i="16"/>
  <c r="H13" i="16"/>
  <c r="H12" i="16"/>
  <c r="H11" i="16"/>
  <c r="H10" i="16"/>
  <c r="H9" i="16"/>
  <c r="H8" i="16"/>
  <c r="H7" i="16"/>
  <c r="G27" i="7" l="1"/>
  <c r="F27" i="7" s="1"/>
  <c r="H27" i="7"/>
  <c r="H30" i="7"/>
  <c r="G30" i="7"/>
  <c r="F30" i="7" s="1"/>
  <c r="H32" i="16"/>
  <c r="G8" i="29" l="1"/>
  <c r="G10" i="29"/>
  <c r="H10" i="29"/>
  <c r="C7" i="14"/>
  <c r="C10" i="14"/>
  <c r="H14" i="29"/>
  <c r="G15" i="29"/>
  <c r="D9" i="30"/>
  <c r="H19" i="29"/>
  <c r="H17" i="29"/>
  <c r="H18" i="29"/>
  <c r="H11" i="29"/>
  <c r="H9" i="29"/>
  <c r="H12" i="29"/>
  <c r="D5" i="30"/>
  <c r="D8" i="30"/>
  <c r="G7" i="29"/>
  <c r="D7" i="30"/>
  <c r="D6" i="30"/>
  <c r="K9" i="7"/>
  <c r="K14" i="7"/>
  <c r="K10" i="7"/>
  <c r="K7" i="7"/>
  <c r="K12" i="7"/>
  <c r="K13" i="7"/>
  <c r="K6" i="7"/>
  <c r="K8" i="7"/>
  <c r="H16" i="29"/>
  <c r="H13" i="29"/>
  <c r="D27" i="7"/>
  <c r="E27" i="7"/>
  <c r="D30" i="7"/>
  <c r="E30" i="7"/>
  <c r="I7" i="2"/>
  <c r="I6" i="2"/>
  <c r="H35" i="13"/>
  <c r="G35" i="13"/>
  <c r="H34" i="13"/>
  <c r="G34" i="13"/>
  <c r="H33" i="13"/>
  <c r="G33" i="13"/>
  <c r="H32" i="13"/>
  <c r="G32" i="13"/>
  <c r="H31" i="13"/>
  <c r="H30" i="13"/>
  <c r="G30" i="13"/>
  <c r="H29" i="13"/>
  <c r="G29" i="13"/>
  <c r="H28" i="13"/>
  <c r="H27" i="13"/>
  <c r="G27" i="13"/>
  <c r="H26" i="13"/>
  <c r="H25" i="13"/>
  <c r="H24" i="13"/>
  <c r="G24" i="13"/>
  <c r="H23" i="13"/>
  <c r="G23" i="13"/>
  <c r="H22" i="13"/>
  <c r="G22" i="13"/>
  <c r="H21" i="13"/>
  <c r="G21" i="13"/>
  <c r="H20" i="13"/>
  <c r="H19" i="13"/>
  <c r="G19" i="13"/>
  <c r="H18" i="13"/>
  <c r="G18" i="13"/>
  <c r="H17" i="13"/>
  <c r="H16" i="13"/>
  <c r="H15" i="13"/>
  <c r="H14" i="13"/>
  <c r="H13" i="13"/>
  <c r="H12" i="13"/>
  <c r="G12" i="13"/>
  <c r="H11" i="13"/>
  <c r="H10" i="13"/>
  <c r="G10" i="13"/>
  <c r="H9" i="13"/>
  <c r="H8" i="13"/>
  <c r="E28" i="13"/>
  <c r="G28" i="13" s="1"/>
  <c r="D14" i="30" l="1"/>
  <c r="H37" i="13"/>
  <c r="H22" i="29"/>
  <c r="H23" i="29" s="1"/>
  <c r="F4" i="27" s="1"/>
  <c r="K15" i="7"/>
  <c r="T34" i="7" s="1"/>
  <c r="T36" i="7" s="1"/>
  <c r="S36" i="7" s="1"/>
  <c r="J26" i="7"/>
  <c r="L26" i="7"/>
  <c r="K26" i="7" s="1"/>
  <c r="G23" i="29"/>
  <c r="H4" i="27" s="1"/>
  <c r="H8" i="27" s="1"/>
  <c r="L29" i="7"/>
  <c r="K29" i="7" s="1"/>
  <c r="J29" i="7"/>
  <c r="H6" i="27"/>
  <c r="G7" i="33" s="1"/>
  <c r="I7" i="33" s="1"/>
  <c r="E15" i="13"/>
  <c r="G15" i="13" s="1"/>
  <c r="E25" i="13"/>
  <c r="E20" i="13"/>
  <c r="G20" i="13" s="1"/>
  <c r="E14" i="13"/>
  <c r="G14" i="13" s="1"/>
  <c r="E9" i="13"/>
  <c r="G9" i="13" s="1"/>
  <c r="E13" i="13"/>
  <c r="G13" i="13" s="1"/>
  <c r="E17" i="13"/>
  <c r="G17" i="13" s="1"/>
  <c r="E26" i="13"/>
  <c r="G26" i="13" s="1"/>
  <c r="E8" i="13"/>
  <c r="G8" i="13" s="1"/>
  <c r="E16" i="13"/>
  <c r="G16" i="13" s="1"/>
  <c r="F5" i="33" l="1"/>
  <c r="G5" i="33"/>
  <c r="G9" i="33" s="1"/>
  <c r="F6" i="20"/>
  <c r="E13" i="20" s="1"/>
  <c r="H29" i="7"/>
  <c r="G29" i="7"/>
  <c r="F29" i="7" s="1"/>
  <c r="G26" i="7"/>
  <c r="F26" i="7" s="1"/>
  <c r="H26" i="7"/>
  <c r="G37" i="13"/>
  <c r="I8" i="2" s="1"/>
  <c r="F7" i="27" s="1"/>
  <c r="F8" i="27" l="1"/>
  <c r="F8" i="33"/>
  <c r="F9" i="20"/>
  <c r="F8" i="20"/>
  <c r="F7" i="20"/>
  <c r="F10" i="20"/>
  <c r="F12" i="20"/>
  <c r="F14" i="20"/>
  <c r="G13" i="33"/>
  <c r="G10" i="33"/>
  <c r="G11" i="33"/>
  <c r="G12" i="33"/>
  <c r="G16" i="33"/>
  <c r="G15" i="33"/>
  <c r="I5" i="33"/>
  <c r="F14" i="33"/>
  <c r="D26" i="7"/>
  <c r="E26" i="7"/>
  <c r="D29" i="7"/>
  <c r="E29" i="7"/>
  <c r="J9" i="4"/>
  <c r="L9" i="4" s="1"/>
  <c r="I10" i="2"/>
  <c r="I6" i="3" s="1"/>
  <c r="I15" i="7"/>
  <c r="E6" i="20" l="1"/>
  <c r="E12" i="20" s="1"/>
  <c r="F15" i="33" s="1"/>
  <c r="G12" i="27"/>
  <c r="I8" i="33"/>
  <c r="I11" i="33" s="1"/>
  <c r="F9" i="33"/>
  <c r="F10" i="33" s="1"/>
  <c r="G18" i="33"/>
  <c r="G30" i="33" s="1"/>
  <c r="E14" i="20"/>
  <c r="F16" i="33" s="1"/>
  <c r="E7" i="20"/>
  <c r="E10" i="20"/>
  <c r="I9" i="33"/>
  <c r="F11" i="33"/>
  <c r="F12" i="33"/>
  <c r="F13" i="33"/>
  <c r="E9" i="20"/>
  <c r="M9" i="4"/>
  <c r="K17" i="12"/>
  <c r="J17" i="12"/>
  <c r="G17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I17" i="12" l="1"/>
  <c r="F18" i="33"/>
  <c r="I18" i="33" s="1"/>
  <c r="J16" i="33" s="1"/>
  <c r="J6" i="33"/>
  <c r="J8" i="33"/>
  <c r="J7" i="33"/>
  <c r="J5" i="33"/>
  <c r="L17" i="12"/>
  <c r="I5" i="3" s="1"/>
  <c r="D5" i="21" s="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F31" i="11"/>
  <c r="I31" i="11" s="1"/>
  <c r="H30" i="11"/>
  <c r="H29" i="11"/>
  <c r="H28" i="11"/>
  <c r="H27" i="11"/>
  <c r="H26" i="11"/>
  <c r="H25" i="11"/>
  <c r="H24" i="11"/>
  <c r="H6" i="11"/>
  <c r="H23" i="11"/>
  <c r="H22" i="11"/>
  <c r="F21" i="11"/>
  <c r="I21" i="11" s="1"/>
  <c r="H20" i="11"/>
  <c r="H19" i="11"/>
  <c r="H18" i="11"/>
  <c r="H17" i="11"/>
  <c r="H16" i="11"/>
  <c r="H15" i="11"/>
  <c r="H5" i="11"/>
  <c r="H4" i="11"/>
  <c r="H3" i="11"/>
  <c r="H14" i="11"/>
  <c r="H13" i="11"/>
  <c r="H12" i="11"/>
  <c r="H11" i="11"/>
  <c r="H10" i="11"/>
  <c r="H9" i="11"/>
  <c r="H8" i="11"/>
  <c r="H7" i="11"/>
  <c r="H7" i="10"/>
  <c r="G7" i="10"/>
  <c r="I5" i="10" l="1"/>
  <c r="I4" i="10"/>
  <c r="I6" i="10"/>
  <c r="J13" i="33"/>
  <c r="J15" i="33"/>
  <c r="J14" i="33"/>
  <c r="J9" i="33"/>
  <c r="I45" i="11"/>
  <c r="F7" i="26" s="1"/>
  <c r="L5" i="26" s="1"/>
  <c r="H31" i="11"/>
  <c r="H21" i="11"/>
  <c r="H45" i="11" s="1"/>
  <c r="H47" i="11" s="1"/>
  <c r="E13" i="9"/>
  <c r="D12" i="9"/>
  <c r="F11" i="9"/>
  <c r="F10" i="9"/>
  <c r="E12" i="30" s="1"/>
  <c r="F11" i="26" s="1"/>
  <c r="G9" i="9"/>
  <c r="G8" i="9"/>
  <c r="C6" i="9"/>
  <c r="G6" i="9" s="1"/>
  <c r="C5" i="9"/>
  <c r="G3" i="9"/>
  <c r="J18" i="33" l="1"/>
  <c r="D16" i="9"/>
  <c r="D18" i="9" s="1"/>
  <c r="G11" i="9"/>
  <c r="F15" i="9"/>
  <c r="E13" i="30"/>
  <c r="F12" i="9"/>
  <c r="G5" i="9"/>
  <c r="C12" i="9"/>
  <c r="F7" i="2" s="1"/>
  <c r="E14" i="9"/>
  <c r="E15" i="9" s="1"/>
  <c r="G10" i="9"/>
  <c r="F20" i="33" l="1"/>
  <c r="E14" i="30"/>
  <c r="F12" i="26"/>
  <c r="F17" i="30"/>
  <c r="F19" i="30" s="1"/>
  <c r="H12" i="4"/>
  <c r="H11" i="4"/>
  <c r="F9" i="26" s="1"/>
  <c r="U15" i="7"/>
  <c r="H15" i="7"/>
  <c r="S15" i="7" s="1"/>
  <c r="G15" i="7"/>
  <c r="R15" i="7" s="1"/>
  <c r="T14" i="7"/>
  <c r="S14" i="7"/>
  <c r="AA14" i="7" s="1"/>
  <c r="R14" i="7"/>
  <c r="P14" i="7"/>
  <c r="O14" i="7"/>
  <c r="S13" i="7"/>
  <c r="AA13" i="7" s="1"/>
  <c r="R13" i="7"/>
  <c r="P13" i="7"/>
  <c r="O13" i="7"/>
  <c r="S12" i="7"/>
  <c r="R12" i="7"/>
  <c r="T12" i="7" s="1"/>
  <c r="P12" i="7"/>
  <c r="O12" i="7"/>
  <c r="S11" i="7"/>
  <c r="X11" i="7" s="1"/>
  <c r="X15" i="7" s="1"/>
  <c r="R11" i="7"/>
  <c r="W11" i="7" s="1"/>
  <c r="W15" i="7" s="1"/>
  <c r="P11" i="7"/>
  <c r="O11" i="7"/>
  <c r="S10" i="7"/>
  <c r="V10" i="7" s="1"/>
  <c r="R10" i="7"/>
  <c r="P10" i="7"/>
  <c r="O10" i="7"/>
  <c r="S9" i="7"/>
  <c r="V9" i="7" s="1"/>
  <c r="R9" i="7"/>
  <c r="Y9" i="7" s="1"/>
  <c r="P9" i="7"/>
  <c r="O9" i="7"/>
  <c r="S8" i="7"/>
  <c r="V8" i="7" s="1"/>
  <c r="R8" i="7"/>
  <c r="P8" i="7"/>
  <c r="O8" i="7"/>
  <c r="S7" i="7"/>
  <c r="Z7" i="7" s="1"/>
  <c r="R7" i="7"/>
  <c r="P7" i="7"/>
  <c r="O7" i="7"/>
  <c r="S6" i="7"/>
  <c r="V6" i="7" s="1"/>
  <c r="R6" i="7"/>
  <c r="Y6" i="7" s="1"/>
  <c r="Y15" i="7" s="1"/>
  <c r="P6" i="7"/>
  <c r="O6" i="7"/>
  <c r="C11" i="14" l="1"/>
  <c r="F10" i="26"/>
  <c r="L6" i="26" s="1"/>
  <c r="F21" i="33" s="1"/>
  <c r="L8" i="26"/>
  <c r="Z9" i="7"/>
  <c r="Z15" i="7" s="1"/>
  <c r="Q13" i="7"/>
  <c r="T15" i="7"/>
  <c r="Q6" i="7"/>
  <c r="Q8" i="7"/>
  <c r="Q11" i="7"/>
  <c r="Q7" i="7"/>
  <c r="Q12" i="7"/>
  <c r="Q9" i="7"/>
  <c r="Q10" i="7"/>
  <c r="V11" i="7"/>
  <c r="Q14" i="7"/>
  <c r="AA15" i="7"/>
  <c r="O15" i="7"/>
  <c r="V7" i="7"/>
  <c r="P15" i="7"/>
  <c r="F23" i="33" l="1"/>
  <c r="Q15" i="7"/>
  <c r="V15" i="7"/>
  <c r="H20" i="6"/>
  <c r="O20" i="6" s="1"/>
  <c r="G20" i="6"/>
  <c r="O19" i="6"/>
  <c r="S19" i="6" s="1"/>
  <c r="N19" i="6"/>
  <c r="L19" i="6"/>
  <c r="K19" i="6"/>
  <c r="O18" i="6"/>
  <c r="S18" i="6" s="1"/>
  <c r="N18" i="6"/>
  <c r="L18" i="6"/>
  <c r="K18" i="6"/>
  <c r="O17" i="6"/>
  <c r="N17" i="6"/>
  <c r="L17" i="6"/>
  <c r="K17" i="6"/>
  <c r="O16" i="6"/>
  <c r="N16" i="6"/>
  <c r="L16" i="6"/>
  <c r="K16" i="6"/>
  <c r="O15" i="6"/>
  <c r="T15" i="6" s="1"/>
  <c r="N15" i="6"/>
  <c r="R15" i="6" s="1"/>
  <c r="L15" i="6"/>
  <c r="K15" i="6"/>
  <c r="O14" i="6"/>
  <c r="T14" i="6" s="1"/>
  <c r="N14" i="6"/>
  <c r="R14" i="6" s="1"/>
  <c r="L14" i="6"/>
  <c r="K14" i="6"/>
  <c r="M14" i="6" s="1"/>
  <c r="O13" i="6"/>
  <c r="N13" i="6"/>
  <c r="Q13" i="6" s="1"/>
  <c r="Q20" i="6" s="1"/>
  <c r="L13" i="6"/>
  <c r="K13" i="6"/>
  <c r="O12" i="6"/>
  <c r="T12" i="6" s="1"/>
  <c r="N12" i="6"/>
  <c r="R12" i="6" s="1"/>
  <c r="L12" i="6"/>
  <c r="K12" i="6"/>
  <c r="O11" i="6"/>
  <c r="S11" i="6" s="1"/>
  <c r="N11" i="6"/>
  <c r="L11" i="6"/>
  <c r="K11" i="6"/>
  <c r="O10" i="6"/>
  <c r="T10" i="6" s="1"/>
  <c r="N10" i="6"/>
  <c r="R10" i="6" s="1"/>
  <c r="L10" i="6"/>
  <c r="K10" i="6"/>
  <c r="O9" i="6"/>
  <c r="N9" i="6"/>
  <c r="L9" i="6"/>
  <c r="K9" i="6"/>
  <c r="O8" i="6"/>
  <c r="N8" i="6"/>
  <c r="L8" i="6"/>
  <c r="K8" i="6"/>
  <c r="O7" i="6"/>
  <c r="S7" i="6" s="1"/>
  <c r="N7" i="6"/>
  <c r="L7" i="6"/>
  <c r="K7" i="6"/>
  <c r="O6" i="6"/>
  <c r="S6" i="6" s="1"/>
  <c r="N6" i="6"/>
  <c r="L6" i="6"/>
  <c r="M6" i="6" s="1"/>
  <c r="M9" i="6" l="1"/>
  <c r="M12" i="6"/>
  <c r="P6" i="6"/>
  <c r="M16" i="6"/>
  <c r="P16" i="6" s="1"/>
  <c r="M17" i="6"/>
  <c r="P17" i="6" s="1"/>
  <c r="M18" i="6"/>
  <c r="P18" i="6" s="1"/>
  <c r="M10" i="6"/>
  <c r="L20" i="6"/>
  <c r="M11" i="6"/>
  <c r="P11" i="6" s="1"/>
  <c r="M7" i="6"/>
  <c r="P7" i="6" s="1"/>
  <c r="M8" i="6"/>
  <c r="P8" i="6" s="1"/>
  <c r="T20" i="6"/>
  <c r="M13" i="6"/>
  <c r="P13" i="6" s="1"/>
  <c r="M15" i="6"/>
  <c r="P15" i="6" s="1"/>
  <c r="M19" i="6"/>
  <c r="P19" i="6" s="1"/>
  <c r="K20" i="6"/>
  <c r="S20" i="6"/>
  <c r="P9" i="6"/>
  <c r="N20" i="6"/>
  <c r="R20" i="6"/>
  <c r="M20" i="6" l="1"/>
  <c r="D13" i="14"/>
  <c r="P20" i="6"/>
  <c r="G20" i="4"/>
  <c r="J19" i="4"/>
  <c r="J18" i="4"/>
  <c r="J15" i="4"/>
  <c r="N15" i="4" s="1"/>
  <c r="J14" i="4"/>
  <c r="N14" i="4" s="1"/>
  <c r="J13" i="4"/>
  <c r="N13" i="4" s="1"/>
  <c r="J12" i="4"/>
  <c r="L12" i="4" s="1"/>
  <c r="H16" i="4"/>
  <c r="F14" i="26" s="1"/>
  <c r="J10" i="4"/>
  <c r="L10" i="4" s="1"/>
  <c r="K9" i="4"/>
  <c r="N9" i="4"/>
  <c r="J8" i="4"/>
  <c r="N8" i="4" s="1"/>
  <c r="J7" i="4"/>
  <c r="L7" i="4" s="1"/>
  <c r="J6" i="4"/>
  <c r="N6" i="4" s="1"/>
  <c r="K13" i="4" l="1"/>
  <c r="L15" i="4"/>
  <c r="L8" i="4"/>
  <c r="N20" i="4"/>
  <c r="L6" i="4"/>
  <c r="J16" i="4"/>
  <c r="H17" i="4"/>
  <c r="J11" i="4"/>
  <c r="L11" i="4" s="1"/>
  <c r="M15" i="4"/>
  <c r="G10" i="2"/>
  <c r="N5" i="3"/>
  <c r="M5" i="3"/>
  <c r="M6" i="3"/>
  <c r="M7" i="3"/>
  <c r="H8" i="3"/>
  <c r="F8" i="3"/>
  <c r="M8" i="3" s="1"/>
  <c r="K5" i="3"/>
  <c r="J6" i="3"/>
  <c r="J8" i="3" s="1"/>
  <c r="J9" i="2"/>
  <c r="J8" i="2"/>
  <c r="J7" i="2"/>
  <c r="J6" i="2"/>
  <c r="J5" i="2"/>
  <c r="H10" i="2"/>
  <c r="F10" i="2"/>
  <c r="K9" i="2"/>
  <c r="K8" i="2"/>
  <c r="K7" i="2"/>
  <c r="K6" i="2"/>
  <c r="K5" i="2"/>
  <c r="K6" i="3"/>
  <c r="M5" i="2" l="1"/>
  <c r="J17" i="4"/>
  <c r="L17" i="4" s="1"/>
  <c r="F15" i="26"/>
  <c r="G6" i="20"/>
  <c r="G13" i="20"/>
  <c r="H20" i="4"/>
  <c r="I7" i="3" s="1"/>
  <c r="M9" i="2"/>
  <c r="M7" i="2"/>
  <c r="M8" i="2"/>
  <c r="L20" i="4"/>
  <c r="M16" i="4"/>
  <c r="M20" i="4" s="1"/>
  <c r="L16" i="4"/>
  <c r="K16" i="4"/>
  <c r="K20" i="4" s="1"/>
  <c r="M6" i="2"/>
  <c r="O5" i="3"/>
  <c r="N6" i="3"/>
  <c r="O6" i="3" s="1"/>
  <c r="J10" i="2"/>
  <c r="K10" i="2"/>
  <c r="L9" i="26" l="1"/>
  <c r="F4" i="26"/>
  <c r="F16" i="26" s="1"/>
  <c r="J20" i="4"/>
  <c r="I8" i="3"/>
  <c r="K8" i="3" s="1"/>
  <c r="K7" i="3"/>
  <c r="N7" i="3"/>
  <c r="O7" i="3" s="1"/>
  <c r="M10" i="2"/>
  <c r="L12" i="26" l="1"/>
  <c r="F19" i="33" s="1"/>
  <c r="L13" i="26"/>
  <c r="L14" i="26" s="1"/>
  <c r="E17" i="20"/>
  <c r="N8" i="3"/>
  <c r="O8" i="3" s="1"/>
  <c r="E8" i="20" l="1"/>
  <c r="E15" i="20" s="1"/>
  <c r="D6" i="21" l="1"/>
  <c r="G8" i="20"/>
  <c r="G9" i="20"/>
  <c r="G12" i="20"/>
  <c r="G10" i="20" l="1"/>
  <c r="F15" i="20" l="1"/>
  <c r="F22" i="20" s="1"/>
  <c r="G7" i="20"/>
  <c r="G15" i="20" s="1"/>
  <c r="G22" i="20" s="1"/>
  <c r="E6" i="21" l="1"/>
  <c r="C6" i="14"/>
  <c r="F24" i="33" s="1"/>
  <c r="E9" i="21" l="1"/>
  <c r="I11" i="28" s="1"/>
  <c r="I21" i="28" s="1"/>
  <c r="F6" i="21"/>
  <c r="E16" i="20"/>
  <c r="E20" i="20" s="1"/>
  <c r="O16" i="26"/>
  <c r="C13" i="14"/>
  <c r="E21" i="20" l="1"/>
  <c r="E22" i="20" s="1"/>
  <c r="O16" i="20" s="1"/>
  <c r="D7" i="21"/>
  <c r="F25" i="33"/>
  <c r="D8" i="21" l="1"/>
  <c r="D13" i="21" s="1"/>
  <c r="H10" i="28" s="1"/>
  <c r="F28" i="33"/>
  <c r="F29" i="33" s="1"/>
  <c r="E35" i="20"/>
  <c r="E36" i="20" s="1"/>
  <c r="E37" i="20" s="1"/>
  <c r="E28" i="20"/>
  <c r="E29" i="20" s="1"/>
  <c r="E30" i="20" s="1"/>
  <c r="D9" i="21" l="1"/>
  <c r="F15" i="21" s="1"/>
  <c r="H15" i="21" s="1"/>
  <c r="F30" i="33"/>
  <c r="I30" i="33" s="1"/>
  <c r="H17" i="28"/>
  <c r="H15" i="28"/>
  <c r="H14" i="21" l="1"/>
  <c r="H13" i="21"/>
  <c r="H21" i="28"/>
  <c r="H23" i="28" s="1"/>
  <c r="H17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Gerami</author>
  </authors>
  <commentList>
    <comment ref="F2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از خرید انالیزر هفتکل
</t>
        </r>
      </text>
    </comment>
    <comment ref="E26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در ردیف19منظور شده است</t>
        </r>
      </text>
    </comment>
    <comment ref="E27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در ردیف19منظور شده است</t>
        </r>
      </text>
    </comment>
    <comment ref="E28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در ردیف19منظور شده است</t>
        </r>
      </text>
    </comment>
    <comment ref="E29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در ردیف19منظور شده است</t>
        </r>
      </text>
    </comment>
    <comment ref="E30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در ردیف19منظور شده است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Gerami</author>
  </authors>
  <commentList>
    <comment ref="F17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Gerami:
1- نرخ سازنده بر اساس دلار بود که به یورو تبدیل شد
2- سازند موتور برای ناحیه غیر هازارد پیشنهاد داد که مقداری برای موتور هازارد به ان اضافه شد.</t>
        </r>
      </text>
    </comment>
    <comment ref="J17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Gerami:</t>
        </r>
        <r>
          <rPr>
            <sz val="8"/>
            <color indexed="81"/>
            <rFont val="Tahoma"/>
            <family val="2"/>
          </rPr>
          <t xml:space="preserve">
Gerami:
1- نرخ سازنده بر اساس دلار بود که به یورو تبدیل شد
2- سازند موتور برای ناحیه غیر هازارد پیشنهاد داد که مقداری برای موتور هازارد به ان اضافه شد.</t>
        </r>
      </text>
    </comment>
  </commentList>
</comments>
</file>

<file path=xl/sharedStrings.xml><?xml version="1.0" encoding="utf-8"?>
<sst xmlns="http://schemas.openxmlformats.org/spreadsheetml/2006/main" count="880" uniqueCount="600">
  <si>
    <t>رديف</t>
  </si>
  <si>
    <r>
      <t xml:space="preserve">   </t>
    </r>
    <r>
      <rPr>
        <b/>
        <sz val="14"/>
        <color theme="1"/>
        <rFont val="B Nazanin"/>
        <charset val="178"/>
      </rPr>
      <t>توضیحات :</t>
    </r>
  </si>
  <si>
    <t>جمع</t>
  </si>
  <si>
    <t>مکانیک</t>
  </si>
  <si>
    <t>برق ومخابرات</t>
  </si>
  <si>
    <t>ایمنی</t>
  </si>
  <si>
    <t>لوازم یدکی و ترخیص</t>
  </si>
  <si>
    <t>بخش</t>
  </si>
  <si>
    <t xml:space="preserve">برآورد کلی بخش تهیه و خرید کالای مورد نیاز  کل پروژه (یورو - ریال) </t>
  </si>
  <si>
    <t>جمع کل برآورد جدید / ریال</t>
  </si>
  <si>
    <t>جمع کل برآورد قدیم / ریال</t>
  </si>
  <si>
    <t>مجموع بخش E</t>
  </si>
  <si>
    <t>مجموع بخش P</t>
  </si>
  <si>
    <t>مجموع بخش C</t>
  </si>
  <si>
    <t>در صد رشد ارزی/یورو</t>
  </si>
  <si>
    <t>درصد رشد ریالی</t>
  </si>
  <si>
    <t>در صد رشدکل برآورد جدید نسبت به قدیم در بخش کالا</t>
  </si>
  <si>
    <t>برآورد کل اولیه به ریال</t>
  </si>
  <si>
    <t>در صد رشد کل (ارزی + ریالی)</t>
  </si>
  <si>
    <t>خلاصه مالی کل کل پروژه</t>
  </si>
  <si>
    <t>برآورد کل جدید به ریال</t>
  </si>
  <si>
    <t xml:space="preserve">             جدول تفكيك قيمت بخش اجرايي (C)</t>
  </si>
  <si>
    <t>ردیف</t>
  </si>
  <si>
    <t>شرح</t>
  </si>
  <si>
    <t>مابه التفاوت قرارداد جديد و قديم به ريال</t>
  </si>
  <si>
    <t>افزايش اقلام  جديد/ریال</t>
  </si>
  <si>
    <t>تورم ساليانه  /ريال</t>
  </si>
  <si>
    <t>تغيير احجام/ ریال</t>
  </si>
  <si>
    <t>ضعف در برآورد اوليه/ریال</t>
  </si>
  <si>
    <t>ریال</t>
  </si>
  <si>
    <t>تجهيز كارگاه</t>
  </si>
  <si>
    <t>برچيدن كارگاه</t>
  </si>
  <si>
    <t>تسهيلات رفاهي گروه نظارت ، بازديدهاي داخلي و خارجي ، آموزش پرسنل در داخل</t>
  </si>
  <si>
    <t>انجام كارهاي اجرايي سيويل</t>
  </si>
  <si>
    <t>هزينه ايمني در كارگاه</t>
  </si>
  <si>
    <t>انجام كارهاي اجرايي نصب دستگاه ها</t>
  </si>
  <si>
    <t>انجام كارهاي اجرايي لوله كشي</t>
  </si>
  <si>
    <t>نصب دستگا ههاي ابزار دقيق داخل واحد</t>
  </si>
  <si>
    <t>نصب سيستم كنترل و دستگاه هاي ابزار دقيق داخل اتاق كنترل</t>
  </si>
  <si>
    <t>انجام كارهاي اجرايي برق و مخابرات</t>
  </si>
  <si>
    <t>انجام آزمايشات كليه كارهاي اجرايي (مكانيك،برق ،ابزار دقيق )</t>
  </si>
  <si>
    <t>راه اندازي و كاركرد 72 ساعته</t>
  </si>
  <si>
    <t>جمع کل :</t>
  </si>
  <si>
    <t>برآورد هزينه ايمني كارگاه پروژه مارون 3 بنگستان</t>
  </si>
  <si>
    <t>عنوان</t>
  </si>
  <si>
    <t>بهاي كل</t>
  </si>
  <si>
    <t>لوازم حفاظت فردي و تجهيزات</t>
  </si>
  <si>
    <t>سنجش و اندازه گيري(1)</t>
  </si>
  <si>
    <t>سنجش و اندازه گيري(2)</t>
  </si>
  <si>
    <t>اموزش</t>
  </si>
  <si>
    <t>نيروي انساني</t>
  </si>
  <si>
    <t>مجموع</t>
  </si>
  <si>
    <t>.</t>
  </si>
  <si>
    <t xml:space="preserve">             جدول تفكيكي تهيه  و خريد كالاي مورد نياز پروژه (يورو - ريال )-P- اقلام مکانیکی</t>
  </si>
  <si>
    <t xml:space="preserve">كل قرارداد قديم با نرخ تسعير زمان پيمان به    ريال </t>
  </si>
  <si>
    <t xml:space="preserve">كل قرارداد جديد با نرخ تسعير  پيمان جديد  به  ريال </t>
  </si>
  <si>
    <t>مقدار افزايش  يا كاهش ارزی</t>
  </si>
  <si>
    <t xml:space="preserve">       مقدار افزايش              يا كاهش ریالی</t>
  </si>
  <si>
    <t>نرخ تسعير ارز/یورو</t>
  </si>
  <si>
    <t>تغيير احجام/ یورو</t>
  </si>
  <si>
    <t>ضعف در برآورد اوليه/یورو</t>
  </si>
  <si>
    <t>یورو</t>
  </si>
  <si>
    <t xml:space="preserve">یورو </t>
  </si>
  <si>
    <t>الكترواستاتيك و ادوات مربوطه</t>
  </si>
  <si>
    <t>كوره ها و ادوات مربوطه</t>
  </si>
  <si>
    <t>مبدل نفت/نفت و مبدل آب/آب</t>
  </si>
  <si>
    <t>تلمبه ها</t>
  </si>
  <si>
    <t>شيرآلات و اتصالات، رنگ ها و لوله هاي داخل سايت و مواد شيميايي</t>
  </si>
  <si>
    <t>خريد لوله هاي بيرون سايت</t>
  </si>
  <si>
    <t>مخزن هاي اتمسفريك و تحت فشار</t>
  </si>
  <si>
    <t>سيستم پساب</t>
  </si>
  <si>
    <t>chemical injection and air compressor package</t>
  </si>
  <si>
    <t>Flares</t>
  </si>
  <si>
    <t>Ignitors</t>
  </si>
  <si>
    <t>Vacum Dearator Package</t>
  </si>
  <si>
    <t xml:space="preserve">سيستم HVAC </t>
  </si>
  <si>
    <t>جرثقيل هاي سقفي</t>
  </si>
  <si>
    <t xml:space="preserve">             جدول تفكيكي تهيه  و خريد كالاي مورد نياز پروژه (يورو - ريال )-P - اقلام برقي و مخابراتي</t>
  </si>
  <si>
    <t xml:space="preserve">       مقدار افزايش                     يا كاهش              ریالی</t>
  </si>
  <si>
    <t>افزايش اقلام  جديد/یورو</t>
  </si>
  <si>
    <t>تورم ساليانه/ريال</t>
  </si>
  <si>
    <t>تغيير احجام/ريال</t>
  </si>
  <si>
    <t>ضعف در برآورد اوليه/ريال</t>
  </si>
  <si>
    <t xml:space="preserve">اتصالات برق( شامل : گلندها‏، شرود ها ،جعبه هاي اتصال ، مفصلها و ...) و تجهیزات Earthing &amp; Lightning </t>
  </si>
  <si>
    <t>كابلهاي قدرت</t>
  </si>
  <si>
    <t>برجهاي روشنايي و پست هاي برق و خط انتقال</t>
  </si>
  <si>
    <t>دیزل ژنراتور و سیستم های DC&amp;UPS</t>
  </si>
  <si>
    <t>ترا نس های واحد بهره برداری</t>
  </si>
  <si>
    <t>تابلوهای واحد بهره برداری</t>
  </si>
  <si>
    <t>تغییرات(%)</t>
  </si>
  <si>
    <t>توضیحات</t>
  </si>
  <si>
    <t>ريال</t>
  </si>
  <si>
    <t>ادوات ابزار دقیق شامل : ترانسمیترها ، سوئیچ ها ، گیج ها و ...</t>
  </si>
  <si>
    <t xml:space="preserve"> - تبدیل نرخ   قیمت پایه از ریال به یورو بر اساس هر یورو 14120ریال.
- واقعی نبودن  برآورد اولیه واقعی  
مشخص نبودن  قیمت پایه و روش محاسبه در نظر گرفته شده جهت تجهیزات ابزاردقیق در مهندسی پایه</t>
  </si>
  <si>
    <t>شیرآلات ابزار شامل : شیر ON/OFF ، شیرهای کنترلی ، PSV ، PCV</t>
  </si>
  <si>
    <t>سيستم كنترل ( DCS )، ESD</t>
  </si>
  <si>
    <t xml:space="preserve"> - تبدیل نرخ   قیمت پایه از ریال به یورو بر اساس هر یورو 14120ریال.
- واقعی نبودن  برآورد اولیه واقعی 
عدم در نظر گرفتن سیستم کنترل واحد بهره برداری در محاسبات
- افزایش هزینه های تامین سیستم FCS ناشی از تحریمها 
- محدود شدن سازندگان سیستم FCS از سوی اداره اسانداردها</t>
  </si>
  <si>
    <t>سیستم F&amp;G</t>
  </si>
  <si>
    <t>سیستم CCTV و حفاظت پیرامونی</t>
  </si>
  <si>
    <t xml:space="preserve"> در محاسبات جدید هزینه های سیستم حفاظت پیرامونی ومشخصات مورد نیاز اداره حراست در نظر گرفته شده است</t>
  </si>
  <si>
    <t>اقلام بالک ابزار دقیق</t>
  </si>
  <si>
    <t>تغییر نرخ ارز 
مشخص نبودن  قیمت پایه و روش محاسبه در نظر گرفته شده جهت تجهیزات ابزاردقیق در مهندسی پایه</t>
  </si>
  <si>
    <t>کابلهای ابزار دقیق و ملحقات شامل : گلند سینی و ...</t>
  </si>
  <si>
    <t xml:space="preserve">تغییر نرخ ارز 
تغییر روش محاسبه کارهای اجرایی
%5  قیمت کل تجهیزات </t>
  </si>
  <si>
    <t xml:space="preserve">جمع كل </t>
  </si>
  <si>
    <t>اجرا</t>
  </si>
  <si>
    <t>در صد نسبت به برآورد كل</t>
  </si>
  <si>
    <t>در صد رشد ناشي از افزايش قيمت ها</t>
  </si>
  <si>
    <t>تغييرات ناشي از افزايش ابعاد ساختمان ها ، افزايش مسير خط انتقال برق و بخشي از عمليات خاكي به علت جابجايي زمين پروژه</t>
  </si>
  <si>
    <t>تغييرات جديد ناشي از جابجايي زمين پروژه شامل جمع آوري دو عدد حوضچه تبخير موجود در زمين پروژه ، احداث دو عدد حوضچه تبخير جديد مازاد بر حوضچه تبخير اصلي پروژه جديد ،احداث ساختمان work shop ، احداث سايبان پمپ هاي آب آتش نشاني و خريد و نصب سيستم بسته تصفيه فاضلاب</t>
  </si>
  <si>
    <t>برآورد كارهاي موجود در كتابچه قديم طبق فهرست بهاء سال 92 رشته ابنيه</t>
  </si>
  <si>
    <t>كل برآورد بخش سيويل</t>
  </si>
  <si>
    <t xml:space="preserve">              برگ خلاصه برآورد بخش سيويل </t>
  </si>
  <si>
    <t>شـرح</t>
  </si>
  <si>
    <t>مساحت</t>
  </si>
  <si>
    <t>مبلغ بدون ضریب(ریال)</t>
  </si>
  <si>
    <t>ضریب بالاسری</t>
  </si>
  <si>
    <t>قیمت نهایی(ریال)</t>
  </si>
  <si>
    <t>قيمت هاي اضافه شده</t>
  </si>
  <si>
    <t>DEAERATED WATER PUMP SHELTER</t>
  </si>
  <si>
    <t>279متر مربع</t>
  </si>
  <si>
    <t>جديد</t>
  </si>
  <si>
    <t>CHEMICAL STORAGE</t>
  </si>
  <si>
    <t>336متر مربع</t>
  </si>
  <si>
    <t xml:space="preserve"> 136متر مربع اضافه شده</t>
  </si>
  <si>
    <t xml:space="preserve">  PUMPS SHELTER</t>
  </si>
  <si>
    <t>647متر مربع</t>
  </si>
  <si>
    <t>487مترمربع اضافه شده</t>
  </si>
  <si>
    <t>CHEMICAL INJECTION PACKAGE</t>
  </si>
  <si>
    <t>223متر مربع</t>
  </si>
  <si>
    <t>63متر  مربع اضافه شده</t>
  </si>
  <si>
    <t>EMERGENCY GENERATOR &amp; AIR COMPRESSOR ROOM</t>
  </si>
  <si>
    <t>208متر مربع</t>
  </si>
  <si>
    <t>48مترمربع اضافه شده</t>
  </si>
  <si>
    <t>FIRE EXTINGUISHER SHELTER</t>
  </si>
  <si>
    <t>16متر مربع</t>
  </si>
  <si>
    <t>FIRE WATER PUMPS SHELTER</t>
  </si>
  <si>
    <t>344متر مربع</t>
  </si>
  <si>
    <t>PARKING SHELTER</t>
  </si>
  <si>
    <t>214متر مربع</t>
  </si>
  <si>
    <t>CONTROL ROOM BUILDING</t>
  </si>
  <si>
    <t>22m*31m</t>
  </si>
  <si>
    <t>WORKSHOP BUILDING</t>
  </si>
  <si>
    <t xml:space="preserve"> دو طبقه (11m*20m)</t>
  </si>
  <si>
    <t xml:space="preserve"> MV-LV SWITCH ROOM</t>
  </si>
  <si>
    <t>22m*30m</t>
  </si>
  <si>
    <t>660متر مربع</t>
  </si>
  <si>
    <t xml:space="preserve">جمع آوري و بسترسازي حوضچه هاي موجود </t>
  </si>
  <si>
    <t>45000متر مربع</t>
  </si>
  <si>
    <t xml:space="preserve">EVAPORATION POUND </t>
  </si>
  <si>
    <t>125m*175m</t>
  </si>
  <si>
    <t>22000متر مربع</t>
  </si>
  <si>
    <t>EVAPORATION POUND</t>
  </si>
  <si>
    <t xml:space="preserve"> 90m*90m &amp; 80m*70m</t>
  </si>
  <si>
    <t>14000متر مربع</t>
  </si>
  <si>
    <t>FENCE</t>
  </si>
  <si>
    <t>حدود سه کیلومتر</t>
  </si>
  <si>
    <t>عملیات خاکی سایت</t>
  </si>
  <si>
    <t>280m*220m</t>
  </si>
  <si>
    <t>62000متر مربع</t>
  </si>
  <si>
    <t>60%اضافه شده</t>
  </si>
  <si>
    <t>احداث جاده با بلوار وسط یک متری</t>
  </si>
  <si>
    <t>2500متر</t>
  </si>
  <si>
    <t>50%اضافه شده</t>
  </si>
  <si>
    <t>فونداسیون دکل برق</t>
  </si>
  <si>
    <t>25عدد</t>
  </si>
  <si>
    <t>5كيلومتر</t>
  </si>
  <si>
    <t>خريد و نصب سيستم بسته تصفيه فاضلاب</t>
  </si>
  <si>
    <t xml:space="preserve"> 15مترمكعب در روز</t>
  </si>
  <si>
    <t>مقطوع</t>
  </si>
  <si>
    <t>عملیات خاکی Hot,cold Flare ,burn pit</t>
  </si>
  <si>
    <t>60m*60m</t>
  </si>
  <si>
    <t>3عدد</t>
  </si>
  <si>
    <t>GUARD HOUSE</t>
  </si>
  <si>
    <t>14m*7m</t>
  </si>
  <si>
    <t>HC CLOSE DRAIN</t>
  </si>
  <si>
    <t>15m*15m</t>
  </si>
  <si>
    <t>225متر مربع</t>
  </si>
  <si>
    <t>کالورتها</t>
  </si>
  <si>
    <t>ده عدد</t>
  </si>
  <si>
    <t>پل باکس بتنی</t>
  </si>
  <si>
    <t>هشت عدد با دهانه 7متری</t>
  </si>
  <si>
    <t>آسفالت دور تا دور سایت</t>
  </si>
  <si>
    <t>1800متر</t>
  </si>
  <si>
    <t>ترنچ با درپوش بتنی</t>
  </si>
  <si>
    <t>دویست متر</t>
  </si>
  <si>
    <t>کانال آبهای سطحی</t>
  </si>
  <si>
    <t>OILY WTER SEPARATOR</t>
  </si>
  <si>
    <t>12m*6m</t>
  </si>
  <si>
    <t>75متر مربع</t>
  </si>
  <si>
    <t>MANHOLE</t>
  </si>
  <si>
    <t>بیست عدد</t>
  </si>
  <si>
    <t>PIPE TRACK</t>
  </si>
  <si>
    <t>450m</t>
  </si>
  <si>
    <t>جدول کاری</t>
  </si>
  <si>
    <t>هزار متر دو ردیف</t>
  </si>
  <si>
    <t>ساپورت اچ خط لوله 6 اینچ آب</t>
  </si>
  <si>
    <t>3500متر</t>
  </si>
  <si>
    <t>فونداسیون مخزن</t>
  </si>
  <si>
    <t>5عدد</t>
  </si>
  <si>
    <t>شن ریزی سایت به ضخامت 10 سانتیمتر</t>
  </si>
  <si>
    <t>مسیر خط لوله RTP</t>
  </si>
  <si>
    <t>8 km</t>
  </si>
  <si>
    <t>فونداسیون روشنایی جاده</t>
  </si>
  <si>
    <t>50عدد</t>
  </si>
  <si>
    <t>عملیات اجرایی در واحد بهره برداری</t>
  </si>
  <si>
    <t>خريد و نصب پكيج تصفيه آب آشاميدني</t>
  </si>
  <si>
    <t>ظرفيت 5ليتر در دقيقه</t>
  </si>
  <si>
    <t>هزينه هاي نقشه برداري پروژه</t>
  </si>
  <si>
    <t>هزينه مطالعات ژئوتكنيك تكميلي</t>
  </si>
  <si>
    <t xml:space="preserve"> درختكاري و ايجاد فضاي سبز</t>
  </si>
  <si>
    <t>5هزارمترمربع</t>
  </si>
  <si>
    <t>احداث جاده هاي دسترسي ، جمع آوري فنس موجود ،اجراي  پلتفورم ها ،استقرار آزمايشگاه مكانيك خاك ، استقرار بچينگ ، كمپ پيمانكاران و...</t>
  </si>
  <si>
    <t xml:space="preserve">مجموع برآورد كل </t>
  </si>
  <si>
    <t>برآورد كل منهاي اضافه شده ها</t>
  </si>
  <si>
    <t xml:space="preserve">             جدول تفكيكي خدمات مهندسي (E)</t>
  </si>
  <si>
    <t>دليل افزايش /ريال</t>
  </si>
  <si>
    <t>نيروي انساني نفر ساعت</t>
  </si>
  <si>
    <t>بهاي واحد ريال</t>
  </si>
  <si>
    <t>بازنگري مطالعات مهندسي پايه</t>
  </si>
  <si>
    <t>تورم ساليانه</t>
  </si>
  <si>
    <t>بخش فرآيند و ايمني</t>
  </si>
  <si>
    <t>بخش كارهاي سيويل و سازه</t>
  </si>
  <si>
    <t>افزايش اقلام  جديد 10درصد
تورم ساليانه 90درصد</t>
  </si>
  <si>
    <t>بخش كارهاي مكانيكال و HVAC</t>
  </si>
  <si>
    <t>بخش كارهاي لوله كشي و خطوط لوله</t>
  </si>
  <si>
    <t>بخش كارهاي برقي و مخابرات</t>
  </si>
  <si>
    <t>بخش كارهاي ابزار دقيق</t>
  </si>
  <si>
    <t>ساير هزينه هاي مهندسي</t>
  </si>
  <si>
    <t>نرخ ازاد یورو</t>
  </si>
  <si>
    <t>اتاق ارز</t>
  </si>
  <si>
    <t>هزینه واحد بدون ضریب</t>
  </si>
  <si>
    <t>هزینه کل بدون ضریب</t>
  </si>
  <si>
    <t>خرید</t>
  </si>
  <si>
    <t>DESCRIPTION</t>
  </si>
  <si>
    <t>size</t>
  </si>
  <si>
    <t>Qty.</t>
  </si>
  <si>
    <t>Rls</t>
  </si>
  <si>
    <t>Euro</t>
  </si>
  <si>
    <t>Safety</t>
  </si>
  <si>
    <t xml:space="preserve"> WATER HYDRANT</t>
  </si>
  <si>
    <t>6"</t>
  </si>
  <si>
    <t xml:space="preserve"> WATER HYDRANT WITH MONITOR</t>
  </si>
  <si>
    <t>OS&amp;Y GATE VALVE-ISOLATING VALVE</t>
  </si>
  <si>
    <t>12"</t>
  </si>
  <si>
    <t xml:space="preserve">DELUGE VALVE </t>
  </si>
  <si>
    <t>4"</t>
  </si>
  <si>
    <t>DRY POWDER PORTABLE FIRE EXTINGUISHER</t>
  </si>
  <si>
    <t>12 KG</t>
  </si>
  <si>
    <t>DRY POWDER WHELEED FIRE EXTINGUISHER</t>
  </si>
  <si>
    <t>75 KG</t>
  </si>
  <si>
    <t>CO2 PORTABLE FIRE EXTINGUISHER</t>
  </si>
  <si>
    <t>5 KG</t>
  </si>
  <si>
    <t>CO2 WHEELD FIRE EXTINGUISHER</t>
  </si>
  <si>
    <t>30 KG</t>
  </si>
  <si>
    <t>SAFETY SHOWER &amp; EYE WASH</t>
  </si>
  <si>
    <t>-</t>
  </si>
  <si>
    <t>WIND SOCK</t>
  </si>
  <si>
    <t>HOSE REEL</t>
  </si>
  <si>
    <t>FIRST AID KIT</t>
  </si>
  <si>
    <t>EMERGENCY EQUIPMENT BOX</t>
  </si>
  <si>
    <t>EMERGENCY BREATING APPARATUS WITH MASK</t>
  </si>
  <si>
    <t>FIRE MAN CABINET</t>
  </si>
  <si>
    <t>STRETCHER</t>
  </si>
  <si>
    <t>CO2 TOTAL FLOODING SYSTEM</t>
  </si>
  <si>
    <t>FIRE SHED EQUIPMENT INCLUDING :
 100 lit foam drums, 3% FP (5 NOS.),
 Fire Hose, 25 m (10 NOS.)
 Foam Nozzle 10X (2 NOS.)
 Water Nozzle, 450 lpm (Fog/Jet/Stop) (5 NOS.))
12 kg portable powder fire extinguisher (6 NOS.)
75 kg Wheeled powder fire extinguisher (2 NOS.)
5 kg portable CO2 fire extinguisher (2 NOS.)
In Line Inductor, 450 lpm with pick up tube (2 NOS.)
Drum Wrench (1 NO.)
Hose Bridge (1 NO.)</t>
  </si>
  <si>
    <t>FIRE DOSE SYSTEM</t>
  </si>
  <si>
    <t>9 LIT WATER EXTINGUISHER</t>
  </si>
  <si>
    <t>WATER SPRAY SYSTEM</t>
  </si>
  <si>
    <t>SAFETY SIGN</t>
  </si>
  <si>
    <t>AXE</t>
  </si>
  <si>
    <t>RECHARGEABLE FLASHLIGHT (EXPLOSION PROOF)</t>
  </si>
  <si>
    <t>EMERGENCY BREATHING APPARATUS WITH AIR MASTER</t>
  </si>
  <si>
    <t>BREATHING RECOVERY DEVICE</t>
  </si>
  <si>
    <t>کالای ریالی</t>
  </si>
  <si>
    <t>موارد جدید</t>
  </si>
  <si>
    <t>تخمین ریالی</t>
  </si>
  <si>
    <t>خدمات فنی سازندگان</t>
  </si>
  <si>
    <t>ساخت گودال محل جمع آوری و حوضچه های تبخیر</t>
  </si>
  <si>
    <t>سال مبنا</t>
  </si>
  <si>
    <t xml:space="preserve"> تورم ريالي</t>
  </si>
  <si>
    <t xml:space="preserve"> تورم ارزي</t>
  </si>
  <si>
    <t>یورو به ریال</t>
  </si>
  <si>
    <t>یورو به دلار</t>
  </si>
  <si>
    <t>درصد هزینه ترخیص</t>
  </si>
  <si>
    <t>ساخت ، تجهیز و نگهداری کمپ استراحتگاه کارفرما</t>
  </si>
  <si>
    <t>استحکام سازی زمین به جهت ناپایداری به طریق شمع کوبی</t>
  </si>
  <si>
    <t xml:space="preserve">خرید اقلام آزمایشگاه </t>
  </si>
  <si>
    <t>Laboratory</t>
  </si>
  <si>
    <t>Microwave Digestion System</t>
  </si>
  <si>
    <t>Ion Meter</t>
  </si>
  <si>
    <t>Oxygen  Meter</t>
  </si>
  <si>
    <t>Barometer</t>
  </si>
  <si>
    <t>Oil Test Centrifuge</t>
  </si>
  <si>
    <t>Dual Extraction Apparatus</t>
  </si>
  <si>
    <t>Evaporator Mantless (500 cc)</t>
  </si>
  <si>
    <t>Water Still For Douuble Distillation</t>
  </si>
  <si>
    <t>Ph Meter</t>
  </si>
  <si>
    <t>Balance</t>
  </si>
  <si>
    <t>R.V.P Automatic</t>
  </si>
  <si>
    <t>Thermostatic  Water Baths</t>
  </si>
  <si>
    <t>Density/Visco Meter</t>
  </si>
  <si>
    <t>Oxygen Meter</t>
  </si>
  <si>
    <t>Baro Meter</t>
  </si>
  <si>
    <t>Salt In Crude Analyzer</t>
  </si>
  <si>
    <t>H2S Analyzer For The Determination Of H2S in Fuel Oil</t>
  </si>
  <si>
    <t>Industrial Hood (complete set with valves , sinks , exhoust , etc)</t>
  </si>
  <si>
    <t>Sink (Chemically resistant with attachments)</t>
  </si>
  <si>
    <t>(item19)</t>
  </si>
  <si>
    <t>Industrial cupboards(floor &amp; wall mounted)</t>
  </si>
  <si>
    <t>Safty shower &amp; eyewash</t>
  </si>
  <si>
    <t>Exhaust Fan(Wall mounted)</t>
  </si>
  <si>
    <t>Ice Maker</t>
  </si>
  <si>
    <t>ارزی</t>
  </si>
  <si>
    <t>هزينه ريالي</t>
  </si>
  <si>
    <t>انجام مهندسي تفصيلي</t>
  </si>
  <si>
    <t>هزينه حمل كالاي داخلي و خارجي</t>
  </si>
  <si>
    <t>هزينه بيمه كالاي داخلي و خارجي</t>
  </si>
  <si>
    <t>هزينه بازرسي كالاي داخلي و خارجي</t>
  </si>
  <si>
    <t>تجهيز و برچيدن كارگاه</t>
  </si>
  <si>
    <t>تسهيلات مورد نياز كارفرما</t>
  </si>
  <si>
    <t xml:space="preserve">برآورد مالي كل </t>
  </si>
  <si>
    <t>برآورد هزينه</t>
  </si>
  <si>
    <t>منشا هزينه</t>
  </si>
  <si>
    <t>A1
خدمات كارشناسي مشاور</t>
  </si>
  <si>
    <t>A2
خدمات جنبي مطالعات(نقشه برداري، توپوگرافي و اقلام تحويل شدني)</t>
  </si>
  <si>
    <t>D
هزينه هاي مستثني از ارزيابي مالي مشاور(بليت، اياب و ذهاب، اقامت، پذيرايي، پذیرایی كارفرما)</t>
  </si>
  <si>
    <t xml:space="preserve">هزینه رفع کمبودهای مهندسی پایه </t>
  </si>
  <si>
    <t xml:space="preserve">هزينه يورويي </t>
  </si>
  <si>
    <t>مهندسي</t>
  </si>
  <si>
    <t>تداركات كالا</t>
  </si>
  <si>
    <t>خريد و تامين كالا و تجهيزات</t>
  </si>
  <si>
    <t xml:space="preserve">بازديد از ساخت كالاي داخلي و خارجي </t>
  </si>
  <si>
    <t>خدمات فنی سازندگان در دوران نصب و راه اندازی</t>
  </si>
  <si>
    <t>هزينه ترخيص</t>
  </si>
  <si>
    <t>مجموع کالا</t>
  </si>
  <si>
    <t xml:space="preserve">نصب و اجرا </t>
  </si>
  <si>
    <t>عمليات نصب و راه اندازي با اعمال ضرايب فهرست بهاي 1402</t>
  </si>
  <si>
    <t>مجموع اجرا</t>
  </si>
  <si>
    <t>توسعه فناوري هاي سخت، توسعه قابليت هاي مديريتي و توسعه سهم داخل</t>
  </si>
  <si>
    <t>پکیج</t>
  </si>
  <si>
    <t>نفر روز</t>
  </si>
  <si>
    <t>نرخ نفر روز</t>
  </si>
  <si>
    <t>دیسالتر</t>
  </si>
  <si>
    <t>پکیج تزریق</t>
  </si>
  <si>
    <t>کمپرسور</t>
  </si>
  <si>
    <t>تابلو برق</t>
  </si>
  <si>
    <t>ترانش و دیزل و یوپی اس</t>
  </si>
  <si>
    <t>تابلو کنترل</t>
  </si>
  <si>
    <t>شیر ابزرا دقیق</t>
  </si>
  <si>
    <t>بالاسری</t>
  </si>
  <si>
    <t>ضريب تطبيق</t>
  </si>
  <si>
    <t>تعدیل</t>
  </si>
  <si>
    <t>کل ضرائب</t>
  </si>
  <si>
    <t>تجهیز کارگاه</t>
  </si>
  <si>
    <t>بروز رسانی</t>
  </si>
  <si>
    <t>منطقه ای مارون</t>
  </si>
  <si>
    <t>قیمت واحد جدید</t>
  </si>
  <si>
    <t>قیمت واحد 1402 نظام مهندسی</t>
  </si>
  <si>
    <t>جدول ضرائب  برای کارهای غیر ساختمانی</t>
  </si>
  <si>
    <t>جدول ضرائب برای ساختمان ها</t>
  </si>
  <si>
    <t>«خلاصه مالی دفترچه ها»</t>
  </si>
  <si>
    <t xml:space="preserve">شماره پیمان: </t>
  </si>
  <si>
    <t xml:space="preserve">نام دستگاه اجرایی: </t>
  </si>
  <si>
    <t xml:space="preserve">کد مدرک: </t>
  </si>
  <si>
    <t>پروژه: پروژه گودال نمک مارون3</t>
  </si>
  <si>
    <t xml:space="preserve">نام مهندس مشاور: </t>
  </si>
  <si>
    <t>تاریخ: 1402/05/16</t>
  </si>
  <si>
    <t>وضعیت: مبالغ دفترچه ها</t>
  </si>
  <si>
    <t>تجهیز به روش: درصدی از مبلغ باضرایب</t>
  </si>
  <si>
    <t>نوع ضریب: خالص</t>
  </si>
  <si>
    <t>عنوان دفترچه</t>
  </si>
  <si>
    <t>فهرست بها</t>
  </si>
  <si>
    <t>ستاره دار</t>
  </si>
  <si>
    <t>جمع برآوردی</t>
  </si>
  <si>
    <t>درصدی</t>
  </si>
  <si>
    <t>تجهیزباضرایب</t>
  </si>
  <si>
    <t>جمع برآوردی کل</t>
  </si>
  <si>
    <t>اقلام فاکتوری</t>
  </si>
  <si>
    <t>ابنیه</t>
  </si>
  <si>
    <t>دربرآورد نهایی لحاظ شده.</t>
  </si>
  <si>
    <t>در بخش C لحاظ شده.</t>
  </si>
  <si>
    <t>در بخشEلحاظ شده.</t>
  </si>
  <si>
    <t>در بخش P لحاظ شده.</t>
  </si>
  <si>
    <t>در برآورد نهای لحاظ شده.</t>
  </si>
  <si>
    <t>لوازم يدكي</t>
  </si>
  <si>
    <t>اجرای بخش ابزاردقیق (کمبودهای برآورد اولیه)</t>
  </si>
  <si>
    <t>کالای بخش ابزاردقیق (کمبودهای برآورد اولیه)</t>
  </si>
  <si>
    <t>ابزاردقیق</t>
  </si>
  <si>
    <t>نصب دستگاههاي ابزاردقيق داخل واحد</t>
  </si>
  <si>
    <t xml:space="preserve">نصب سيستم كنترل و دستگاههاي ابزاردقيق داخل اتاق كنترل </t>
  </si>
  <si>
    <t>جمع کل</t>
  </si>
  <si>
    <t>برای 6 ساختمان</t>
  </si>
  <si>
    <t>صاعقه گیر
(مربو ط به دوران شروع تا پایان پروژه)</t>
  </si>
  <si>
    <t>برای تمام ساختمان ها
و کانکس ها</t>
  </si>
  <si>
    <t>سیسم ارتینگ
(مربو ط به دوران شروع تا پایان پروژه)</t>
  </si>
  <si>
    <t>برای کلیه ی اتاق ها 
و اماکن سرپوشیده</t>
  </si>
  <si>
    <t>سیستم دودیاب و حسگرهای آن
(مربو ط به دوران شروع تا پایان پروژه)</t>
  </si>
  <si>
    <t>کپسول اطفا حریق 12Kg(نوعB)
(مربو ط به دوران شروع تا پایان پروژه)</t>
  </si>
  <si>
    <t>کپسول اطفا حریق 12Kg(نوعC)
(مربو ط به دوران شروع تا پایان پروژه)</t>
  </si>
  <si>
    <t>نوار محدوده خطر</t>
  </si>
  <si>
    <t>جعبه کمکهای لولیه با تجهیزات کامل</t>
  </si>
  <si>
    <t>لباس کار، کلاه و چکمه برای کارکان آشپزخانه و آبدارخانه ها</t>
  </si>
  <si>
    <t>علائم و تابلوهای هشدار دهنده ایمنی و آموزشی</t>
  </si>
  <si>
    <t>زنگ اعلام شرایط اضطراری</t>
  </si>
  <si>
    <t>ماسک فیلتر دار جهت رنگ آمیزی مخازن</t>
  </si>
  <si>
    <t>ماسک گرد و غبار استاندارد فیلتردار</t>
  </si>
  <si>
    <t>دستکش برق کار</t>
  </si>
  <si>
    <t>دستکش مواد شیمیایی</t>
  </si>
  <si>
    <t>دستکش ورق کار</t>
  </si>
  <si>
    <t>دستکش کارگر ساده</t>
  </si>
  <si>
    <t xml:space="preserve">کلاه ایمنی </t>
  </si>
  <si>
    <t>کمربند ایمنی</t>
  </si>
  <si>
    <t>کفش ایمنی</t>
  </si>
  <si>
    <t>لباس سند بلاست کار و تجهیزات مربوطه</t>
  </si>
  <si>
    <t>لباس جوشکار و تجهیزات مربوطه</t>
  </si>
  <si>
    <t>لباس کار</t>
  </si>
  <si>
    <t>بهای کل
(ریال)</t>
  </si>
  <si>
    <t>تعداد کل</t>
  </si>
  <si>
    <t>بهای واحد
(ریال)</t>
  </si>
  <si>
    <t>زمان کل پروژه
(ماه)</t>
  </si>
  <si>
    <t>زمان استفاده در هر دوره
(ماه)</t>
  </si>
  <si>
    <t>تعداد</t>
  </si>
  <si>
    <t xml:space="preserve">لوازم حفاظت فردی و تجهیزات </t>
  </si>
  <si>
    <t>برآورد هزینه ایمنی کارگاه پروژه مارون3 بنگستان</t>
  </si>
  <si>
    <t>7-گردو غبار 8- فیوم جوشکاری9- گازهای خروجی ماشین آلات10- آب آشامیدنی</t>
  </si>
  <si>
    <t>1- نور 2- صدا3- هوا 4- ارتعاش5 - استرس گرمایی6 - اشعه X-UV-IR</t>
  </si>
  <si>
    <t xml:space="preserve"> اندازه‌گیری آلاینده‌های فیزیکی، شیمیایی وارگونومیکی در محیط کار شامل:</t>
  </si>
  <si>
    <t>بهاي كل(ريال)</t>
  </si>
  <si>
    <t>تعداد دفعات اندازه‌گيري در كل زمان پروژه</t>
  </si>
  <si>
    <t>كل زمان پروژه (سال)</t>
  </si>
  <si>
    <t>بهای اندازه گیری درهر دوره(ريال)</t>
  </si>
  <si>
    <t>سنجش و اندازه گیری(1)</t>
  </si>
  <si>
    <t>8</t>
  </si>
  <si>
    <t xml:space="preserve"> انجام آزمایشات دوره ای طب صنعتی برای پرسنل آبدارخانه و آشپزخانه</t>
  </si>
  <si>
    <t>بهاي كل (ريال)</t>
  </si>
  <si>
    <t>دفعات انجام آزمايشات در كل زمان پروژه</t>
  </si>
  <si>
    <t>كل زمان پروژه (ماه)</t>
  </si>
  <si>
    <t>بهای انجام آزمايشات براي هر نفر(ريال)</t>
  </si>
  <si>
    <t>تعداد نفرات</t>
  </si>
  <si>
    <t>سنجش و اندازه گیری(2)</t>
  </si>
  <si>
    <t>برآورد هزينه ايمني در كارگاه پروژه مارون3 بنگستان</t>
  </si>
  <si>
    <t>کارشناس IMS
جهت مستندسازی فرآیندهای مربوطه و کارهای داکیومنتی</t>
  </si>
  <si>
    <t>کارشناس HSE
جهت سایت ویزیت و نظارت بر انجام ایمن کارها</t>
  </si>
  <si>
    <t>جمع (ريال)</t>
  </si>
  <si>
    <t>زمان كل پروژه (ماه)</t>
  </si>
  <si>
    <t>مقدار حقوق ماهانه
(ریال)</t>
  </si>
  <si>
    <t>واحد/ نفر</t>
  </si>
  <si>
    <t>نیروی انسانی</t>
  </si>
  <si>
    <t>انبارداری و رعایت اصول مربوطه</t>
  </si>
  <si>
    <t>ایمنی جوشکاری،برشکاری و عملیات سندبلاست</t>
  </si>
  <si>
    <t>اورژانس،کمک های اولیه و ارگونومی و مدیریت بحران</t>
  </si>
  <si>
    <t>ایمنی کار با پرتوها و اشعه ها</t>
  </si>
  <si>
    <t>کنترل عملیات HSE،IMSوپرمیت ها</t>
  </si>
  <si>
    <t>آشنایی با OHSAS18001</t>
  </si>
  <si>
    <t>آشنایی با استانداردهای ISO14001</t>
  </si>
  <si>
    <t>آشنایی با استانداردهای ISO9001وTS29001</t>
  </si>
  <si>
    <t>آتش نشانی و اطفا حریق</t>
  </si>
  <si>
    <t>ایمنی برق و برق صنعتی،صاعقه و رعد و برق و سیستم های ارتینگ</t>
  </si>
  <si>
    <t>ایمنی داربست ها ،کار در ارتفاع،بالابرها،جرثقیل و لیفتراک ها</t>
  </si>
  <si>
    <t>MSDS و کار با مواد شیمیایی</t>
  </si>
  <si>
    <t>بهاي دوره (ريال)</t>
  </si>
  <si>
    <t>زمان دوره (روز)</t>
  </si>
  <si>
    <t>تعداد دوره در كل زمان پروژه</t>
  </si>
  <si>
    <t>مدت زمان پروژه (سال)</t>
  </si>
  <si>
    <t>تعداد دوره در سال</t>
  </si>
  <si>
    <t>سر فصل دوره ها</t>
  </si>
  <si>
    <t>آموزش</t>
  </si>
  <si>
    <t xml:space="preserve">کل هزینه کارگاهی مارون 3 بنگستان </t>
  </si>
  <si>
    <t>بخش EPC</t>
  </si>
  <si>
    <t>ساخت و اجرا</t>
  </si>
  <si>
    <t>پرداخت هزینه های در تعهد کارفرما جدول شماره 3 بند (ب)</t>
  </si>
  <si>
    <t>پرداخت هزینه های در تعهد کارفرما جدول شماره 4بند (ب)</t>
  </si>
  <si>
    <t>پرداخت هزینه های متفرقه و هزینه های تبعی(تامین مالی ) جدول 5 بند(ب)</t>
  </si>
  <si>
    <t>هزینه تعدیل ریالی سال دوم و سوم 20% به ازای هرسال</t>
  </si>
  <si>
    <t>هزینه تعدیل ارزی سال دوم و سوم 20% به ازای هرسال</t>
  </si>
  <si>
    <t xml:space="preserve">هزینه های سرپرستی </t>
  </si>
  <si>
    <t xml:space="preserve">هزینه خدمات درون واحدی </t>
  </si>
  <si>
    <t>هزینه کل پروژه</t>
  </si>
  <si>
    <t xml:space="preserve"> هزینه های متفرقه ، درتعهد کارفرما و هزینه های تبعی(تامین مالی )</t>
  </si>
  <si>
    <t>دلار</t>
  </si>
  <si>
    <t>feed</t>
  </si>
  <si>
    <t>کالای بخش مكانيك (کمبودهای برآورد اولیه)</t>
  </si>
  <si>
    <t>شرح فعاليت ها</t>
  </si>
  <si>
    <t>يورو</t>
  </si>
  <si>
    <t>تابلوها</t>
  </si>
  <si>
    <t>اتصالات برق (شامل گلندها، شرودها، جعبه هاي اتصال، مفصلها و ...)</t>
  </si>
  <si>
    <t>ترانسفورماتورها، دستگاههاي شارژر صنعتي، UPS صنعتي و دیزل ژنراتور</t>
  </si>
  <si>
    <t xml:space="preserve">پایه ها و برجهاي روشنائي و سایر ملحقات و ادوات روشنایی </t>
  </si>
  <si>
    <t>خط انتقال برق شامل کابل ، پایه ها و یراق آلات</t>
  </si>
  <si>
    <t>جمع كل  بدون حمل و يدكي</t>
  </si>
  <si>
    <t>وسايل و تجهيزات مخابرات، و پیجینگ</t>
  </si>
  <si>
    <t>CORRECTION</t>
  </si>
  <si>
    <t>جدول خلاصه مالی تفكيكي تهيه و خريد كالاي برق و مخابرات مورد نياز پروژه گچساران4</t>
  </si>
  <si>
    <t>مارون 3</t>
  </si>
  <si>
    <t>گچساران4</t>
  </si>
  <si>
    <t xml:space="preserve"> 77میلیارد -افزایش طول خط انتقال</t>
  </si>
  <si>
    <t>مارون3</t>
  </si>
  <si>
    <t>ratio maron/gach4</t>
  </si>
  <si>
    <t>percentage added</t>
  </si>
  <si>
    <t>برآورد نهایی سال 1402</t>
  </si>
  <si>
    <t>وسايل و تجهيزات مخابرات و پيجينگ</t>
  </si>
  <si>
    <t>ترانس های واحد نمکزدایی و بهر برداری،دیزل ژنراتور و دستگاه های شارژر صنعتی،UPS و دیزل ژنراتور</t>
  </si>
  <si>
    <t>تابلو ها(نمکزدایی و بهره برداری)</t>
  </si>
  <si>
    <t>جدول تفكيكي تهيه  و خريد كالاي مورد نياز پروژه (يورو - ريال ) - اقلام برق و مخابرات</t>
  </si>
  <si>
    <t xml:space="preserve">تسهيلات رفاهي کارفرما </t>
  </si>
  <si>
    <t>ساخت و تجهیز و نگهداری کمپ کارفرما</t>
  </si>
  <si>
    <t>تست و راه اندازی</t>
  </si>
  <si>
    <t>ساخت و نگهداری کمپ کارفرما</t>
  </si>
  <si>
    <t>تسهیلات رفاهی کارفرما</t>
  </si>
  <si>
    <t>سویل و معماری</t>
  </si>
  <si>
    <t>ریالی</t>
  </si>
  <si>
    <t xml:space="preserve">انجام مهندسی تقضیلی </t>
  </si>
  <si>
    <t xml:space="preserve">کالا و مواد </t>
  </si>
  <si>
    <t>فناوری</t>
  </si>
  <si>
    <t>Feed</t>
  </si>
  <si>
    <t>feed / یورو</t>
  </si>
  <si>
    <t>1392 /یورو</t>
  </si>
  <si>
    <t>feed/ ریال</t>
  </si>
  <si>
    <t>1392 /ریال</t>
  </si>
  <si>
    <t>ساخت و تجهیز كمپ كارفرما و نگهداري از آن در طول پروژه</t>
  </si>
  <si>
    <t>كتابچه های نهایی و مدارك كالا</t>
  </si>
  <si>
    <t>هزينه هاي عمومي و مديريت پروژه</t>
  </si>
  <si>
    <t xml:space="preserve">درصد سود پیمانکار EPC </t>
  </si>
  <si>
    <t>هزينه دلار</t>
  </si>
  <si>
    <t xml:space="preserve">کل به ریال </t>
  </si>
  <si>
    <t>کل به یورو</t>
  </si>
  <si>
    <t>هزینه هر بشکه به یورو</t>
  </si>
  <si>
    <t>كوره ها و ادوات مربوطه ( نفت و آب)</t>
  </si>
  <si>
    <t>اجرای ابزار دقیق ریال</t>
  </si>
  <si>
    <t xml:space="preserve"> برچیدن کارگاه پیمانکار</t>
  </si>
  <si>
    <t>تجهیز کارگاه پیمانکار</t>
  </si>
  <si>
    <t>هزینه تهیه کتابجه های نهایی</t>
  </si>
  <si>
    <r>
      <t xml:space="preserve">            </t>
    </r>
    <r>
      <rPr>
        <b/>
        <sz val="14"/>
        <color theme="1"/>
        <rFont val="B Nazanin"/>
        <charset val="178"/>
      </rPr>
      <t xml:space="preserve"> جدول تفكيكي تهيه  و خريد كالاي مورد نياز پروژه (يورو - ريال )-P- اقلام مکانیکی</t>
    </r>
  </si>
  <si>
    <t>ذخیره احتیاطی</t>
  </si>
  <si>
    <t>سیستم پساب ( IGF )</t>
  </si>
  <si>
    <t>سیستم پساب (  فیلتر)</t>
  </si>
  <si>
    <t xml:space="preserve">برآورد مالي پروژه احدث واحد نمک زدایی مارون 3 بنگستان </t>
  </si>
  <si>
    <t>اقلام آزمایشگاه</t>
  </si>
  <si>
    <t>ارزی (یورو)</t>
  </si>
  <si>
    <t>FEED/ یورو</t>
  </si>
  <si>
    <t>FEED / ریال</t>
  </si>
  <si>
    <t>یورو 1392</t>
  </si>
  <si>
    <t>ریال 1392</t>
  </si>
  <si>
    <t xml:space="preserve"> FEED مارون 3</t>
  </si>
  <si>
    <t xml:space="preserve"> پیش بینی هزینه اضافه کاری 25%</t>
  </si>
  <si>
    <t xml:space="preserve">300m*150m </t>
  </si>
  <si>
    <t>ضریب  بالاسری</t>
  </si>
  <si>
    <t xml:space="preserve">اعتبار مصوب به ریال </t>
  </si>
  <si>
    <t>اعبار مصوب ( ریال و ارز)</t>
  </si>
  <si>
    <t>افزایش اعتبار مورد نیاز (ارز و ریال)</t>
  </si>
  <si>
    <t xml:space="preserve">نرخ تسعیر ارز سال 93 </t>
  </si>
  <si>
    <t>جمع هزینه های پرداختی ردیف (1،2و3)</t>
  </si>
  <si>
    <t>اجرای بخش مكانيك (کمبودهای برآورد اولیه)</t>
  </si>
  <si>
    <t>بهای کل</t>
  </si>
  <si>
    <t>مجموع اجرا و فناوری</t>
  </si>
  <si>
    <t xml:space="preserve">ایمنی </t>
  </si>
  <si>
    <t>مهندسي(  E )</t>
  </si>
  <si>
    <t>تداركات كالا ( P )</t>
  </si>
  <si>
    <t>خريد و تامين كالاو تجهيزات</t>
  </si>
  <si>
    <t>خرید کالای مکانیک و لوله کشی</t>
  </si>
  <si>
    <t>خرید کالای برق</t>
  </si>
  <si>
    <t>خرید کالای ابزاردقیق</t>
  </si>
  <si>
    <t>جمع خرید کالا و تجهیزات</t>
  </si>
  <si>
    <t xml:space="preserve">بازديد از ساخت كالاي  داخلي و خارجي </t>
  </si>
  <si>
    <t>هزینه ترخیص</t>
  </si>
  <si>
    <t>جمع کل تدارکات کالا</t>
  </si>
  <si>
    <t>نصب و اجرا  (  C )</t>
  </si>
  <si>
    <t>عمليات نصب و راه اندازي با اعمال ضرايب  (بر مبنای سه ماهه چهارم سال 1401 )</t>
  </si>
  <si>
    <t>بخش سیویل و معماری</t>
  </si>
  <si>
    <t>بخش مکانیک و لوله کشی</t>
  </si>
  <si>
    <t>بخش برق</t>
  </si>
  <si>
    <t>بخش ابزاردقیق</t>
  </si>
  <si>
    <t>جمع کل عملیات نصب و راه اندازی</t>
  </si>
  <si>
    <t xml:space="preserve"> ساختمان كمپ كارفرما و نگهداري از آن در طول پروژه</t>
  </si>
  <si>
    <t>جمع کل عملیات نصب و اجرا</t>
  </si>
  <si>
    <t xml:space="preserve">هزینه لوازم یدکی </t>
  </si>
  <si>
    <t>هزینه کتابچه های نهایی</t>
  </si>
  <si>
    <t>هزینه سازندگان در دوره راه اندازی</t>
  </si>
  <si>
    <t>توسعه فناوري هاي سخت، توسعه قابليت هاي مديريتي
 و توسعه سهم داخل</t>
  </si>
  <si>
    <t>برآورد مالي پروژه احداث واحد نمکزدایی مارون 3 بنگستان برمبنای پیوست 1</t>
  </si>
  <si>
    <t>تجهیز و برچيدن كارگاه</t>
  </si>
  <si>
    <t>تجهيز  كارگاه و برچیدن کارگاه</t>
  </si>
  <si>
    <t>کمبود برآورد راه اندازی و تست 72 ساعته</t>
  </si>
  <si>
    <t>مدیریت پروژه</t>
  </si>
  <si>
    <t>RFCC EPC</t>
  </si>
  <si>
    <t>هزينه ارزی(یورو)</t>
  </si>
  <si>
    <t>درصد گچساران 4</t>
  </si>
  <si>
    <t>درصد مارون 3</t>
  </si>
  <si>
    <t>گچساران 3</t>
  </si>
  <si>
    <t>بی بی حکیمه 1</t>
  </si>
  <si>
    <t xml:space="preserve">خلاصه مالی کل پروژه 1402 </t>
  </si>
  <si>
    <t>برآورد ابزار دقیق بر اساس 1405</t>
  </si>
  <si>
    <t>برآورد نهایی سال 1405</t>
  </si>
  <si>
    <t>قیمت نهایی(ریال) 1405</t>
  </si>
  <si>
    <t>کلیه نرخ ها در این بخش 1405 میباشند .</t>
  </si>
  <si>
    <t>اجرای پروژه مارون 3 بنگستان 1405</t>
  </si>
  <si>
    <t>کالای پروژه مارون 3 بنگستان 1405</t>
  </si>
  <si>
    <t xml:space="preserve">خلاصه مالی کل کل پروژه 1405 </t>
  </si>
  <si>
    <t>برآورد مالی پروژه مارون 3 بنگستان بر اسال مبانی FR سال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</si>
</sst>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 ;[Red]\-#,##0\ "/>
    <numFmt numFmtId="167" formatCode="[$£-809]#,##0"/>
    <numFmt numFmtId="168" formatCode="0.0%"/>
    <numFmt numFmtId="169" formatCode="#,##0\ [$€-484]"/>
    <numFmt numFmtId="170" formatCode="[$€-413]\ #,##0_-"/>
    <numFmt numFmtId="171" formatCode="#,##0.00_-"/>
    <numFmt numFmtId="172" formatCode="_-* #,##0_-;_-* #,##0\-;_-* &quot;-&quot;_-;_-@_-"/>
    <numFmt numFmtId="173" formatCode="#,##0.000_-"/>
    <numFmt numFmtId="174" formatCode="_ * #,##0.00_-[$ريال-429]_ ;_ * #,##0.00\-[$ريال-429]_ ;_ * &quot;-&quot;??_-[$ريال-429]_ ;_ @_ "/>
    <numFmt numFmtId="175" formatCode="_(* #,##0_);_(* \(#,##0\);_(* &quot;-&quot;??_);_(@_)"/>
    <numFmt numFmtId="176" formatCode="0.0"/>
  </numFmts>
  <fonts count="7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b/>
      <sz val="11"/>
      <name val="B Nazanin"/>
      <charset val="178"/>
    </font>
    <font>
      <b/>
      <sz val="10"/>
      <color theme="1"/>
      <name val="B Nazanin"/>
      <charset val="178"/>
    </font>
    <font>
      <b/>
      <sz val="10"/>
      <name val="B Nazanin"/>
      <charset val="178"/>
    </font>
    <font>
      <b/>
      <sz val="22"/>
      <color theme="1"/>
      <name val="B Nazanin"/>
      <charset val="178"/>
    </font>
    <font>
      <sz val="12"/>
      <color theme="1"/>
      <name val="B Nazanin"/>
      <charset val="178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B Nazanin"/>
      <charset val="178"/>
    </font>
    <font>
      <b/>
      <sz val="12"/>
      <color theme="1"/>
      <name val="Calibri"/>
      <family val="2"/>
      <charset val="178"/>
      <scheme val="minor"/>
    </font>
    <font>
      <b/>
      <sz val="12"/>
      <color rgb="FFFF0000"/>
      <name val="B Nazanin"/>
      <charset val="178"/>
    </font>
    <font>
      <b/>
      <sz val="12"/>
      <name val="B Nazanin"/>
      <charset val="178"/>
    </font>
    <font>
      <b/>
      <sz val="16"/>
      <color theme="1"/>
      <name val="B Nazanin"/>
      <charset val="178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name val="B Roya"/>
      <charset val="178"/>
    </font>
    <font>
      <b/>
      <sz val="12"/>
      <name val="B Roya"/>
      <charset val="178"/>
    </font>
    <font>
      <sz val="10"/>
      <name val="B Roya"/>
      <charset val="178"/>
    </font>
    <font>
      <b/>
      <sz val="14"/>
      <name val="B Roya"/>
      <charset val="178"/>
    </font>
    <font>
      <sz val="11"/>
      <name val="B Mitra"/>
      <charset val="178"/>
    </font>
    <font>
      <sz val="16"/>
      <name val="B Roya"/>
      <charset val="178"/>
    </font>
    <font>
      <sz val="14"/>
      <name val="B Roya"/>
      <charset val="178"/>
    </font>
    <font>
      <sz val="11"/>
      <name val="B Roya"/>
      <charset val="178"/>
    </font>
    <font>
      <sz val="12"/>
      <name val="B Roya"/>
      <charset val="178"/>
    </font>
    <font>
      <b/>
      <sz val="10"/>
      <name val="B Roya"/>
      <charset val="178"/>
    </font>
    <font>
      <b/>
      <sz val="14"/>
      <color rgb="FFFF0000"/>
      <name val="B Roya"/>
      <charset val="178"/>
    </font>
    <font>
      <b/>
      <sz val="18"/>
      <color rgb="FFFF0000"/>
      <name val="B Roya"/>
      <charset val="178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MS Sans Serif"/>
      <family val="2"/>
    </font>
    <font>
      <b/>
      <sz val="12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indexed="8"/>
      <name val="2  Lotus"/>
      <charset val="178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4"/>
      <color theme="1"/>
      <name val="Calibri"/>
      <family val="2"/>
      <scheme val="minor"/>
    </font>
    <font>
      <sz val="9"/>
      <color theme="1"/>
      <name val="Tahoma"/>
      <family val="2"/>
    </font>
    <font>
      <sz val="14"/>
      <color rgb="FFFF0000"/>
      <name val="B Nazanin"/>
      <charset val="178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FA Nazanin"/>
      <charset val="178"/>
    </font>
    <font>
      <sz val="10"/>
      <color theme="1"/>
      <name val="FA Nazanin"/>
      <charset val="178"/>
    </font>
    <font>
      <b/>
      <sz val="14"/>
      <color theme="1"/>
      <name val="Calibri"/>
      <family val="2"/>
      <scheme val="minor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2"/>
      <color rgb="FF3F3F76"/>
      <name val="B Nazanin"/>
      <charset val="178"/>
    </font>
    <font>
      <sz val="14"/>
      <color rgb="FF000000"/>
      <name val="B Nazanin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  <font>
      <sz val="11"/>
      <color rgb="FFFF0000"/>
      <name val="Calibri"/>
      <family val="2"/>
      <scheme val="minor"/>
    </font>
    <font>
      <sz val="20"/>
      <color theme="1"/>
      <name val="B Nazanin"/>
      <charset val="178"/>
    </font>
    <font>
      <sz val="14"/>
      <name val="B Nazanin"/>
      <charset val="178"/>
    </font>
    <font>
      <sz val="20"/>
      <name val="B Nazanin"/>
      <charset val="178"/>
    </font>
    <font>
      <b/>
      <sz val="10"/>
      <color theme="1"/>
      <name val="Calibri"/>
      <family val="2"/>
      <scheme val="minor"/>
    </font>
    <font>
      <b/>
      <sz val="16"/>
      <name val="Arial"/>
      <family val="2"/>
    </font>
    <font>
      <b/>
      <sz val="18"/>
      <name val="B Nazanin"/>
      <charset val="178"/>
    </font>
    <font>
      <sz val="12"/>
      <color theme="1"/>
      <name val="Calibri"/>
      <family val="2"/>
      <charset val="178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9" fillId="0" borderId="0"/>
    <xf numFmtId="164" fontId="19" fillId="0" borderId="0" applyFont="0" applyFill="0" applyBorder="0" applyAlignment="0" applyProtection="0"/>
    <xf numFmtId="0" fontId="12" fillId="0" borderId="0"/>
    <xf numFmtId="0" fontId="34" fillId="0" borderId="0"/>
    <xf numFmtId="0" fontId="36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/>
    <xf numFmtId="170" fontId="34" fillId="0" borderId="0"/>
    <xf numFmtId="0" fontId="1" fillId="0" borderId="0"/>
    <xf numFmtId="0" fontId="34" fillId="0" borderId="0"/>
    <xf numFmtId="164" fontId="3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2" fillId="24" borderId="90" applyNumberFormat="0" applyAlignment="0" applyProtection="0"/>
    <xf numFmtId="164" fontId="1" fillId="0" borderId="0" applyFont="0" applyFill="0" applyBorder="0" applyAlignment="0" applyProtection="0"/>
  </cellStyleXfs>
  <cellXfs count="99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3" borderId="6" xfId="0" applyFont="1" applyFill="1" applyBorder="1" applyAlignment="1">
      <alignment horizontal="center" vertical="center" wrapText="1"/>
    </xf>
    <xf numFmtId="164" fontId="3" fillId="0" borderId="6" xfId="1" applyFont="1" applyBorder="1" applyAlignment="1">
      <alignment horizontal="center" vertical="center"/>
    </xf>
    <xf numFmtId="165" fontId="8" fillId="0" borderId="1" xfId="1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65" fontId="9" fillId="3" borderId="6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 wrapText="1"/>
    </xf>
    <xf numFmtId="165" fontId="4" fillId="0" borderId="26" xfId="0" applyNumberFormat="1" applyFont="1" applyBorder="1"/>
    <xf numFmtId="165" fontId="11" fillId="0" borderId="26" xfId="0" applyNumberFormat="1" applyFont="1" applyBorder="1"/>
    <xf numFmtId="165" fontId="4" fillId="0" borderId="26" xfId="0" applyNumberFormat="1" applyFont="1" applyBorder="1" applyAlignment="1">
      <alignment horizontal="center" vertical="center"/>
    </xf>
    <xf numFmtId="165" fontId="0" fillId="0" borderId="0" xfId="0" applyNumberFormat="1"/>
    <xf numFmtId="165" fontId="4" fillId="4" borderId="26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5" fontId="4" fillId="4" borderId="1" xfId="1" applyNumberFormat="1" applyFont="1" applyFill="1" applyBorder="1" applyAlignment="1">
      <alignment wrapText="1"/>
    </xf>
    <xf numFmtId="0" fontId="3" fillId="0" borderId="27" xfId="0" applyFont="1" applyBorder="1" applyAlignment="1">
      <alignment horizontal="center" vertical="center"/>
    </xf>
    <xf numFmtId="165" fontId="4" fillId="2" borderId="28" xfId="1" applyNumberFormat="1" applyFont="1" applyFill="1" applyBorder="1" applyAlignment="1">
      <alignment horizontal="center" vertical="center"/>
    </xf>
    <xf numFmtId="165" fontId="4" fillId="5" borderId="28" xfId="1" applyNumberFormat="1" applyFont="1" applyFill="1" applyBorder="1" applyAlignment="1">
      <alignment horizontal="center" vertical="center"/>
    </xf>
    <xf numFmtId="165" fontId="4" fillId="6" borderId="28" xfId="1" applyNumberFormat="1" applyFont="1" applyFill="1" applyBorder="1" applyAlignment="1">
      <alignment horizontal="center" vertical="center"/>
    </xf>
    <xf numFmtId="165" fontId="4" fillId="4" borderId="28" xfId="1" applyNumberFormat="1" applyFont="1" applyFill="1" applyBorder="1" applyAlignment="1">
      <alignment horizontal="center" vertical="center" wrapText="1"/>
    </xf>
    <xf numFmtId="165" fontId="4" fillId="4" borderId="29" xfId="1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4" fillId="4" borderId="1" xfId="1" applyNumberFormat="1" applyFont="1" applyFill="1" applyBorder="1" applyAlignment="1">
      <alignment horizontal="center" vertical="center"/>
    </xf>
    <xf numFmtId="165" fontId="15" fillId="0" borderId="26" xfId="0" applyNumberFormat="1" applyFont="1" applyBorder="1"/>
    <xf numFmtId="165" fontId="16" fillId="4" borderId="1" xfId="1" applyNumberFormat="1" applyFont="1" applyFill="1" applyBorder="1" applyAlignment="1">
      <alignment horizontal="center" vertical="center"/>
    </xf>
    <xf numFmtId="165" fontId="17" fillId="6" borderId="1" xfId="1" applyNumberFormat="1" applyFont="1" applyFill="1" applyBorder="1" applyAlignment="1">
      <alignment horizontal="center" vertical="center"/>
    </xf>
    <xf numFmtId="165" fontId="16" fillId="4" borderId="26" xfId="1" applyNumberFormat="1" applyFont="1" applyFill="1" applyBorder="1" applyAlignment="1">
      <alignment horizontal="center" vertical="center" wrapText="1"/>
    </xf>
    <xf numFmtId="165" fontId="17" fillId="4" borderId="1" xfId="1" applyNumberFormat="1" applyFont="1" applyFill="1" applyBorder="1" applyAlignment="1">
      <alignment horizontal="center" vertical="center"/>
    </xf>
    <xf numFmtId="165" fontId="4" fillId="4" borderId="28" xfId="1" applyNumberFormat="1" applyFont="1" applyFill="1" applyBorder="1" applyAlignment="1">
      <alignment horizontal="center" vertical="center"/>
    </xf>
    <xf numFmtId="165" fontId="16" fillId="4" borderId="28" xfId="1" applyNumberFormat="1" applyFont="1" applyFill="1" applyBorder="1" applyAlignment="1">
      <alignment horizontal="center" vertical="center"/>
    </xf>
    <xf numFmtId="165" fontId="17" fillId="4" borderId="28" xfId="1" applyNumberFormat="1" applyFont="1" applyFill="1" applyBorder="1" applyAlignment="1">
      <alignment horizontal="center" vertical="center"/>
    </xf>
    <xf numFmtId="165" fontId="16" fillId="4" borderId="29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center"/>
    </xf>
    <xf numFmtId="165" fontId="4" fillId="4" borderId="26" xfId="1" applyNumberFormat="1" applyFont="1" applyFill="1" applyBorder="1" applyAlignment="1">
      <alignment horizontal="center" vertical="center"/>
    </xf>
    <xf numFmtId="165" fontId="4" fillId="4" borderId="29" xfId="1" applyNumberFormat="1" applyFont="1" applyFill="1" applyBorder="1" applyAlignment="1">
      <alignment horizontal="center" vertical="center"/>
    </xf>
    <xf numFmtId="0" fontId="20" fillId="0" borderId="0" xfId="3" applyFont="1" applyAlignment="1">
      <alignment horizontal="center" vertical="center" wrapText="1" shrinkToFit="1" readingOrder="2"/>
    </xf>
    <xf numFmtId="0" fontId="20" fillId="0" borderId="1" xfId="3" applyFont="1" applyBorder="1" applyAlignment="1">
      <alignment horizontal="center" vertical="center" wrapText="1" shrinkToFit="1" readingOrder="2"/>
    </xf>
    <xf numFmtId="0" fontId="19" fillId="0" borderId="0" xfId="3" applyAlignment="1">
      <alignment horizontal="center" vertical="center" wrapText="1" shrinkToFit="1" readingOrder="2"/>
    </xf>
    <xf numFmtId="0" fontId="21" fillId="0" borderId="1" xfId="3" applyFont="1" applyBorder="1" applyAlignment="1">
      <alignment horizontal="center" vertical="center" wrapText="1" shrinkToFit="1" readingOrder="2"/>
    </xf>
    <xf numFmtId="0" fontId="21" fillId="8" borderId="1" xfId="3" applyFont="1" applyFill="1" applyBorder="1" applyAlignment="1">
      <alignment horizontal="center" vertical="center" wrapText="1" shrinkToFit="1" readingOrder="2"/>
    </xf>
    <xf numFmtId="3" fontId="20" fillId="0" borderId="1" xfId="3" applyNumberFormat="1" applyFont="1" applyBorder="1" applyAlignment="1">
      <alignment horizontal="center" vertical="center" wrapText="1" shrinkToFit="1" readingOrder="2"/>
    </xf>
    <xf numFmtId="3" fontId="20" fillId="8" borderId="1" xfId="3" applyNumberFormat="1" applyFont="1" applyFill="1" applyBorder="1" applyAlignment="1">
      <alignment horizontal="center" vertical="center" wrapText="1" shrinkToFit="1" readingOrder="2"/>
    </xf>
    <xf numFmtId="0" fontId="20" fillId="0" borderId="1" xfId="3" applyFont="1" applyBorder="1" applyAlignment="1">
      <alignment horizontal="right" vertical="center" wrapText="1" shrinkToFit="1" readingOrder="2"/>
    </xf>
    <xf numFmtId="3" fontId="20" fillId="9" borderId="1" xfId="3" applyNumberFormat="1" applyFont="1" applyFill="1" applyBorder="1" applyAlignment="1">
      <alignment horizontal="center" vertical="center" wrapText="1" shrinkToFit="1" readingOrder="2"/>
    </xf>
    <xf numFmtId="0" fontId="21" fillId="5" borderId="1" xfId="3" applyFont="1" applyFill="1" applyBorder="1" applyAlignment="1">
      <alignment horizontal="center" vertical="center" wrapText="1" shrinkToFit="1" readingOrder="2"/>
    </xf>
    <xf numFmtId="0" fontId="20" fillId="5" borderId="1" xfId="3" applyFont="1" applyFill="1" applyBorder="1" applyAlignment="1">
      <alignment horizontal="center" vertical="center" wrapText="1" shrinkToFit="1" readingOrder="2"/>
    </xf>
    <xf numFmtId="3" fontId="20" fillId="5" borderId="1" xfId="3" applyNumberFormat="1" applyFont="1" applyFill="1" applyBorder="1" applyAlignment="1">
      <alignment horizontal="center" vertical="center" wrapText="1" shrinkToFit="1" readingOrder="2"/>
    </xf>
    <xf numFmtId="0" fontId="20" fillId="5" borderId="1" xfId="3" applyFont="1" applyFill="1" applyBorder="1" applyAlignment="1">
      <alignment horizontal="right" vertical="center" wrapText="1" shrinkToFit="1" readingOrder="2"/>
    </xf>
    <xf numFmtId="0" fontId="19" fillId="5" borderId="0" xfId="3" applyFill="1" applyAlignment="1">
      <alignment horizontal="center" vertical="center" wrapText="1" shrinkToFit="1" readingOrder="2"/>
    </xf>
    <xf numFmtId="3" fontId="20" fillId="10" borderId="1" xfId="3" applyNumberFormat="1" applyFont="1" applyFill="1" applyBorder="1" applyAlignment="1">
      <alignment horizontal="center" vertical="center" wrapText="1" shrinkToFit="1" readingOrder="2"/>
    </xf>
    <xf numFmtId="3" fontId="20" fillId="11" borderId="1" xfId="3" applyNumberFormat="1" applyFont="1" applyFill="1" applyBorder="1" applyAlignment="1">
      <alignment horizontal="center" vertical="center" wrapText="1" shrinkToFit="1" readingOrder="2"/>
    </xf>
    <xf numFmtId="0" fontId="19" fillId="0" borderId="0" xfId="3"/>
    <xf numFmtId="0" fontId="17" fillId="2" borderId="22" xfId="3" applyFont="1" applyFill="1" applyBorder="1" applyAlignment="1">
      <alignment horizontal="center" vertical="center" wrapText="1"/>
    </xf>
    <xf numFmtId="0" fontId="17" fillId="2" borderId="23" xfId="3" applyFont="1" applyFill="1" applyBorder="1" applyAlignment="1">
      <alignment horizontal="center" vertical="center" wrapText="1"/>
    </xf>
    <xf numFmtId="2" fontId="17" fillId="2" borderId="24" xfId="3" applyNumberFormat="1" applyFont="1" applyFill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165" fontId="17" fillId="0" borderId="1" xfId="4" applyNumberFormat="1" applyFont="1" applyBorder="1" applyAlignment="1">
      <alignment horizontal="center" vertical="center"/>
    </xf>
    <xf numFmtId="2" fontId="17" fillId="0" borderId="1" xfId="3" applyNumberFormat="1" applyFont="1" applyBorder="1" applyAlignment="1">
      <alignment horizontal="center" vertical="center"/>
    </xf>
    <xf numFmtId="2" fontId="17" fillId="0" borderId="26" xfId="3" applyNumberFormat="1" applyFont="1" applyBorder="1" applyAlignment="1">
      <alignment horizontal="center" vertical="center"/>
    </xf>
    <xf numFmtId="165" fontId="17" fillId="0" borderId="1" xfId="4" applyNumberFormat="1" applyFont="1" applyBorder="1" applyAlignment="1">
      <alignment horizontal="center" vertical="center" wrapText="1"/>
    </xf>
    <xf numFmtId="1" fontId="17" fillId="0" borderId="26" xfId="3" applyNumberFormat="1" applyFont="1" applyBorder="1" applyAlignment="1">
      <alignment horizontal="center" vertical="center"/>
    </xf>
    <xf numFmtId="0" fontId="17" fillId="0" borderId="27" xfId="3" applyFont="1" applyBorder="1" applyAlignment="1">
      <alignment horizontal="center" vertical="center" wrapText="1"/>
    </xf>
    <xf numFmtId="165" fontId="17" fillId="0" borderId="28" xfId="3" applyNumberFormat="1" applyFont="1" applyBorder="1" applyAlignment="1">
      <alignment horizontal="center" vertical="center"/>
    </xf>
    <xf numFmtId="165" fontId="17" fillId="0" borderId="28" xfId="4" applyNumberFormat="1" applyFont="1" applyBorder="1" applyAlignment="1">
      <alignment horizontal="center" vertical="center"/>
    </xf>
    <xf numFmtId="1" fontId="17" fillId="0" borderId="28" xfId="3" applyNumberFormat="1" applyFont="1" applyBorder="1" applyAlignment="1">
      <alignment horizontal="center" vertical="center"/>
    </xf>
    <xf numFmtId="2" fontId="17" fillId="0" borderId="29" xfId="3" applyNumberFormat="1" applyFont="1" applyBorder="1" applyAlignment="1">
      <alignment horizontal="center" vertical="center"/>
    </xf>
    <xf numFmtId="0" fontId="19" fillId="0" borderId="0" xfId="3" applyAlignment="1">
      <alignment horizontal="center"/>
    </xf>
    <xf numFmtId="0" fontId="23" fillId="0" borderId="47" xfId="3" applyFont="1" applyBorder="1"/>
    <xf numFmtId="0" fontId="24" fillId="0" borderId="48" xfId="3" applyFont="1" applyBorder="1"/>
    <xf numFmtId="0" fontId="24" fillId="0" borderId="0" xfId="3" applyFont="1"/>
    <xf numFmtId="0" fontId="24" fillId="0" borderId="3" xfId="3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0" fontId="25" fillId="0" borderId="5" xfId="3" applyFont="1" applyBorder="1" applyAlignment="1">
      <alignment horizontal="center" vertical="center"/>
    </xf>
    <xf numFmtId="0" fontId="25" fillId="0" borderId="5" xfId="3" applyFont="1" applyBorder="1" applyAlignment="1">
      <alignment horizontal="center"/>
    </xf>
    <xf numFmtId="0" fontId="24" fillId="0" borderId="2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3" fontId="25" fillId="0" borderId="1" xfId="3" applyNumberFormat="1" applyFont="1" applyBorder="1" applyAlignment="1">
      <alignment horizontal="center" vertical="center"/>
    </xf>
    <xf numFmtId="4" fontId="25" fillId="0" borderId="1" xfId="3" applyNumberFormat="1" applyFont="1" applyBorder="1" applyAlignment="1">
      <alignment horizontal="center" vertical="center"/>
    </xf>
    <xf numFmtId="3" fontId="25" fillId="0" borderId="6" xfId="3" applyNumberFormat="1" applyFont="1" applyBorder="1" applyAlignment="1">
      <alignment horizontal="center" vertical="center"/>
    </xf>
    <xf numFmtId="165" fontId="25" fillId="12" borderId="6" xfId="4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3" fillId="0" borderId="0" xfId="3" applyFont="1" applyAlignment="1">
      <alignment horizontal="right" shrinkToFit="1"/>
    </xf>
    <xf numFmtId="165" fontId="23" fillId="0" borderId="0" xfId="4" applyNumberFormat="1" applyFont="1"/>
    <xf numFmtId="0" fontId="23" fillId="0" borderId="0" xfId="3" applyFont="1" applyAlignment="1">
      <alignment shrinkToFit="1"/>
    </xf>
    <xf numFmtId="0" fontId="27" fillId="0" borderId="35" xfId="3" applyFont="1" applyBorder="1" applyAlignment="1">
      <alignment horizontal="center" vertical="center"/>
    </xf>
    <xf numFmtId="3" fontId="25" fillId="0" borderId="35" xfId="3" applyNumberFormat="1" applyFont="1" applyBorder="1" applyAlignment="1">
      <alignment horizontal="center" vertical="center"/>
    </xf>
    <xf numFmtId="4" fontId="25" fillId="0" borderId="35" xfId="3" applyNumberFormat="1" applyFont="1" applyBorder="1" applyAlignment="1">
      <alignment horizontal="center" vertical="center"/>
    </xf>
    <xf numFmtId="3" fontId="25" fillId="0" borderId="36" xfId="3" applyNumberFormat="1" applyFont="1" applyBorder="1" applyAlignment="1">
      <alignment horizontal="center" vertical="center"/>
    </xf>
    <xf numFmtId="0" fontId="30" fillId="0" borderId="0" xfId="3" applyFont="1"/>
    <xf numFmtId="0" fontId="24" fillId="0" borderId="0" xfId="3" applyFont="1" applyAlignment="1">
      <alignment horizontal="center" vertical="center"/>
    </xf>
    <xf numFmtId="0" fontId="31" fillId="0" borderId="0" xfId="3" applyFont="1" applyAlignment="1">
      <alignment vertical="center"/>
    </xf>
    <xf numFmtId="0" fontId="31" fillId="0" borderId="0" xfId="3" applyFont="1"/>
    <xf numFmtId="0" fontId="23" fillId="0" borderId="0" xfId="3" applyFont="1"/>
    <xf numFmtId="0" fontId="12" fillId="0" borderId="0" xfId="5" applyAlignment="1">
      <alignment horizontal="center"/>
    </xf>
    <xf numFmtId="166" fontId="35" fillId="0" borderId="37" xfId="6" applyNumberFormat="1" applyFont="1" applyBorder="1" applyAlignment="1">
      <alignment horizontal="center" vertical="center"/>
    </xf>
    <xf numFmtId="167" fontId="35" fillId="0" borderId="38" xfId="7" applyNumberFormat="1" applyFont="1" applyBorder="1" applyAlignment="1">
      <alignment horizontal="center" vertical="center"/>
    </xf>
    <xf numFmtId="0" fontId="12" fillId="0" borderId="0" xfId="5"/>
    <xf numFmtId="166" fontId="35" fillId="0" borderId="41" xfId="6" applyNumberFormat="1" applyFont="1" applyBorder="1" applyAlignment="1">
      <alignment horizontal="center" vertical="center"/>
    </xf>
    <xf numFmtId="166" fontId="35" fillId="0" borderId="42" xfId="6" applyNumberFormat="1" applyFont="1" applyBorder="1" applyAlignment="1">
      <alignment horizontal="center" vertical="center"/>
    </xf>
    <xf numFmtId="0" fontId="12" fillId="0" borderId="0" xfId="5" applyAlignment="1">
      <alignment horizontal="left"/>
    </xf>
    <xf numFmtId="0" fontId="12" fillId="0" borderId="1" xfId="5" applyBorder="1" applyAlignment="1">
      <alignment horizontal="center"/>
    </xf>
    <xf numFmtId="166" fontId="37" fillId="0" borderId="1" xfId="6" applyNumberFormat="1" applyFont="1" applyBorder="1" applyAlignment="1">
      <alignment horizontal="center" vertical="center"/>
    </xf>
    <xf numFmtId="49" fontId="38" fillId="5" borderId="1" xfId="5" applyNumberFormat="1" applyFont="1" applyFill="1" applyBorder="1" applyAlignment="1">
      <alignment horizontal="left" vertical="center" wrapText="1"/>
    </xf>
    <xf numFmtId="0" fontId="39" fillId="0" borderId="1" xfId="5" applyFont="1" applyBorder="1" applyAlignment="1">
      <alignment horizontal="right" vertical="center"/>
    </xf>
    <xf numFmtId="0" fontId="40" fillId="0" borderId="1" xfId="5" applyFont="1" applyBorder="1" applyAlignment="1">
      <alignment vertical="center"/>
    </xf>
    <xf numFmtId="0" fontId="40" fillId="0" borderId="1" xfId="5" applyFont="1" applyBorder="1" applyAlignment="1">
      <alignment horizontal="center" vertical="center"/>
    </xf>
    <xf numFmtId="3" fontId="41" fillId="0" borderId="1" xfId="5" applyNumberFormat="1" applyFont="1" applyBorder="1" applyAlignment="1">
      <alignment horizontal="center" vertical="center"/>
    </xf>
    <xf numFmtId="166" fontId="35" fillId="0" borderId="1" xfId="6" applyNumberFormat="1" applyFont="1" applyBorder="1" applyAlignment="1">
      <alignment horizontal="center" vertical="center"/>
    </xf>
    <xf numFmtId="0" fontId="39" fillId="0" borderId="1" xfId="5" applyFont="1" applyBorder="1" applyAlignment="1">
      <alignment horizontal="right" vertical="center" wrapText="1"/>
    </xf>
    <xf numFmtId="0" fontId="39" fillId="0" borderId="1" xfId="5" applyFont="1" applyBorder="1" applyAlignment="1">
      <alignment horizontal="center" vertical="center"/>
    </xf>
    <xf numFmtId="0" fontId="40" fillId="0" borderId="1" xfId="5" applyFont="1" applyBorder="1" applyAlignment="1">
      <alignment vertical="center" wrapText="1"/>
    </xf>
    <xf numFmtId="0" fontId="40" fillId="0" borderId="1" xfId="5" applyFont="1" applyBorder="1" applyAlignment="1">
      <alignment horizontal="center" vertical="center" wrapText="1"/>
    </xf>
    <xf numFmtId="166" fontId="35" fillId="0" borderId="1" xfId="6" applyNumberFormat="1" applyFont="1" applyBorder="1" applyAlignment="1">
      <alignment vertical="center"/>
    </xf>
    <xf numFmtId="49" fontId="39" fillId="5" borderId="1" xfId="5" applyNumberFormat="1" applyFont="1" applyFill="1" applyBorder="1" applyAlignment="1">
      <alignment vertical="center"/>
    </xf>
    <xf numFmtId="0" fontId="39" fillId="0" borderId="1" xfId="5" applyFont="1" applyBorder="1" applyAlignment="1">
      <alignment horizontal="center" vertical="center" wrapText="1"/>
    </xf>
    <xf numFmtId="0" fontId="42" fillId="0" borderId="1" xfId="5" applyFont="1" applyBorder="1" applyAlignment="1">
      <alignment horizontal="center" vertical="center"/>
    </xf>
    <xf numFmtId="0" fontId="43" fillId="0" borderId="1" xfId="5" applyFont="1" applyBorder="1" applyAlignment="1">
      <alignment horizontal="center" vertical="top" wrapText="1"/>
    </xf>
    <xf numFmtId="166" fontId="35" fillId="0" borderId="53" xfId="6" applyNumberFormat="1" applyFont="1" applyBorder="1" applyAlignment="1">
      <alignment horizontal="center" vertical="center"/>
    </xf>
    <xf numFmtId="166" fontId="35" fillId="0" borderId="54" xfId="6" applyNumberFormat="1" applyFont="1" applyBorder="1" applyAlignment="1">
      <alignment horizontal="center" vertical="center"/>
    </xf>
    <xf numFmtId="166" fontId="35" fillId="0" borderId="55" xfId="6" applyNumberFormat="1" applyFont="1" applyBorder="1" applyAlignment="1">
      <alignment horizontal="center" vertical="center"/>
    </xf>
    <xf numFmtId="166" fontId="37" fillId="0" borderId="39" xfId="6" applyNumberFormat="1" applyFont="1" applyBorder="1" applyAlignment="1">
      <alignment horizontal="center" vertical="center"/>
    </xf>
    <xf numFmtId="166" fontId="35" fillId="0" borderId="0" xfId="6" applyNumberFormat="1" applyFont="1" applyAlignment="1">
      <alignment horizontal="center" vertical="center"/>
    </xf>
    <xf numFmtId="3" fontId="20" fillId="0" borderId="0" xfId="3" applyNumberFormat="1" applyFont="1" applyAlignment="1">
      <alignment horizontal="center" vertical="center" wrapText="1" shrinkToFit="1" readingOrder="2"/>
    </xf>
    <xf numFmtId="0" fontId="12" fillId="0" borderId="0" xfId="8"/>
    <xf numFmtId="0" fontId="6" fillId="0" borderId="62" xfId="8" applyFont="1" applyBorder="1" applyAlignment="1">
      <alignment horizontal="center" vertical="center"/>
    </xf>
    <xf numFmtId="0" fontId="46" fillId="0" borderId="63" xfId="8" applyFont="1" applyBorder="1" applyAlignment="1">
      <alignment horizontal="center" vertical="center"/>
    </xf>
    <xf numFmtId="167" fontId="35" fillId="0" borderId="1" xfId="7" applyNumberFormat="1" applyFont="1" applyBorder="1" applyAlignment="1">
      <alignment horizontal="center" vertical="center"/>
    </xf>
    <xf numFmtId="0" fontId="37" fillId="0" borderId="66" xfId="6" applyFont="1" applyBorder="1" applyAlignment="1">
      <alignment vertical="center"/>
    </xf>
    <xf numFmtId="0" fontId="37" fillId="0" borderId="67" xfId="6" applyFont="1" applyBorder="1" applyAlignment="1">
      <alignment vertical="center"/>
    </xf>
    <xf numFmtId="0" fontId="12" fillId="0" borderId="39" xfId="5" applyBorder="1" applyAlignment="1">
      <alignment horizontal="center"/>
    </xf>
    <xf numFmtId="166" fontId="37" fillId="0" borderId="40" xfId="6" applyNumberFormat="1" applyFont="1" applyBorder="1" applyAlignment="1">
      <alignment horizontal="center" vertical="center"/>
    </xf>
    <xf numFmtId="0" fontId="39" fillId="0" borderId="39" xfId="5" applyFont="1" applyBorder="1" applyAlignment="1">
      <alignment horizontal="right" vertical="center"/>
    </xf>
    <xf numFmtId="166" fontId="35" fillId="13" borderId="69" xfId="6" applyNumberFormat="1" applyFont="1" applyFill="1" applyBorder="1" applyAlignment="1">
      <alignment vertical="center"/>
    </xf>
    <xf numFmtId="166" fontId="35" fillId="0" borderId="40" xfId="6" applyNumberFormat="1" applyFont="1" applyBorder="1" applyAlignment="1">
      <alignment horizontal="center" vertical="center"/>
    </xf>
    <xf numFmtId="0" fontId="39" fillId="0" borderId="39" xfId="5" applyFont="1" applyBorder="1" applyAlignment="1">
      <alignment horizontal="right" vertical="center" wrapText="1"/>
    </xf>
    <xf numFmtId="0" fontId="47" fillId="0" borderId="1" xfId="5" applyFont="1" applyBorder="1" applyAlignment="1">
      <alignment wrapText="1"/>
    </xf>
    <xf numFmtId="0" fontId="47" fillId="0" borderId="1" xfId="5" applyFont="1" applyBorder="1" applyAlignment="1">
      <alignment horizontal="center" wrapText="1"/>
    </xf>
    <xf numFmtId="0" fontId="47" fillId="0" borderId="1" xfId="5" applyFont="1" applyBorder="1" applyAlignment="1">
      <alignment horizontal="center" vertical="top" wrapText="1"/>
    </xf>
    <xf numFmtId="0" fontId="39" fillId="0" borderId="41" xfId="5" applyFont="1" applyBorder="1" applyAlignment="1">
      <alignment horizontal="right" vertical="center" wrapText="1"/>
    </xf>
    <xf numFmtId="0" fontId="47" fillId="0" borderId="70" xfId="5" applyFont="1" applyBorder="1" applyAlignment="1">
      <alignment wrapText="1"/>
    </xf>
    <xf numFmtId="0" fontId="39" fillId="0" borderId="70" xfId="5" applyFont="1" applyBorder="1" applyAlignment="1">
      <alignment horizontal="center" vertical="center" wrapText="1"/>
    </xf>
    <xf numFmtId="0" fontId="47" fillId="0" borderId="70" xfId="5" applyFont="1" applyBorder="1" applyAlignment="1">
      <alignment horizontal="center" wrapText="1"/>
    </xf>
    <xf numFmtId="166" fontId="35" fillId="0" borderId="70" xfId="6" applyNumberFormat="1" applyFont="1" applyBorder="1" applyAlignment="1">
      <alignment horizontal="center" vertical="center"/>
    </xf>
    <xf numFmtId="166" fontId="35" fillId="13" borderId="71" xfId="6" applyNumberFormat="1" applyFont="1" applyFill="1" applyBorder="1" applyAlignment="1">
      <alignment horizontal="center" vertical="center"/>
    </xf>
    <xf numFmtId="166" fontId="35" fillId="13" borderId="72" xfId="6" applyNumberFormat="1" applyFont="1" applyFill="1" applyBorder="1" applyAlignment="1">
      <alignment horizontal="center" vertical="center"/>
    </xf>
    <xf numFmtId="0" fontId="43" fillId="0" borderId="0" xfId="5" applyFont="1" applyAlignment="1">
      <alignment horizontal="center" vertical="top" wrapText="1"/>
    </xf>
    <xf numFmtId="166" fontId="35" fillId="0" borderId="0" xfId="6" applyNumberFormat="1" applyFont="1" applyAlignment="1">
      <alignment vertical="center"/>
    </xf>
    <xf numFmtId="166" fontId="35" fillId="5" borderId="37" xfId="6" applyNumberFormat="1" applyFont="1" applyFill="1" applyBorder="1" applyAlignment="1">
      <alignment horizontal="center" vertical="center"/>
    </xf>
    <xf numFmtId="166" fontId="35" fillId="10" borderId="59" xfId="6" applyNumberFormat="1" applyFont="1" applyFill="1" applyBorder="1" applyAlignment="1">
      <alignment horizontal="center" vertical="center"/>
    </xf>
    <xf numFmtId="0" fontId="6" fillId="5" borderId="79" xfId="0" applyFont="1" applyFill="1" applyBorder="1" applyAlignment="1">
      <alignment horizontal="center" vertical="center"/>
    </xf>
    <xf numFmtId="0" fontId="5" fillId="13" borderId="79" xfId="0" applyFont="1" applyFill="1" applyBorder="1" applyAlignment="1">
      <alignment horizontal="center" vertical="center"/>
    </xf>
    <xf numFmtId="0" fontId="5" fillId="16" borderId="79" xfId="0" applyFont="1" applyFill="1" applyBorder="1" applyAlignment="1">
      <alignment horizontal="center" vertical="center"/>
    </xf>
    <xf numFmtId="3" fontId="6" fillId="13" borderId="76" xfId="0" applyNumberFormat="1" applyFont="1" applyFill="1" applyBorder="1" applyAlignment="1">
      <alignment horizontal="center" vertical="center"/>
    </xf>
    <xf numFmtId="3" fontId="6" fillId="13" borderId="67" xfId="0" applyNumberFormat="1" applyFont="1" applyFill="1" applyBorder="1" applyAlignment="1">
      <alignment horizontal="center" vertical="center"/>
    </xf>
    <xf numFmtId="3" fontId="6" fillId="13" borderId="68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6" fillId="13" borderId="80" xfId="0" applyNumberFormat="1" applyFont="1" applyFill="1" applyBorder="1" applyAlignment="1">
      <alignment horizontal="center" vertical="center"/>
    </xf>
    <xf numFmtId="3" fontId="6" fillId="13" borderId="73" xfId="0" applyNumberFormat="1" applyFont="1" applyFill="1" applyBorder="1" applyAlignment="1">
      <alignment horizontal="center" vertical="center"/>
    </xf>
    <xf numFmtId="3" fontId="6" fillId="13" borderId="8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3" fontId="0" fillId="0" borderId="0" xfId="1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8" fillId="0" borderId="41" xfId="8" applyFont="1" applyBorder="1" applyAlignment="1">
      <alignment horizontal="center" vertical="center"/>
    </xf>
    <xf numFmtId="3" fontId="48" fillId="0" borderId="42" xfId="8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/>
    </xf>
    <xf numFmtId="0" fontId="48" fillId="0" borderId="62" xfId="8" applyFont="1" applyBorder="1" applyAlignment="1">
      <alignment horizontal="center" vertical="center"/>
    </xf>
    <xf numFmtId="170" fontId="1" fillId="0" borderId="0" xfId="13"/>
    <xf numFmtId="172" fontId="1" fillId="0" borderId="0" xfId="13" applyNumberFormat="1"/>
    <xf numFmtId="173" fontId="49" fillId="0" borderId="0" xfId="13" applyNumberFormat="1" applyFont="1"/>
    <xf numFmtId="171" fontId="50" fillId="0" borderId="0" xfId="13" applyNumberFormat="1" applyFont="1" applyAlignment="1">
      <alignment horizontal="center" vertical="center"/>
    </xf>
    <xf numFmtId="3" fontId="22" fillId="0" borderId="0" xfId="3" applyNumberFormat="1" applyFont="1" applyAlignment="1">
      <alignment horizontal="center" vertical="center"/>
    </xf>
    <xf numFmtId="0" fontId="24" fillId="5" borderId="2" xfId="3" applyFont="1" applyFill="1" applyBorder="1" applyAlignment="1">
      <alignment horizontal="center" vertical="center"/>
    </xf>
    <xf numFmtId="0" fontId="27" fillId="5" borderId="1" xfId="3" applyFont="1" applyFill="1" applyBorder="1" applyAlignment="1">
      <alignment horizontal="center" vertical="center"/>
    </xf>
    <xf numFmtId="3" fontId="25" fillId="5" borderId="1" xfId="3" applyNumberFormat="1" applyFont="1" applyFill="1" applyBorder="1" applyAlignment="1">
      <alignment horizontal="center" vertical="center"/>
    </xf>
    <xf numFmtId="4" fontId="25" fillId="5" borderId="1" xfId="3" applyNumberFormat="1" applyFont="1" applyFill="1" applyBorder="1" applyAlignment="1">
      <alignment horizontal="center" vertical="center"/>
    </xf>
    <xf numFmtId="3" fontId="25" fillId="5" borderId="6" xfId="3" applyNumberFormat="1" applyFont="1" applyFill="1" applyBorder="1" applyAlignment="1">
      <alignment horizontal="center" vertical="center"/>
    </xf>
    <xf numFmtId="171" fontId="53" fillId="0" borderId="0" xfId="13" applyNumberFormat="1" applyFont="1" applyAlignment="1">
      <alignment horizontal="center" vertical="center"/>
    </xf>
    <xf numFmtId="171" fontId="50" fillId="0" borderId="1" xfId="13" applyNumberFormat="1" applyFont="1" applyBorder="1" applyAlignment="1">
      <alignment horizontal="center" vertical="center"/>
    </xf>
    <xf numFmtId="170" fontId="50" fillId="0" borderId="1" xfId="13" applyFont="1" applyBorder="1" applyAlignment="1">
      <alignment horizontal="center" vertical="center"/>
    </xf>
    <xf numFmtId="170" fontId="51" fillId="0" borderId="1" xfId="13" applyFont="1" applyBorder="1" applyAlignment="1">
      <alignment horizontal="center" vertical="center"/>
    </xf>
    <xf numFmtId="172" fontId="51" fillId="0" borderId="1" xfId="13" applyNumberFormat="1" applyFont="1" applyBorder="1" applyAlignment="1">
      <alignment horizontal="center" vertical="center"/>
    </xf>
    <xf numFmtId="170" fontId="52" fillId="0" borderId="1" xfId="14" applyFont="1" applyBorder="1" applyAlignment="1">
      <alignment horizontal="center" vertical="center"/>
    </xf>
    <xf numFmtId="3" fontId="50" fillId="0" borderId="1" xfId="13" applyNumberFormat="1" applyFont="1" applyBorder="1"/>
    <xf numFmtId="170" fontId="52" fillId="4" borderId="1" xfId="14" applyFont="1" applyFill="1" applyBorder="1" applyAlignment="1">
      <alignment horizontal="center" vertical="center"/>
    </xf>
    <xf numFmtId="3" fontId="50" fillId="4" borderId="1" xfId="13" applyNumberFormat="1" applyFont="1" applyFill="1" applyBorder="1"/>
    <xf numFmtId="170" fontId="52" fillId="0" borderId="8" xfId="14" applyFont="1" applyBorder="1" applyAlignment="1">
      <alignment horizontal="center" vertical="center"/>
    </xf>
    <xf numFmtId="3" fontId="50" fillId="0" borderId="8" xfId="13" applyNumberFormat="1" applyFont="1" applyBorder="1"/>
    <xf numFmtId="170" fontId="52" fillId="0" borderId="0" xfId="14" applyFont="1" applyAlignment="1">
      <alignment horizontal="center" vertical="center"/>
    </xf>
    <xf numFmtId="3" fontId="50" fillId="0" borderId="0" xfId="13" applyNumberFormat="1" applyFont="1"/>
    <xf numFmtId="3" fontId="25" fillId="0" borderId="87" xfId="3" applyNumberFormat="1" applyFont="1" applyBorder="1" applyAlignment="1">
      <alignment horizontal="center" vertical="center"/>
    </xf>
    <xf numFmtId="171" fontId="54" fillId="0" borderId="1" xfId="13" applyNumberFormat="1" applyFont="1" applyBorder="1" applyAlignment="1">
      <alignment horizontal="center" vertical="center"/>
    </xf>
    <xf numFmtId="0" fontId="23" fillId="12" borderId="32" xfId="3" applyFont="1" applyFill="1" applyBorder="1" applyAlignment="1">
      <alignment horizontal="center" vertical="center" shrinkToFit="1"/>
    </xf>
    <xf numFmtId="0" fontId="23" fillId="0" borderId="85" xfId="3" applyFont="1" applyBorder="1"/>
    <xf numFmtId="165" fontId="25" fillId="12" borderId="6" xfId="17" applyNumberFormat="1" applyFont="1" applyFill="1" applyBorder="1" applyAlignment="1">
      <alignment horizontal="center" vertical="center"/>
    </xf>
    <xf numFmtId="0" fontId="23" fillId="12" borderId="32" xfId="16" applyFont="1" applyFill="1" applyBorder="1" applyAlignment="1">
      <alignment horizontal="center" vertical="center" shrinkToFit="1"/>
    </xf>
    <xf numFmtId="0" fontId="25" fillId="0" borderId="86" xfId="3" applyFont="1" applyBorder="1" applyAlignment="1">
      <alignment horizontal="center" vertical="center"/>
    </xf>
    <xf numFmtId="3" fontId="25" fillId="5" borderId="87" xfId="3" applyNumberFormat="1" applyFont="1" applyFill="1" applyBorder="1" applyAlignment="1">
      <alignment horizontal="center" vertical="center"/>
    </xf>
    <xf numFmtId="0" fontId="55" fillId="0" borderId="1" xfId="19" applyFont="1" applyBorder="1" applyAlignment="1">
      <alignment vertical="center" wrapText="1"/>
    </xf>
    <xf numFmtId="0" fontId="21" fillId="5" borderId="0" xfId="0" applyFont="1" applyFill="1" applyAlignment="1">
      <alignment horizontal="center" vertical="center"/>
    </xf>
    <xf numFmtId="3" fontId="18" fillId="8" borderId="1" xfId="0" applyNumberFormat="1" applyFont="1" applyFill="1" applyBorder="1" applyAlignment="1">
      <alignment horizontal="center" vertical="center"/>
    </xf>
    <xf numFmtId="3" fontId="18" fillId="19" borderId="1" xfId="0" applyNumberFormat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3" fontId="18" fillId="20" borderId="1" xfId="0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3" fontId="18" fillId="5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9" borderId="89" xfId="0" applyFont="1" applyFill="1" applyBorder="1" applyAlignment="1">
      <alignment horizontal="center" vertical="center"/>
    </xf>
    <xf numFmtId="3" fontId="18" fillId="9" borderId="89" xfId="0" applyNumberFormat="1" applyFont="1" applyFill="1" applyBorder="1" applyAlignment="1">
      <alignment horizontal="center" vertical="center"/>
    </xf>
    <xf numFmtId="0" fontId="48" fillId="6" borderId="54" xfId="8" applyFont="1" applyFill="1" applyBorder="1" applyAlignment="1">
      <alignment horizontal="center" vertical="center"/>
    </xf>
    <xf numFmtId="3" fontId="48" fillId="6" borderId="81" xfId="8" applyNumberFormat="1" applyFont="1" applyFill="1" applyBorder="1" applyAlignment="1">
      <alignment horizontal="center" vertical="center"/>
    </xf>
    <xf numFmtId="0" fontId="0" fillId="6" borderId="0" xfId="0" applyFill="1"/>
    <xf numFmtId="0" fontId="21" fillId="6" borderId="0" xfId="0" applyFont="1" applyFill="1" applyAlignment="1">
      <alignment horizontal="center" vertical="center"/>
    </xf>
    <xf numFmtId="3" fontId="22" fillId="5" borderId="88" xfId="3" applyNumberFormat="1" applyFont="1" applyFill="1" applyBorder="1" applyAlignment="1">
      <alignment horizontal="center" vertical="center"/>
    </xf>
    <xf numFmtId="3" fontId="33" fillId="4" borderId="51" xfId="3" applyNumberFormat="1" applyFont="1" applyFill="1" applyBorder="1"/>
    <xf numFmtId="3" fontId="33" fillId="4" borderId="0" xfId="3" applyNumberFormat="1" applyFont="1" applyFill="1"/>
    <xf numFmtId="0" fontId="12" fillId="23" borderId="1" xfId="8" applyFill="1" applyBorder="1"/>
    <xf numFmtId="165" fontId="12" fillId="23" borderId="1" xfId="8" applyNumberFormat="1" applyFill="1" applyBorder="1" applyAlignment="1">
      <alignment horizontal="center" vertical="center"/>
    </xf>
    <xf numFmtId="0" fontId="12" fillId="23" borderId="1" xfId="8" applyFill="1" applyBorder="1" applyAlignment="1">
      <alignment horizontal="center" vertical="center" wrapText="1" readingOrder="2"/>
    </xf>
    <xf numFmtId="0" fontId="12" fillId="23" borderId="1" xfId="8" applyFill="1" applyBorder="1" applyAlignment="1">
      <alignment horizontal="center" vertical="center"/>
    </xf>
    <xf numFmtId="165" fontId="12" fillId="5" borderId="1" xfId="8" applyNumberFormat="1" applyFill="1" applyBorder="1" applyAlignment="1">
      <alignment horizontal="center" vertical="center"/>
    </xf>
    <xf numFmtId="168" fontId="6" fillId="22" borderId="31" xfId="9" applyNumberFormat="1" applyFont="1" applyFill="1" applyBorder="1" applyAlignment="1">
      <alignment horizontal="center" vertical="center"/>
    </xf>
    <xf numFmtId="2" fontId="5" fillId="22" borderId="64" xfId="8" applyNumberFormat="1" applyFont="1" applyFill="1" applyBorder="1" applyAlignment="1">
      <alignment horizontal="center" vertical="center"/>
    </xf>
    <xf numFmtId="168" fontId="6" fillId="3" borderId="62" xfId="9" applyNumberFormat="1" applyFont="1" applyFill="1" applyBorder="1" applyAlignment="1">
      <alignment horizontal="center" vertical="center"/>
    </xf>
    <xf numFmtId="2" fontId="5" fillId="3" borderId="63" xfId="8" applyNumberFormat="1" applyFont="1" applyFill="1" applyBorder="1" applyAlignment="1">
      <alignment horizontal="center" vertical="center"/>
    </xf>
    <xf numFmtId="0" fontId="5" fillId="10" borderId="59" xfId="8" applyFont="1" applyFill="1" applyBorder="1" applyAlignment="1">
      <alignment horizontal="center" vertical="center"/>
    </xf>
    <xf numFmtId="0" fontId="5" fillId="10" borderId="61" xfId="8" applyFont="1" applyFill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4" fontId="0" fillId="0" borderId="0" xfId="23" applyNumberFormat="1" applyFont="1" applyAlignment="1">
      <alignment horizontal="center" vertical="center"/>
    </xf>
    <xf numFmtId="165" fontId="19" fillId="0" borderId="0" xfId="1" applyNumberFormat="1" applyFont="1" applyAlignment="1">
      <alignment horizontal="center" vertical="center" wrapText="1" shrinkToFit="1" readingOrder="2"/>
    </xf>
    <xf numFmtId="165" fontId="20" fillId="0" borderId="0" xfId="1" applyNumberFormat="1" applyFont="1" applyAlignment="1">
      <alignment horizontal="center" vertical="center" wrapText="1" shrinkToFit="1" readingOrder="2"/>
    </xf>
    <xf numFmtId="165" fontId="19" fillId="0" borderId="0" xfId="3" applyNumberFormat="1" applyAlignment="1">
      <alignment horizontal="center" vertical="center" wrapText="1" shrinkToFit="1" readingOrder="2"/>
    </xf>
    <xf numFmtId="165" fontId="58" fillId="0" borderId="0" xfId="1" applyNumberFormat="1" applyFont="1" applyAlignment="1">
      <alignment horizontal="center" vertical="center" wrapText="1" shrinkToFit="1" readingOrder="2"/>
    </xf>
    <xf numFmtId="165" fontId="59" fillId="0" borderId="0" xfId="1" applyNumberFormat="1" applyFont="1" applyAlignment="1">
      <alignment horizontal="center" vertical="center" wrapText="1" shrinkToFit="1" readingOrder="2"/>
    </xf>
    <xf numFmtId="43" fontId="19" fillId="0" borderId="0" xfId="1" applyNumberFormat="1" applyFont="1" applyAlignment="1">
      <alignment horizontal="center" vertical="center" wrapText="1" shrinkToFit="1" readingOrder="2"/>
    </xf>
    <xf numFmtId="175" fontId="19" fillId="0" borderId="0" xfId="3" applyNumberFormat="1" applyAlignment="1">
      <alignment horizontal="center" vertical="center" wrapText="1" shrinkToFit="1" readingOrder="2"/>
    </xf>
    <xf numFmtId="175" fontId="34" fillId="0" borderId="0" xfId="1" applyNumberFormat="1" applyFont="1" applyAlignment="1">
      <alignment horizontal="center" vertical="center" wrapText="1" shrinkToFit="1" readingOrder="2"/>
    </xf>
    <xf numFmtId="3" fontId="13" fillId="3" borderId="1" xfId="0" applyNumberFormat="1" applyFont="1" applyFill="1" applyBorder="1" applyAlignment="1">
      <alignment horizontal="center" vertical="center"/>
    </xf>
    <xf numFmtId="3" fontId="13" fillId="21" borderId="1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/>
    </xf>
    <xf numFmtId="165" fontId="57" fillId="9" borderId="89" xfId="1" applyNumberFormat="1" applyFont="1" applyFill="1" applyBorder="1" applyAlignment="1">
      <alignment horizontal="center" vertical="center"/>
    </xf>
    <xf numFmtId="0" fontId="61" fillId="21" borderId="1" xfId="0" applyFont="1" applyFill="1" applyBorder="1" applyAlignment="1">
      <alignment horizontal="center" vertical="center"/>
    </xf>
    <xf numFmtId="0" fontId="1" fillId="0" borderId="0" xfId="19"/>
    <xf numFmtId="165" fontId="4" fillId="11" borderId="1" xfId="19" applyNumberFormat="1" applyFont="1" applyFill="1" applyBorder="1" applyAlignment="1">
      <alignment horizontal="center" vertical="center"/>
    </xf>
    <xf numFmtId="0" fontId="4" fillId="11" borderId="32" xfId="19" applyFont="1" applyFill="1" applyBorder="1" applyAlignment="1">
      <alignment horizontal="center" vertical="center"/>
    </xf>
    <xf numFmtId="0" fontId="4" fillId="11" borderId="31" xfId="19" applyFont="1" applyFill="1" applyBorder="1" applyAlignment="1">
      <alignment horizontal="center" vertical="center"/>
    </xf>
    <xf numFmtId="0" fontId="4" fillId="11" borderId="30" xfId="19" applyFont="1" applyFill="1" applyBorder="1" applyAlignment="1">
      <alignment horizontal="center" vertical="center"/>
    </xf>
    <xf numFmtId="165" fontId="11" fillId="4" borderId="1" xfId="25" applyNumberFormat="1" applyFont="1" applyFill="1" applyBorder="1" applyAlignment="1">
      <alignment horizontal="center"/>
    </xf>
    <xf numFmtId="165" fontId="11" fillId="4" borderId="1" xfId="25" applyNumberFormat="1" applyFont="1" applyFill="1" applyBorder="1" applyAlignment="1">
      <alignment horizontal="center" wrapText="1" readingOrder="2"/>
    </xf>
    <xf numFmtId="165" fontId="11" fillId="4" borderId="1" xfId="25" applyNumberFormat="1" applyFont="1" applyFill="1" applyBorder="1" applyAlignment="1">
      <alignment vertical="top"/>
    </xf>
    <xf numFmtId="0" fontId="11" fillId="4" borderId="1" xfId="19" applyFont="1" applyFill="1" applyBorder="1" applyAlignment="1">
      <alignment horizontal="center" vertical="center"/>
    </xf>
    <xf numFmtId="0" fontId="11" fillId="4" borderId="1" xfId="19" applyFont="1" applyFill="1" applyBorder="1" applyAlignment="1">
      <alignment horizontal="center" vertical="center" wrapText="1" readingOrder="2"/>
    </xf>
    <xf numFmtId="0" fontId="11" fillId="4" borderId="1" xfId="19" applyFont="1" applyFill="1" applyBorder="1" applyAlignment="1">
      <alignment horizontal="right" vertical="center" wrapText="1" readingOrder="2"/>
    </xf>
    <xf numFmtId="0" fontId="11" fillId="4" borderId="1" xfId="25" applyNumberFormat="1" applyFont="1" applyFill="1" applyBorder="1" applyAlignment="1">
      <alignment horizontal="center" wrapText="1" readingOrder="2"/>
    </xf>
    <xf numFmtId="165" fontId="11" fillId="4" borderId="1" xfId="25" applyNumberFormat="1" applyFont="1" applyFill="1" applyBorder="1" applyAlignment="1">
      <alignment vertical="top" wrapText="1" readingOrder="2"/>
    </xf>
    <xf numFmtId="165" fontId="11" fillId="4" borderId="1" xfId="25" applyNumberFormat="1" applyFont="1" applyFill="1" applyBorder="1" applyAlignment="1">
      <alignment horizontal="right" vertical="center" wrapText="1" readingOrder="2"/>
    </xf>
    <xf numFmtId="165" fontId="11" fillId="4" borderId="1" xfId="25" applyNumberFormat="1" applyFont="1" applyFill="1" applyBorder="1" applyAlignment="1">
      <alignment horizontal="left" vertical="top"/>
    </xf>
    <xf numFmtId="0" fontId="4" fillId="3" borderId="1" xfId="19" applyFont="1" applyFill="1" applyBorder="1" applyAlignment="1">
      <alignment horizontal="center" vertical="center" wrapText="1"/>
    </xf>
    <xf numFmtId="0" fontId="4" fillId="3" borderId="1" xfId="19" applyFont="1" applyFill="1" applyBorder="1" applyAlignment="1">
      <alignment horizontal="center" vertical="center"/>
    </xf>
    <xf numFmtId="0" fontId="4" fillId="25" borderId="18" xfId="19" applyFont="1" applyFill="1" applyBorder="1" applyAlignment="1">
      <alignment horizontal="center" vertical="center"/>
    </xf>
    <xf numFmtId="0" fontId="4" fillId="7" borderId="0" xfId="19" applyFont="1" applyFill="1" applyAlignment="1">
      <alignment horizontal="center" vertical="center"/>
    </xf>
    <xf numFmtId="3" fontId="4" fillId="4" borderId="34" xfId="19" applyNumberFormat="1" applyFont="1" applyFill="1" applyBorder="1" applyAlignment="1">
      <alignment horizontal="center" vertical="top"/>
    </xf>
    <xf numFmtId="0" fontId="4" fillId="4" borderId="34" xfId="19" applyFont="1" applyFill="1" applyBorder="1" applyAlignment="1">
      <alignment horizontal="center" vertical="top"/>
    </xf>
    <xf numFmtId="0" fontId="11" fillId="4" borderId="34" xfId="19" applyFont="1" applyFill="1" applyBorder="1" applyAlignment="1">
      <alignment horizontal="center" vertical="center" readingOrder="2"/>
    </xf>
    <xf numFmtId="0" fontId="4" fillId="4" borderId="91" xfId="19" applyFont="1" applyFill="1" applyBorder="1" applyAlignment="1">
      <alignment horizontal="center" vertical="center"/>
    </xf>
    <xf numFmtId="3" fontId="4" fillId="4" borderId="92" xfId="19" applyNumberFormat="1" applyFont="1" applyFill="1" applyBorder="1" applyAlignment="1">
      <alignment horizontal="center" vertical="top"/>
    </xf>
    <xf numFmtId="0" fontId="4" fillId="4" borderId="92" xfId="19" applyFont="1" applyFill="1" applyBorder="1" applyAlignment="1">
      <alignment horizontal="center" vertical="top"/>
    </xf>
    <xf numFmtId="0" fontId="11" fillId="4" borderId="92" xfId="19" applyFont="1" applyFill="1" applyBorder="1" applyAlignment="1">
      <alignment vertical="center" readingOrder="2"/>
    </xf>
    <xf numFmtId="0" fontId="4" fillId="4" borderId="93" xfId="19" applyFont="1" applyFill="1" applyBorder="1" applyAlignment="1">
      <alignment horizontal="center" vertical="center"/>
    </xf>
    <xf numFmtId="0" fontId="11" fillId="4" borderId="92" xfId="19" applyFont="1" applyFill="1" applyBorder="1" applyAlignment="1">
      <alignment horizontal="center" vertical="center" readingOrder="2"/>
    </xf>
    <xf numFmtId="0" fontId="11" fillId="4" borderId="92" xfId="19" applyFont="1" applyFill="1" applyBorder="1" applyAlignment="1">
      <alignment horizontal="right" vertical="center" readingOrder="2"/>
    </xf>
    <xf numFmtId="0" fontId="11" fillId="4" borderId="0" xfId="19" applyFont="1" applyFill="1" applyAlignment="1">
      <alignment vertical="center"/>
    </xf>
    <xf numFmtId="0" fontId="11" fillId="0" borderId="0" xfId="19" applyFont="1" applyAlignment="1">
      <alignment vertical="center"/>
    </xf>
    <xf numFmtId="0" fontId="11" fillId="4" borderId="92" xfId="19" applyFont="1" applyFill="1" applyBorder="1" applyAlignment="1">
      <alignment horizontal="right" vertical="center" wrapText="1" indent="1" readingOrder="2"/>
    </xf>
    <xf numFmtId="3" fontId="4" fillId="4" borderId="89" xfId="19" applyNumberFormat="1" applyFont="1" applyFill="1" applyBorder="1" applyAlignment="1">
      <alignment horizontal="center" vertical="top"/>
    </xf>
    <xf numFmtId="0" fontId="4" fillId="4" borderId="89" xfId="19" applyFont="1" applyFill="1" applyBorder="1" applyAlignment="1">
      <alignment horizontal="center" vertical="top"/>
    </xf>
    <xf numFmtId="0" fontId="4" fillId="4" borderId="89" xfId="19" applyFont="1" applyFill="1" applyBorder="1" applyAlignment="1">
      <alignment vertical="center" readingOrder="2"/>
    </xf>
    <xf numFmtId="0" fontId="4" fillId="4" borderId="94" xfId="19" applyFont="1" applyFill="1" applyBorder="1" applyAlignment="1">
      <alignment horizontal="center" vertical="center"/>
    </xf>
    <xf numFmtId="0" fontId="4" fillId="7" borderId="32" xfId="19" applyFont="1" applyFill="1" applyBorder="1" applyAlignment="1">
      <alignment horizontal="center" vertical="center" wrapText="1"/>
    </xf>
    <xf numFmtId="0" fontId="4" fillId="7" borderId="1" xfId="19" applyFont="1" applyFill="1" applyBorder="1" applyAlignment="1">
      <alignment horizontal="center" vertical="center" wrapText="1"/>
    </xf>
    <xf numFmtId="0" fontId="4" fillId="3" borderId="30" xfId="19" applyFont="1" applyFill="1" applyBorder="1" applyAlignment="1">
      <alignment horizontal="center" vertical="center" wrapText="1"/>
    </xf>
    <xf numFmtId="0" fontId="63" fillId="24" borderId="90" xfId="24" applyFont="1" applyAlignment="1">
      <alignment horizontal="center" vertical="center"/>
    </xf>
    <xf numFmtId="0" fontId="4" fillId="25" borderId="0" xfId="19" applyFont="1" applyFill="1" applyAlignment="1">
      <alignment horizontal="center" vertical="center"/>
    </xf>
    <xf numFmtId="0" fontId="4" fillId="25" borderId="95" xfId="19" applyFont="1" applyFill="1" applyBorder="1" applyAlignment="1">
      <alignment horizontal="center" vertical="center"/>
    </xf>
    <xf numFmtId="0" fontId="4" fillId="7" borderId="1" xfId="19" applyFont="1" applyFill="1" applyBorder="1" applyAlignment="1">
      <alignment horizontal="center" vertical="center"/>
    </xf>
    <xf numFmtId="3" fontId="4" fillId="11" borderId="1" xfId="19" applyNumberFormat="1" applyFont="1" applyFill="1" applyBorder="1" applyAlignment="1">
      <alignment vertical="center"/>
    </xf>
    <xf numFmtId="0" fontId="4" fillId="11" borderId="31" xfId="19" applyFont="1" applyFill="1" applyBorder="1" applyAlignment="1">
      <alignment vertical="center"/>
    </xf>
    <xf numFmtId="0" fontId="4" fillId="11" borderId="30" xfId="19" applyFont="1" applyFill="1" applyBorder="1" applyAlignment="1">
      <alignment vertical="center"/>
    </xf>
    <xf numFmtId="3" fontId="11" fillId="4" borderId="1" xfId="19" applyNumberFormat="1" applyFont="1" applyFill="1" applyBorder="1" applyAlignment="1">
      <alignment horizontal="center" vertical="center"/>
    </xf>
    <xf numFmtId="0" fontId="11" fillId="4" borderId="30" xfId="19" applyFont="1" applyFill="1" applyBorder="1" applyAlignment="1">
      <alignment horizontal="center" vertical="center"/>
    </xf>
    <xf numFmtId="3" fontId="11" fillId="4" borderId="30" xfId="19" applyNumberFormat="1" applyFont="1" applyFill="1" applyBorder="1" applyAlignment="1">
      <alignment horizontal="center" vertical="center"/>
    </xf>
    <xf numFmtId="0" fontId="11" fillId="4" borderId="1" xfId="19" applyFont="1" applyFill="1" applyBorder="1" applyAlignment="1">
      <alignment horizontal="center" vertical="center" wrapText="1"/>
    </xf>
    <xf numFmtId="0" fontId="11" fillId="7" borderId="1" xfId="19" applyFont="1" applyFill="1" applyBorder="1" applyAlignment="1">
      <alignment horizontal="center" vertical="center"/>
    </xf>
    <xf numFmtId="0" fontId="11" fillId="7" borderId="30" xfId="19" applyFont="1" applyFill="1" applyBorder="1" applyAlignment="1">
      <alignment horizontal="center" vertical="center" wrapText="1"/>
    </xf>
    <xf numFmtId="0" fontId="11" fillId="7" borderId="89" xfId="19" applyFont="1" applyFill="1" applyBorder="1" applyAlignment="1">
      <alignment horizontal="center" vertical="center"/>
    </xf>
    <xf numFmtId="3" fontId="4" fillId="23" borderId="1" xfId="19" applyNumberFormat="1" applyFont="1" applyFill="1" applyBorder="1"/>
    <xf numFmtId="3" fontId="4" fillId="23" borderId="32" xfId="19" applyNumberFormat="1" applyFont="1" applyFill="1" applyBorder="1"/>
    <xf numFmtId="0" fontId="4" fillId="23" borderId="31" xfId="19" applyFont="1" applyFill="1" applyBorder="1"/>
    <xf numFmtId="0" fontId="4" fillId="23" borderId="31" xfId="19" applyFont="1" applyFill="1" applyBorder="1" applyAlignment="1">
      <alignment horizontal="center"/>
    </xf>
    <xf numFmtId="0" fontId="4" fillId="23" borderId="31" xfId="19" applyFont="1" applyFill="1" applyBorder="1" applyAlignment="1">
      <alignment horizontal="center" vertical="center"/>
    </xf>
    <xf numFmtId="3" fontId="11" fillId="4" borderId="1" xfId="19" applyNumberFormat="1" applyFont="1" applyFill="1" applyBorder="1"/>
    <xf numFmtId="0" fontId="11" fillId="4" borderId="1" xfId="19" applyFont="1" applyFill="1" applyBorder="1" applyAlignment="1">
      <alignment horizontal="right" vertical="center" readingOrder="2"/>
    </xf>
    <xf numFmtId="0" fontId="11" fillId="4" borderId="1" xfId="19" applyFont="1" applyFill="1" applyBorder="1"/>
    <xf numFmtId="0" fontId="4" fillId="3" borderId="1" xfId="19" applyFont="1" applyFill="1" applyBorder="1" applyAlignment="1">
      <alignment horizontal="center" vertical="center" readingOrder="2"/>
    </xf>
    <xf numFmtId="3" fontId="4" fillId="5" borderId="1" xfId="19" applyNumberFormat="1" applyFont="1" applyFill="1" applyBorder="1"/>
    <xf numFmtId="3" fontId="11" fillId="0" borderId="1" xfId="19" applyNumberFormat="1" applyFont="1" applyBorder="1"/>
    <xf numFmtId="0" fontId="11" fillId="0" borderId="1" xfId="19" applyFont="1" applyBorder="1"/>
    <xf numFmtId="0" fontId="11" fillId="0" borderId="1" xfId="19" applyFont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165" fontId="9" fillId="5" borderId="1" xfId="1" applyNumberFormat="1" applyFont="1" applyFill="1" applyBorder="1" applyAlignment="1">
      <alignment horizontal="center" vertical="center"/>
    </xf>
    <xf numFmtId="166" fontId="35" fillId="4" borderId="54" xfId="6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2" fillId="23" borderId="1" xfId="8" applyFill="1" applyBorder="1" applyAlignment="1">
      <alignment horizontal="center"/>
    </xf>
    <xf numFmtId="0" fontId="55" fillId="0" borderId="96" xfId="19" applyFont="1" applyBorder="1" applyAlignment="1">
      <alignment horizontal="center" vertical="center"/>
    </xf>
    <xf numFmtId="0" fontId="55" fillId="0" borderId="97" xfId="19" applyFont="1" applyBorder="1" applyAlignment="1">
      <alignment horizontal="center" vertical="center"/>
    </xf>
    <xf numFmtId="0" fontId="55" fillId="0" borderId="98" xfId="19" applyFont="1" applyBorder="1" applyAlignment="1">
      <alignment horizontal="center" vertical="center"/>
    </xf>
    <xf numFmtId="0" fontId="55" fillId="0" borderId="99" xfId="19" applyFont="1" applyBorder="1" applyAlignment="1">
      <alignment horizontal="right" vertical="center"/>
    </xf>
    <xf numFmtId="0" fontId="55" fillId="0" borderId="0" xfId="19" applyFont="1" applyAlignment="1">
      <alignment horizontal="center" vertical="center"/>
    </xf>
    <xf numFmtId="0" fontId="55" fillId="0" borderId="100" xfId="19" applyFont="1" applyBorder="1" applyAlignment="1">
      <alignment horizontal="left" vertical="center"/>
    </xf>
    <xf numFmtId="0" fontId="56" fillId="0" borderId="99" xfId="19" applyFont="1" applyBorder="1" applyAlignment="1">
      <alignment vertical="center" wrapText="1"/>
    </xf>
    <xf numFmtId="0" fontId="56" fillId="0" borderId="0" xfId="19" applyFont="1" applyAlignment="1">
      <alignment vertical="center" wrapText="1"/>
    </xf>
    <xf numFmtId="0" fontId="56" fillId="0" borderId="100" xfId="19" applyFont="1" applyBorder="1" applyAlignment="1">
      <alignment vertical="center" wrapText="1"/>
    </xf>
    <xf numFmtId="0" fontId="55" fillId="0" borderId="39" xfId="19" applyFont="1" applyBorder="1" applyAlignment="1">
      <alignment vertical="center" wrapText="1"/>
    </xf>
    <xf numFmtId="0" fontId="55" fillId="0" borderId="40" xfId="19" applyFont="1" applyBorder="1" applyAlignment="1">
      <alignment vertical="center" wrapText="1"/>
    </xf>
    <xf numFmtId="0" fontId="56" fillId="18" borderId="41" xfId="19" applyFont="1" applyFill="1" applyBorder="1" applyAlignment="1">
      <alignment vertical="center" wrapText="1"/>
    </xf>
    <xf numFmtId="0" fontId="56" fillId="18" borderId="70" xfId="19" applyFont="1" applyFill="1" applyBorder="1" applyAlignment="1">
      <alignment vertical="center" wrapText="1"/>
    </xf>
    <xf numFmtId="9" fontId="56" fillId="18" borderId="70" xfId="19" applyNumberFormat="1" applyFont="1" applyFill="1" applyBorder="1" applyAlignment="1">
      <alignment vertical="center" wrapText="1"/>
    </xf>
    <xf numFmtId="0" fontId="56" fillId="5" borderId="70" xfId="19" applyFont="1" applyFill="1" applyBorder="1" applyAlignment="1">
      <alignment vertical="center" wrapText="1"/>
    </xf>
    <xf numFmtId="0" fontId="56" fillId="18" borderId="42" xfId="19" applyFont="1" applyFill="1" applyBorder="1" applyAlignment="1">
      <alignment vertical="center" wrapText="1"/>
    </xf>
    <xf numFmtId="0" fontId="13" fillId="5" borderId="30" xfId="0" applyFont="1" applyFill="1" applyBorder="1"/>
    <xf numFmtId="0" fontId="0" fillId="26" borderId="1" xfId="0" applyFill="1" applyBorder="1" applyAlignment="1">
      <alignment vertical="center"/>
    </xf>
    <xf numFmtId="0" fontId="0" fillId="26" borderId="40" xfId="0" applyFill="1" applyBorder="1" applyAlignment="1">
      <alignment vertical="center"/>
    </xf>
    <xf numFmtId="169" fontId="0" fillId="26" borderId="1" xfId="0" applyNumberFormat="1" applyFill="1" applyBorder="1" applyAlignment="1">
      <alignment vertical="center"/>
    </xf>
    <xf numFmtId="169" fontId="0" fillId="26" borderId="40" xfId="0" applyNumberFormat="1" applyFill="1" applyBorder="1" applyAlignment="1">
      <alignment vertical="center"/>
    </xf>
    <xf numFmtId="0" fontId="0" fillId="26" borderId="70" xfId="0" applyFill="1" applyBorder="1" applyAlignment="1">
      <alignment vertical="center"/>
    </xf>
    <xf numFmtId="169" fontId="0" fillId="26" borderId="70" xfId="0" applyNumberFormat="1" applyFill="1" applyBorder="1" applyAlignment="1">
      <alignment vertical="center"/>
    </xf>
    <xf numFmtId="169" fontId="0" fillId="26" borderId="42" xfId="0" applyNumberFormat="1" applyFill="1" applyBorder="1" applyAlignment="1">
      <alignment vertical="center"/>
    </xf>
    <xf numFmtId="43" fontId="0" fillId="0" borderId="0" xfId="0" applyNumberFormat="1"/>
    <xf numFmtId="0" fontId="18" fillId="20" borderId="1" xfId="0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right" vertical="center"/>
    </xf>
    <xf numFmtId="0" fontId="18" fillId="19" borderId="1" xfId="0" applyFont="1" applyFill="1" applyBorder="1" applyAlignment="1">
      <alignment horizontal="right" vertical="center"/>
    </xf>
    <xf numFmtId="0" fontId="18" fillId="8" borderId="1" xfId="0" applyFont="1" applyFill="1" applyBorder="1" applyAlignment="1">
      <alignment horizontal="right" vertical="center"/>
    </xf>
    <xf numFmtId="0" fontId="5" fillId="19" borderId="1" xfId="0" applyFont="1" applyFill="1" applyBorder="1" applyAlignment="1">
      <alignment horizontal="right" vertical="center" wrapText="1"/>
    </xf>
    <xf numFmtId="0" fontId="13" fillId="5" borderId="0" xfId="0" applyFont="1" applyFill="1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175" fontId="4" fillId="19" borderId="1" xfId="1" applyNumberFormat="1" applyFont="1" applyFill="1" applyBorder="1" applyAlignment="1">
      <alignment horizontal="center" vertical="center"/>
    </xf>
    <xf numFmtId="175" fontId="4" fillId="19" borderId="89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5" fontId="4" fillId="25" borderId="1" xfId="1" applyNumberFormat="1" applyFont="1" applyFill="1" applyBorder="1" applyAlignment="1">
      <alignment horizontal="center" vertical="center"/>
    </xf>
    <xf numFmtId="175" fontId="0" fillId="2" borderId="1" xfId="0" applyNumberFormat="1" applyFill="1" applyBorder="1"/>
    <xf numFmtId="3" fontId="0" fillId="19" borderId="1" xfId="0" applyNumberFormat="1" applyFill="1" applyBorder="1"/>
    <xf numFmtId="0" fontId="0" fillId="19" borderId="1" xfId="0" applyFill="1" applyBorder="1"/>
    <xf numFmtId="175" fontId="0" fillId="19" borderId="1" xfId="0" applyNumberFormat="1" applyFill="1" applyBorder="1"/>
    <xf numFmtId="0" fontId="3" fillId="0" borderId="1" xfId="0" applyFont="1" applyBorder="1" applyAlignment="1">
      <alignment horizontal="center" vertical="center"/>
    </xf>
    <xf numFmtId="0" fontId="0" fillId="26" borderId="39" xfId="0" applyFill="1" applyBorder="1" applyAlignment="1">
      <alignment vertical="center" wrapText="1"/>
    </xf>
    <xf numFmtId="0" fontId="0" fillId="26" borderId="41" xfId="0" applyFill="1" applyBorder="1" applyAlignment="1">
      <alignment vertical="center" wrapText="1"/>
    </xf>
    <xf numFmtId="0" fontId="0" fillId="2" borderId="0" xfId="0" applyFill="1"/>
    <xf numFmtId="43" fontId="4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9" fontId="0" fillId="1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0" fillId="4" borderId="1" xfId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 vertical="top"/>
    </xf>
    <xf numFmtId="1" fontId="0" fillId="0" borderId="1" xfId="0" applyNumberFormat="1" applyBorder="1"/>
    <xf numFmtId="3" fontId="0" fillId="0" borderId="0" xfId="0" applyNumberFormat="1"/>
    <xf numFmtId="0" fontId="18" fillId="5" borderId="34" xfId="0" applyFont="1" applyFill="1" applyBorder="1" applyAlignment="1">
      <alignment horizontal="center" vertical="center"/>
    </xf>
    <xf numFmtId="0" fontId="21" fillId="5" borderId="34" xfId="0" applyFont="1" applyFill="1" applyBorder="1" applyAlignment="1">
      <alignment horizontal="center" vertical="center"/>
    </xf>
    <xf numFmtId="12" fontId="67" fillId="0" borderId="0" xfId="23" applyNumberFormat="1" applyFont="1" applyFill="1" applyBorder="1"/>
    <xf numFmtId="165" fontId="0" fillId="8" borderId="32" xfId="1" applyNumberFormat="1" applyFont="1" applyFill="1" applyBorder="1"/>
    <xf numFmtId="165" fontId="0" fillId="8" borderId="32" xfId="0" applyNumberFormat="1" applyFill="1" applyBorder="1"/>
    <xf numFmtId="0" fontId="21" fillId="0" borderId="1" xfId="0" applyFont="1" applyBorder="1" applyAlignment="1">
      <alignment horizontal="left"/>
    </xf>
    <xf numFmtId="3" fontId="69" fillId="28" borderId="79" xfId="0" applyNumberFormat="1" applyFont="1" applyFill="1" applyBorder="1" applyAlignment="1">
      <alignment horizontal="center" vertical="center"/>
    </xf>
    <xf numFmtId="3" fontId="69" fillId="28" borderId="38" xfId="0" applyNumberFormat="1" applyFont="1" applyFill="1" applyBorder="1" applyAlignment="1">
      <alignment horizontal="center" vertical="center"/>
    </xf>
    <xf numFmtId="3" fontId="69" fillId="28" borderId="40" xfId="0" applyNumberFormat="1" applyFont="1" applyFill="1" applyBorder="1" applyAlignment="1">
      <alignment horizontal="center" vertical="center"/>
    </xf>
    <xf numFmtId="3" fontId="69" fillId="28" borderId="104" xfId="0" applyNumberFormat="1" applyFont="1" applyFill="1" applyBorder="1" applyAlignment="1">
      <alignment horizontal="center" vertical="center"/>
    </xf>
    <xf numFmtId="3" fontId="69" fillId="28" borderId="42" xfId="0" applyNumberFormat="1" applyFont="1" applyFill="1" applyBorder="1" applyAlignment="1">
      <alignment horizontal="center" vertical="center"/>
    </xf>
    <xf numFmtId="3" fontId="69" fillId="28" borderId="81" xfId="0" applyNumberFormat="1" applyFont="1" applyFill="1" applyBorder="1" applyAlignment="1">
      <alignment horizontal="center" vertical="center"/>
    </xf>
    <xf numFmtId="3" fontId="69" fillId="28" borderId="84" xfId="0" applyNumberFormat="1" applyFont="1" applyFill="1" applyBorder="1" applyAlignment="1">
      <alignment horizontal="center" vertical="center"/>
    </xf>
    <xf numFmtId="3" fontId="66" fillId="28" borderId="79" xfId="0" applyNumberFormat="1" applyFont="1" applyFill="1" applyBorder="1" applyAlignment="1">
      <alignment horizontal="center" vertical="center"/>
    </xf>
    <xf numFmtId="165" fontId="57" fillId="4" borderId="0" xfId="0" applyNumberFormat="1" applyFont="1" applyFill="1" applyAlignment="1">
      <alignment horizontal="center" vertical="center"/>
    </xf>
    <xf numFmtId="3" fontId="20" fillId="5" borderId="0" xfId="3" applyNumberFormat="1" applyFont="1" applyFill="1" applyAlignment="1">
      <alignment horizontal="center" vertical="center" wrapText="1" shrinkToFit="1" readingOrder="2"/>
    </xf>
    <xf numFmtId="165" fontId="8" fillId="4" borderId="1" xfId="1" applyNumberFormat="1" applyFont="1" applyFill="1" applyBorder="1" applyAlignment="1">
      <alignment horizontal="center" vertical="center"/>
    </xf>
    <xf numFmtId="1" fontId="57" fillId="3" borderId="1" xfId="1" applyNumberFormat="1" applyFont="1" applyFill="1" applyBorder="1" applyAlignment="1">
      <alignment horizontal="center" vertical="center"/>
    </xf>
    <xf numFmtId="1" fontId="57" fillId="19" borderId="1" xfId="1" applyNumberFormat="1" applyFont="1" applyFill="1" applyBorder="1" applyAlignment="1">
      <alignment horizontal="center" vertical="center"/>
    </xf>
    <xf numFmtId="1" fontId="13" fillId="19" borderId="1" xfId="1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13" fillId="19" borderId="1" xfId="0" applyNumberFormat="1" applyFont="1" applyFill="1" applyBorder="1" applyAlignment="1">
      <alignment horizontal="center" vertical="center"/>
    </xf>
    <xf numFmtId="165" fontId="57" fillId="19" borderId="1" xfId="1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center" vertical="center"/>
    </xf>
    <xf numFmtId="0" fontId="74" fillId="20" borderId="1" xfId="0" applyFont="1" applyFill="1" applyBorder="1" applyAlignment="1">
      <alignment horizontal="center"/>
    </xf>
    <xf numFmtId="0" fontId="18" fillId="5" borderId="76" xfId="0" applyFont="1" applyFill="1" applyBorder="1" applyAlignment="1">
      <alignment vertical="center"/>
    </xf>
    <xf numFmtId="0" fontId="3" fillId="0" borderId="115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5" fontId="4" fillId="27" borderId="1" xfId="1" applyNumberFormat="1" applyFont="1" applyFill="1" applyBorder="1" applyAlignment="1">
      <alignment horizontal="center" vertical="center"/>
    </xf>
    <xf numFmtId="165" fontId="4" fillId="13" borderId="1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5" fontId="8" fillId="4" borderId="0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18" xfId="0" applyBorder="1"/>
    <xf numFmtId="0" fontId="5" fillId="4" borderId="77" xfId="0" applyFont="1" applyFill="1" applyBorder="1" applyAlignment="1">
      <alignment horizontal="center" vertical="center"/>
    </xf>
    <xf numFmtId="3" fontId="6" fillId="4" borderId="77" xfId="0" applyNumberFormat="1" applyFont="1" applyFill="1" applyBorder="1" applyAlignment="1">
      <alignment horizontal="center" vertical="center"/>
    </xf>
    <xf numFmtId="3" fontId="6" fillId="4" borderId="65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4" borderId="89" xfId="0" applyNumberFormat="1" applyFont="1" applyFill="1" applyBorder="1" applyAlignment="1">
      <alignment horizontal="center" vertical="center"/>
    </xf>
    <xf numFmtId="3" fontId="6" fillId="4" borderId="70" xfId="0" applyNumberFormat="1" applyFont="1" applyFill="1" applyBorder="1" applyAlignment="1">
      <alignment horizontal="center" vertical="center"/>
    </xf>
    <xf numFmtId="3" fontId="6" fillId="4" borderId="34" xfId="0" applyNumberFormat="1" applyFont="1" applyFill="1" applyBorder="1" applyAlignment="1">
      <alignment horizontal="center" vertical="center"/>
    </xf>
    <xf numFmtId="3" fontId="6" fillId="4" borderId="78" xfId="0" applyNumberFormat="1" applyFont="1" applyFill="1" applyBorder="1" applyAlignment="1">
      <alignment horizontal="center" vertical="center"/>
    </xf>
    <xf numFmtId="0" fontId="5" fillId="13" borderId="60" xfId="0" applyFont="1" applyFill="1" applyBorder="1" applyAlignment="1">
      <alignment horizontal="center" vertical="center"/>
    </xf>
    <xf numFmtId="0" fontId="5" fillId="13" borderId="77" xfId="0" applyFont="1" applyFill="1" applyBorder="1" applyAlignment="1">
      <alignment horizontal="center" vertical="center"/>
    </xf>
    <xf numFmtId="0" fontId="6" fillId="13" borderId="60" xfId="0" applyFont="1" applyFill="1" applyBorder="1" applyAlignment="1">
      <alignment horizontal="center" vertical="center"/>
    </xf>
    <xf numFmtId="0" fontId="6" fillId="13" borderId="77" xfId="0" applyFont="1" applyFill="1" applyBorder="1" applyAlignment="1">
      <alignment horizontal="center" vertical="center"/>
    </xf>
    <xf numFmtId="0" fontId="6" fillId="13" borderId="77" xfId="0" applyFont="1" applyFill="1" applyBorder="1" applyAlignment="1">
      <alignment horizontal="center" vertical="center" wrapText="1"/>
    </xf>
    <xf numFmtId="0" fontId="6" fillId="13" borderId="65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89" xfId="0" applyFont="1" applyFill="1" applyBorder="1" applyAlignment="1">
      <alignment horizontal="center" vertical="center"/>
    </xf>
    <xf numFmtId="0" fontId="5" fillId="13" borderId="70" xfId="0" applyFont="1" applyFill="1" applyBorder="1" applyAlignment="1">
      <alignment horizontal="center" vertical="center"/>
    </xf>
    <xf numFmtId="0" fontId="6" fillId="13" borderId="34" xfId="0" applyFont="1" applyFill="1" applyBorder="1" applyAlignment="1">
      <alignment horizontal="center" vertical="center"/>
    </xf>
    <xf numFmtId="3" fontId="5" fillId="5" borderId="77" xfId="0" applyNumberFormat="1" applyFont="1" applyFill="1" applyBorder="1" applyAlignment="1">
      <alignment horizontal="center" vertical="center"/>
    </xf>
    <xf numFmtId="3" fontId="5" fillId="5" borderId="76" xfId="0" applyNumberFormat="1" applyFont="1" applyFill="1" applyBorder="1" applyAlignment="1">
      <alignment horizontal="center" vertical="center"/>
    </xf>
    <xf numFmtId="0" fontId="4" fillId="27" borderId="59" xfId="0" applyFont="1" applyFill="1" applyBorder="1" applyAlignment="1">
      <alignment horizontal="center" vertical="center" wrapText="1"/>
    </xf>
    <xf numFmtId="0" fontId="3" fillId="27" borderId="62" xfId="0" applyFont="1" applyFill="1" applyBorder="1" applyAlignment="1">
      <alignment horizontal="center" vertical="center"/>
    </xf>
    <xf numFmtId="0" fontId="21" fillId="13" borderId="59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4" fillId="27" borderId="106" xfId="0" applyFont="1" applyFill="1" applyBorder="1" applyAlignment="1">
      <alignment horizontal="center" vertical="center" wrapText="1"/>
    </xf>
    <xf numFmtId="0" fontId="3" fillId="27" borderId="105" xfId="0" applyFont="1" applyFill="1" applyBorder="1" applyAlignment="1">
      <alignment horizontal="center" vertical="center"/>
    </xf>
    <xf numFmtId="165" fontId="0" fillId="13" borderId="98" xfId="1" applyNumberFormat="1" applyFont="1" applyFill="1" applyBorder="1" applyAlignment="1"/>
    <xf numFmtId="165" fontId="0" fillId="13" borderId="76" xfId="1" applyNumberFormat="1" applyFont="1" applyFill="1" applyBorder="1" applyAlignment="1"/>
    <xf numFmtId="165" fontId="0" fillId="13" borderId="98" xfId="1" applyNumberFormat="1" applyFont="1" applyFill="1" applyBorder="1"/>
    <xf numFmtId="165" fontId="0" fillId="13" borderId="96" xfId="1" applyNumberFormat="1" applyFont="1" applyFill="1" applyBorder="1"/>
    <xf numFmtId="165" fontId="0" fillId="13" borderId="113" xfId="1" applyNumberFormat="1" applyFont="1" applyFill="1" applyBorder="1"/>
    <xf numFmtId="1" fontId="0" fillId="13" borderId="113" xfId="0" applyNumberFormat="1" applyFill="1" applyBorder="1"/>
    <xf numFmtId="165" fontId="0" fillId="13" borderId="102" xfId="1" applyNumberFormat="1" applyFont="1" applyFill="1" applyBorder="1"/>
    <xf numFmtId="165" fontId="0" fillId="13" borderId="107" xfId="1" applyNumberFormat="1" applyFont="1" applyFill="1" applyBorder="1"/>
    <xf numFmtId="1" fontId="0" fillId="27" borderId="107" xfId="0" applyNumberFormat="1" applyFill="1" applyBorder="1" applyAlignment="1">
      <alignment horizontal="center"/>
    </xf>
    <xf numFmtId="1" fontId="0" fillId="27" borderId="102" xfId="0" applyNumberFormat="1" applyFill="1" applyBorder="1" applyAlignment="1">
      <alignment horizontal="center"/>
    </xf>
    <xf numFmtId="1" fontId="0" fillId="27" borderId="92" xfId="0" applyNumberFormat="1" applyFill="1" applyBorder="1" applyAlignment="1">
      <alignment horizontal="center"/>
    </xf>
    <xf numFmtId="1" fontId="0" fillId="27" borderId="114" xfId="0" applyNumberFormat="1" applyFill="1" applyBorder="1" applyAlignment="1">
      <alignment horizontal="center"/>
    </xf>
    <xf numFmtId="1" fontId="0" fillId="27" borderId="83" xfId="0" applyNumberFormat="1" applyFill="1" applyBorder="1" applyAlignment="1">
      <alignment horizontal="center"/>
    </xf>
    <xf numFmtId="1" fontId="0" fillId="27" borderId="76" xfId="0" applyNumberFormat="1" applyFill="1" applyBorder="1" applyAlignment="1">
      <alignment horizontal="center"/>
    </xf>
    <xf numFmtId="1" fontId="0" fillId="27" borderId="98" xfId="0" applyNumberFormat="1" applyFill="1" applyBorder="1" applyAlignment="1">
      <alignment horizontal="center"/>
    </xf>
    <xf numFmtId="0" fontId="0" fillId="15" borderId="96" xfId="0" applyFill="1" applyBorder="1" applyAlignment="1">
      <alignment horizontal="center" vertical="center"/>
    </xf>
    <xf numFmtId="0" fontId="0" fillId="15" borderId="74" xfId="0" applyFill="1" applyBorder="1" applyAlignment="1">
      <alignment horizontal="center" vertical="center"/>
    </xf>
    <xf numFmtId="0" fontId="0" fillId="15" borderId="102" xfId="0" applyFill="1" applyBorder="1" applyAlignment="1">
      <alignment horizontal="center" vertical="center"/>
    </xf>
    <xf numFmtId="0" fontId="0" fillId="15" borderId="102" xfId="0" applyFill="1" applyBorder="1" applyAlignment="1">
      <alignment horizontal="center"/>
    </xf>
    <xf numFmtId="0" fontId="0" fillId="15" borderId="107" xfId="0" applyFill="1" applyBorder="1" applyAlignment="1">
      <alignment horizontal="center"/>
    </xf>
    <xf numFmtId="0" fontId="0" fillId="15" borderId="56" xfId="0" applyFill="1" applyBorder="1" applyAlignment="1">
      <alignment horizontal="center"/>
    </xf>
    <xf numFmtId="0" fontId="0" fillId="15" borderId="57" xfId="0" applyFill="1" applyBorder="1" applyAlignment="1">
      <alignment horizontal="center"/>
    </xf>
    <xf numFmtId="165" fontId="8" fillId="4" borderId="1" xfId="1" applyNumberFormat="1" applyFont="1" applyFill="1" applyBorder="1" applyAlignment="1">
      <alignment horizontal="right" vertical="center"/>
    </xf>
    <xf numFmtId="165" fontId="8" fillId="4" borderId="1" xfId="1" applyNumberFormat="1" applyFont="1" applyFill="1" applyBorder="1" applyAlignment="1">
      <alignment horizontal="center" vertical="top"/>
    </xf>
    <xf numFmtId="0" fontId="4" fillId="13" borderId="34" xfId="0" applyFont="1" applyFill="1" applyBorder="1" applyAlignment="1">
      <alignment horizontal="center" vertical="center"/>
    </xf>
    <xf numFmtId="0" fontId="4" fillId="5" borderId="102" xfId="0" applyFont="1" applyFill="1" applyBorder="1" applyAlignment="1">
      <alignment horizontal="center" vertical="center"/>
    </xf>
    <xf numFmtId="164" fontId="0" fillId="0" borderId="0" xfId="1" applyFont="1"/>
    <xf numFmtId="165" fontId="73" fillId="27" borderId="1" xfId="1" applyNumberFormat="1" applyFont="1" applyFill="1" applyBorder="1" applyAlignment="1">
      <alignment horizontal="center" vertical="center"/>
    </xf>
    <xf numFmtId="165" fontId="70" fillId="27" borderId="1" xfId="1" applyNumberFormat="1" applyFont="1" applyFill="1" applyBorder="1" applyAlignment="1">
      <alignment horizontal="center" vertical="center"/>
    </xf>
    <xf numFmtId="165" fontId="68" fillId="27" borderId="1" xfId="1" applyNumberFormat="1" applyFont="1" applyFill="1" applyBorder="1" applyAlignment="1">
      <alignment horizontal="center" vertical="center"/>
    </xf>
    <xf numFmtId="165" fontId="68" fillId="27" borderId="89" xfId="1" applyNumberFormat="1" applyFont="1" applyFill="1" applyBorder="1" applyAlignment="1">
      <alignment horizontal="center" vertical="center"/>
    </xf>
    <xf numFmtId="165" fontId="17" fillId="13" borderId="1" xfId="1" applyNumberFormat="1" applyFont="1" applyFill="1" applyBorder="1" applyAlignment="1">
      <alignment horizontal="center" vertical="center"/>
    </xf>
    <xf numFmtId="165" fontId="4" fillId="13" borderId="89" xfId="1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21" fillId="13" borderId="1" xfId="3" applyFont="1" applyFill="1" applyBorder="1" applyAlignment="1">
      <alignment horizontal="center" vertical="center" wrapText="1" shrinkToFit="1" readingOrder="2"/>
    </xf>
    <xf numFmtId="0" fontId="71" fillId="13" borderId="1" xfId="3" applyFont="1" applyFill="1" applyBorder="1" applyAlignment="1">
      <alignment horizontal="center" vertical="center" wrapText="1" shrinkToFit="1" readingOrder="2"/>
    </xf>
    <xf numFmtId="0" fontId="20" fillId="13" borderId="1" xfId="3" applyFont="1" applyFill="1" applyBorder="1" applyAlignment="1">
      <alignment horizontal="center" vertical="center" wrapText="1" shrinkToFit="1" readingOrder="2"/>
    </xf>
    <xf numFmtId="3" fontId="20" fillId="27" borderId="1" xfId="3" applyNumberFormat="1" applyFont="1" applyFill="1" applyBorder="1" applyAlignment="1">
      <alignment horizontal="center" vertical="center" wrapText="1" shrinkToFit="1" readingOrder="2"/>
    </xf>
    <xf numFmtId="1" fontId="0" fillId="27" borderId="102" xfId="1" applyNumberFormat="1" applyFont="1" applyFill="1" applyBorder="1" applyAlignment="1">
      <alignment horizontal="center"/>
    </xf>
    <xf numFmtId="1" fontId="17" fillId="13" borderId="1" xfId="1" applyNumberFormat="1" applyFont="1" applyFill="1" applyBorder="1" applyAlignment="1">
      <alignment horizontal="center" vertical="center"/>
    </xf>
    <xf numFmtId="0" fontId="12" fillId="0" borderId="96" xfId="8" applyBorder="1"/>
    <xf numFmtId="0" fontId="12" fillId="0" borderId="98" xfId="8" applyBorder="1"/>
    <xf numFmtId="0" fontId="12" fillId="0" borderId="99" xfId="8" applyBorder="1"/>
    <xf numFmtId="0" fontId="12" fillId="0" borderId="100" xfId="8" applyBorder="1"/>
    <xf numFmtId="0" fontId="12" fillId="0" borderId="110" xfId="8" applyBorder="1"/>
    <xf numFmtId="0" fontId="12" fillId="0" borderId="52" xfId="8" applyBorder="1"/>
    <xf numFmtId="0" fontId="12" fillId="0" borderId="83" xfId="8" applyBorder="1"/>
    <xf numFmtId="0" fontId="6" fillId="4" borderId="37" xfId="8" applyFont="1" applyFill="1" applyBorder="1" applyAlignment="1">
      <alignment horizontal="center" vertical="center"/>
    </xf>
    <xf numFmtId="0" fontId="6" fillId="4" borderId="39" xfId="8" applyFont="1" applyFill="1" applyBorder="1" applyAlignment="1">
      <alignment horizontal="center" vertical="center"/>
    </xf>
    <xf numFmtId="0" fontId="6" fillId="4" borderId="41" xfId="8" applyFont="1" applyFill="1" applyBorder="1" applyAlignment="1">
      <alignment horizontal="center" vertical="center"/>
    </xf>
    <xf numFmtId="0" fontId="6" fillId="4" borderId="113" xfId="8" applyFont="1" applyFill="1" applyBorder="1" applyAlignment="1">
      <alignment horizontal="center" vertical="center"/>
    </xf>
    <xf numFmtId="3" fontId="6" fillId="4" borderId="38" xfId="8" applyNumberFormat="1" applyFont="1" applyFill="1" applyBorder="1" applyAlignment="1">
      <alignment horizontal="center" vertical="center"/>
    </xf>
    <xf numFmtId="0" fontId="6" fillId="4" borderId="40" xfId="8" applyFont="1" applyFill="1" applyBorder="1" applyAlignment="1">
      <alignment horizontal="center" vertical="center"/>
    </xf>
    <xf numFmtId="0" fontId="6" fillId="4" borderId="54" xfId="8" applyFont="1" applyFill="1" applyBorder="1" applyAlignment="1">
      <alignment horizontal="center" vertical="center"/>
    </xf>
    <xf numFmtId="0" fontId="6" fillId="5" borderId="60" xfId="8" applyFont="1" applyFill="1" applyBorder="1" applyAlignment="1">
      <alignment horizontal="center" vertical="center"/>
    </xf>
    <xf numFmtId="0" fontId="12" fillId="5" borderId="74" xfId="8" applyFill="1" applyBorder="1"/>
    <xf numFmtId="0" fontId="12" fillId="5" borderId="76" xfId="8" applyFill="1" applyBorder="1"/>
    <xf numFmtId="0" fontId="46" fillId="0" borderId="42" xfId="8" applyFont="1" applyBorder="1" applyAlignment="1">
      <alignment horizontal="center" vertical="center"/>
    </xf>
    <xf numFmtId="0" fontId="6" fillId="4" borderId="103" xfId="8" applyFont="1" applyFill="1" applyBorder="1" applyAlignment="1">
      <alignment horizontal="center" vertical="center"/>
    </xf>
    <xf numFmtId="2" fontId="6" fillId="4" borderId="104" xfId="8" applyNumberFormat="1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65" fontId="0" fillId="0" borderId="34" xfId="1" applyNumberFormat="1" applyFont="1" applyBorder="1" applyAlignment="1">
      <alignment horizontal="center" vertical="center"/>
    </xf>
    <xf numFmtId="165" fontId="0" fillId="5" borderId="34" xfId="1" applyNumberFormat="1" applyFont="1" applyFill="1" applyBorder="1" applyAlignment="1">
      <alignment horizontal="center" vertical="center"/>
    </xf>
    <xf numFmtId="1" fontId="0" fillId="5" borderId="34" xfId="0" applyNumberFormat="1" applyFill="1" applyBorder="1" applyAlignment="1">
      <alignment horizontal="center" vertical="center"/>
    </xf>
    <xf numFmtId="165" fontId="0" fillId="0" borderId="34" xfId="1" applyNumberFormat="1" applyFont="1" applyBorder="1" applyAlignment="1">
      <alignment vertical="center"/>
    </xf>
    <xf numFmtId="0" fontId="0" fillId="5" borderId="79" xfId="0" applyFill="1" applyBorder="1" applyAlignment="1">
      <alignment horizontal="center" vertical="center"/>
    </xf>
    <xf numFmtId="165" fontId="0" fillId="5" borderId="77" xfId="0" applyNumberFormat="1" applyFill="1" applyBorder="1" applyAlignment="1">
      <alignment horizontal="center" vertical="center"/>
    </xf>
    <xf numFmtId="0" fontId="6" fillId="0" borderId="89" xfId="8" applyFont="1" applyBorder="1" applyAlignment="1">
      <alignment horizontal="center" vertical="center"/>
    </xf>
    <xf numFmtId="4" fontId="6" fillId="0" borderId="89" xfId="8" applyNumberFormat="1" applyFont="1" applyBorder="1" applyAlignment="1">
      <alignment horizontal="center" vertical="center"/>
    </xf>
    <xf numFmtId="176" fontId="6" fillId="0" borderId="1" xfId="8" applyNumberFormat="1" applyFont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165" fontId="4" fillId="5" borderId="30" xfId="1" applyNumberFormat="1" applyFont="1" applyFill="1" applyBorder="1" applyAlignment="1">
      <alignment horizontal="center" vertical="center"/>
    </xf>
    <xf numFmtId="165" fontId="4" fillId="5" borderId="117" xfId="1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vertical="center"/>
    </xf>
    <xf numFmtId="165" fontId="4" fillId="5" borderId="1" xfId="0" applyNumberFormat="1" applyFont="1" applyFill="1" applyBorder="1"/>
    <xf numFmtId="165" fontId="4" fillId="5" borderId="1" xfId="1" applyNumberFormat="1" applyFont="1" applyFill="1" applyBorder="1"/>
    <xf numFmtId="165" fontId="4" fillId="5" borderId="102" xfId="0" applyNumberFormat="1" applyFont="1" applyFill="1" applyBorder="1"/>
    <xf numFmtId="0" fontId="3" fillId="0" borderId="74" xfId="0" applyFont="1" applyBorder="1" applyAlignment="1">
      <alignment horizontal="center" vertical="center"/>
    </xf>
    <xf numFmtId="0" fontId="1" fillId="4" borderId="0" xfId="21" applyFill="1"/>
    <xf numFmtId="0" fontId="4" fillId="4" borderId="118" xfId="21" applyFont="1" applyFill="1" applyBorder="1" applyAlignment="1">
      <alignment horizontal="center" vertical="center"/>
    </xf>
    <xf numFmtId="0" fontId="4" fillId="4" borderId="92" xfId="21" applyFont="1" applyFill="1" applyBorder="1" applyAlignment="1">
      <alignment horizontal="center" vertical="center"/>
    </xf>
    <xf numFmtId="0" fontId="4" fillId="4" borderId="102" xfId="21" applyFont="1" applyFill="1" applyBorder="1" applyAlignment="1">
      <alignment horizontal="center" vertical="center"/>
    </xf>
    <xf numFmtId="0" fontId="4" fillId="4" borderId="60" xfId="21" applyFont="1" applyFill="1" applyBorder="1" applyAlignment="1">
      <alignment horizontal="center" vertical="center"/>
    </xf>
    <xf numFmtId="0" fontId="4" fillId="4" borderId="77" xfId="21" applyFont="1" applyFill="1" applyBorder="1" applyAlignment="1">
      <alignment vertical="center"/>
    </xf>
    <xf numFmtId="3" fontId="4" fillId="4" borderId="102" xfId="21" applyNumberFormat="1" applyFont="1" applyFill="1" applyBorder="1" applyAlignment="1">
      <alignment horizontal="center" vertical="center"/>
    </xf>
    <xf numFmtId="0" fontId="4" fillId="4" borderId="66" xfId="21" applyFont="1" applyFill="1" applyBorder="1" applyAlignment="1">
      <alignment horizontal="right" vertical="center" wrapText="1"/>
    </xf>
    <xf numFmtId="3" fontId="4" fillId="4" borderId="59" xfId="21" applyNumberFormat="1" applyFont="1" applyFill="1" applyBorder="1" applyAlignment="1">
      <alignment horizontal="center" vertical="center"/>
    </xf>
    <xf numFmtId="0" fontId="4" fillId="4" borderId="30" xfId="21" applyFont="1" applyFill="1" applyBorder="1" applyAlignment="1">
      <alignment horizontal="right" vertical="center" wrapText="1"/>
    </xf>
    <xf numFmtId="3" fontId="4" fillId="4" borderId="62" xfId="21" applyNumberFormat="1" applyFont="1" applyFill="1" applyBorder="1" applyAlignment="1">
      <alignment horizontal="center" vertical="center"/>
    </xf>
    <xf numFmtId="0" fontId="4" fillId="4" borderId="116" xfId="21" applyFont="1" applyFill="1" applyBorder="1" applyAlignment="1">
      <alignment horizontal="right" vertical="center"/>
    </xf>
    <xf numFmtId="3" fontId="4" fillId="4" borderId="109" xfId="21" applyNumberFormat="1" applyFont="1" applyFill="1" applyBorder="1" applyAlignment="1">
      <alignment horizontal="center" vertical="center"/>
    </xf>
    <xf numFmtId="0" fontId="4" fillId="4" borderId="30" xfId="21" applyFont="1" applyFill="1" applyBorder="1" applyAlignment="1">
      <alignment horizontal="right" vertical="center"/>
    </xf>
    <xf numFmtId="0" fontId="4" fillId="4" borderId="121" xfId="21" applyFont="1" applyFill="1" applyBorder="1" applyAlignment="1">
      <alignment horizontal="right" vertical="center"/>
    </xf>
    <xf numFmtId="3" fontId="5" fillId="4" borderId="102" xfId="21" applyNumberFormat="1" applyFont="1" applyFill="1" applyBorder="1" applyAlignment="1">
      <alignment horizontal="center" vertical="center"/>
    </xf>
    <xf numFmtId="3" fontId="1" fillId="4" borderId="0" xfId="21" applyNumberFormat="1" applyFill="1"/>
    <xf numFmtId="10" fontId="0" fillId="4" borderId="0" xfId="20" applyNumberFormat="1" applyFont="1" applyFill="1" applyBorder="1" applyAlignment="1">
      <alignment horizontal="center" vertical="center"/>
    </xf>
    <xf numFmtId="0" fontId="1" fillId="4" borderId="0" xfId="21" applyFill="1" applyAlignment="1">
      <alignment horizontal="center" vertical="center"/>
    </xf>
    <xf numFmtId="165" fontId="0" fillId="4" borderId="0" xfId="22" applyNumberFormat="1" applyFont="1" applyFill="1"/>
    <xf numFmtId="175" fontId="0" fillId="0" borderId="0" xfId="0" applyNumberFormat="1"/>
    <xf numFmtId="0" fontId="4" fillId="4" borderId="95" xfId="21" applyFont="1" applyFill="1" applyBorder="1" applyAlignment="1">
      <alignment horizontal="right" vertical="center" wrapText="1"/>
    </xf>
    <xf numFmtId="3" fontId="4" fillId="4" borderId="108" xfId="21" applyNumberFormat="1" applyFont="1" applyFill="1" applyBorder="1" applyAlignment="1">
      <alignment horizontal="center" vertical="center"/>
    </xf>
    <xf numFmtId="0" fontId="4" fillId="4" borderId="1" xfId="21" applyFont="1" applyFill="1" applyBorder="1" applyAlignment="1">
      <alignment vertical="center" wrapText="1"/>
    </xf>
    <xf numFmtId="3" fontId="4" fillId="4" borderId="1" xfId="21" applyNumberFormat="1" applyFont="1" applyFill="1" applyBorder="1" applyAlignment="1">
      <alignment horizontal="center" vertical="center"/>
    </xf>
    <xf numFmtId="3" fontId="4" fillId="4" borderId="76" xfId="21" applyNumberFormat="1" applyFont="1" applyFill="1" applyBorder="1" applyAlignment="1">
      <alignment horizontal="center" vertical="center"/>
    </xf>
    <xf numFmtId="0" fontId="4" fillId="4" borderId="122" xfId="21" applyFont="1" applyFill="1" applyBorder="1" applyAlignment="1">
      <alignment horizontal="right" vertical="center"/>
    </xf>
    <xf numFmtId="0" fontId="4" fillId="4" borderId="1" xfId="21" applyFont="1" applyFill="1" applyBorder="1" applyAlignment="1">
      <alignment horizontal="right" vertical="center"/>
    </xf>
    <xf numFmtId="3" fontId="4" fillId="4" borderId="8" xfId="21" applyNumberFormat="1" applyFont="1" applyFill="1" applyBorder="1" applyAlignment="1">
      <alignment horizontal="center" vertical="center"/>
    </xf>
    <xf numFmtId="3" fontId="4" fillId="4" borderId="30" xfId="2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0" fillId="5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/>
    <xf numFmtId="0" fontId="0" fillId="5" borderId="1" xfId="0" applyFill="1" applyBorder="1"/>
    <xf numFmtId="165" fontId="0" fillId="13" borderId="62" xfId="1" applyNumberFormat="1" applyFont="1" applyFill="1" applyBorder="1" applyAlignment="1">
      <alignment horizontal="center" vertical="center"/>
    </xf>
    <xf numFmtId="3" fontId="0" fillId="13" borderId="62" xfId="0" applyNumberFormat="1" applyFill="1" applyBorder="1" applyAlignment="1">
      <alignment horizontal="center" vertical="center"/>
    </xf>
    <xf numFmtId="1" fontId="0" fillId="13" borderId="62" xfId="0" applyNumberFormat="1" applyFill="1" applyBorder="1" applyAlignment="1">
      <alignment horizontal="center" vertical="center"/>
    </xf>
    <xf numFmtId="175" fontId="0" fillId="5" borderId="63" xfId="0" applyNumberFormat="1" applyFill="1" applyBorder="1" applyAlignment="1">
      <alignment horizontal="center" vertical="center"/>
    </xf>
    <xf numFmtId="4" fontId="6" fillId="5" borderId="89" xfId="8" applyNumberFormat="1" applyFont="1" applyFill="1" applyBorder="1" applyAlignment="1">
      <alignment horizontal="center" vertical="center"/>
    </xf>
    <xf numFmtId="1" fontId="1" fillId="0" borderId="0" xfId="19" applyNumberFormat="1" applyAlignment="1">
      <alignment horizontal="center"/>
    </xf>
    <xf numFmtId="3" fontId="1" fillId="0" borderId="0" xfId="19" applyNumberFormat="1" applyAlignment="1">
      <alignment horizontal="center"/>
    </xf>
    <xf numFmtId="3" fontId="1" fillId="0" borderId="0" xfId="19" applyNumberFormat="1"/>
    <xf numFmtId="0" fontId="4" fillId="0" borderId="0" xfId="0" applyFont="1" applyAlignment="1">
      <alignment vertical="center"/>
    </xf>
    <xf numFmtId="0" fontId="8" fillId="29" borderId="1" xfId="0" applyFont="1" applyFill="1" applyBorder="1" applyAlignment="1">
      <alignment horizontal="center" vertical="center" wrapText="1"/>
    </xf>
    <xf numFmtId="168" fontId="8" fillId="29" borderId="1" xfId="23" applyNumberFormat="1" applyFont="1" applyFill="1" applyBorder="1" applyAlignment="1">
      <alignment horizontal="center" vertical="center"/>
    </xf>
    <xf numFmtId="9" fontId="8" fillId="29" borderId="1" xfId="23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168" fontId="8" fillId="30" borderId="1" xfId="23" applyNumberFormat="1" applyFont="1" applyFill="1" applyBorder="1" applyAlignment="1">
      <alignment horizontal="center" vertical="center"/>
    </xf>
    <xf numFmtId="9" fontId="8" fillId="30" borderId="1" xfId="23" applyFont="1" applyFill="1" applyBorder="1" applyAlignment="1">
      <alignment horizontal="center" vertical="center"/>
    </xf>
    <xf numFmtId="9" fontId="8" fillId="22" borderId="1" xfId="23" applyFont="1" applyFill="1" applyBorder="1" applyAlignment="1">
      <alignment horizontal="center" vertical="center"/>
    </xf>
    <xf numFmtId="168" fontId="8" fillId="3" borderId="1" xfId="23" applyNumberFormat="1" applyFont="1" applyFill="1" applyBorder="1" applyAlignment="1">
      <alignment horizontal="center" vertical="center"/>
    </xf>
    <xf numFmtId="168" fontId="8" fillId="3" borderId="1" xfId="23" applyNumberFormat="1" applyFont="1" applyFill="1" applyBorder="1" applyAlignment="1">
      <alignment horizontal="center" vertical="top"/>
    </xf>
    <xf numFmtId="9" fontId="8" fillId="3" borderId="1" xfId="23" applyFont="1" applyFill="1" applyBorder="1" applyAlignment="1">
      <alignment horizontal="center" vertical="center"/>
    </xf>
    <xf numFmtId="0" fontId="6" fillId="0" borderId="105" xfId="8" applyFont="1" applyBorder="1" applyAlignment="1">
      <alignment horizontal="center" vertical="center"/>
    </xf>
    <xf numFmtId="168" fontId="6" fillId="22" borderId="8" xfId="9" applyNumberFormat="1" applyFont="1" applyFill="1" applyBorder="1" applyAlignment="1">
      <alignment horizontal="center" vertical="center"/>
    </xf>
    <xf numFmtId="168" fontId="6" fillId="3" borderId="105" xfId="9" applyNumberFormat="1" applyFont="1" applyFill="1" applyBorder="1" applyAlignment="1">
      <alignment horizontal="center" vertical="center"/>
    </xf>
    <xf numFmtId="0" fontId="6" fillId="4" borderId="52" xfId="8" applyFont="1" applyFill="1" applyBorder="1" applyAlignment="1">
      <alignment horizontal="center" vertical="center"/>
    </xf>
    <xf numFmtId="0" fontId="46" fillId="0" borderId="52" xfId="8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21" xfId="0" applyFont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66" fontId="37" fillId="0" borderId="56" xfId="6" applyNumberFormat="1" applyFont="1" applyBorder="1" applyAlignment="1">
      <alignment horizontal="center" vertical="center"/>
    </xf>
    <xf numFmtId="166" fontId="37" fillId="0" borderId="68" xfId="6" applyNumberFormat="1" applyFont="1" applyBorder="1" applyAlignment="1">
      <alignment horizontal="center" vertical="center"/>
    </xf>
    <xf numFmtId="0" fontId="37" fillId="0" borderId="57" xfId="6" applyFont="1" applyBorder="1" applyAlignment="1">
      <alignment horizontal="center" vertical="center"/>
    </xf>
    <xf numFmtId="0" fontId="37" fillId="0" borderId="73" xfId="6" applyFont="1" applyBorder="1" applyAlignment="1">
      <alignment horizontal="center" vertical="center"/>
    </xf>
    <xf numFmtId="166" fontId="35" fillId="0" borderId="0" xfId="6" applyNumberFormat="1" applyFont="1" applyAlignment="1">
      <alignment horizontal="center" vertical="center"/>
    </xf>
    <xf numFmtId="2" fontId="35" fillId="0" borderId="0" xfId="6" applyNumberFormat="1" applyFont="1" applyAlignment="1">
      <alignment horizontal="center" vertical="center"/>
    </xf>
    <xf numFmtId="0" fontId="12" fillId="0" borderId="37" xfId="5" applyBorder="1" applyAlignment="1">
      <alignment horizontal="center"/>
    </xf>
    <xf numFmtId="0" fontId="12" fillId="0" borderId="65" xfId="5" applyBorder="1" applyAlignment="1">
      <alignment horizontal="center"/>
    </xf>
    <xf numFmtId="0" fontId="12" fillId="0" borderId="39" xfId="5" applyBorder="1" applyAlignment="1">
      <alignment horizontal="center"/>
    </xf>
    <xf numFmtId="0" fontId="12" fillId="0" borderId="1" xfId="5" applyBorder="1" applyAlignment="1">
      <alignment horizontal="center"/>
    </xf>
    <xf numFmtId="0" fontId="37" fillId="0" borderId="65" xfId="6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37" fillId="0" borderId="30" xfId="6" applyNumberFormat="1" applyFont="1" applyBorder="1" applyAlignment="1">
      <alignment horizontal="center" vertical="center"/>
    </xf>
    <xf numFmtId="2" fontId="0" fillId="25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4" fillId="19" borderId="43" xfId="0" applyFont="1" applyFill="1" applyBorder="1" applyAlignment="1">
      <alignment horizontal="center" vertical="center" wrapText="1"/>
    </xf>
    <xf numFmtId="0" fontId="4" fillId="19" borderId="4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2" fontId="0" fillId="4" borderId="89" xfId="0" applyNumberFormat="1" applyFill="1" applyBorder="1" applyAlignment="1">
      <alignment horizontal="center" vertical="center"/>
    </xf>
    <xf numFmtId="2" fontId="0" fillId="4" borderId="34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left" vertical="center"/>
    </xf>
    <xf numFmtId="9" fontId="0" fillId="14" borderId="89" xfId="0" applyNumberFormat="1" applyFill="1" applyBorder="1" applyAlignment="1">
      <alignment horizontal="center" vertical="center"/>
    </xf>
    <xf numFmtId="9" fontId="0" fillId="14" borderId="34" xfId="0" applyNumberForma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3" fontId="0" fillId="4" borderId="89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21" xfId="0" applyFont="1" applyBorder="1" applyAlignment="1">
      <alignment horizontal="right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 shrinkToFit="1" readingOrder="2"/>
    </xf>
    <xf numFmtId="0" fontId="20" fillId="0" borderId="32" xfId="3" applyFont="1" applyBorder="1" applyAlignment="1">
      <alignment horizontal="center" vertical="center" wrapText="1" shrinkToFit="1" readingOrder="2"/>
    </xf>
    <xf numFmtId="0" fontId="20" fillId="8" borderId="1" xfId="3" applyFont="1" applyFill="1" applyBorder="1" applyAlignment="1">
      <alignment horizontal="center" vertical="center" wrapText="1" shrinkToFit="1" readingOrder="2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37" fillId="0" borderId="32" xfId="6" applyNumberFormat="1" applyFont="1" applyBorder="1" applyAlignment="1">
      <alignment horizontal="center" vertical="center"/>
    </xf>
    <xf numFmtId="0" fontId="37" fillId="0" borderId="58" xfId="6" applyFont="1" applyBorder="1" applyAlignment="1">
      <alignment horizontal="center" vertical="center"/>
    </xf>
    <xf numFmtId="2" fontId="35" fillId="0" borderId="52" xfId="6" applyNumberFormat="1" applyFont="1" applyBorder="1" applyAlignment="1">
      <alignment horizontal="center" vertical="center"/>
    </xf>
    <xf numFmtId="0" fontId="37" fillId="0" borderId="1" xfId="6" applyFont="1" applyBorder="1" applyAlignment="1">
      <alignment horizontal="center" vertical="center"/>
    </xf>
    <xf numFmtId="0" fontId="37" fillId="0" borderId="30" xfId="6" applyFont="1" applyBorder="1" applyAlignment="1">
      <alignment horizontal="center" vertical="center"/>
    </xf>
    <xf numFmtId="0" fontId="37" fillId="0" borderId="32" xfId="6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top"/>
    </xf>
    <xf numFmtId="0" fontId="6" fillId="0" borderId="8" xfId="0" applyFont="1" applyBorder="1" applyAlignment="1">
      <alignment horizontal="right" vertical="top"/>
    </xf>
    <xf numFmtId="0" fontId="6" fillId="0" borderId="12" xfId="0" applyFont="1" applyBorder="1" applyAlignment="1">
      <alignment horizontal="right" vertical="top"/>
    </xf>
    <xf numFmtId="0" fontId="6" fillId="0" borderId="9" xfId="0" applyFont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0" xfId="0" applyFont="1" applyBorder="1" applyAlignment="1">
      <alignment horizontal="right" vertical="top"/>
    </xf>
    <xf numFmtId="0" fontId="6" fillId="0" borderId="11" xfId="0" applyFont="1" applyBorder="1" applyAlignment="1">
      <alignment horizontal="right" vertical="top"/>
    </xf>
    <xf numFmtId="0" fontId="6" fillId="0" borderId="14" xfId="0" applyFont="1" applyBorder="1" applyAlignment="1">
      <alignment horizontal="right"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/>
    </xf>
    <xf numFmtId="0" fontId="19" fillId="0" borderId="0" xfId="3" applyAlignment="1">
      <alignment horizontal="center"/>
    </xf>
    <xf numFmtId="0" fontId="17" fillId="2" borderId="43" xfId="3" applyFont="1" applyFill="1" applyBorder="1" applyAlignment="1">
      <alignment horizontal="center" vertical="center" wrapText="1"/>
    </xf>
    <xf numFmtId="0" fontId="17" fillId="2" borderId="44" xfId="3" applyFont="1" applyFill="1" applyBorder="1" applyAlignment="1">
      <alignment horizontal="center" vertical="center" wrapText="1"/>
    </xf>
    <xf numFmtId="0" fontId="17" fillId="2" borderId="45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/>
    </xf>
    <xf numFmtId="0" fontId="4" fillId="25" borderId="18" xfId="19" applyFont="1" applyFill="1" applyBorder="1" applyAlignment="1">
      <alignment horizontal="center" vertical="center"/>
    </xf>
    <xf numFmtId="0" fontId="4" fillId="25" borderId="91" xfId="19" applyFont="1" applyFill="1" applyBorder="1" applyAlignment="1">
      <alignment horizontal="center" vertical="center"/>
    </xf>
    <xf numFmtId="0" fontId="4" fillId="7" borderId="0" xfId="19" applyFont="1" applyFill="1" applyAlignment="1">
      <alignment horizontal="center" vertical="center"/>
    </xf>
    <xf numFmtId="0" fontId="11" fillId="4" borderId="89" xfId="19" applyFont="1" applyFill="1" applyBorder="1" applyAlignment="1">
      <alignment horizontal="center" vertical="center"/>
    </xf>
    <xf numFmtId="0" fontId="11" fillId="4" borderId="92" xfId="19" applyFont="1" applyFill="1" applyBorder="1" applyAlignment="1">
      <alignment horizontal="center" vertical="center"/>
    </xf>
    <xf numFmtId="0" fontId="11" fillId="4" borderId="34" xfId="19" applyFont="1" applyFill="1" applyBorder="1" applyAlignment="1">
      <alignment horizontal="center" vertical="center"/>
    </xf>
    <xf numFmtId="0" fontId="11" fillId="4" borderId="89" xfId="19" applyFont="1" applyFill="1" applyBorder="1" applyAlignment="1">
      <alignment horizontal="center" vertical="center" wrapText="1" readingOrder="2"/>
    </xf>
    <xf numFmtId="0" fontId="11" fillId="4" borderId="92" xfId="19" applyFont="1" applyFill="1" applyBorder="1" applyAlignment="1">
      <alignment horizontal="center" vertical="center" wrapText="1" readingOrder="2"/>
    </xf>
    <xf numFmtId="0" fontId="11" fillId="4" borderId="34" xfId="19" applyFont="1" applyFill="1" applyBorder="1" applyAlignment="1">
      <alignment horizontal="center" vertical="center" wrapText="1" readingOrder="2"/>
    </xf>
    <xf numFmtId="3" fontId="11" fillId="4" borderId="89" xfId="19" applyNumberFormat="1" applyFont="1" applyFill="1" applyBorder="1" applyAlignment="1">
      <alignment horizontal="center" vertical="center"/>
    </xf>
    <xf numFmtId="3" fontId="11" fillId="4" borderId="92" xfId="19" applyNumberFormat="1" applyFont="1" applyFill="1" applyBorder="1" applyAlignment="1">
      <alignment horizontal="center" vertical="center"/>
    </xf>
    <xf numFmtId="3" fontId="11" fillId="4" borderId="34" xfId="19" applyNumberFormat="1" applyFont="1" applyFill="1" applyBorder="1" applyAlignment="1">
      <alignment horizontal="center" vertical="center"/>
    </xf>
    <xf numFmtId="49" fontId="11" fillId="4" borderId="92" xfId="19" applyNumberFormat="1" applyFont="1" applyFill="1" applyBorder="1" applyAlignment="1">
      <alignment horizontal="center" vertical="center"/>
    </xf>
    <xf numFmtId="49" fontId="11" fillId="4" borderId="34" xfId="19" applyNumberFormat="1" applyFont="1" applyFill="1" applyBorder="1" applyAlignment="1">
      <alignment horizontal="center" vertical="center"/>
    </xf>
    <xf numFmtId="0" fontId="11" fillId="7" borderId="0" xfId="19" applyFont="1" applyFill="1" applyAlignment="1">
      <alignment horizontal="center"/>
    </xf>
    <xf numFmtId="0" fontId="4" fillId="7" borderId="30" xfId="19" applyFont="1" applyFill="1" applyBorder="1" applyAlignment="1">
      <alignment horizontal="center" vertical="center"/>
    </xf>
    <xf numFmtId="0" fontId="4" fillId="7" borderId="31" xfId="19" applyFont="1" applyFill="1" applyBorder="1" applyAlignment="1">
      <alignment horizontal="center" vertical="center"/>
    </xf>
    <xf numFmtId="0" fontId="4" fillId="7" borderId="32" xfId="19" applyFont="1" applyFill="1" applyBorder="1" applyAlignment="1">
      <alignment horizontal="center" vertical="center"/>
    </xf>
    <xf numFmtId="0" fontId="13" fillId="5" borderId="30" xfId="19" applyFont="1" applyFill="1" applyBorder="1" applyAlignment="1">
      <alignment horizontal="center"/>
    </xf>
    <xf numFmtId="0" fontId="13" fillId="5" borderId="31" xfId="19" applyFont="1" applyFill="1" applyBorder="1" applyAlignment="1">
      <alignment horizontal="center"/>
    </xf>
    <xf numFmtId="0" fontId="4" fillId="25" borderId="30" xfId="19" applyFont="1" applyFill="1" applyBorder="1" applyAlignment="1">
      <alignment horizontal="center" vertical="center"/>
    </xf>
    <xf numFmtId="0" fontId="4" fillId="25" borderId="31" xfId="19" applyFont="1" applyFill="1" applyBorder="1" applyAlignment="1">
      <alignment horizontal="center" vertical="center"/>
    </xf>
    <xf numFmtId="0" fontId="4" fillId="25" borderId="32" xfId="19" applyFont="1" applyFill="1" applyBorder="1" applyAlignment="1">
      <alignment horizontal="center" vertical="center"/>
    </xf>
    <xf numFmtId="0" fontId="4" fillId="23" borderId="30" xfId="19" applyFont="1" applyFill="1" applyBorder="1" applyAlignment="1">
      <alignment horizontal="center" vertical="center"/>
    </xf>
    <xf numFmtId="0" fontId="4" fillId="23" borderId="31" xfId="19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65" fontId="8" fillId="4" borderId="1" xfId="1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/>
    </xf>
    <xf numFmtId="0" fontId="57" fillId="4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72" fillId="5" borderId="30" xfId="3" applyFont="1" applyFill="1" applyBorder="1" applyAlignment="1">
      <alignment horizontal="center" vertical="center" wrapText="1" shrinkToFit="1" readingOrder="2"/>
    </xf>
    <xf numFmtId="0" fontId="72" fillId="5" borderId="31" xfId="3" applyFont="1" applyFill="1" applyBorder="1" applyAlignment="1">
      <alignment horizontal="center" vertical="center" wrapText="1" shrinkToFit="1" readingOrder="2"/>
    </xf>
    <xf numFmtId="0" fontId="72" fillId="5" borderId="32" xfId="3" applyFont="1" applyFill="1" applyBorder="1" applyAlignment="1">
      <alignment horizontal="center" vertical="center" wrapText="1" shrinkToFit="1" readingOrder="2"/>
    </xf>
    <xf numFmtId="0" fontId="3" fillId="5" borderId="2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27" fillId="17" borderId="1" xfId="3" applyFont="1" applyFill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30" fillId="0" borderId="50" xfId="3" applyFont="1" applyBorder="1" applyAlignment="1">
      <alignment horizontal="center" vertical="center" wrapText="1"/>
    </xf>
    <xf numFmtId="3" fontId="25" fillId="0" borderId="15" xfId="3" applyNumberFormat="1" applyFont="1" applyBorder="1" applyAlignment="1">
      <alignment horizontal="center" vertical="center"/>
    </xf>
    <xf numFmtId="3" fontId="25" fillId="0" borderId="19" xfId="3" applyNumberFormat="1" applyFont="1" applyBorder="1" applyAlignment="1">
      <alignment horizontal="center" vertical="center"/>
    </xf>
    <xf numFmtId="3" fontId="25" fillId="0" borderId="10" xfId="3" applyNumberFormat="1" applyFont="1" applyBorder="1" applyAlignment="1">
      <alignment horizontal="center" vertical="center"/>
    </xf>
    <xf numFmtId="3" fontId="25" fillId="0" borderId="14" xfId="3" applyNumberFormat="1" applyFont="1" applyBorder="1" applyAlignment="1">
      <alignment horizontal="center" vertical="center"/>
    </xf>
    <xf numFmtId="3" fontId="22" fillId="0" borderId="51" xfId="3" applyNumberFormat="1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32" fillId="0" borderId="10" xfId="3" applyFont="1" applyBorder="1" applyAlignment="1">
      <alignment horizontal="center" vertical="center"/>
    </xf>
    <xf numFmtId="0" fontId="32" fillId="0" borderId="14" xfId="3" applyFont="1" applyBorder="1" applyAlignment="1">
      <alignment horizontal="center" vertical="center"/>
    </xf>
    <xf numFmtId="0" fontId="29" fillId="5" borderId="1" xfId="3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/>
    </xf>
    <xf numFmtId="0" fontId="26" fillId="5" borderId="1" xfId="3" applyFont="1" applyFill="1" applyBorder="1" applyAlignment="1">
      <alignment horizontal="center" vertical="center"/>
    </xf>
    <xf numFmtId="0" fontId="0" fillId="26" borderId="101" xfId="0" applyFill="1" applyBorder="1" applyAlignment="1">
      <alignment horizontal="center" vertical="center"/>
    </xf>
    <xf numFmtId="0" fontId="0" fillId="26" borderId="61" xfId="0" applyFill="1" applyBorder="1" applyAlignment="1">
      <alignment horizontal="center" vertical="center"/>
    </xf>
    <xf numFmtId="0" fontId="0" fillId="26" borderId="67" xfId="0" applyFill="1" applyBorder="1" applyAlignment="1">
      <alignment horizontal="center" vertical="center"/>
    </xf>
    <xf numFmtId="0" fontId="57" fillId="5" borderId="74" xfId="0" applyFont="1" applyFill="1" applyBorder="1" applyAlignment="1">
      <alignment horizontal="center" vertical="center"/>
    </xf>
    <xf numFmtId="0" fontId="57" fillId="5" borderId="75" xfId="0" applyFont="1" applyFill="1" applyBorder="1" applyAlignment="1">
      <alignment horizontal="center" vertical="center"/>
    </xf>
    <xf numFmtId="0" fontId="57" fillId="5" borderId="76" xfId="0" applyFont="1" applyFill="1" applyBorder="1" applyAlignment="1">
      <alignment horizontal="center" vertical="center"/>
    </xf>
    <xf numFmtId="0" fontId="3" fillId="13" borderId="56" xfId="0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3" fillId="13" borderId="68" xfId="0" applyFont="1" applyFill="1" applyBorder="1" applyAlignment="1">
      <alignment horizontal="center" vertical="center"/>
    </xf>
    <xf numFmtId="165" fontId="3" fillId="27" borderId="56" xfId="1" applyNumberFormat="1" applyFont="1" applyFill="1" applyBorder="1" applyAlignment="1">
      <alignment horizontal="center" vertical="center"/>
    </xf>
    <xf numFmtId="165" fontId="3" fillId="27" borderId="68" xfId="1" applyNumberFormat="1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center"/>
    </xf>
    <xf numFmtId="0" fontId="21" fillId="5" borderId="75" xfId="0" applyFont="1" applyFill="1" applyBorder="1" applyAlignment="1">
      <alignment horizontal="center"/>
    </xf>
    <xf numFmtId="0" fontId="21" fillId="5" borderId="76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center" vertical="center"/>
    </xf>
    <xf numFmtId="0" fontId="3" fillId="5" borderId="70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165" fontId="3" fillId="5" borderId="41" xfId="1" applyNumberFormat="1" applyFont="1" applyFill="1" applyBorder="1" applyAlignment="1">
      <alignment horizontal="center" vertical="center"/>
    </xf>
    <xf numFmtId="165" fontId="3" fillId="5" borderId="42" xfId="1" applyNumberFormat="1" applyFont="1" applyFill="1" applyBorder="1" applyAlignment="1">
      <alignment horizontal="center" vertical="center"/>
    </xf>
    <xf numFmtId="165" fontId="7" fillId="27" borderId="74" xfId="1" applyNumberFormat="1" applyFont="1" applyFill="1" applyBorder="1" applyAlignment="1">
      <alignment horizontal="center" vertical="center"/>
    </xf>
    <xf numFmtId="165" fontId="7" fillId="27" borderId="76" xfId="1" applyNumberFormat="1" applyFont="1" applyFill="1" applyBorder="1" applyAlignment="1">
      <alignment horizontal="center" vertical="center"/>
    </xf>
    <xf numFmtId="165" fontId="7" fillId="27" borderId="57" xfId="1" applyNumberFormat="1" applyFont="1" applyFill="1" applyBorder="1" applyAlignment="1">
      <alignment horizontal="center" vertical="center"/>
    </xf>
    <xf numFmtId="165" fontId="7" fillId="27" borderId="73" xfId="1" applyNumberFormat="1" applyFont="1" applyFill="1" applyBorder="1" applyAlignment="1">
      <alignment horizontal="center" vertical="center"/>
    </xf>
    <xf numFmtId="165" fontId="3" fillId="27" borderId="101" xfId="1" applyNumberFormat="1" applyFont="1" applyFill="1" applyBorder="1" applyAlignment="1">
      <alignment horizontal="center" vertical="center"/>
    </xf>
    <xf numFmtId="165" fontId="3" fillId="27" borderId="67" xfId="1" applyNumberFormat="1" applyFont="1" applyFill="1" applyBorder="1" applyAlignment="1">
      <alignment horizontal="center" vertical="center"/>
    </xf>
    <xf numFmtId="43" fontId="3" fillId="27" borderId="56" xfId="1" applyNumberFormat="1" applyFont="1" applyFill="1" applyBorder="1" applyAlignment="1">
      <alignment horizontal="center" vertical="center"/>
    </xf>
    <xf numFmtId="0" fontId="4" fillId="13" borderId="56" xfId="0" applyFont="1" applyFill="1" applyBorder="1" applyAlignment="1">
      <alignment horizontal="center" vertical="center" wrapText="1"/>
    </xf>
    <xf numFmtId="0" fontId="4" fillId="13" borderId="31" xfId="0" applyFont="1" applyFill="1" applyBorder="1" applyAlignment="1">
      <alignment horizontal="center" vertical="center" wrapText="1"/>
    </xf>
    <xf numFmtId="0" fontId="4" fillId="13" borderId="68" xfId="0" applyFont="1" applyFill="1" applyBorder="1" applyAlignment="1">
      <alignment horizontal="center" vertical="center" wrapText="1"/>
    </xf>
    <xf numFmtId="165" fontId="4" fillId="27" borderId="56" xfId="0" applyNumberFormat="1" applyFont="1" applyFill="1" applyBorder="1" applyAlignment="1">
      <alignment horizontal="center" vertical="center" wrapText="1"/>
    </xf>
    <xf numFmtId="165" fontId="4" fillId="27" borderId="68" xfId="0" applyNumberFormat="1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5" fontId="3" fillId="5" borderId="41" xfId="1" applyNumberFormat="1" applyFont="1" applyFill="1" applyBorder="1" applyAlignment="1">
      <alignment horizontal="center" vertical="center"/>
    </xf>
    <xf numFmtId="175" fontId="3" fillId="5" borderId="42" xfId="1" applyNumberFormat="1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3" fillId="13" borderId="39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165" fontId="3" fillId="27" borderId="39" xfId="1" applyNumberFormat="1" applyFont="1" applyFill="1" applyBorder="1" applyAlignment="1">
      <alignment horizontal="center" vertical="center"/>
    </xf>
    <xf numFmtId="165" fontId="3" fillId="27" borderId="40" xfId="1" applyNumberFormat="1" applyFont="1" applyFill="1" applyBorder="1" applyAlignment="1">
      <alignment horizontal="center" vertical="center"/>
    </xf>
    <xf numFmtId="165" fontId="7" fillId="27" borderId="39" xfId="1" applyNumberFormat="1" applyFont="1" applyFill="1" applyBorder="1" applyAlignment="1">
      <alignment horizontal="center" vertical="center"/>
    </xf>
    <xf numFmtId="165" fontId="7" fillId="27" borderId="40" xfId="1" applyNumberFormat="1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 wrapText="1"/>
    </xf>
    <xf numFmtId="0" fontId="4" fillId="13" borderId="65" xfId="0" applyFont="1" applyFill="1" applyBorder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 wrapText="1"/>
    </xf>
    <xf numFmtId="0" fontId="4" fillId="27" borderId="37" xfId="0" applyFont="1" applyFill="1" applyBorder="1" applyAlignment="1">
      <alignment horizontal="center" vertical="center" wrapText="1"/>
    </xf>
    <xf numFmtId="0" fontId="4" fillId="27" borderId="38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/>
    </xf>
    <xf numFmtId="0" fontId="18" fillId="5" borderId="75" xfId="0" applyFont="1" applyFill="1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5" fillId="5" borderId="74" xfId="0" applyFont="1" applyFill="1" applyBorder="1" applyAlignment="1">
      <alignment horizontal="center" vertical="center"/>
    </xf>
    <xf numFmtId="0" fontId="5" fillId="5" borderId="75" xfId="0" applyFont="1" applyFill="1" applyBorder="1" applyAlignment="1">
      <alignment horizontal="center" vertical="center"/>
    </xf>
    <xf numFmtId="0" fontId="5" fillId="5" borderId="76" xfId="0" applyFont="1" applyFill="1" applyBorder="1" applyAlignment="1">
      <alignment horizontal="center" vertical="center"/>
    </xf>
    <xf numFmtId="0" fontId="6" fillId="13" borderId="75" xfId="0" applyFont="1" applyFill="1" applyBorder="1" applyAlignment="1">
      <alignment horizontal="center" vertical="center"/>
    </xf>
    <xf numFmtId="0" fontId="6" fillId="13" borderId="82" xfId="0" applyFont="1" applyFill="1" applyBorder="1" applyAlignment="1">
      <alignment horizontal="center" vertical="center"/>
    </xf>
    <xf numFmtId="0" fontId="5" fillId="5" borderId="82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6" fillId="13" borderId="39" xfId="0" applyFont="1" applyFill="1" applyBorder="1" applyAlignment="1">
      <alignment horizontal="center" vertical="center"/>
    </xf>
    <xf numFmtId="0" fontId="6" fillId="13" borderId="103" xfId="0" applyFont="1" applyFill="1" applyBorder="1" applyAlignment="1">
      <alignment horizontal="center" vertical="center"/>
    </xf>
    <xf numFmtId="0" fontId="6" fillId="13" borderId="41" xfId="0" applyFont="1" applyFill="1" applyBorder="1" applyAlignment="1">
      <alignment horizontal="center" vertical="center"/>
    </xf>
    <xf numFmtId="0" fontId="6" fillId="13" borderId="65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89" xfId="0" applyFont="1" applyFill="1" applyBorder="1" applyAlignment="1">
      <alignment horizontal="center" vertical="center"/>
    </xf>
    <xf numFmtId="0" fontId="6" fillId="13" borderId="70" xfId="0" applyFont="1" applyFill="1" applyBorder="1" applyAlignment="1">
      <alignment horizontal="center" vertical="center"/>
    </xf>
    <xf numFmtId="0" fontId="6" fillId="13" borderId="54" xfId="0" applyFont="1" applyFill="1" applyBorder="1" applyAlignment="1">
      <alignment horizontal="center" vertical="center"/>
    </xf>
    <xf numFmtId="0" fontId="6" fillId="13" borderId="34" xfId="0" applyFont="1" applyFill="1" applyBorder="1" applyAlignment="1">
      <alignment horizontal="center" vertical="center"/>
    </xf>
    <xf numFmtId="165" fontId="0" fillId="5" borderId="107" xfId="0" applyNumberFormat="1" applyFill="1" applyBorder="1" applyAlignment="1">
      <alignment horizontal="center" vertical="center"/>
    </xf>
    <xf numFmtId="0" fontId="0" fillId="5" borderId="108" xfId="0" applyFill="1" applyBorder="1" applyAlignment="1">
      <alignment horizontal="center" vertical="center"/>
    </xf>
    <xf numFmtId="0" fontId="21" fillId="5" borderId="96" xfId="0" applyFont="1" applyFill="1" applyBorder="1" applyAlignment="1">
      <alignment horizontal="center" vertical="center"/>
    </xf>
    <xf numFmtId="0" fontId="21" fillId="5" borderId="97" xfId="0" applyFont="1" applyFill="1" applyBorder="1" applyAlignment="1">
      <alignment horizontal="center" vertical="center"/>
    </xf>
    <xf numFmtId="0" fontId="21" fillId="5" borderId="98" xfId="0" applyFont="1" applyFill="1" applyBorder="1" applyAlignment="1">
      <alignment horizontal="center" vertical="center"/>
    </xf>
    <xf numFmtId="0" fontId="21" fillId="5" borderId="110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83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100" xfId="0" applyFont="1" applyFill="1" applyBorder="1" applyAlignment="1">
      <alignment horizontal="center" vertical="center"/>
    </xf>
    <xf numFmtId="0" fontId="21" fillId="5" borderId="107" xfId="0" applyFont="1" applyFill="1" applyBorder="1" applyAlignment="1">
      <alignment horizontal="center" vertical="center"/>
    </xf>
    <xf numFmtId="0" fontId="21" fillId="5" borderId="109" xfId="0" applyFont="1" applyFill="1" applyBorder="1" applyAlignment="1">
      <alignment horizontal="center" vertical="center"/>
    </xf>
    <xf numFmtId="0" fontId="61" fillId="27" borderId="74" xfId="0" applyFont="1" applyFill="1" applyBorder="1" applyAlignment="1">
      <alignment horizontal="right" vertical="center"/>
    </xf>
    <xf numFmtId="0" fontId="61" fillId="27" borderId="75" xfId="0" applyFont="1" applyFill="1" applyBorder="1" applyAlignment="1">
      <alignment horizontal="right" vertical="center"/>
    </xf>
    <xf numFmtId="0" fontId="61" fillId="27" borderId="76" xfId="0" applyFont="1" applyFill="1" applyBorder="1" applyAlignment="1">
      <alignment horizontal="right" vertical="center"/>
    </xf>
    <xf numFmtId="165" fontId="0" fillId="27" borderId="107" xfId="1" applyNumberFormat="1" applyFont="1" applyFill="1" applyBorder="1" applyAlignment="1">
      <alignment horizontal="center" vertical="center"/>
    </xf>
    <xf numFmtId="165" fontId="0" fillId="27" borderId="109" xfId="1" applyNumberFormat="1" applyFont="1" applyFill="1" applyBorder="1" applyAlignment="1">
      <alignment horizontal="center" vertical="center"/>
    </xf>
    <xf numFmtId="0" fontId="57" fillId="27" borderId="96" xfId="0" applyFont="1" applyFill="1" applyBorder="1" applyAlignment="1">
      <alignment horizontal="center" vertical="center"/>
    </xf>
    <xf numFmtId="0" fontId="57" fillId="27" borderId="97" xfId="0" applyFont="1" applyFill="1" applyBorder="1" applyAlignment="1">
      <alignment horizontal="center" vertical="center"/>
    </xf>
    <xf numFmtId="0" fontId="57" fillId="27" borderId="110" xfId="0" applyFont="1" applyFill="1" applyBorder="1" applyAlignment="1">
      <alignment horizontal="center" vertical="center"/>
    </xf>
    <xf numFmtId="0" fontId="57" fillId="27" borderId="52" xfId="0" applyFont="1" applyFill="1" applyBorder="1" applyAlignment="1">
      <alignment horizontal="center" vertical="center"/>
    </xf>
    <xf numFmtId="1" fontId="0" fillId="27" borderId="107" xfId="0" applyNumberFormat="1" applyFill="1" applyBorder="1" applyAlignment="1">
      <alignment horizontal="center"/>
    </xf>
    <xf numFmtId="1" fontId="0" fillId="27" borderId="108" xfId="0" applyNumberFormat="1" applyFill="1" applyBorder="1" applyAlignment="1">
      <alignment horizontal="center"/>
    </xf>
    <xf numFmtId="0" fontId="4" fillId="27" borderId="74" xfId="19" applyFont="1" applyFill="1" applyBorder="1" applyAlignment="1">
      <alignment horizontal="center"/>
    </xf>
    <xf numFmtId="0" fontId="4" fillId="27" borderId="75" xfId="19" applyFont="1" applyFill="1" applyBorder="1" applyAlignment="1">
      <alignment horizontal="center"/>
    </xf>
    <xf numFmtId="0" fontId="4" fillId="27" borderId="76" xfId="19" applyFont="1" applyFill="1" applyBorder="1" applyAlignment="1">
      <alignment horizontal="center"/>
    </xf>
    <xf numFmtId="0" fontId="4" fillId="27" borderId="110" xfId="19" applyFont="1" applyFill="1" applyBorder="1" applyAlignment="1">
      <alignment horizontal="center"/>
    </xf>
    <xf numFmtId="0" fontId="4" fillId="27" borderId="52" xfId="19" applyFont="1" applyFill="1" applyBorder="1" applyAlignment="1">
      <alignment horizontal="center"/>
    </xf>
    <xf numFmtId="0" fontId="4" fillId="27" borderId="83" xfId="19" applyFont="1" applyFill="1" applyBorder="1" applyAlignment="1">
      <alignment horizontal="center"/>
    </xf>
    <xf numFmtId="0" fontId="4" fillId="27" borderId="96" xfId="19" applyFont="1" applyFill="1" applyBorder="1" applyAlignment="1">
      <alignment horizontal="center"/>
    </xf>
    <xf numFmtId="0" fontId="4" fillId="27" borderId="97" xfId="19" applyFont="1" applyFill="1" applyBorder="1" applyAlignment="1">
      <alignment horizontal="center"/>
    </xf>
    <xf numFmtId="0" fontId="4" fillId="27" borderId="98" xfId="19" applyFont="1" applyFill="1" applyBorder="1" applyAlignment="1">
      <alignment horizontal="center"/>
    </xf>
    <xf numFmtId="165" fontId="0" fillId="13" borderId="112" xfId="1" applyNumberFormat="1" applyFont="1" applyFill="1" applyBorder="1" applyAlignment="1">
      <alignment horizontal="center" vertical="center"/>
    </xf>
    <xf numFmtId="165" fontId="0" fillId="13" borderId="99" xfId="1" applyNumberFormat="1" applyFont="1" applyFill="1" applyBorder="1" applyAlignment="1">
      <alignment horizontal="center" vertical="center"/>
    </xf>
    <xf numFmtId="165" fontId="0" fillId="13" borderId="110" xfId="1" applyNumberFormat="1" applyFont="1" applyFill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5" borderId="11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91" xfId="0" applyFont="1" applyFill="1" applyBorder="1" applyAlignment="1">
      <alignment horizontal="center" vertical="center"/>
    </xf>
    <xf numFmtId="0" fontId="4" fillId="5" borderId="74" xfId="0" applyFont="1" applyFill="1" applyBorder="1" applyAlignment="1">
      <alignment horizontal="center"/>
    </xf>
    <xf numFmtId="0" fontId="4" fillId="5" borderId="75" xfId="0" applyFont="1" applyFill="1" applyBorder="1" applyAlignment="1">
      <alignment horizontal="center"/>
    </xf>
    <xf numFmtId="0" fontId="4" fillId="5" borderId="82" xfId="0" applyFont="1" applyFill="1" applyBorder="1" applyAlignment="1">
      <alignment horizontal="center"/>
    </xf>
    <xf numFmtId="0" fontId="65" fillId="27" borderId="111" xfId="0" applyFont="1" applyFill="1" applyBorder="1" applyAlignment="1">
      <alignment horizontal="right" vertical="center" wrapText="1" readingOrder="2"/>
    </xf>
    <xf numFmtId="0" fontId="65" fillId="27" borderId="78" xfId="0" applyFont="1" applyFill="1" applyBorder="1" applyAlignment="1">
      <alignment horizontal="right" vertical="center" wrapText="1" readingOrder="2"/>
    </xf>
    <xf numFmtId="0" fontId="65" fillId="27" borderId="84" xfId="0" applyFont="1" applyFill="1" applyBorder="1" applyAlignment="1">
      <alignment horizontal="right" vertical="center" wrapText="1" readingOrder="2"/>
    </xf>
    <xf numFmtId="0" fontId="5" fillId="27" borderId="96" xfId="19" applyFont="1" applyFill="1" applyBorder="1" applyAlignment="1">
      <alignment horizontal="right" vertical="center"/>
    </xf>
    <xf numFmtId="0" fontId="5" fillId="27" borderId="97" xfId="19" applyFont="1" applyFill="1" applyBorder="1" applyAlignment="1">
      <alignment horizontal="right" vertical="center"/>
    </xf>
    <xf numFmtId="0" fontId="5" fillId="27" borderId="75" xfId="19" applyFont="1" applyFill="1" applyBorder="1" applyAlignment="1">
      <alignment horizontal="right" vertical="center"/>
    </xf>
    <xf numFmtId="0" fontId="5" fillId="27" borderId="76" xfId="19" applyFont="1" applyFill="1" applyBorder="1" applyAlignment="1">
      <alignment horizontal="right" vertical="center"/>
    </xf>
    <xf numFmtId="0" fontId="0" fillId="15" borderId="107" xfId="0" applyFill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09" xfId="0" applyFill="1" applyBorder="1" applyAlignment="1">
      <alignment horizontal="center" vertical="center"/>
    </xf>
    <xf numFmtId="0" fontId="4" fillId="27" borderId="96" xfId="19" applyFont="1" applyFill="1" applyBorder="1" applyAlignment="1">
      <alignment horizontal="center" vertical="center"/>
    </xf>
    <xf numFmtId="0" fontId="4" fillId="27" borderId="97" xfId="19" applyFont="1" applyFill="1" applyBorder="1" applyAlignment="1">
      <alignment horizontal="center" vertical="center"/>
    </xf>
    <xf numFmtId="0" fontId="4" fillId="27" borderId="99" xfId="19" applyFont="1" applyFill="1" applyBorder="1" applyAlignment="1">
      <alignment horizontal="center" vertical="center"/>
    </xf>
    <xf numFmtId="0" fontId="4" fillId="27" borderId="100" xfId="19" applyFont="1" applyFill="1" applyBorder="1" applyAlignment="1">
      <alignment horizontal="center" vertical="center"/>
    </xf>
    <xf numFmtId="0" fontId="4" fillId="27" borderId="110" xfId="19" applyFont="1" applyFill="1" applyBorder="1" applyAlignment="1">
      <alignment horizontal="center" vertical="center"/>
    </xf>
    <xf numFmtId="0" fontId="4" fillId="27" borderId="83" xfId="19" applyFont="1" applyFill="1" applyBorder="1" applyAlignment="1">
      <alignment horizontal="center" vertical="center"/>
    </xf>
    <xf numFmtId="0" fontId="5" fillId="27" borderId="74" xfId="19" applyFont="1" applyFill="1" applyBorder="1" applyAlignment="1">
      <alignment horizontal="center" vertical="center"/>
    </xf>
    <xf numFmtId="0" fontId="5" fillId="27" borderId="75" xfId="19" applyFont="1" applyFill="1" applyBorder="1" applyAlignment="1">
      <alignment horizontal="center" vertical="center"/>
    </xf>
    <xf numFmtId="0" fontId="5" fillId="27" borderId="76" xfId="19" applyFont="1" applyFill="1" applyBorder="1" applyAlignment="1">
      <alignment horizontal="center" vertical="center"/>
    </xf>
    <xf numFmtId="0" fontId="0" fillId="5" borderId="107" xfId="0" applyFill="1" applyBorder="1" applyAlignment="1">
      <alignment horizontal="center" vertical="center"/>
    </xf>
    <xf numFmtId="0" fontId="66" fillId="5" borderId="96" xfId="19" applyFont="1" applyFill="1" applyBorder="1" applyAlignment="1">
      <alignment horizontal="center" vertical="center"/>
    </xf>
    <xf numFmtId="0" fontId="66" fillId="5" borderId="97" xfId="19" applyFont="1" applyFill="1" applyBorder="1" applyAlignment="1">
      <alignment horizontal="center" vertical="center"/>
    </xf>
    <xf numFmtId="0" fontId="66" fillId="5" borderId="98" xfId="19" applyFont="1" applyFill="1" applyBorder="1" applyAlignment="1">
      <alignment horizontal="center" vertical="center"/>
    </xf>
    <xf numFmtId="0" fontId="66" fillId="5" borderId="99" xfId="19" applyFont="1" applyFill="1" applyBorder="1" applyAlignment="1">
      <alignment horizontal="center" vertical="center"/>
    </xf>
    <xf numFmtId="0" fontId="66" fillId="5" borderId="0" xfId="19" applyFont="1" applyFill="1" applyAlignment="1">
      <alignment horizontal="center" vertical="center"/>
    </xf>
    <xf numFmtId="0" fontId="66" fillId="5" borderId="100" xfId="19" applyFont="1" applyFill="1" applyBorder="1" applyAlignment="1">
      <alignment horizontal="center" vertical="center"/>
    </xf>
    <xf numFmtId="0" fontId="5" fillId="27" borderId="99" xfId="19" applyFont="1" applyFill="1" applyBorder="1" applyAlignment="1">
      <alignment horizontal="center" vertical="center"/>
    </xf>
    <xf numFmtId="0" fontId="5" fillId="27" borderId="0" xfId="19" applyFont="1" applyFill="1" applyAlignment="1">
      <alignment horizontal="center" vertical="center"/>
    </xf>
    <xf numFmtId="0" fontId="5" fillId="27" borderId="110" xfId="19" applyFont="1" applyFill="1" applyBorder="1" applyAlignment="1">
      <alignment horizontal="center" vertical="center"/>
    </xf>
    <xf numFmtId="0" fontId="5" fillId="27" borderId="52" xfId="19" applyFont="1" applyFill="1" applyBorder="1" applyAlignment="1">
      <alignment horizontal="center" vertical="center"/>
    </xf>
    <xf numFmtId="0" fontId="64" fillId="27" borderId="74" xfId="0" applyFont="1" applyFill="1" applyBorder="1" applyAlignment="1">
      <alignment horizontal="center"/>
    </xf>
    <xf numFmtId="0" fontId="64" fillId="27" borderId="75" xfId="0" applyFont="1" applyFill="1" applyBorder="1" applyAlignment="1">
      <alignment horizontal="center"/>
    </xf>
    <xf numFmtId="0" fontId="64" fillId="27" borderId="76" xfId="0" applyFont="1" applyFill="1" applyBorder="1" applyAlignment="1">
      <alignment horizontal="center"/>
    </xf>
    <xf numFmtId="0" fontId="4" fillId="4" borderId="119" xfId="21" applyFont="1" applyFill="1" applyBorder="1" applyAlignment="1">
      <alignment horizontal="right" vertical="center"/>
    </xf>
    <xf numFmtId="0" fontId="4" fillId="4" borderId="75" xfId="21" applyFont="1" applyFill="1" applyBorder="1" applyAlignment="1">
      <alignment horizontal="right" vertical="center"/>
    </xf>
    <xf numFmtId="0" fontId="4" fillId="4" borderId="76" xfId="21" applyFont="1" applyFill="1" applyBorder="1" applyAlignment="1">
      <alignment horizontal="right" vertical="center"/>
    </xf>
    <xf numFmtId="0" fontId="4" fillId="4" borderId="120" xfId="21" applyFont="1" applyFill="1" applyBorder="1" applyAlignment="1">
      <alignment horizontal="center" vertical="center" wrapText="1"/>
    </xf>
    <xf numFmtId="0" fontId="4" fillId="4" borderId="92" xfId="21" applyFont="1" applyFill="1" applyBorder="1" applyAlignment="1">
      <alignment horizontal="center" vertical="center" wrapText="1"/>
    </xf>
    <xf numFmtId="0" fontId="18" fillId="4" borderId="74" xfId="21" applyFont="1" applyFill="1" applyBorder="1" applyAlignment="1">
      <alignment horizontal="center" vertical="center"/>
    </xf>
    <xf numFmtId="0" fontId="18" fillId="4" borderId="75" xfId="21" applyFont="1" applyFill="1" applyBorder="1" applyAlignment="1">
      <alignment horizontal="center" vertical="center"/>
    </xf>
    <xf numFmtId="0" fontId="18" fillId="4" borderId="76" xfId="21" applyFont="1" applyFill="1" applyBorder="1" applyAlignment="1">
      <alignment horizontal="center" vertical="center"/>
    </xf>
    <xf numFmtId="0" fontId="4" fillId="4" borderId="119" xfId="21" applyFont="1" applyFill="1" applyBorder="1" applyAlignment="1">
      <alignment horizontal="center" vertical="center"/>
    </xf>
    <xf numFmtId="0" fontId="4" fillId="4" borderId="75" xfId="21" applyFont="1" applyFill="1" applyBorder="1" applyAlignment="1">
      <alignment horizontal="center" vertical="center"/>
    </xf>
    <xf numFmtId="0" fontId="18" fillId="4" borderId="110" xfId="21" applyFont="1" applyFill="1" applyBorder="1" applyAlignment="1">
      <alignment horizontal="center" vertical="center"/>
    </xf>
    <xf numFmtId="0" fontId="18" fillId="4" borderId="52" xfId="21" applyFont="1" applyFill="1" applyBorder="1" applyAlignment="1">
      <alignment horizontal="center" vertical="center"/>
    </xf>
    <xf numFmtId="0" fontId="5" fillId="4" borderId="119" xfId="21" applyFont="1" applyFill="1" applyBorder="1" applyAlignment="1">
      <alignment horizontal="right" vertical="center"/>
    </xf>
    <xf numFmtId="0" fontId="5" fillId="4" borderId="76" xfId="21" applyFont="1" applyFill="1" applyBorder="1" applyAlignment="1">
      <alignment horizontal="right" vertical="center"/>
    </xf>
    <xf numFmtId="0" fontId="4" fillId="4" borderId="123" xfId="21" applyFont="1" applyFill="1" applyBorder="1" applyAlignment="1">
      <alignment horizontal="center" vertical="center" wrapText="1"/>
    </xf>
    <xf numFmtId="0" fontId="4" fillId="4" borderId="93" xfId="21" applyFont="1" applyFill="1" applyBorder="1" applyAlignment="1">
      <alignment horizontal="center" vertical="center" wrapText="1"/>
    </xf>
    <xf numFmtId="0" fontId="4" fillId="4" borderId="124" xfId="21" applyFont="1" applyFill="1" applyBorder="1" applyAlignment="1">
      <alignment horizontal="center" vertical="center" wrapText="1"/>
    </xf>
    <xf numFmtId="0" fontId="4" fillId="4" borderId="0" xfId="21" applyFont="1" applyFill="1" applyAlignment="1">
      <alignment horizontal="right" vertical="center" wrapText="1"/>
    </xf>
    <xf numFmtId="0" fontId="4" fillId="4" borderId="100" xfId="21" applyFont="1" applyFill="1" applyBorder="1" applyAlignment="1">
      <alignment horizontal="right" vertical="center" wrapText="1"/>
    </xf>
    <xf numFmtId="0" fontId="4" fillId="4" borderId="8" xfId="21" applyFont="1" applyFill="1" applyBorder="1" applyAlignment="1">
      <alignment horizontal="right" vertical="center" wrapText="1"/>
    </xf>
    <xf numFmtId="0" fontId="4" fillId="4" borderId="80" xfId="21" applyFont="1" applyFill="1" applyBorder="1" applyAlignment="1">
      <alignment horizontal="right" vertical="center" wrapText="1"/>
    </xf>
    <xf numFmtId="0" fontId="5" fillId="4" borderId="52" xfId="21" applyFont="1" applyFill="1" applyBorder="1" applyAlignment="1">
      <alignment horizontal="right" vertical="center" wrapText="1"/>
    </xf>
    <xf numFmtId="0" fontId="5" fillId="4" borderId="83" xfId="21" applyFont="1" applyFill="1" applyBorder="1" applyAlignment="1">
      <alignment horizontal="right" vertical="center" wrapText="1"/>
    </xf>
    <xf numFmtId="0" fontId="5" fillId="13" borderId="32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4" fillId="4" borderId="1" xfId="21" applyFont="1" applyFill="1" applyBorder="1" applyAlignment="1">
      <alignment horizontal="center" vertical="center" wrapText="1"/>
    </xf>
    <xf numFmtId="0" fontId="4" fillId="4" borderId="1" xfId="21" applyFont="1" applyFill="1" applyBorder="1" applyAlignment="1">
      <alignment horizontal="center" vertical="center"/>
    </xf>
    <xf numFmtId="0" fontId="4" fillId="4" borderId="113" xfId="21" applyFont="1" applyFill="1" applyBorder="1" applyAlignment="1">
      <alignment horizontal="center" vertical="center"/>
    </xf>
    <xf numFmtId="0" fontId="4" fillId="4" borderId="118" xfId="21" applyFont="1" applyFill="1" applyBorder="1" applyAlignment="1">
      <alignment horizontal="center" vertical="center"/>
    </xf>
    <xf numFmtId="0" fontId="4" fillId="4" borderId="54" xfId="2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8" fillId="2" borderId="44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165" fontId="18" fillId="2" borderId="1" xfId="1" applyNumberFormat="1" applyFont="1" applyFill="1" applyBorder="1" applyAlignment="1">
      <alignment horizontal="center" vertical="center"/>
    </xf>
    <xf numFmtId="165" fontId="18" fillId="5" borderId="1" xfId="1" applyNumberFormat="1" applyFont="1" applyFill="1" applyBorder="1" applyAlignment="1">
      <alignment horizontal="center" vertical="center"/>
    </xf>
    <xf numFmtId="165" fontId="18" fillId="4" borderId="26" xfId="1" applyNumberFormat="1" applyFont="1" applyFill="1" applyBorder="1" applyAlignment="1">
      <alignment horizontal="center" vertical="center"/>
    </xf>
    <xf numFmtId="165" fontId="18" fillId="4" borderId="26" xfId="1" applyNumberFormat="1" applyFont="1" applyFill="1" applyBorder="1" applyAlignment="1">
      <alignment horizontal="center" vertical="center" wrapText="1"/>
    </xf>
    <xf numFmtId="49" fontId="18" fillId="2" borderId="1" xfId="1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5" fontId="18" fillId="2" borderId="28" xfId="1" applyNumberFormat="1" applyFont="1" applyFill="1" applyBorder="1" applyAlignment="1">
      <alignment horizontal="center" vertical="center"/>
    </xf>
    <xf numFmtId="165" fontId="18" fillId="5" borderId="28" xfId="1" applyNumberFormat="1" applyFont="1" applyFill="1" applyBorder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0" fontId="5" fillId="0" borderId="126" xfId="0" applyFont="1" applyBorder="1" applyAlignment="1">
      <alignment horizontal="center" vertical="center"/>
    </xf>
    <xf numFmtId="0" fontId="5" fillId="0" borderId="127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3" fillId="0" borderId="128" xfId="0" applyFont="1" applyBorder="1" applyAlignment="1">
      <alignment horizontal="center" vertical="center"/>
    </xf>
    <xf numFmtId="0" fontId="3" fillId="0" borderId="129" xfId="0" applyFont="1" applyBorder="1" applyAlignment="1">
      <alignment horizontal="center" vertical="center"/>
    </xf>
    <xf numFmtId="168" fontId="12" fillId="0" borderId="0" xfId="8" applyNumberFormat="1"/>
    <xf numFmtId="0" fontId="5" fillId="4" borderId="119" xfId="21" applyFont="1" applyFill="1" applyBorder="1" applyAlignment="1">
      <alignment horizontal="center" wrapText="1"/>
    </xf>
    <xf numFmtId="0" fontId="5" fillId="4" borderId="76" xfId="21" applyFont="1" applyFill="1" applyBorder="1" applyAlignment="1">
      <alignment horizontal="center" wrapText="1"/>
    </xf>
  </cellXfs>
  <cellStyles count="26">
    <cellStyle name="Comma" xfId="1" builtinId="3"/>
    <cellStyle name="Comma 2" xfId="4" xr:uid="{00000000-0005-0000-0000-000001000000}"/>
    <cellStyle name="Comma 2 2" xfId="17" xr:uid="{00000000-0005-0000-0000-000002000000}"/>
    <cellStyle name="Comma 3" xfId="12" xr:uid="{00000000-0005-0000-0000-000003000000}"/>
    <cellStyle name="Comma 4" xfId="25" xr:uid="{00000000-0005-0000-0000-000004000000}"/>
    <cellStyle name="Comma 6" xfId="11" xr:uid="{00000000-0005-0000-0000-000005000000}"/>
    <cellStyle name="Comma 6 2" xfId="22" xr:uid="{00000000-0005-0000-0000-000006000000}"/>
    <cellStyle name="Input" xfId="24" builtinId="20"/>
    <cellStyle name="Normal" xfId="0" builtinId="0"/>
    <cellStyle name="Normal 10 2 2" xfId="8" xr:uid="{00000000-0005-0000-0000-000009000000}"/>
    <cellStyle name="Normal 10 2 2 2" xfId="19" xr:uid="{00000000-0005-0000-0000-00000A000000}"/>
    <cellStyle name="Normal 2" xfId="2" xr:uid="{00000000-0005-0000-0000-00000B000000}"/>
    <cellStyle name="Normal 2 2" xfId="3" xr:uid="{00000000-0005-0000-0000-00000C000000}"/>
    <cellStyle name="Normal 2 2 2" xfId="16" xr:uid="{00000000-0005-0000-0000-00000D000000}"/>
    <cellStyle name="Normal 2 3" xfId="15" xr:uid="{00000000-0005-0000-0000-00000E000000}"/>
    <cellStyle name="Normal 2 3 2" xfId="13" xr:uid="{00000000-0005-0000-0000-00000F000000}"/>
    <cellStyle name="Normal 3" xfId="5" xr:uid="{00000000-0005-0000-0000-000010000000}"/>
    <cellStyle name="Normal 3 2" xfId="18" xr:uid="{00000000-0005-0000-0000-000011000000}"/>
    <cellStyle name="Normal 3 4" xfId="10" xr:uid="{00000000-0005-0000-0000-000012000000}"/>
    <cellStyle name="Normal 3 4 2" xfId="21" xr:uid="{00000000-0005-0000-0000-000013000000}"/>
    <cellStyle name="Normal_Detail  KERMANSHA R.1" xfId="14" xr:uid="{00000000-0005-0000-0000-000014000000}"/>
    <cellStyle name="Normal_mto" xfId="6" xr:uid="{00000000-0005-0000-0000-000015000000}"/>
    <cellStyle name="Normal_MTO FINAL" xfId="7" xr:uid="{00000000-0005-0000-0000-000016000000}"/>
    <cellStyle name="Percent" xfId="23" builtinId="5"/>
    <cellStyle name="Percent 2 2" xfId="9" xr:uid="{00000000-0005-0000-0000-000018000000}"/>
    <cellStyle name="Percent 2 2 2" xfId="20" xr:uid="{00000000-0005-0000-0000-000019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\project%20control\DOCUME~1\narenji\LOCALS~1\Temp\Rar$DI16.469\Engineeringwbs-86-10-11%20From%20Cli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age\internal\Documents%20and%20Settings\Kamal_Janadeleh\Desktop\02-Report\01-Daily\Main%20File\1-Ar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\f\WIN98\Temporary%20Internet%20Files\Content.IE5\UVYPOZMD\TEMP\SAMPL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3.248\15&amp;16%20Data%20Files\Report\Weekly%20Report\WEEK%20NO24\plan%20quantity\PLAN%20QUANTITY%20(%20Rev3%20)(19-may-200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.0.23\Share%20Data\Profiles\panahi.h\Desktop\PEP-Rev.09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orage\internal\Documents%20and%20Settings\Kamal_Janadeleh\Desktop\02-Report\01-Daily\1-Contractors\6-Navrood\April\sent\Plannnig%20-%20Control\02-Report\01-Daily\1-Contractors\5-NIB-Armetab%20Gostaresh\2009\4-April\DR-2009-04-17.xlsx?ED6C6CA8" TargetMode="External"/><Relationship Id="rId1" Type="http://schemas.openxmlformats.org/officeDocument/2006/relationships/externalLinkPath" Target="file:///\\ED6C6CA8\DR-2009-04-17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olivand.a/AppData/Local/Temp/BaridEOrg/Attachment638090488248391507/&#1587;&#1610;&#1575;&#1607;&#1607;%20&#1603;&#1575;&#1604;&#1575;%20&#1608;%20&#1576;&#1585;&#1570;&#1608;&#1585;&#1583;%20%20&#1603;&#1575;&#1585;&#1607;&#1575;&#1610;%20&#1576;&#1575;&#1602;&#1610;&#1605;&#1575;&#1606;&#1583;&#1607;%20-991105.xlsx" TargetMode="External"/><Relationship Id="rId1" Type="http://schemas.openxmlformats.org/officeDocument/2006/relationships/externalLinkPath" Target="/Users/bolivand.a/AppData/Local/Temp/BaridEOrg/Attachment638090488248391507/&#1587;&#1610;&#1575;&#1607;&#1607;%20&#1603;&#1575;&#1604;&#1575;%20&#1608;%20&#1576;&#1585;&#1570;&#1608;&#1585;&#1583;%20%20&#1603;&#1575;&#1585;&#1607;&#1575;&#1610;%20&#1576;&#1575;&#1602;&#1610;&#1605;&#1575;&#1606;&#1583;&#1607;%20-9911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ncmail2.lgenc.co.kr/mail01/72776.nsf/($Inbox)/27F2BD3393ADC8E549256CFD00259BCB/$FILE/Electrical_Load_Summary_3A.xls/Load_summary_R0A(0520)_U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Desalting%20Project\&#1711;&#1670;&#1587;&#1575;&#1585;&#1575;&#1606;%204\G4_Estimation\G4_Estimation_020410%20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files\didar.n\Desktop\&#1576;&#1585;&#1570;&#1608;&#1585;&#1583;%20&#1601;&#1575;&#1740;&#1604;%20&#1575;&#1589;&#1604;&#1740;\&#1576;&#1585;&#1570;&#1608;&#1585;&#1583;%20&#1605;&#1575;&#1585;&#1608;&#1606;%203%20&#1576;&#1606;&#1711;&#1587;&#1578;&#1575;&#1606;%20&#1587;&#1575;&#1604;%2014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files\didar.n\Desktop\fr\&#1575;&#1591;&#1604;&#1575;&#1593;&#1575;&#1578;%20&#1662;&#1585;&#1608;&#1688;&#1607;%20&#1605;&#1575;&#1585;&#1608;&#1606;%203%20&#1583;&#1585;&#1740;&#1575;&#1601;&#1578;&#1740;%20&#1575;&#1586;%20&#1605;&#1607;&#1606;&#1583;&#1587;%20&#1589;&#1576;&#1575;\&#1576;&#1585;&#1575;&#1608;&#1585;&#1583;%20&#1605;&#1575;&#1585;&#1608;&#160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files\didar.n\Desktop\fr\&#1575;&#1591;&#1604;&#1575;&#1593;&#1575;&#1578;%20&#1662;&#1585;&#1608;&#1688;&#1607;%20&#1605;&#1575;&#1585;&#1608;&#1606;%203%20&#1583;&#1585;&#1740;&#1575;&#1601;&#1578;&#1740;%20&#1575;&#1586;%20&#1605;&#1607;&#1606;&#1583;&#1587;%20&#1589;&#1576;&#1575;\mechanic%20of%20MARUN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ot"/>
      <sheetName val="PVOT-NEW"/>
      <sheetName val="Doc.List"/>
      <sheetName val="Sheet2"/>
      <sheetName val="Sheet3"/>
    </sheetNames>
    <sheetDataSet>
      <sheetData sheetId="0" refreshError="1"/>
      <sheetData sheetId="1" refreshError="1"/>
      <sheetData sheetId="2" refreshError="1">
        <row r="11">
          <cell r="C11" t="str">
            <v>Doc.</v>
          </cell>
          <cell r="D11" t="str">
            <v>E1</v>
          </cell>
          <cell r="E11" t="str">
            <v>E2</v>
          </cell>
          <cell r="F11" t="str">
            <v>E3</v>
          </cell>
          <cell r="G11" t="str">
            <v>E4</v>
          </cell>
          <cell r="H11" t="str">
            <v>Doc. No.</v>
          </cell>
          <cell r="I11" t="str">
            <v>Description</v>
          </cell>
          <cell r="J11" t="str">
            <v>Level 1</v>
          </cell>
          <cell r="K11" t="str">
            <v>Level 2</v>
          </cell>
          <cell r="L11" t="str">
            <v>Level 3</v>
          </cell>
          <cell r="M11" t="str">
            <v>Level 4</v>
          </cell>
          <cell r="N11" t="str">
            <v>Level 5</v>
          </cell>
          <cell r="O11" t="str">
            <v>zzz</v>
          </cell>
          <cell r="P11" t="str">
            <v>W.F%</v>
          </cell>
          <cell r="Q11" t="str">
            <v>vendor</v>
          </cell>
          <cell r="R11" t="str">
            <v>W.F%-new</v>
          </cell>
          <cell r="S11" t="str">
            <v>chang order</v>
          </cell>
          <cell r="T11" t="str">
            <v>First Issued Date</v>
          </cell>
          <cell r="V11" t="str">
            <v>date per2</v>
          </cell>
          <cell r="W11" t="str">
            <v>R.</v>
          </cell>
          <cell r="Y11" t="str">
            <v>Date</v>
          </cell>
          <cell r="Z11" t="str">
            <v>Letter No. Client</v>
          </cell>
          <cell r="AA11" t="str">
            <v>Date Client</v>
          </cell>
          <cell r="AB11" t="str">
            <v>Letter No. GBT</v>
          </cell>
          <cell r="AC11" t="str">
            <v>Date GBT</v>
          </cell>
          <cell r="AD11" t="str">
            <v>Letter No KRPC</v>
          </cell>
          <cell r="AF11" t="str">
            <v>پيمانكار</v>
          </cell>
          <cell r="AG11" t="str">
            <v>Status</v>
          </cell>
          <cell r="AH11">
            <v>1</v>
          </cell>
          <cell r="AI11">
            <v>2</v>
          </cell>
          <cell r="AJ11">
            <v>3</v>
          </cell>
          <cell r="AK11">
            <v>4</v>
          </cell>
          <cell r="AL11">
            <v>5</v>
          </cell>
          <cell r="AM11" t="str">
            <v>L.P %</v>
          </cell>
          <cell r="AN11" t="str">
            <v>Overal rrogress</v>
          </cell>
          <cell r="AO11" t="str">
            <v>Remark</v>
          </cell>
          <cell r="AQ11" t="str">
            <v>Progress-GBT</v>
          </cell>
          <cell r="AR11" t="str">
            <v>Progress TE</v>
          </cell>
          <cell r="AS11">
            <v>45</v>
          </cell>
          <cell r="AT11">
            <v>60</v>
          </cell>
          <cell r="AU11">
            <v>75</v>
          </cell>
          <cell r="AV11">
            <v>85</v>
          </cell>
          <cell r="AW11">
            <v>100</v>
          </cell>
          <cell r="AX11">
            <v>100</v>
          </cell>
        </row>
        <row r="12">
          <cell r="D12" t="str">
            <v>Engineering</v>
          </cell>
          <cell r="K12">
            <v>1</v>
          </cell>
          <cell r="P12">
            <v>1</v>
          </cell>
          <cell r="R12">
            <v>1.000025251744902</v>
          </cell>
          <cell r="T12" t="str">
            <v>.</v>
          </cell>
          <cell r="U12" t="str">
            <v>.</v>
          </cell>
          <cell r="V12" t="str">
            <v>.</v>
          </cell>
          <cell r="W12" t="str">
            <v>.</v>
          </cell>
          <cell r="X12" t="str">
            <v>.</v>
          </cell>
          <cell r="Y12" t="str">
            <v>.</v>
          </cell>
          <cell r="Z12" t="str">
            <v>.</v>
          </cell>
          <cell r="AA12" t="str">
            <v>.</v>
          </cell>
          <cell r="AG12" t="str">
            <v>.</v>
          </cell>
          <cell r="AH12" t="str">
            <v>.</v>
          </cell>
          <cell r="AI12" t="str">
            <v>.</v>
          </cell>
          <cell r="AJ12" t="str">
            <v>.</v>
          </cell>
          <cell r="AK12" t="str">
            <v>.</v>
          </cell>
          <cell r="AL12" t="str">
            <v>.</v>
          </cell>
          <cell r="AM12">
            <v>0.17784556000000001</v>
          </cell>
          <cell r="AN12">
            <v>0.17784556000000001</v>
          </cell>
          <cell r="AO12" t="str">
            <v>.</v>
          </cell>
          <cell r="AQ12">
            <v>0.13612970036000022</v>
          </cell>
          <cell r="AR12">
            <v>0.17795244836104529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</row>
        <row r="13">
          <cell r="E13" t="str">
            <v>Basic</v>
          </cell>
          <cell r="K13">
            <v>0.2</v>
          </cell>
          <cell r="L13">
            <v>1</v>
          </cell>
          <cell r="P13">
            <v>0.20000000000000004</v>
          </cell>
          <cell r="R13">
            <v>0.20002259999999997</v>
          </cell>
          <cell r="T13" t="str">
            <v>.</v>
          </cell>
          <cell r="V13" t="str">
            <v>.</v>
          </cell>
          <cell r="W13" t="str">
            <v>.</v>
          </cell>
          <cell r="X13" t="str">
            <v>.</v>
          </cell>
          <cell r="Y13" t="str">
            <v>.</v>
          </cell>
          <cell r="Z13" t="str">
            <v>.</v>
          </cell>
          <cell r="AA13" t="str">
            <v>.</v>
          </cell>
          <cell r="AG13" t="str">
            <v>.</v>
          </cell>
          <cell r="AH13" t="str">
            <v>.</v>
          </cell>
          <cell r="AI13" t="str">
            <v>.</v>
          </cell>
          <cell r="AJ13" t="str">
            <v>.</v>
          </cell>
          <cell r="AK13" t="str">
            <v>.</v>
          </cell>
          <cell r="AL13" t="str">
            <v>.</v>
          </cell>
          <cell r="AM13">
            <v>0.57453529999999986</v>
          </cell>
          <cell r="AN13">
            <v>0.11490705999999999</v>
          </cell>
          <cell r="AO13" t="str">
            <v>.</v>
          </cell>
          <cell r="AQ13">
            <v>0.10692252228000021</v>
          </cell>
          <cell r="AR13">
            <v>0.11490706000000013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</row>
        <row r="14">
          <cell r="C14" t="str">
            <v>PC</v>
          </cell>
          <cell r="F14" t="str">
            <v>Project</v>
          </cell>
          <cell r="L14">
            <v>1E-3</v>
          </cell>
          <cell r="M14">
            <v>1</v>
          </cell>
          <cell r="P14">
            <v>2.0000000000000001E-4</v>
          </cell>
          <cell r="R14">
            <v>2.2260000000000004E-4</v>
          </cell>
          <cell r="T14" t="str">
            <v>.</v>
          </cell>
          <cell r="U14" t="str">
            <v>.</v>
          </cell>
          <cell r="V14" t="str">
            <v>.</v>
          </cell>
          <cell r="W14" t="str">
            <v>.</v>
          </cell>
          <cell r="X14" t="str">
            <v>.</v>
          </cell>
          <cell r="Y14" t="str">
            <v>.</v>
          </cell>
          <cell r="Z14" t="str">
            <v>.</v>
          </cell>
          <cell r="AA14" t="str">
            <v>.</v>
          </cell>
          <cell r="AG14" t="str">
            <v>.</v>
          </cell>
          <cell r="AH14" t="str">
            <v>.</v>
          </cell>
          <cell r="AI14" t="str">
            <v>.</v>
          </cell>
          <cell r="AJ14" t="str">
            <v>.</v>
          </cell>
          <cell r="AK14" t="str">
            <v>.</v>
          </cell>
          <cell r="AL14" t="str">
            <v>.</v>
          </cell>
          <cell r="AM14">
            <v>0.54029999999999989</v>
          </cell>
          <cell r="AN14">
            <v>1.0805999999999999E-4</v>
          </cell>
          <cell r="AO14" t="str">
            <v>.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C15" t="str">
            <v>PC</v>
          </cell>
          <cell r="H15" t="str">
            <v>10-XX-PCJ-PJ-0001</v>
          </cell>
          <cell r="I15" t="str">
            <v xml:space="preserve">Coordination Procedure </v>
          </cell>
          <cell r="M15">
            <v>0.16700000000000001</v>
          </cell>
          <cell r="P15">
            <v>3.3400000000000005E-5</v>
          </cell>
          <cell r="R15">
            <v>3.0000000000000001E-5</v>
          </cell>
          <cell r="V15" t="str">
            <v>ارسال شده</v>
          </cell>
          <cell r="W15" t="str">
            <v>01</v>
          </cell>
          <cell r="X15" t="str">
            <v>8179</v>
          </cell>
          <cell r="Y15" t="str">
            <v>09-05-072510-07</v>
          </cell>
          <cell r="Z15" t="str">
            <v>K.O.M</v>
          </cell>
          <cell r="AG15" t="str">
            <v>KRPC</v>
          </cell>
          <cell r="AH15" t="str">
            <v>x</v>
          </cell>
          <cell r="AI15" t="str">
            <v>x</v>
          </cell>
          <cell r="AJ15" t="str">
            <v/>
          </cell>
          <cell r="AL15" t="str">
            <v/>
          </cell>
          <cell r="AM15">
            <v>0.6</v>
          </cell>
          <cell r="AN15">
            <v>1.8E-5</v>
          </cell>
          <cell r="AQ15">
            <v>2.0040000000000001E-5</v>
          </cell>
          <cell r="AR15">
            <v>1.8E-5</v>
          </cell>
          <cell r="AS15">
            <v>45</v>
          </cell>
          <cell r="AT15">
            <v>60</v>
          </cell>
          <cell r="AU15">
            <v>0</v>
          </cell>
          <cell r="AV15">
            <v>0</v>
          </cell>
          <cell r="AW15">
            <v>0</v>
          </cell>
          <cell r="AX15">
            <v>60</v>
          </cell>
        </row>
        <row r="16">
          <cell r="C16" t="str">
            <v>PC</v>
          </cell>
          <cell r="H16" t="str">
            <v>10-XX-PCJ-PJ-0002</v>
          </cell>
          <cell r="I16" t="str">
            <v>Numbering Procedure</v>
          </cell>
          <cell r="M16">
            <v>0.16600000000000001</v>
          </cell>
          <cell r="P16">
            <v>3.3200000000000007E-5</v>
          </cell>
          <cell r="R16">
            <v>3.0000000000000001E-5</v>
          </cell>
          <cell r="V16" t="str">
            <v>ارسال شده</v>
          </cell>
          <cell r="W16" t="str">
            <v>01</v>
          </cell>
          <cell r="X16" t="str">
            <v>11328</v>
          </cell>
          <cell r="Y16" t="str">
            <v>22-05-0719-11-07</v>
          </cell>
          <cell r="Z16" t="str">
            <v>123-13-1157</v>
          </cell>
          <cell r="AA16" t="str">
            <v>86-03-05</v>
          </cell>
          <cell r="AG16" t="str">
            <v>KRPC</v>
          </cell>
          <cell r="AH16" t="str">
            <v>x</v>
          </cell>
          <cell r="AI16" t="str">
            <v>x</v>
          </cell>
          <cell r="AJ16" t="str">
            <v/>
          </cell>
          <cell r="AL16" t="str">
            <v/>
          </cell>
          <cell r="AM16">
            <v>0.6</v>
          </cell>
          <cell r="AN16">
            <v>1.8E-5</v>
          </cell>
          <cell r="AQ16">
            <v>1.9920000000000002E-5</v>
          </cell>
          <cell r="AR16">
            <v>1.8E-5</v>
          </cell>
          <cell r="AS16">
            <v>45</v>
          </cell>
          <cell r="AT16">
            <v>60</v>
          </cell>
          <cell r="AU16">
            <v>0</v>
          </cell>
          <cell r="AV16">
            <v>0</v>
          </cell>
          <cell r="AW16">
            <v>0</v>
          </cell>
          <cell r="AX16">
            <v>60</v>
          </cell>
        </row>
        <row r="17">
          <cell r="C17" t="str">
            <v>PC</v>
          </cell>
          <cell r="H17" t="str">
            <v>10-XX-PCJ-PJ-0003</v>
          </cell>
          <cell r="I17" t="str">
            <v>Engineering Chart</v>
          </cell>
          <cell r="M17">
            <v>0.1</v>
          </cell>
          <cell r="P17">
            <v>2.0000000000000002E-5</v>
          </cell>
          <cell r="R17">
            <v>3.4E-5</v>
          </cell>
          <cell r="V17" t="str">
            <v>ارسال شده</v>
          </cell>
          <cell r="AG17" t="str">
            <v>KRPC</v>
          </cell>
          <cell r="AH17" t="str">
            <v>x</v>
          </cell>
          <cell r="AM17">
            <v>0.45</v>
          </cell>
          <cell r="AN17">
            <v>1.5299999999999999E-5</v>
          </cell>
          <cell r="AQ17">
            <v>9.0000000000000002E-6</v>
          </cell>
          <cell r="AR17">
            <v>1.5299999999999999E-5</v>
          </cell>
          <cell r="AS17">
            <v>45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45</v>
          </cell>
        </row>
        <row r="18">
          <cell r="C18" t="str">
            <v>PC</v>
          </cell>
          <cell r="H18" t="str">
            <v>10-XX-PCJ-PJ-0004</v>
          </cell>
          <cell r="I18" t="str">
            <v>Time Schedule</v>
          </cell>
          <cell r="M18">
            <v>0.1</v>
          </cell>
          <cell r="P18">
            <v>2.0000000000000002E-5</v>
          </cell>
          <cell r="R18">
            <v>3.4E-5</v>
          </cell>
          <cell r="AH18" t="str">
            <v/>
          </cell>
          <cell r="AJ18" t="str">
            <v/>
          </cell>
          <cell r="AL18" t="str">
            <v/>
          </cell>
          <cell r="AM18">
            <v>0</v>
          </cell>
          <cell r="AN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C19" t="str">
            <v>PC</v>
          </cell>
          <cell r="H19" t="str">
            <v>10-XX-LST-PJ-0001</v>
          </cell>
          <cell r="I19" t="str">
            <v>Basic Design Document List</v>
          </cell>
          <cell r="M19">
            <v>0.16700000000000001</v>
          </cell>
          <cell r="P19">
            <v>3.3400000000000005E-5</v>
          </cell>
          <cell r="R19">
            <v>3.4E-5</v>
          </cell>
          <cell r="V19" t="str">
            <v>ارسال شده</v>
          </cell>
          <cell r="W19" t="str">
            <v>0 1</v>
          </cell>
          <cell r="X19" t="str">
            <v>28 80</v>
          </cell>
          <cell r="Y19" t="str">
            <v>21-06-07 13-08-07</v>
          </cell>
          <cell r="AG19" t="str">
            <v>GBT</v>
          </cell>
          <cell r="AH19" t="str">
            <v>x</v>
          </cell>
          <cell r="AI19" t="str">
            <v>x</v>
          </cell>
          <cell r="AJ19" t="str">
            <v/>
          </cell>
          <cell r="AL19" t="str">
            <v/>
          </cell>
          <cell r="AM19">
            <v>0.6</v>
          </cell>
          <cell r="AN19">
            <v>2.0399999999999998E-5</v>
          </cell>
          <cell r="AQ19">
            <v>2.0040000000000001E-5</v>
          </cell>
          <cell r="AR19">
            <v>2.0399999999999998E-5</v>
          </cell>
          <cell r="AS19">
            <v>45</v>
          </cell>
          <cell r="AT19">
            <v>60</v>
          </cell>
          <cell r="AU19">
            <v>0</v>
          </cell>
          <cell r="AV19">
            <v>0</v>
          </cell>
          <cell r="AW19">
            <v>0</v>
          </cell>
          <cell r="AX19">
            <v>60</v>
          </cell>
        </row>
        <row r="20">
          <cell r="C20" t="str">
            <v>PC</v>
          </cell>
          <cell r="H20" t="str">
            <v>10-XX-LST-PJ-0002</v>
          </cell>
          <cell r="I20" t="str">
            <v>Detail Design Document List</v>
          </cell>
          <cell r="M20">
            <v>0.16700000000000001</v>
          </cell>
          <cell r="P20">
            <v>3.3400000000000005E-5</v>
          </cell>
          <cell r="R20">
            <v>3.4E-5</v>
          </cell>
          <cell r="V20" t="str">
            <v>ارسال شده</v>
          </cell>
          <cell r="W20" t="str">
            <v>0 1</v>
          </cell>
          <cell r="X20" t="str">
            <v>28 80</v>
          </cell>
          <cell r="Y20" t="str">
            <v>21-06-07 13-08-07</v>
          </cell>
          <cell r="AG20" t="str">
            <v>GBT</v>
          </cell>
          <cell r="AH20" t="str">
            <v>x</v>
          </cell>
          <cell r="AI20" t="str">
            <v>x</v>
          </cell>
          <cell r="AJ20" t="str">
            <v/>
          </cell>
          <cell r="AL20" t="str">
            <v/>
          </cell>
          <cell r="AM20">
            <v>0.6</v>
          </cell>
          <cell r="AN20">
            <v>2.0399999999999998E-5</v>
          </cell>
          <cell r="AQ20">
            <v>2.0040000000000001E-5</v>
          </cell>
          <cell r="AR20">
            <v>2.0399999999999998E-5</v>
          </cell>
          <cell r="AS20">
            <v>45</v>
          </cell>
          <cell r="AT20">
            <v>60</v>
          </cell>
          <cell r="AU20">
            <v>0</v>
          </cell>
          <cell r="AV20">
            <v>0</v>
          </cell>
          <cell r="AW20">
            <v>0</v>
          </cell>
          <cell r="AX20">
            <v>60</v>
          </cell>
        </row>
        <row r="21">
          <cell r="C21" t="str">
            <v>PC</v>
          </cell>
          <cell r="I21" t="str">
            <v xml:space="preserve">Work Break Down Structure </v>
          </cell>
          <cell r="M21">
            <v>0.13300000000000001</v>
          </cell>
          <cell r="P21">
            <v>2.6600000000000003E-5</v>
          </cell>
          <cell r="R21">
            <v>2.6600000000000003E-5</v>
          </cell>
          <cell r="V21" t="str">
            <v>ارسال شده</v>
          </cell>
          <cell r="W21" t="str">
            <v>0 1</v>
          </cell>
          <cell r="X21" t="str">
            <v>9  112</v>
          </cell>
          <cell r="Y21" t="str">
            <v>14-05-07 12-09-07</v>
          </cell>
          <cell r="Z21" t="str">
            <v xml:space="preserve">                    123-13-1525    </v>
          </cell>
          <cell r="AA21" t="str">
            <v xml:space="preserve">                86-06-25</v>
          </cell>
          <cell r="AG21" t="str">
            <v>GBT</v>
          </cell>
          <cell r="AH21" t="str">
            <v>x</v>
          </cell>
          <cell r="AI21" t="str">
            <v>x</v>
          </cell>
          <cell r="AM21">
            <v>0.6</v>
          </cell>
          <cell r="AN21">
            <v>1.596E-5</v>
          </cell>
          <cell r="AQ21">
            <v>1.596E-5</v>
          </cell>
          <cell r="AR21">
            <v>1.596E-5</v>
          </cell>
          <cell r="AS21">
            <v>45</v>
          </cell>
          <cell r="AT21">
            <v>60</v>
          </cell>
          <cell r="AU21">
            <v>0</v>
          </cell>
          <cell r="AV21">
            <v>0</v>
          </cell>
          <cell r="AW21">
            <v>0</v>
          </cell>
          <cell r="AX21">
            <v>60</v>
          </cell>
        </row>
        <row r="22">
          <cell r="F22" t="str">
            <v>Instrument</v>
          </cell>
          <cell r="L22">
            <v>0.1</v>
          </cell>
          <cell r="M22">
            <v>1</v>
          </cell>
          <cell r="P22">
            <v>2.0000000000000004E-2</v>
          </cell>
          <cell r="R22">
            <v>2.0000000000000004E-2</v>
          </cell>
          <cell r="T22" t="str">
            <v>.</v>
          </cell>
          <cell r="U22" t="str">
            <v>.</v>
          </cell>
          <cell r="V22" t="str">
            <v>.</v>
          </cell>
          <cell r="W22" t="str">
            <v>.</v>
          </cell>
          <cell r="X22" t="str">
            <v>.</v>
          </cell>
          <cell r="Y22" t="str">
            <v>.</v>
          </cell>
          <cell r="Z22" t="str">
            <v>.</v>
          </cell>
          <cell r="AA22" t="str">
            <v>.</v>
          </cell>
          <cell r="AG22" t="str">
            <v>.</v>
          </cell>
          <cell r="AH22" t="str">
            <v>.</v>
          </cell>
          <cell r="AI22" t="str">
            <v>.</v>
          </cell>
          <cell r="AJ22" t="str">
            <v>.</v>
          </cell>
          <cell r="AK22" t="str">
            <v>.</v>
          </cell>
          <cell r="AL22" t="str">
            <v>.</v>
          </cell>
          <cell r="AM22">
            <v>0.63812499999999994</v>
          </cell>
          <cell r="AN22">
            <v>1.2762500000000001E-2</v>
          </cell>
          <cell r="AO22" t="str">
            <v>.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C23" t="str">
            <v>RPT</v>
          </cell>
          <cell r="H23" t="str">
            <v>10-XX-DEC-IN-0001</v>
          </cell>
          <cell r="I23" t="str">
            <v>Instrument Design Criteria</v>
          </cell>
          <cell r="M23">
            <v>0.111</v>
          </cell>
          <cell r="P23">
            <v>2.2200000000000002E-3</v>
          </cell>
          <cell r="R23">
            <v>2.5500000000000002E-3</v>
          </cell>
          <cell r="V23" t="str">
            <v>ارسال شده</v>
          </cell>
          <cell r="W23" t="str">
            <v>01</v>
          </cell>
          <cell r="X23" t="str">
            <v>196460</v>
          </cell>
          <cell r="Y23" t="str">
            <v>27-10-0711-12-07</v>
          </cell>
          <cell r="Z23" t="str">
            <v>F-0261F-0527</v>
          </cell>
          <cell r="AA23" t="str">
            <v>30-10-0716-12-07</v>
          </cell>
          <cell r="AB23" t="str">
            <v>G-0284</v>
          </cell>
          <cell r="AC23" t="str">
            <v>12-12-07</v>
          </cell>
          <cell r="AD23" t="str">
            <v>FF-0535</v>
          </cell>
          <cell r="AG23" t="str">
            <v>GBT</v>
          </cell>
          <cell r="AH23" t="str">
            <v>x</v>
          </cell>
          <cell r="AI23" t="str">
            <v>x</v>
          </cell>
          <cell r="AJ23" t="str">
            <v/>
          </cell>
          <cell r="AL23" t="str">
            <v/>
          </cell>
          <cell r="AM23">
            <v>0.6</v>
          </cell>
          <cell r="AN23">
            <v>1.5300000000000001E-3</v>
          </cell>
          <cell r="AQ23">
            <v>1.3320000000000001E-3</v>
          </cell>
          <cell r="AR23">
            <v>1.5300000000000001E-3</v>
          </cell>
          <cell r="AS23">
            <v>45</v>
          </cell>
          <cell r="AT23">
            <v>60</v>
          </cell>
          <cell r="AU23">
            <v>0</v>
          </cell>
          <cell r="AV23">
            <v>0</v>
          </cell>
          <cell r="AW23">
            <v>0</v>
          </cell>
          <cell r="AX23">
            <v>60</v>
          </cell>
        </row>
        <row r="24">
          <cell r="C24" t="str">
            <v>DWG</v>
          </cell>
          <cell r="H24" t="str">
            <v>10-XX-A2-IN-0001</v>
          </cell>
          <cell r="I24" t="str">
            <v>Control System Overall Configuration</v>
          </cell>
          <cell r="M24">
            <v>7.1999999999999995E-2</v>
          </cell>
          <cell r="P24">
            <v>1.4400000000000001E-3</v>
          </cell>
          <cell r="R24">
            <v>1.4499999999999999E-3</v>
          </cell>
          <cell r="V24" t="str">
            <v>ارسال شده</v>
          </cell>
          <cell r="W24">
            <v>0</v>
          </cell>
          <cell r="X24">
            <v>53</v>
          </cell>
          <cell r="Y24" t="str">
            <v>16-07-07</v>
          </cell>
          <cell r="Z24" t="str">
            <v>F-0084</v>
          </cell>
          <cell r="AA24" t="str">
            <v>18-07-07</v>
          </cell>
          <cell r="AG24" t="str">
            <v>GBT</v>
          </cell>
          <cell r="AH24" t="str">
            <v>x</v>
          </cell>
          <cell r="AJ24" t="str">
            <v/>
          </cell>
          <cell r="AL24" t="str">
            <v/>
          </cell>
          <cell r="AM24">
            <v>0.45</v>
          </cell>
          <cell r="AN24">
            <v>6.5249999999999998E-4</v>
          </cell>
          <cell r="AQ24">
            <v>6.4800000000000003E-4</v>
          </cell>
          <cell r="AR24">
            <v>6.5249999999999998E-4</v>
          </cell>
          <cell r="AS24">
            <v>45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45</v>
          </cell>
        </row>
        <row r="25">
          <cell r="C25" t="str">
            <v>SPC</v>
          </cell>
          <cell r="H25" t="str">
            <v>10-XX-ESS-IN-0001</v>
          </cell>
          <cell r="I25" t="str">
            <v>Specification for Pressure Safety Valve</v>
          </cell>
          <cell r="M25">
            <v>5.2999999999999999E-2</v>
          </cell>
          <cell r="P25">
            <v>1.06E-3</v>
          </cell>
          <cell r="R25">
            <v>1E-3</v>
          </cell>
          <cell r="V25" t="str">
            <v>ارسال شده</v>
          </cell>
          <cell r="W25" t="str">
            <v>012</v>
          </cell>
          <cell r="X25" t="str">
            <v>75164487</v>
          </cell>
          <cell r="Y25" t="str">
            <v>07-08-0717-10-0717-12-07</v>
          </cell>
          <cell r="Z25" t="str">
            <v>F-0141F-0240</v>
          </cell>
          <cell r="AA25" t="str">
            <v>09-08-0727-10-07</v>
          </cell>
          <cell r="AB25" t="str">
            <v>G-0175G-0289</v>
          </cell>
          <cell r="AC25" t="str">
            <v>20-10-0717-12-07</v>
          </cell>
          <cell r="AD25" t="str">
            <v>FF-0233FF-0536</v>
          </cell>
          <cell r="AG25" t="str">
            <v>KRPC</v>
          </cell>
          <cell r="AH25" t="str">
            <v>x</v>
          </cell>
          <cell r="AI25" t="str">
            <v>x</v>
          </cell>
          <cell r="AJ25" t="str">
            <v>x</v>
          </cell>
          <cell r="AL25" t="str">
            <v/>
          </cell>
          <cell r="AM25">
            <v>0.75</v>
          </cell>
          <cell r="AN25">
            <v>7.5000000000000002E-4</v>
          </cell>
          <cell r="AQ25">
            <v>7.9499999999999992E-4</v>
          </cell>
          <cell r="AR25">
            <v>7.5000000000000002E-4</v>
          </cell>
          <cell r="AS25">
            <v>45</v>
          </cell>
          <cell r="AT25">
            <v>60</v>
          </cell>
          <cell r="AU25">
            <v>75</v>
          </cell>
          <cell r="AV25">
            <v>0</v>
          </cell>
          <cell r="AW25">
            <v>0</v>
          </cell>
          <cell r="AX25">
            <v>75</v>
          </cell>
        </row>
        <row r="26">
          <cell r="C26" t="str">
            <v>SPC</v>
          </cell>
          <cell r="H26" t="str">
            <v>10-XX-ESS-IN-0002</v>
          </cell>
          <cell r="I26" t="str">
            <v>Specification for Flow Instruments</v>
          </cell>
          <cell r="M26">
            <v>5.2999999999999999E-2</v>
          </cell>
          <cell r="P26">
            <v>1.06E-3</v>
          </cell>
          <cell r="R26">
            <v>1E-3</v>
          </cell>
          <cell r="V26" t="str">
            <v>ارسال شده</v>
          </cell>
          <cell r="W26" t="str">
            <v>012</v>
          </cell>
          <cell r="X26" t="str">
            <v>32199427</v>
          </cell>
          <cell r="Y26" t="str">
            <v>24-06-0728-10-0709-12-07</v>
          </cell>
          <cell r="Z26" t="str">
            <v>F-0077F-0258F-0499</v>
          </cell>
          <cell r="AA26" t="str">
            <v>17-07-0730-10-0711-12-07</v>
          </cell>
          <cell r="AB26" t="str">
            <v>G-0269</v>
          </cell>
          <cell r="AC26" t="str">
            <v>09-12-07</v>
          </cell>
          <cell r="AD26" t="str">
            <v>FF-491,490</v>
          </cell>
          <cell r="AG26" t="str">
            <v>GBT</v>
          </cell>
          <cell r="AH26" t="str">
            <v>x</v>
          </cell>
          <cell r="AI26" t="str">
            <v>x</v>
          </cell>
          <cell r="AJ26" t="str">
            <v>x</v>
          </cell>
          <cell r="AL26" t="str">
            <v/>
          </cell>
          <cell r="AM26">
            <v>0.75</v>
          </cell>
          <cell r="AN26">
            <v>7.5000000000000002E-4</v>
          </cell>
          <cell r="AO26" t="str">
            <v>F-0077 dtd. 17-07-07</v>
          </cell>
          <cell r="AQ26">
            <v>7.9499999999999992E-4</v>
          </cell>
          <cell r="AR26">
            <v>7.5000000000000002E-4</v>
          </cell>
          <cell r="AS26">
            <v>45</v>
          </cell>
          <cell r="AT26">
            <v>60</v>
          </cell>
          <cell r="AU26">
            <v>75</v>
          </cell>
          <cell r="AV26">
            <v>0</v>
          </cell>
          <cell r="AW26">
            <v>0</v>
          </cell>
          <cell r="AX26">
            <v>75</v>
          </cell>
        </row>
        <row r="27">
          <cell r="C27" t="str">
            <v>SPC</v>
          </cell>
          <cell r="H27" t="str">
            <v>10-XX-ESS-IN-0003</v>
          </cell>
          <cell r="I27" t="str">
            <v>Specification for level Instruments</v>
          </cell>
          <cell r="M27">
            <v>5.2999999999999999E-2</v>
          </cell>
          <cell r="P27">
            <v>1.06E-3</v>
          </cell>
          <cell r="R27">
            <v>1E-3</v>
          </cell>
          <cell r="V27" t="str">
            <v>ارسال شده</v>
          </cell>
          <cell r="W27" t="str">
            <v>012</v>
          </cell>
          <cell r="X27" t="str">
            <v>32198428</v>
          </cell>
          <cell r="Y27" t="str">
            <v>24-06-0728-10-0709-12-07</v>
          </cell>
          <cell r="Z27" t="str">
            <v>F-0077F-0257F-0505&amp;504</v>
          </cell>
          <cell r="AA27" t="str">
            <v>17-07-0730-10-0711-12-07</v>
          </cell>
          <cell r="AB27" t="str">
            <v>G-0271</v>
          </cell>
          <cell r="AC27" t="str">
            <v>06-12-07</v>
          </cell>
          <cell r="AD27" t="str">
            <v>FF-0491</v>
          </cell>
          <cell r="AG27" t="str">
            <v>GBT</v>
          </cell>
          <cell r="AH27" t="str">
            <v>x</v>
          </cell>
          <cell r="AI27" t="str">
            <v>x</v>
          </cell>
          <cell r="AJ27" t="str">
            <v>x</v>
          </cell>
          <cell r="AL27" t="str">
            <v/>
          </cell>
          <cell r="AM27">
            <v>0.75</v>
          </cell>
          <cell r="AN27">
            <v>7.5000000000000002E-4</v>
          </cell>
          <cell r="AO27" t="str">
            <v>F-0077 dtd. 17-07-07</v>
          </cell>
          <cell r="AQ27">
            <v>7.9499999999999992E-4</v>
          </cell>
          <cell r="AR27">
            <v>7.5000000000000002E-4</v>
          </cell>
          <cell r="AS27">
            <v>45</v>
          </cell>
          <cell r="AT27">
            <v>60</v>
          </cell>
          <cell r="AU27">
            <v>75</v>
          </cell>
          <cell r="AV27">
            <v>0</v>
          </cell>
          <cell r="AW27">
            <v>0</v>
          </cell>
          <cell r="AX27">
            <v>75</v>
          </cell>
        </row>
        <row r="28">
          <cell r="C28" t="str">
            <v>SPC</v>
          </cell>
          <cell r="H28" t="str">
            <v>10-XX-ESS-IN-0004</v>
          </cell>
          <cell r="I28" t="str">
            <v xml:space="preserve">Specification for Pressure Instrument </v>
          </cell>
          <cell r="M28">
            <v>5.2999999999999999E-2</v>
          </cell>
          <cell r="P28">
            <v>1.06E-3</v>
          </cell>
          <cell r="R28">
            <v>1E-3</v>
          </cell>
          <cell r="V28" t="str">
            <v>ارسال شده</v>
          </cell>
          <cell r="W28" t="str">
            <v>012</v>
          </cell>
          <cell r="X28" t="str">
            <v>3201429</v>
          </cell>
          <cell r="Y28" t="str">
            <v>09-05-0728-10-0709-12-07</v>
          </cell>
          <cell r="Z28" t="str">
            <v>F-0011F-0260F-0505</v>
          </cell>
          <cell r="AA28" t="str">
            <v>16-06-0730-10-0711-12-07</v>
          </cell>
          <cell r="AB28" t="str">
            <v>G-0272</v>
          </cell>
          <cell r="AC28" t="str">
            <v>06-12-07</v>
          </cell>
          <cell r="AD28" t="str">
            <v>FF-491.490</v>
          </cell>
          <cell r="AG28" t="str">
            <v>GBT</v>
          </cell>
          <cell r="AH28" t="str">
            <v>x</v>
          </cell>
          <cell r="AI28" t="str">
            <v>x</v>
          </cell>
          <cell r="AJ28" t="str">
            <v>x</v>
          </cell>
          <cell r="AL28" t="str">
            <v/>
          </cell>
          <cell r="AM28">
            <v>0.75</v>
          </cell>
          <cell r="AN28">
            <v>7.5000000000000002E-4</v>
          </cell>
          <cell r="AQ28">
            <v>7.9499999999999992E-4</v>
          </cell>
          <cell r="AR28">
            <v>7.5000000000000002E-4</v>
          </cell>
          <cell r="AS28">
            <v>45</v>
          </cell>
          <cell r="AT28">
            <v>60</v>
          </cell>
          <cell r="AU28">
            <v>75</v>
          </cell>
          <cell r="AV28">
            <v>0</v>
          </cell>
          <cell r="AW28">
            <v>0</v>
          </cell>
          <cell r="AX28">
            <v>75</v>
          </cell>
        </row>
        <row r="29">
          <cell r="C29" t="str">
            <v>SPC</v>
          </cell>
          <cell r="H29" t="str">
            <v>10-XX-ESS-IN-0005</v>
          </cell>
          <cell r="I29" t="str">
            <v>Specification for Temperature Instrument</v>
          </cell>
          <cell r="M29">
            <v>5.2999999999999999E-2</v>
          </cell>
          <cell r="P29">
            <v>1.06E-3</v>
          </cell>
          <cell r="R29">
            <v>1E-3</v>
          </cell>
          <cell r="V29" t="str">
            <v>ارسال شده</v>
          </cell>
          <cell r="W29" t="str">
            <v>012</v>
          </cell>
          <cell r="X29" t="str">
            <v>3200430</v>
          </cell>
          <cell r="Y29" t="str">
            <v>09-05-0728-10-0709-12-07</v>
          </cell>
          <cell r="Z29" t="str">
            <v>F-0011F-0259F-0505</v>
          </cell>
          <cell r="AA29" t="str">
            <v>16-06-0730-10-0711-12-07</v>
          </cell>
          <cell r="AB29" t="str">
            <v>G-0273</v>
          </cell>
          <cell r="AC29" t="str">
            <v>09-12-07</v>
          </cell>
          <cell r="AD29" t="str">
            <v>FF-0491</v>
          </cell>
          <cell r="AG29" t="str">
            <v>GBT</v>
          </cell>
          <cell r="AH29" t="str">
            <v>x</v>
          </cell>
          <cell r="AI29" t="str">
            <v>x</v>
          </cell>
          <cell r="AJ29" t="str">
            <v>x</v>
          </cell>
          <cell r="AL29" t="str">
            <v/>
          </cell>
          <cell r="AM29">
            <v>0.75</v>
          </cell>
          <cell r="AN29">
            <v>7.5000000000000002E-4</v>
          </cell>
          <cell r="AQ29">
            <v>7.9499999999999992E-4</v>
          </cell>
          <cell r="AR29">
            <v>7.5000000000000002E-4</v>
          </cell>
          <cell r="AS29">
            <v>45</v>
          </cell>
          <cell r="AT29">
            <v>60</v>
          </cell>
          <cell r="AU29">
            <v>75</v>
          </cell>
          <cell r="AV29">
            <v>0</v>
          </cell>
          <cell r="AW29">
            <v>0</v>
          </cell>
          <cell r="AX29">
            <v>75</v>
          </cell>
        </row>
        <row r="30">
          <cell r="C30" t="str">
            <v>SPC</v>
          </cell>
          <cell r="H30" t="str">
            <v>10-XX-ESS-IN-0006</v>
          </cell>
          <cell r="I30" t="str">
            <v>Specification for Control Valve &amp; Regulators</v>
          </cell>
          <cell r="M30">
            <v>5.2999999999999999E-2</v>
          </cell>
          <cell r="P30">
            <v>1.06E-3</v>
          </cell>
          <cell r="R30">
            <v>1E-3</v>
          </cell>
          <cell r="V30" t="str">
            <v>ارسال شده</v>
          </cell>
          <cell r="W30" t="str">
            <v>0 123</v>
          </cell>
          <cell r="X30" t="str">
            <v>3 75166485</v>
          </cell>
          <cell r="Y30" t="str">
            <v>09-05-07 07-08-0717-10-0717-12-07</v>
          </cell>
          <cell r="Z30" t="str">
            <v>F-0011F-0141F-0240</v>
          </cell>
          <cell r="AA30" t="str">
            <v>16-06-07 09-08-0727-10-07</v>
          </cell>
          <cell r="AB30" t="str">
            <v>G-0175G-0289</v>
          </cell>
          <cell r="AC30" t="str">
            <v>20-10-0717-12-07</v>
          </cell>
          <cell r="AD30" t="str">
            <v>FF-0233FF-0536</v>
          </cell>
          <cell r="AG30" t="str">
            <v>KRPC</v>
          </cell>
          <cell r="AH30" t="str">
            <v>x</v>
          </cell>
          <cell r="AI30" t="str">
            <v>x</v>
          </cell>
          <cell r="AJ30" t="str">
            <v>x</v>
          </cell>
          <cell r="AK30" t="str">
            <v>x</v>
          </cell>
          <cell r="AL30" t="str">
            <v/>
          </cell>
          <cell r="AM30">
            <v>0.85</v>
          </cell>
          <cell r="AN30">
            <v>8.4999999999999995E-4</v>
          </cell>
          <cell r="AQ30">
            <v>9.0099999999999989E-4</v>
          </cell>
          <cell r="AR30">
            <v>8.4999999999999995E-4</v>
          </cell>
          <cell r="AS30">
            <v>45</v>
          </cell>
          <cell r="AT30">
            <v>60</v>
          </cell>
          <cell r="AU30">
            <v>75</v>
          </cell>
          <cell r="AV30">
            <v>85</v>
          </cell>
          <cell r="AW30">
            <v>0</v>
          </cell>
          <cell r="AX30">
            <v>85</v>
          </cell>
        </row>
        <row r="31">
          <cell r="C31" t="str">
            <v>SPC</v>
          </cell>
          <cell r="H31" t="str">
            <v>10-XX-ESS-IN-0007</v>
          </cell>
          <cell r="I31" t="str">
            <v>Specification for Analyzers</v>
          </cell>
          <cell r="M31">
            <v>5.2999999999999999E-2</v>
          </cell>
          <cell r="P31">
            <v>1.06E-3</v>
          </cell>
          <cell r="R31">
            <v>1E-3</v>
          </cell>
          <cell r="V31" t="str">
            <v>ارسال شده</v>
          </cell>
          <cell r="W31" t="str">
            <v>01</v>
          </cell>
          <cell r="X31" t="str">
            <v>263461</v>
          </cell>
          <cell r="Y31" t="str">
            <v>04-11-0711-12-07</v>
          </cell>
          <cell r="Z31" t="str">
            <v>F-0289F-0526</v>
          </cell>
          <cell r="AA31" t="str">
            <v>10-11-0716-12-07</v>
          </cell>
          <cell r="AB31" t="str">
            <v>G-0279</v>
          </cell>
          <cell r="AC31" t="str">
            <v>12-12-07</v>
          </cell>
          <cell r="AD31" t="str">
            <v>FF-0535</v>
          </cell>
          <cell r="AG31" t="str">
            <v>GBT</v>
          </cell>
          <cell r="AH31" t="str">
            <v>x</v>
          </cell>
          <cell r="AI31" t="str">
            <v>x</v>
          </cell>
          <cell r="AJ31" t="str">
            <v/>
          </cell>
          <cell r="AL31" t="str">
            <v/>
          </cell>
          <cell r="AM31">
            <v>0.6</v>
          </cell>
          <cell r="AN31">
            <v>5.9999999999999995E-4</v>
          </cell>
          <cell r="AQ31">
            <v>6.3599999999999996E-4</v>
          </cell>
          <cell r="AR31">
            <v>5.9999999999999995E-4</v>
          </cell>
          <cell r="AS31">
            <v>45</v>
          </cell>
          <cell r="AT31">
            <v>60</v>
          </cell>
          <cell r="AU31">
            <v>0</v>
          </cell>
          <cell r="AV31">
            <v>0</v>
          </cell>
          <cell r="AW31">
            <v>0</v>
          </cell>
          <cell r="AX31">
            <v>60</v>
          </cell>
        </row>
        <row r="32">
          <cell r="C32" t="str">
            <v>SPC</v>
          </cell>
          <cell r="H32" t="str">
            <v>10-XX-ESS-IN-0008</v>
          </cell>
          <cell r="I32" t="str">
            <v>Specification for Instrument &amp; Interface Control of Packages</v>
          </cell>
          <cell r="M32">
            <v>5.2999999999999999E-2</v>
          </cell>
          <cell r="P32">
            <v>1.06E-3</v>
          </cell>
          <cell r="R32">
            <v>1E-3</v>
          </cell>
          <cell r="V32" t="str">
            <v>ارسال شده</v>
          </cell>
          <cell r="W32">
            <v>0</v>
          </cell>
          <cell r="X32">
            <v>266</v>
          </cell>
          <cell r="Y32" t="str">
            <v>04-11-07</v>
          </cell>
          <cell r="Z32" t="str">
            <v>F-0302</v>
          </cell>
          <cell r="AA32" t="str">
            <v>13-11-07</v>
          </cell>
          <cell r="AG32" t="str">
            <v>GBT</v>
          </cell>
          <cell r="AH32" t="str">
            <v>x</v>
          </cell>
          <cell r="AJ32" t="str">
            <v/>
          </cell>
          <cell r="AL32" t="str">
            <v/>
          </cell>
          <cell r="AM32">
            <v>0.45</v>
          </cell>
          <cell r="AN32">
            <v>4.5000000000000004E-4</v>
          </cell>
          <cell r="AQ32">
            <v>4.7699999999999999E-4</v>
          </cell>
          <cell r="AR32">
            <v>4.5000000000000004E-4</v>
          </cell>
          <cell r="AS32">
            <v>45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45</v>
          </cell>
        </row>
        <row r="33">
          <cell r="C33" t="str">
            <v>SPC</v>
          </cell>
          <cell r="H33" t="str">
            <v>10-XX-ESS-IN-0009</v>
          </cell>
          <cell r="I33" t="str">
            <v>Specification for Central Control System</v>
          </cell>
          <cell r="M33">
            <v>5.2999999999999999E-2</v>
          </cell>
          <cell r="P33">
            <v>1.06E-3</v>
          </cell>
          <cell r="R33">
            <v>1E-3</v>
          </cell>
          <cell r="V33" t="str">
            <v>ارسال شده</v>
          </cell>
          <cell r="W33">
            <v>0</v>
          </cell>
          <cell r="X33">
            <v>265</v>
          </cell>
          <cell r="Y33" t="str">
            <v>04-11-07</v>
          </cell>
          <cell r="Z33" t="str">
            <v>F-0290</v>
          </cell>
          <cell r="AA33" t="str">
            <v>10-11-07</v>
          </cell>
          <cell r="AG33" t="str">
            <v>GBT</v>
          </cell>
          <cell r="AH33" t="str">
            <v>x</v>
          </cell>
          <cell r="AJ33" t="str">
            <v/>
          </cell>
          <cell r="AL33" t="str">
            <v/>
          </cell>
          <cell r="AM33">
            <v>0.45</v>
          </cell>
          <cell r="AN33">
            <v>4.5000000000000004E-4</v>
          </cell>
          <cell r="AQ33">
            <v>4.7699999999999999E-4</v>
          </cell>
          <cell r="AR33">
            <v>4.5000000000000004E-4</v>
          </cell>
          <cell r="AS33">
            <v>45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45</v>
          </cell>
        </row>
        <row r="34">
          <cell r="C34" t="str">
            <v>SPC</v>
          </cell>
          <cell r="H34" t="str">
            <v>10-XX-ESS-IN-0010</v>
          </cell>
          <cell r="I34" t="str">
            <v>Specification for ON/OFF Valves &amp; MOVs</v>
          </cell>
          <cell r="M34">
            <v>0.09</v>
          </cell>
          <cell r="P34">
            <v>1.8E-3</v>
          </cell>
          <cell r="R34">
            <v>2.0999999999999999E-3</v>
          </cell>
          <cell r="V34" t="str">
            <v>ارسال شده</v>
          </cell>
          <cell r="W34" t="str">
            <v>012</v>
          </cell>
          <cell r="X34" t="str">
            <v>88167486</v>
          </cell>
          <cell r="Y34" t="str">
            <v>18-08-0717-10-0717-12-07</v>
          </cell>
          <cell r="Z34" t="str">
            <v>F-0175F-0240</v>
          </cell>
          <cell r="AA34" t="str">
            <v>23-08-0727-10-07</v>
          </cell>
          <cell r="AB34" t="str">
            <v>G-0175G-0289</v>
          </cell>
          <cell r="AC34" t="str">
            <v>20-10-0717-12-07</v>
          </cell>
          <cell r="AD34" t="str">
            <v>FF-0233FF-0536</v>
          </cell>
          <cell r="AG34" t="str">
            <v>KRPC</v>
          </cell>
          <cell r="AH34" t="str">
            <v>x</v>
          </cell>
          <cell r="AI34" t="str">
            <v>x</v>
          </cell>
          <cell r="AJ34" t="str">
            <v>x</v>
          </cell>
          <cell r="AL34" t="str">
            <v/>
          </cell>
          <cell r="AM34">
            <v>0.75</v>
          </cell>
          <cell r="AN34">
            <v>1.575E-3</v>
          </cell>
          <cell r="AQ34">
            <v>1.3500000000000001E-3</v>
          </cell>
          <cell r="AR34">
            <v>1.575E-3</v>
          </cell>
          <cell r="AS34">
            <v>45</v>
          </cell>
          <cell r="AT34">
            <v>60</v>
          </cell>
          <cell r="AU34">
            <v>75</v>
          </cell>
          <cell r="AV34">
            <v>0</v>
          </cell>
          <cell r="AW34">
            <v>0</v>
          </cell>
          <cell r="AX34">
            <v>75</v>
          </cell>
        </row>
        <row r="35">
          <cell r="C35" t="str">
            <v>SPC</v>
          </cell>
          <cell r="H35" t="str">
            <v>10-XX-ESS-IN-0011</v>
          </cell>
          <cell r="I35" t="str">
            <v xml:space="preserve">Specification for ESD System </v>
          </cell>
          <cell r="M35">
            <v>7.1999999999999995E-2</v>
          </cell>
          <cell r="P35">
            <v>1.4400000000000001E-3</v>
          </cell>
          <cell r="R35">
            <v>1.4499999999999999E-3</v>
          </cell>
          <cell r="V35" t="str">
            <v>ارسال شده</v>
          </cell>
          <cell r="W35">
            <v>0</v>
          </cell>
          <cell r="X35">
            <v>32</v>
          </cell>
          <cell r="Y35" t="str">
            <v>24-06-07</v>
          </cell>
          <cell r="Z35" t="str">
            <v>F-0077</v>
          </cell>
          <cell r="AA35" t="str">
            <v>17-07-07</v>
          </cell>
          <cell r="AG35" t="str">
            <v>GBT</v>
          </cell>
          <cell r="AH35" t="str">
            <v>x</v>
          </cell>
          <cell r="AJ35" t="str">
            <v/>
          </cell>
          <cell r="AL35" t="str">
            <v/>
          </cell>
          <cell r="AM35">
            <v>0.45</v>
          </cell>
          <cell r="AN35">
            <v>6.5249999999999998E-4</v>
          </cell>
          <cell r="AO35" t="str">
            <v>F-0077 dtd. 17-07-07</v>
          </cell>
          <cell r="AQ35">
            <v>6.4800000000000003E-4</v>
          </cell>
          <cell r="AR35">
            <v>6.5249999999999998E-4</v>
          </cell>
          <cell r="AS35">
            <v>45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45</v>
          </cell>
        </row>
        <row r="36">
          <cell r="C36" t="str">
            <v>SPC</v>
          </cell>
          <cell r="H36" t="str">
            <v>10-XX-ESS-IN-0012</v>
          </cell>
          <cell r="I36" t="str">
            <v>Specification for F&amp;G System</v>
          </cell>
          <cell r="M36">
            <v>7.1999999999999995E-2</v>
          </cell>
          <cell r="P36">
            <v>1.4400000000000001E-3</v>
          </cell>
          <cell r="R36">
            <v>1.4499999999999999E-3</v>
          </cell>
          <cell r="V36" t="str">
            <v>ارسال شده</v>
          </cell>
          <cell r="W36">
            <v>0</v>
          </cell>
          <cell r="X36">
            <v>32</v>
          </cell>
          <cell r="Y36" t="str">
            <v>24-06-07</v>
          </cell>
          <cell r="Z36" t="str">
            <v>F-0077</v>
          </cell>
          <cell r="AA36" t="str">
            <v>17-07-07</v>
          </cell>
          <cell r="AG36" t="str">
            <v>GBT</v>
          </cell>
          <cell r="AH36" t="str">
            <v>x</v>
          </cell>
          <cell r="AJ36" t="str">
            <v/>
          </cell>
          <cell r="AL36" t="str">
            <v/>
          </cell>
          <cell r="AM36">
            <v>0.45</v>
          </cell>
          <cell r="AN36">
            <v>6.5249999999999998E-4</v>
          </cell>
          <cell r="AO36" t="str">
            <v>F-0077 dtd. 17-07-07</v>
          </cell>
          <cell r="AQ36">
            <v>6.4800000000000003E-4</v>
          </cell>
          <cell r="AR36">
            <v>6.5249999999999998E-4</v>
          </cell>
          <cell r="AS36">
            <v>45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45</v>
          </cell>
        </row>
        <row r="37">
          <cell r="C37" t="str">
            <v>SPC</v>
          </cell>
          <cell r="H37" t="str">
            <v>10-XX-ESS-IN-0013</v>
          </cell>
          <cell r="I37" t="str">
            <v>Specification for Instrument Junction Boxes</v>
          </cell>
          <cell r="M37">
            <v>5.2999999999999999E-2</v>
          </cell>
          <cell r="P37">
            <v>1.06E-3</v>
          </cell>
          <cell r="R37">
            <v>1E-3</v>
          </cell>
          <cell r="V37" t="str">
            <v>ارسال شده</v>
          </cell>
          <cell r="W37" t="str">
            <v>012</v>
          </cell>
          <cell r="X37" t="str">
            <v>96165483</v>
          </cell>
          <cell r="Y37" t="str">
            <v>05-09-0717-10-0717-12-07</v>
          </cell>
          <cell r="Z37" t="str">
            <v>F-0188F-0241</v>
          </cell>
          <cell r="AA37" t="str">
            <v>08-09-0727-10-07</v>
          </cell>
          <cell r="AB37" t="str">
            <v>G-0174</v>
          </cell>
          <cell r="AC37" t="str">
            <v>20-10-07</v>
          </cell>
          <cell r="AD37" t="str">
            <v>FF-0229</v>
          </cell>
          <cell r="AG37" t="str">
            <v>KRPC</v>
          </cell>
          <cell r="AH37" t="str">
            <v>x</v>
          </cell>
          <cell r="AI37" t="str">
            <v>x</v>
          </cell>
          <cell r="AJ37" t="str">
            <v>x</v>
          </cell>
          <cell r="AL37" t="str">
            <v/>
          </cell>
          <cell r="AM37">
            <v>0.75</v>
          </cell>
          <cell r="AN37">
            <v>7.5000000000000002E-4</v>
          </cell>
          <cell r="AQ37">
            <v>7.9499999999999992E-4</v>
          </cell>
          <cell r="AR37">
            <v>7.5000000000000002E-4</v>
          </cell>
          <cell r="AS37">
            <v>45</v>
          </cell>
          <cell r="AT37">
            <v>60</v>
          </cell>
          <cell r="AU37">
            <v>75</v>
          </cell>
          <cell r="AV37">
            <v>0</v>
          </cell>
          <cell r="AW37">
            <v>0</v>
          </cell>
          <cell r="AX37">
            <v>75</v>
          </cell>
        </row>
        <row r="38">
          <cell r="C38" t="str">
            <v>SPC</v>
          </cell>
          <cell r="H38" t="str">
            <v>10-XX-ESS-IN-0014</v>
          </cell>
          <cell r="I38" t="str">
            <v>Specification for Instrument Cables</v>
          </cell>
          <cell r="M38">
            <v>5.2999999999999999E-2</v>
          </cell>
          <cell r="P38">
            <v>1.06E-3</v>
          </cell>
          <cell r="R38">
            <v>1E-3</v>
          </cell>
          <cell r="V38" t="str">
            <v>ارسال شده</v>
          </cell>
          <cell r="W38" t="str">
            <v>0 123</v>
          </cell>
          <cell r="X38" t="str">
            <v>375168484</v>
          </cell>
          <cell r="Y38" t="str">
            <v>09-05-07 07-08-0717-10-0717-12-07</v>
          </cell>
          <cell r="Z38" t="str">
            <v>F-0011         F-0141F-0240</v>
          </cell>
          <cell r="AA38" t="str">
            <v>16-06-07 09-08-0727-10-07</v>
          </cell>
          <cell r="AB38" t="str">
            <v>G-0175G-0289</v>
          </cell>
          <cell r="AC38" t="str">
            <v>20-10-0717-12-07</v>
          </cell>
          <cell r="AD38" t="str">
            <v>FF-0233FF-0536</v>
          </cell>
          <cell r="AG38" t="str">
            <v>KRPC</v>
          </cell>
          <cell r="AH38" t="str">
            <v>x</v>
          </cell>
          <cell r="AI38" t="str">
            <v>x</v>
          </cell>
          <cell r="AJ38" t="str">
            <v>x</v>
          </cell>
          <cell r="AK38" t="str">
            <v>x</v>
          </cell>
          <cell r="AL38" t="str">
            <v/>
          </cell>
          <cell r="AM38">
            <v>0.85</v>
          </cell>
          <cell r="AN38">
            <v>8.4999999999999995E-4</v>
          </cell>
          <cell r="AQ38">
            <v>9.0099999999999989E-4</v>
          </cell>
          <cell r="AR38">
            <v>8.4999999999999995E-4</v>
          </cell>
          <cell r="AS38">
            <v>45</v>
          </cell>
          <cell r="AT38">
            <v>60</v>
          </cell>
          <cell r="AU38">
            <v>75</v>
          </cell>
          <cell r="AV38">
            <v>85</v>
          </cell>
          <cell r="AW38">
            <v>0</v>
          </cell>
          <cell r="AX38">
            <v>85</v>
          </cell>
        </row>
        <row r="39">
          <cell r="F39" t="str">
            <v>Piping</v>
          </cell>
          <cell r="L39">
            <v>0.16</v>
          </cell>
          <cell r="M39">
            <v>1</v>
          </cell>
          <cell r="P39">
            <v>3.2000000000000001E-2</v>
          </cell>
          <cell r="R39">
            <v>3.1999999999999994E-2</v>
          </cell>
          <cell r="T39" t="str">
            <v>.</v>
          </cell>
          <cell r="U39" t="str">
            <v>.</v>
          </cell>
          <cell r="V39" t="str">
            <v>.</v>
          </cell>
          <cell r="W39" t="str">
            <v>.</v>
          </cell>
          <cell r="X39" t="str">
            <v>.</v>
          </cell>
          <cell r="Y39" t="str">
            <v>.</v>
          </cell>
          <cell r="Z39" t="str">
            <v>.</v>
          </cell>
          <cell r="AA39" t="str">
            <v>.</v>
          </cell>
          <cell r="AG39" t="str">
            <v>.</v>
          </cell>
          <cell r="AH39" t="str">
            <v>.</v>
          </cell>
          <cell r="AI39" t="str">
            <v>.</v>
          </cell>
          <cell r="AJ39" t="str">
            <v>.</v>
          </cell>
          <cell r="AK39" t="str">
            <v>.</v>
          </cell>
          <cell r="AL39" t="str">
            <v>.</v>
          </cell>
          <cell r="AM39">
            <v>0.56718750000000007</v>
          </cell>
          <cell r="AN39">
            <v>1.8150000000000003E-2</v>
          </cell>
          <cell r="AO39" t="str">
            <v>.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C40" t="str">
            <v>RPT</v>
          </cell>
          <cell r="H40" t="str">
            <v>10-XX-DEC-PI-0001</v>
          </cell>
          <cell r="I40" t="str">
            <v>Piping Design Criteria</v>
          </cell>
          <cell r="M40">
            <v>0.21</v>
          </cell>
          <cell r="P40">
            <v>6.7200000000000003E-3</v>
          </cell>
          <cell r="R40">
            <v>7.7999999999999996E-3</v>
          </cell>
          <cell r="V40" t="str">
            <v>ارسال شده</v>
          </cell>
          <cell r="W40" t="str">
            <v>01</v>
          </cell>
          <cell r="X40" t="str">
            <v>39176</v>
          </cell>
          <cell r="Y40" t="str">
            <v>27-06-0725-10-07</v>
          </cell>
          <cell r="Z40" t="str">
            <v>F-0143F-0288</v>
          </cell>
          <cell r="AA40" t="str">
            <v>09-09-0710-11-07</v>
          </cell>
          <cell r="AG40" t="str">
            <v>GBT</v>
          </cell>
          <cell r="AH40" t="str">
            <v>x</v>
          </cell>
          <cell r="AI40" t="str">
            <v>x</v>
          </cell>
          <cell r="AJ40" t="str">
            <v/>
          </cell>
          <cell r="AL40" t="str">
            <v/>
          </cell>
          <cell r="AM40">
            <v>0.6</v>
          </cell>
          <cell r="AN40">
            <v>4.6799999999999993E-3</v>
          </cell>
          <cell r="AQ40">
            <v>4.032E-3</v>
          </cell>
          <cell r="AR40">
            <v>4.6799999999999993E-3</v>
          </cell>
          <cell r="AS40">
            <v>45</v>
          </cell>
          <cell r="AT40">
            <v>60</v>
          </cell>
          <cell r="AU40">
            <v>0</v>
          </cell>
          <cell r="AV40">
            <v>0</v>
          </cell>
          <cell r="AW40">
            <v>0</v>
          </cell>
          <cell r="AX40">
            <v>60</v>
          </cell>
        </row>
        <row r="41">
          <cell r="C41" t="str">
            <v>SPC</v>
          </cell>
          <cell r="H41" t="str">
            <v>10-XX-MSS-PI-0002</v>
          </cell>
          <cell r="I41" t="str">
            <v>Piping Material Specification</v>
          </cell>
          <cell r="M41">
            <v>0.35</v>
          </cell>
          <cell r="P41">
            <v>1.12E-2</v>
          </cell>
          <cell r="R41">
            <v>1.37E-2</v>
          </cell>
          <cell r="V41" t="str">
            <v>ارسال شده</v>
          </cell>
          <cell r="W41">
            <v>0</v>
          </cell>
          <cell r="X41">
            <v>62</v>
          </cell>
          <cell r="Y41" t="str">
            <v>21-07-07</v>
          </cell>
          <cell r="Z41" t="str">
            <v>F-0139</v>
          </cell>
          <cell r="AA41" t="str">
            <v>09-08-07</v>
          </cell>
          <cell r="AB41" t="str">
            <v>G-0263</v>
          </cell>
          <cell r="AC41" t="str">
            <v>05-12-07</v>
          </cell>
          <cell r="AD41" t="str">
            <v>FF-0474</v>
          </cell>
          <cell r="AE41" t="str">
            <v>GG-0303</v>
          </cell>
          <cell r="AG41" t="str">
            <v>GBT</v>
          </cell>
          <cell r="AH41" t="str">
            <v>x</v>
          </cell>
          <cell r="AJ41" t="str">
            <v/>
          </cell>
          <cell r="AL41" t="str">
            <v/>
          </cell>
          <cell r="AM41">
            <v>0.45</v>
          </cell>
          <cell r="AN41">
            <v>6.1650000000000003E-3</v>
          </cell>
          <cell r="AQ41">
            <v>5.0400000000000002E-3</v>
          </cell>
          <cell r="AR41">
            <v>6.1650000000000003E-3</v>
          </cell>
          <cell r="AS41">
            <v>45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45</v>
          </cell>
        </row>
        <row r="42">
          <cell r="C42" t="str">
            <v>DWG</v>
          </cell>
          <cell r="H42" t="str">
            <v>10-XX-A0-PI-0001</v>
          </cell>
          <cell r="I42" t="str">
            <v>General Plot Plan</v>
          </cell>
          <cell r="M42">
            <v>0.21</v>
          </cell>
          <cell r="P42">
            <v>6.7200000000000003E-3</v>
          </cell>
          <cell r="R42">
            <v>7.6E-3</v>
          </cell>
          <cell r="V42" t="str">
            <v>ارسال شده</v>
          </cell>
          <cell r="W42" t="str">
            <v>0 12</v>
          </cell>
          <cell r="X42" t="str">
            <v>4 90197</v>
          </cell>
          <cell r="Y42" t="str">
            <v>09-05-07 19-08-0727-10-07</v>
          </cell>
          <cell r="Z42" t="str">
            <v>123-13-1076 F-0164F-0252</v>
          </cell>
          <cell r="AA42" t="str">
            <v>86-02-22 20-08-0730-10-07</v>
          </cell>
          <cell r="AG42" t="str">
            <v>GBT</v>
          </cell>
          <cell r="AH42" t="str">
            <v>x</v>
          </cell>
          <cell r="AI42" t="str">
            <v>x</v>
          </cell>
          <cell r="AJ42" t="str">
            <v>x</v>
          </cell>
          <cell r="AL42" t="str">
            <v/>
          </cell>
          <cell r="AM42">
            <v>0.75</v>
          </cell>
          <cell r="AN42">
            <v>5.7000000000000002E-3</v>
          </cell>
          <cell r="AQ42">
            <v>5.0400000000000002E-3</v>
          </cell>
          <cell r="AR42">
            <v>5.7000000000000002E-3</v>
          </cell>
          <cell r="AS42">
            <v>45</v>
          </cell>
          <cell r="AT42">
            <v>60</v>
          </cell>
          <cell r="AU42">
            <v>75</v>
          </cell>
          <cell r="AV42">
            <v>0</v>
          </cell>
          <cell r="AW42">
            <v>0</v>
          </cell>
          <cell r="AX42">
            <v>75</v>
          </cell>
        </row>
        <row r="43">
          <cell r="C43" t="str">
            <v>SPC</v>
          </cell>
          <cell r="H43" t="str">
            <v>10-XX-ANS-PI-0003</v>
          </cell>
          <cell r="I43" t="str">
            <v>Specification for Piping Stress Analysis</v>
          </cell>
          <cell r="M43">
            <v>0.02</v>
          </cell>
          <cell r="P43">
            <v>6.4000000000000005E-4</v>
          </cell>
          <cell r="R43">
            <v>2.0000000000000001E-4</v>
          </cell>
          <cell r="V43" t="str">
            <v>ارسال شده</v>
          </cell>
          <cell r="W43" t="str">
            <v>012</v>
          </cell>
          <cell r="X43" t="str">
            <v>37306413</v>
          </cell>
          <cell r="Y43" t="str">
            <v>26-06-0717-11-0709-12-07</v>
          </cell>
          <cell r="Z43" t="str">
            <v>F-0077F-0434</v>
          </cell>
          <cell r="AA43" t="str">
            <v>17-07-0702-12-07</v>
          </cell>
          <cell r="AB43" t="str">
            <v>G-0267</v>
          </cell>
          <cell r="AC43" t="str">
            <v>09-12-07</v>
          </cell>
          <cell r="AD43" t="str">
            <v>FF-0488</v>
          </cell>
          <cell r="AG43" t="str">
            <v>KRPC</v>
          </cell>
          <cell r="AH43" t="str">
            <v>x</v>
          </cell>
          <cell r="AI43" t="str">
            <v>x</v>
          </cell>
          <cell r="AJ43" t="str">
            <v>x</v>
          </cell>
          <cell r="AL43" t="str">
            <v/>
          </cell>
          <cell r="AM43">
            <v>0.75</v>
          </cell>
          <cell r="AN43">
            <v>1.5000000000000001E-4</v>
          </cell>
          <cell r="AO43" t="str">
            <v>F-0077 dtd. 17-07-07</v>
          </cell>
          <cell r="AQ43">
            <v>4.8000000000000007E-4</v>
          </cell>
          <cell r="AR43">
            <v>1.5000000000000001E-4</v>
          </cell>
          <cell r="AS43">
            <v>45</v>
          </cell>
          <cell r="AT43">
            <v>60</v>
          </cell>
          <cell r="AU43">
            <v>75</v>
          </cell>
          <cell r="AV43">
            <v>0</v>
          </cell>
          <cell r="AW43">
            <v>0</v>
          </cell>
          <cell r="AX43">
            <v>75</v>
          </cell>
        </row>
        <row r="44">
          <cell r="C44" t="str">
            <v>SPC</v>
          </cell>
          <cell r="H44" t="str">
            <v>10-XX-CSS-PI-0004</v>
          </cell>
          <cell r="I44" t="str">
            <v>Specification for Welding</v>
          </cell>
          <cell r="M44">
            <v>0.03</v>
          </cell>
          <cell r="P44">
            <v>9.5999999999999992E-4</v>
          </cell>
          <cell r="R44">
            <v>2.0000000000000001E-4</v>
          </cell>
          <cell r="V44" t="str">
            <v>ارسال شده</v>
          </cell>
          <cell r="W44" t="str">
            <v>012</v>
          </cell>
          <cell r="X44" t="str">
            <v>36305499</v>
          </cell>
          <cell r="Y44" t="str">
            <v>26-06-0717-11-0724-12-07</v>
          </cell>
          <cell r="Z44" t="str">
            <v>F-0077F-0433</v>
          </cell>
          <cell r="AA44" t="str">
            <v>17-07-0702-12-07</v>
          </cell>
          <cell r="AG44" t="str">
            <v>KRPC</v>
          </cell>
          <cell r="AH44" t="str">
            <v>x</v>
          </cell>
          <cell r="AI44" t="str">
            <v>x</v>
          </cell>
          <cell r="AJ44" t="str">
            <v>x</v>
          </cell>
          <cell r="AL44" t="str">
            <v/>
          </cell>
          <cell r="AM44">
            <v>0.75</v>
          </cell>
          <cell r="AN44">
            <v>1.5000000000000001E-4</v>
          </cell>
          <cell r="AO44" t="str">
            <v>T</v>
          </cell>
          <cell r="AQ44">
            <v>7.1999999999999994E-4</v>
          </cell>
          <cell r="AR44">
            <v>1.5000000000000001E-4</v>
          </cell>
          <cell r="AS44">
            <v>45</v>
          </cell>
          <cell r="AT44">
            <v>60</v>
          </cell>
          <cell r="AU44">
            <v>75</v>
          </cell>
          <cell r="AV44">
            <v>0</v>
          </cell>
          <cell r="AW44">
            <v>0</v>
          </cell>
          <cell r="AX44">
            <v>75</v>
          </cell>
        </row>
        <row r="45">
          <cell r="C45" t="str">
            <v>SPC</v>
          </cell>
          <cell r="H45" t="str">
            <v>10-XX-CSS-PI-0005</v>
          </cell>
          <cell r="I45" t="str">
            <v>Specification for Packages Pipe Work Fabrication</v>
          </cell>
          <cell r="M45">
            <v>0.03</v>
          </cell>
          <cell r="P45">
            <v>9.5999999999999992E-4</v>
          </cell>
          <cell r="R45">
            <v>2.0000000000000001E-4</v>
          </cell>
          <cell r="V45" t="str">
            <v>ارسال شده</v>
          </cell>
          <cell r="W45" t="str">
            <v>012</v>
          </cell>
          <cell r="X45" t="str">
            <v>37307411</v>
          </cell>
          <cell r="Y45" t="str">
            <v>26-06-0717-11-0709-12-07</v>
          </cell>
          <cell r="Z45" t="str">
            <v>F-0077F-0413F-0501</v>
          </cell>
          <cell r="AA45" t="str">
            <v>17-07-0702-12-0711-12-07</v>
          </cell>
          <cell r="AG45" t="str">
            <v>GBT</v>
          </cell>
          <cell r="AH45" t="str">
            <v>x</v>
          </cell>
          <cell r="AI45" t="str">
            <v>x</v>
          </cell>
          <cell r="AJ45" t="str">
            <v>x</v>
          </cell>
          <cell r="AL45" t="str">
            <v/>
          </cell>
          <cell r="AM45">
            <v>0.75</v>
          </cell>
          <cell r="AN45">
            <v>1.5000000000000001E-4</v>
          </cell>
          <cell r="AO45" t="str">
            <v>F-0077 dtd. 17-07-07</v>
          </cell>
          <cell r="AQ45">
            <v>7.1999999999999994E-4</v>
          </cell>
          <cell r="AR45">
            <v>1.5000000000000001E-4</v>
          </cell>
          <cell r="AS45">
            <v>45</v>
          </cell>
          <cell r="AT45">
            <v>60</v>
          </cell>
          <cell r="AU45">
            <v>75</v>
          </cell>
          <cell r="AV45">
            <v>0</v>
          </cell>
          <cell r="AW45">
            <v>0</v>
          </cell>
          <cell r="AX45">
            <v>75</v>
          </cell>
        </row>
        <row r="46">
          <cell r="C46" t="str">
            <v>SPC</v>
          </cell>
          <cell r="H46" t="str">
            <v>10-XX-ESS-PI-0006</v>
          </cell>
          <cell r="I46" t="str">
            <v>Specification for Cleaning of Pipe work</v>
          </cell>
          <cell r="M46">
            <v>0.03</v>
          </cell>
          <cell r="P46">
            <v>9.5999999999999992E-4</v>
          </cell>
          <cell r="R46">
            <v>2.0000000000000001E-4</v>
          </cell>
          <cell r="V46" t="str">
            <v>ارسال شده</v>
          </cell>
          <cell r="W46" t="str">
            <v>012</v>
          </cell>
          <cell r="X46" t="str">
            <v>37304474</v>
          </cell>
          <cell r="Y46" t="str">
            <v>26-06-0717-11-0713-12-07</v>
          </cell>
          <cell r="Z46" t="str">
            <v>F-0077F-0435</v>
          </cell>
          <cell r="AA46" t="str">
            <v>17-07-0702-12-07</v>
          </cell>
          <cell r="AB46" t="str">
            <v>G-0281</v>
          </cell>
          <cell r="AC46" t="str">
            <v>12-12-07</v>
          </cell>
          <cell r="AD46" t="str">
            <v>FF-0523</v>
          </cell>
          <cell r="AG46" t="str">
            <v>KRPC</v>
          </cell>
          <cell r="AH46" t="str">
            <v>x</v>
          </cell>
          <cell r="AI46" t="str">
            <v>x</v>
          </cell>
          <cell r="AJ46" t="str">
            <v>x</v>
          </cell>
          <cell r="AL46" t="str">
            <v/>
          </cell>
          <cell r="AM46">
            <v>0.75</v>
          </cell>
          <cell r="AN46">
            <v>1.5000000000000001E-4</v>
          </cell>
          <cell r="AO46" t="str">
            <v>F-0077 dtd. 17-07-07</v>
          </cell>
          <cell r="AQ46">
            <v>7.1999999999999994E-4</v>
          </cell>
          <cell r="AR46">
            <v>1.5000000000000001E-4</v>
          </cell>
          <cell r="AS46">
            <v>45</v>
          </cell>
          <cell r="AT46">
            <v>60</v>
          </cell>
          <cell r="AU46">
            <v>75</v>
          </cell>
          <cell r="AV46">
            <v>0</v>
          </cell>
          <cell r="AW46">
            <v>0</v>
          </cell>
          <cell r="AX46">
            <v>75</v>
          </cell>
        </row>
        <row r="47">
          <cell r="C47" t="str">
            <v>SPC</v>
          </cell>
          <cell r="H47" t="str">
            <v>10-XX-ESS-PI-0007</v>
          </cell>
          <cell r="I47" t="str">
            <v xml:space="preserve">Specification for Hydrostatic Pressure Testing </v>
          </cell>
          <cell r="M47">
            <v>0.03</v>
          </cell>
          <cell r="P47">
            <v>9.5999999999999992E-4</v>
          </cell>
          <cell r="R47">
            <v>2.0000000000000001E-4</v>
          </cell>
          <cell r="V47" t="str">
            <v>ارسال شده</v>
          </cell>
          <cell r="W47" t="str">
            <v>012</v>
          </cell>
          <cell r="X47" t="str">
            <v>82181414</v>
          </cell>
          <cell r="Y47" t="str">
            <v>15-08-0725-10-0709-12-07</v>
          </cell>
          <cell r="Z47" t="str">
            <v>F-0154F-0256</v>
          </cell>
          <cell r="AA47" t="str">
            <v>18-08-0730-10-07</v>
          </cell>
          <cell r="AB47" t="str">
            <v>G-0183G-0262</v>
          </cell>
          <cell r="AC47" t="str">
            <v>25-10-0705-12-07</v>
          </cell>
          <cell r="AD47" t="str">
            <v>FF-0479</v>
          </cell>
          <cell r="AG47" t="str">
            <v>KRPC</v>
          </cell>
          <cell r="AH47" t="str">
            <v>x</v>
          </cell>
          <cell r="AI47" t="str">
            <v>x</v>
          </cell>
          <cell r="AJ47" t="str">
            <v>x</v>
          </cell>
          <cell r="AL47" t="str">
            <v/>
          </cell>
          <cell r="AM47">
            <v>0.75</v>
          </cell>
          <cell r="AN47">
            <v>1.5000000000000001E-4</v>
          </cell>
          <cell r="AQ47">
            <v>7.1999999999999994E-4</v>
          </cell>
          <cell r="AR47">
            <v>1.5000000000000001E-4</v>
          </cell>
          <cell r="AS47">
            <v>45</v>
          </cell>
          <cell r="AT47">
            <v>60</v>
          </cell>
          <cell r="AU47">
            <v>75</v>
          </cell>
          <cell r="AV47">
            <v>0</v>
          </cell>
          <cell r="AW47">
            <v>0</v>
          </cell>
          <cell r="AX47">
            <v>75</v>
          </cell>
        </row>
        <row r="48">
          <cell r="C48" t="str">
            <v>MTO</v>
          </cell>
          <cell r="H48" t="str">
            <v>10-XX-MTO-PI-0008</v>
          </cell>
          <cell r="I48" t="str">
            <v>First MTO for Pipe &amp; Piping Component</v>
          </cell>
          <cell r="M48">
            <v>0.06</v>
          </cell>
          <cell r="P48">
            <v>1.9199999999999998E-3</v>
          </cell>
          <cell r="R48">
            <v>1.4E-3</v>
          </cell>
          <cell r="V48" t="str">
            <v>ارسال شده</v>
          </cell>
          <cell r="W48">
            <v>0</v>
          </cell>
          <cell r="X48">
            <v>151</v>
          </cell>
          <cell r="Y48" t="str">
            <v>15-10-07</v>
          </cell>
          <cell r="Z48" t="str">
            <v>F-0392</v>
          </cell>
          <cell r="AA48" t="str">
            <v>22-11-07</v>
          </cell>
          <cell r="AG48" t="str">
            <v>GBT</v>
          </cell>
          <cell r="AH48" t="str">
            <v>x</v>
          </cell>
          <cell r="AJ48" t="str">
            <v/>
          </cell>
          <cell r="AL48" t="str">
            <v/>
          </cell>
          <cell r="AM48">
            <v>0.45</v>
          </cell>
          <cell r="AN48">
            <v>6.3000000000000003E-4</v>
          </cell>
          <cell r="AQ48">
            <v>8.6399999999999997E-4</v>
          </cell>
          <cell r="AR48">
            <v>6.3000000000000003E-4</v>
          </cell>
          <cell r="AS48">
            <v>45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45</v>
          </cell>
        </row>
        <row r="49">
          <cell r="C49" t="str">
            <v>MTO</v>
          </cell>
          <cell r="H49" t="str">
            <v>10-XX-MTO-PI-0009</v>
          </cell>
          <cell r="I49" t="str">
            <v>First MTO for Valves</v>
          </cell>
          <cell r="M49">
            <v>0.03</v>
          </cell>
          <cell r="P49">
            <v>9.5999999999999992E-4</v>
          </cell>
          <cell r="R49">
            <v>5.0000000000000001E-4</v>
          </cell>
          <cell r="V49" t="str">
            <v>ارسال شده</v>
          </cell>
          <cell r="W49">
            <v>0</v>
          </cell>
          <cell r="X49">
            <v>150</v>
          </cell>
          <cell r="Y49" t="str">
            <v>15-10-07</v>
          </cell>
          <cell r="Z49" t="str">
            <v>F-0254</v>
          </cell>
          <cell r="AA49" t="str">
            <v>30-10-07</v>
          </cell>
          <cell r="AG49" t="str">
            <v>GBT</v>
          </cell>
          <cell r="AH49" t="str">
            <v>x</v>
          </cell>
          <cell r="AJ49" t="str">
            <v/>
          </cell>
          <cell r="AL49" t="str">
            <v/>
          </cell>
          <cell r="AM49">
            <v>0.45</v>
          </cell>
          <cell r="AN49">
            <v>2.2500000000000002E-4</v>
          </cell>
          <cell r="AQ49">
            <v>4.3199999999999998E-4</v>
          </cell>
          <cell r="AR49">
            <v>2.2500000000000002E-4</v>
          </cell>
          <cell r="AS49">
            <v>45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45</v>
          </cell>
        </row>
        <row r="50">
          <cell r="F50" t="str">
            <v>HVAC</v>
          </cell>
          <cell r="L50">
            <v>0.02</v>
          </cell>
          <cell r="M50">
            <v>1</v>
          </cell>
          <cell r="P50">
            <v>4.0000000000000001E-3</v>
          </cell>
          <cell r="R50">
            <v>4.0000000000000001E-3</v>
          </cell>
          <cell r="T50" t="str">
            <v>.</v>
          </cell>
          <cell r="U50" t="str">
            <v>.</v>
          </cell>
          <cell r="V50" t="str">
            <v>.</v>
          </cell>
          <cell r="W50" t="str">
            <v>.</v>
          </cell>
          <cell r="X50" t="str">
            <v>.</v>
          </cell>
          <cell r="Y50" t="str">
            <v>.</v>
          </cell>
          <cell r="Z50" t="str">
            <v>.</v>
          </cell>
          <cell r="AA50" t="str">
            <v>.</v>
          </cell>
          <cell r="AG50" t="str">
            <v>.</v>
          </cell>
          <cell r="AH50" t="str">
            <v>.</v>
          </cell>
          <cell r="AI50" t="str">
            <v>.</v>
          </cell>
          <cell r="AJ50" t="str">
            <v>.</v>
          </cell>
          <cell r="AK50" t="str">
            <v>.</v>
          </cell>
          <cell r="AL50" t="str">
            <v>.</v>
          </cell>
          <cell r="AM50">
            <v>0</v>
          </cell>
          <cell r="AN50">
            <v>0</v>
          </cell>
          <cell r="AO50" t="str">
            <v>.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C51" t="str">
            <v>RPT</v>
          </cell>
          <cell r="H51" t="str">
            <v>10-XX-DEC-HV-0001</v>
          </cell>
          <cell r="I51" t="str">
            <v>HVAC Design Criteria</v>
          </cell>
          <cell r="M51">
            <v>0.4</v>
          </cell>
          <cell r="P51">
            <v>1.6000000000000001E-3</v>
          </cell>
          <cell r="R51">
            <v>1.4500000000000001E-3</v>
          </cell>
          <cell r="T51">
            <v>39389</v>
          </cell>
          <cell r="U51" t="str">
            <v>*</v>
          </cell>
          <cell r="V51" t="str">
            <v>2007-11</v>
          </cell>
          <cell r="AH51" t="str">
            <v/>
          </cell>
          <cell r="AJ51" t="str">
            <v/>
          </cell>
          <cell r="AL51" t="str">
            <v/>
          </cell>
          <cell r="AM51">
            <v>0</v>
          </cell>
          <cell r="AN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C52" t="str">
            <v>SPC</v>
          </cell>
          <cell r="H52" t="str">
            <v>10-XX-ESS-HV-0002</v>
          </cell>
          <cell r="I52" t="str">
            <v>HVAC Specification (Plumbing)</v>
          </cell>
          <cell r="M52">
            <v>0.2</v>
          </cell>
          <cell r="P52">
            <v>8.0000000000000004E-4</v>
          </cell>
          <cell r="R52">
            <v>8.5000000000000006E-4</v>
          </cell>
          <cell r="T52">
            <v>39378</v>
          </cell>
          <cell r="U52" t="str">
            <v>*</v>
          </cell>
          <cell r="V52" t="str">
            <v>2007-10</v>
          </cell>
          <cell r="AH52" t="str">
            <v/>
          </cell>
          <cell r="AJ52" t="str">
            <v/>
          </cell>
          <cell r="AL52" t="str">
            <v/>
          </cell>
          <cell r="AM52">
            <v>0</v>
          </cell>
          <cell r="AN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C53" t="str">
            <v>SPC</v>
          </cell>
          <cell r="H53" t="str">
            <v>10-XX-ESS-HV-0003</v>
          </cell>
          <cell r="I53" t="str">
            <v>HVAC Specification (Site condition)</v>
          </cell>
          <cell r="M53">
            <v>0.2</v>
          </cell>
          <cell r="P53">
            <v>8.0000000000000004E-4</v>
          </cell>
          <cell r="R53">
            <v>8.5000000000000006E-4</v>
          </cell>
          <cell r="T53">
            <v>39384</v>
          </cell>
          <cell r="U53" t="str">
            <v>*</v>
          </cell>
          <cell r="V53" t="str">
            <v>2007-10</v>
          </cell>
          <cell r="AH53" t="str">
            <v/>
          </cell>
          <cell r="AJ53" t="str">
            <v/>
          </cell>
          <cell r="AL53" t="str">
            <v/>
          </cell>
          <cell r="AM53">
            <v>0</v>
          </cell>
          <cell r="AN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C54" t="str">
            <v>SPC</v>
          </cell>
          <cell r="H54" t="str">
            <v>10-XX-ESS-HV-0004</v>
          </cell>
          <cell r="I54" t="str">
            <v xml:space="preserve">HVAC Specification (Installation of HVAC equipment) </v>
          </cell>
          <cell r="M54">
            <v>0.2</v>
          </cell>
          <cell r="P54">
            <v>8.0000000000000004E-4</v>
          </cell>
          <cell r="R54">
            <v>8.5000000000000006E-4</v>
          </cell>
          <cell r="T54">
            <v>39379</v>
          </cell>
          <cell r="U54" t="str">
            <v>*</v>
          </cell>
          <cell r="V54" t="str">
            <v>2007-10</v>
          </cell>
          <cell r="AH54" t="str">
            <v/>
          </cell>
          <cell r="AJ54" t="str">
            <v/>
          </cell>
          <cell r="AL54" t="str">
            <v/>
          </cell>
          <cell r="AM54">
            <v>0</v>
          </cell>
          <cell r="AN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F55" t="str">
            <v>Electrical</v>
          </cell>
          <cell r="L55">
            <v>0.1</v>
          </cell>
          <cell r="M55">
            <v>1</v>
          </cell>
          <cell r="P55">
            <v>2.0000000000000004E-2</v>
          </cell>
          <cell r="R55">
            <v>1.9999999999999997E-2</v>
          </cell>
          <cell r="T55" t="str">
            <v>.</v>
          </cell>
          <cell r="U55" t="str">
            <v>.</v>
          </cell>
          <cell r="V55" t="str">
            <v>.</v>
          </cell>
          <cell r="W55" t="str">
            <v>.</v>
          </cell>
          <cell r="X55" t="str">
            <v>.</v>
          </cell>
          <cell r="Y55" t="str">
            <v>.</v>
          </cell>
          <cell r="Z55" t="str">
            <v>.</v>
          </cell>
          <cell r="AA55" t="str">
            <v>.</v>
          </cell>
          <cell r="AG55" t="str">
            <v>.</v>
          </cell>
          <cell r="AH55" t="str">
            <v>.</v>
          </cell>
          <cell r="AI55" t="str">
            <v>.</v>
          </cell>
          <cell r="AJ55" t="str">
            <v>.</v>
          </cell>
          <cell r="AK55" t="str">
            <v>.</v>
          </cell>
          <cell r="AL55" t="str">
            <v>.</v>
          </cell>
          <cell r="AM55">
            <v>0.35812499999999997</v>
          </cell>
          <cell r="AN55">
            <v>7.1625000000000005E-3</v>
          </cell>
          <cell r="AO55" t="str">
            <v>.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G56" t="str">
            <v>Electrical</v>
          </cell>
          <cell r="M56">
            <v>0.73499999999999999</v>
          </cell>
          <cell r="N56">
            <v>1.0000000000000004</v>
          </cell>
          <cell r="P56">
            <v>1.47E-2</v>
          </cell>
          <cell r="R56">
            <v>1.6149999999999998E-2</v>
          </cell>
          <cell r="T56" t="str">
            <v>.</v>
          </cell>
          <cell r="U56" t="str">
            <v>.</v>
          </cell>
          <cell r="V56" t="str">
            <v>.</v>
          </cell>
          <cell r="AG56" t="str">
            <v>.</v>
          </cell>
          <cell r="AM56">
            <v>0.48724489795918374</v>
          </cell>
          <cell r="AN56">
            <v>7.1625000000000005E-3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C57" t="str">
            <v>RPT</v>
          </cell>
          <cell r="H57" t="str">
            <v>10-XX-DEC-EL-0001</v>
          </cell>
          <cell r="I57" t="str">
            <v>Electrical Design Criteria</v>
          </cell>
          <cell r="N57">
            <v>6.9000000000000006E-2</v>
          </cell>
          <cell r="P57">
            <v>1.0143000000000001E-3</v>
          </cell>
          <cell r="R57">
            <v>8.0000000000000004E-4</v>
          </cell>
          <cell r="V57" t="str">
            <v>ارسال شده</v>
          </cell>
          <cell r="W57">
            <v>0</v>
          </cell>
          <cell r="X57">
            <v>234</v>
          </cell>
          <cell r="Y57" t="str">
            <v>30-10-07</v>
          </cell>
          <cell r="Z57" t="str">
            <v>F-0266</v>
          </cell>
          <cell r="AA57" t="str">
            <v>04-11-07</v>
          </cell>
          <cell r="AB57" t="str">
            <v>G-0215</v>
          </cell>
          <cell r="AC57" t="str">
            <v>12-11-07</v>
          </cell>
          <cell r="AG57" t="str">
            <v>GBT</v>
          </cell>
          <cell r="AH57" t="str">
            <v>x</v>
          </cell>
          <cell r="AJ57" t="str">
            <v/>
          </cell>
          <cell r="AL57" t="str">
            <v/>
          </cell>
          <cell r="AM57">
            <v>0.45</v>
          </cell>
          <cell r="AN57">
            <v>3.6000000000000002E-4</v>
          </cell>
          <cell r="AQ57">
            <v>4.5643500000000004E-4</v>
          </cell>
          <cell r="AR57">
            <v>3.6000000000000002E-4</v>
          </cell>
          <cell r="AS57">
            <v>45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45</v>
          </cell>
        </row>
        <row r="58">
          <cell r="C58" t="str">
            <v>SPC</v>
          </cell>
          <cell r="H58" t="str">
            <v>10-XX-ESS-EL-0006</v>
          </cell>
          <cell r="I58" t="str">
            <v>Specification fo Auxiliery Transformer</v>
          </cell>
          <cell r="N58">
            <v>3.4000000000000002E-2</v>
          </cell>
          <cell r="P58">
            <v>4.9980000000000001E-4</v>
          </cell>
          <cell r="R58">
            <v>4.4999999999999999E-4</v>
          </cell>
          <cell r="V58" t="str">
            <v>ارسال شده</v>
          </cell>
          <cell r="W58">
            <v>0</v>
          </cell>
          <cell r="X58">
            <v>31</v>
          </cell>
          <cell r="Y58" t="str">
            <v>24-06-07</v>
          </cell>
          <cell r="Z58" t="str">
            <v>F-0089</v>
          </cell>
          <cell r="AA58" t="str">
            <v>25-07-07</v>
          </cell>
          <cell r="AB58" t="str">
            <v>G-0234</v>
          </cell>
          <cell r="AC58" t="str">
            <v>17-11-07</v>
          </cell>
          <cell r="AG58" t="str">
            <v>GBT</v>
          </cell>
          <cell r="AH58" t="str">
            <v>x</v>
          </cell>
          <cell r="AJ58" t="str">
            <v/>
          </cell>
          <cell r="AL58" t="str">
            <v/>
          </cell>
          <cell r="AM58">
            <v>0.45</v>
          </cell>
          <cell r="AN58">
            <v>2.0249999999999999E-4</v>
          </cell>
          <cell r="AQ58">
            <v>2.2491000000000001E-4</v>
          </cell>
          <cell r="AR58">
            <v>2.0249999999999999E-4</v>
          </cell>
          <cell r="AS58">
            <v>45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45</v>
          </cell>
        </row>
        <row r="59">
          <cell r="C59" t="str">
            <v>SPC</v>
          </cell>
          <cell r="H59" t="str">
            <v>10-XX-ESS-EL-0003</v>
          </cell>
          <cell r="I59" t="str">
            <v>Specification for MV Switchgear</v>
          </cell>
          <cell r="N59">
            <v>3.4000000000000002E-2</v>
          </cell>
          <cell r="P59">
            <v>4.9980000000000001E-4</v>
          </cell>
          <cell r="R59">
            <v>4.4999999999999999E-4</v>
          </cell>
          <cell r="V59" t="str">
            <v>ارسال شده</v>
          </cell>
          <cell r="W59" t="str">
            <v>01</v>
          </cell>
          <cell r="X59" t="str">
            <v>154303</v>
          </cell>
          <cell r="Y59" t="str">
            <v>14-10-0717-11-07</v>
          </cell>
          <cell r="Z59" t="str">
            <v>F-0218 &amp;123-13-1645F-0414</v>
          </cell>
          <cell r="AA59" t="str">
            <v>20-10-07 &amp;86-08-0602-12-07</v>
          </cell>
          <cell r="AB59" t="str">
            <v>G-0237</v>
          </cell>
          <cell r="AC59" t="str">
            <v>18-11-07</v>
          </cell>
          <cell r="AG59" t="str">
            <v>GBT</v>
          </cell>
          <cell r="AH59" t="str">
            <v>x</v>
          </cell>
          <cell r="AI59" t="str">
            <v>x</v>
          </cell>
          <cell r="AJ59" t="str">
            <v/>
          </cell>
          <cell r="AL59" t="str">
            <v/>
          </cell>
          <cell r="AM59">
            <v>0.6</v>
          </cell>
          <cell r="AN59">
            <v>2.7E-4</v>
          </cell>
          <cell r="AQ59">
            <v>2.9987999999999998E-4</v>
          </cell>
          <cell r="AR59">
            <v>2.7E-4</v>
          </cell>
          <cell r="AS59">
            <v>45</v>
          </cell>
          <cell r="AT59">
            <v>60</v>
          </cell>
          <cell r="AU59">
            <v>0</v>
          </cell>
          <cell r="AV59">
            <v>0</v>
          </cell>
          <cell r="AW59">
            <v>0</v>
          </cell>
          <cell r="AX59">
            <v>60</v>
          </cell>
        </row>
        <row r="60">
          <cell r="C60" t="str">
            <v>SPC</v>
          </cell>
          <cell r="H60" t="str">
            <v>10-XX-ESS-EL-0004</v>
          </cell>
          <cell r="I60" t="str">
            <v>Specification for LV Switchgear</v>
          </cell>
          <cell r="N60">
            <v>3.4000000000000002E-2</v>
          </cell>
          <cell r="P60">
            <v>4.9980000000000001E-4</v>
          </cell>
          <cell r="R60">
            <v>4.4999999999999999E-4</v>
          </cell>
          <cell r="V60" t="str">
            <v>ارسال شده</v>
          </cell>
          <cell r="W60" t="str">
            <v>01</v>
          </cell>
          <cell r="X60" t="str">
            <v>153351</v>
          </cell>
          <cell r="Y60" t="str">
            <v>14-10-0721-11-07</v>
          </cell>
          <cell r="Z60" t="str">
            <v>F-0224F-0449</v>
          </cell>
          <cell r="AA60" t="str">
            <v>20-10-0704-12-07</v>
          </cell>
          <cell r="AB60" t="str">
            <v>G-0242</v>
          </cell>
          <cell r="AC60" t="str">
            <v>20-11-07</v>
          </cell>
          <cell r="AG60" t="str">
            <v>GBT</v>
          </cell>
          <cell r="AH60" t="str">
            <v>x</v>
          </cell>
          <cell r="AI60" t="str">
            <v>x</v>
          </cell>
          <cell r="AJ60" t="str">
            <v/>
          </cell>
          <cell r="AL60" t="str">
            <v/>
          </cell>
          <cell r="AM60">
            <v>0.6</v>
          </cell>
          <cell r="AN60">
            <v>2.7E-4</v>
          </cell>
          <cell r="AQ60">
            <v>2.9987999999999998E-4</v>
          </cell>
          <cell r="AR60">
            <v>2.7E-4</v>
          </cell>
          <cell r="AS60">
            <v>45</v>
          </cell>
          <cell r="AT60">
            <v>60</v>
          </cell>
          <cell r="AU60">
            <v>0</v>
          </cell>
          <cell r="AV60">
            <v>0</v>
          </cell>
          <cell r="AW60">
            <v>0</v>
          </cell>
          <cell r="AX60">
            <v>60</v>
          </cell>
        </row>
        <row r="61">
          <cell r="C61" t="str">
            <v>SPC</v>
          </cell>
          <cell r="H61" t="str">
            <v>10-XX-ESS-EL-0005</v>
          </cell>
          <cell r="I61" t="str">
            <v xml:space="preserve">Specification for MV Cables </v>
          </cell>
          <cell r="N61">
            <v>3.4000000000000002E-2</v>
          </cell>
          <cell r="P61">
            <v>4.9980000000000001E-4</v>
          </cell>
          <cell r="R61">
            <v>4.4999999999999999E-4</v>
          </cell>
          <cell r="V61" t="str">
            <v>ارسال شده</v>
          </cell>
          <cell r="W61" t="str">
            <v>01</v>
          </cell>
          <cell r="X61" t="str">
            <v>31312</v>
          </cell>
          <cell r="Y61" t="str">
            <v>24-06-0717-11-07</v>
          </cell>
          <cell r="Z61" t="str">
            <v>F-0089F-0411</v>
          </cell>
          <cell r="AA61" t="str">
            <v>25-07-0728-11-07</v>
          </cell>
          <cell r="AB61" t="str">
            <v>G-0234G-0295</v>
          </cell>
          <cell r="AC61" t="str">
            <v>17-11-0723-12-07</v>
          </cell>
          <cell r="AD61" t="str">
            <v>FF-0559</v>
          </cell>
          <cell r="AG61" t="str">
            <v>GBT</v>
          </cell>
          <cell r="AH61" t="str">
            <v>x</v>
          </cell>
          <cell r="AI61" t="str">
            <v>x</v>
          </cell>
          <cell r="AJ61" t="str">
            <v/>
          </cell>
          <cell r="AL61" t="str">
            <v/>
          </cell>
          <cell r="AM61">
            <v>0.6</v>
          </cell>
          <cell r="AN61">
            <v>2.7E-4</v>
          </cell>
          <cell r="AQ61">
            <v>2.9987999999999998E-4</v>
          </cell>
          <cell r="AR61">
            <v>2.7E-4</v>
          </cell>
          <cell r="AS61">
            <v>45</v>
          </cell>
          <cell r="AT61">
            <v>60</v>
          </cell>
          <cell r="AU61">
            <v>0</v>
          </cell>
          <cell r="AV61">
            <v>0</v>
          </cell>
          <cell r="AW61">
            <v>0</v>
          </cell>
          <cell r="AX61">
            <v>60</v>
          </cell>
        </row>
        <row r="62">
          <cell r="C62" t="str">
            <v>SPC</v>
          </cell>
          <cell r="H62" t="str">
            <v>10-XX-ESS-EL-0007</v>
          </cell>
          <cell r="I62" t="str">
            <v>Specification for LV Power &amp; Control Cables</v>
          </cell>
          <cell r="N62">
            <v>3.4000000000000002E-2</v>
          </cell>
          <cell r="P62">
            <v>4.9980000000000001E-4</v>
          </cell>
          <cell r="R62">
            <v>4.4999999999999999E-4</v>
          </cell>
          <cell r="V62" t="str">
            <v>ارسال شده</v>
          </cell>
          <cell r="W62">
            <v>0</v>
          </cell>
          <cell r="X62">
            <v>42</v>
          </cell>
          <cell r="Y62" t="str">
            <v>01-07-07</v>
          </cell>
          <cell r="Z62" t="str">
            <v>F-0077</v>
          </cell>
          <cell r="AA62" t="str">
            <v>17-07-07</v>
          </cell>
          <cell r="AG62" t="str">
            <v>GBT</v>
          </cell>
          <cell r="AH62" t="str">
            <v>x</v>
          </cell>
          <cell r="AJ62" t="str">
            <v/>
          </cell>
          <cell r="AL62" t="str">
            <v/>
          </cell>
          <cell r="AM62">
            <v>0.45</v>
          </cell>
          <cell r="AN62">
            <v>2.0249999999999999E-4</v>
          </cell>
          <cell r="AO62" t="str">
            <v>F-0077 dtd. 17-07-07</v>
          </cell>
          <cell r="AQ62">
            <v>2.2491000000000001E-4</v>
          </cell>
          <cell r="AR62">
            <v>2.0249999999999999E-4</v>
          </cell>
          <cell r="AS62">
            <v>45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45</v>
          </cell>
        </row>
        <row r="63">
          <cell r="C63" t="str">
            <v>SPC</v>
          </cell>
          <cell r="H63" t="str">
            <v>10-XX-ESS-EL-0008</v>
          </cell>
          <cell r="I63" t="str">
            <v>Specification for Induction Motors</v>
          </cell>
          <cell r="N63">
            <v>3.4000000000000002E-2</v>
          </cell>
          <cell r="P63">
            <v>4.9980000000000001E-4</v>
          </cell>
          <cell r="R63">
            <v>4.4999999999999999E-4</v>
          </cell>
          <cell r="V63" t="str">
            <v>ارسال شده</v>
          </cell>
          <cell r="W63" t="str">
            <v>01</v>
          </cell>
          <cell r="X63" t="str">
            <v>171393</v>
          </cell>
          <cell r="Y63" t="str">
            <v>20-10-0703-12-07</v>
          </cell>
          <cell r="Z63" t="str">
            <v>F-0239F-0495</v>
          </cell>
          <cell r="AA63" t="str">
            <v>24-10-0711-12-07</v>
          </cell>
          <cell r="AB63" t="str">
            <v>G-0251G-0297</v>
          </cell>
          <cell r="AC63" t="str">
            <v>04-12-0723-12-09</v>
          </cell>
          <cell r="AD63" t="str">
            <v>FF-0467FF-0560</v>
          </cell>
          <cell r="AG63" t="str">
            <v>GBT</v>
          </cell>
          <cell r="AH63" t="str">
            <v>x</v>
          </cell>
          <cell r="AI63" t="str">
            <v>x</v>
          </cell>
          <cell r="AJ63" t="str">
            <v/>
          </cell>
          <cell r="AL63" t="str">
            <v/>
          </cell>
          <cell r="AM63">
            <v>0.6</v>
          </cell>
          <cell r="AN63">
            <v>2.7E-4</v>
          </cell>
          <cell r="AQ63">
            <v>2.9987999999999998E-4</v>
          </cell>
          <cell r="AR63">
            <v>2.7E-4</v>
          </cell>
          <cell r="AS63">
            <v>45</v>
          </cell>
          <cell r="AT63">
            <v>60</v>
          </cell>
          <cell r="AU63">
            <v>0</v>
          </cell>
          <cell r="AV63">
            <v>0</v>
          </cell>
          <cell r="AW63">
            <v>0</v>
          </cell>
          <cell r="AX63">
            <v>60</v>
          </cell>
        </row>
        <row r="64">
          <cell r="C64" t="str">
            <v>SPC</v>
          </cell>
          <cell r="H64" t="str">
            <v>10-XX-ESS-EL-0009</v>
          </cell>
          <cell r="I64" t="str">
            <v>Specification for UPS System</v>
          </cell>
          <cell r="N64">
            <v>3.4000000000000002E-2</v>
          </cell>
          <cell r="P64">
            <v>4.9980000000000001E-4</v>
          </cell>
          <cell r="R64">
            <v>4.4999999999999999E-4</v>
          </cell>
          <cell r="V64" t="str">
            <v>ارسال شده</v>
          </cell>
          <cell r="W64" t="str">
            <v>012</v>
          </cell>
          <cell r="X64" t="str">
            <v>170352497</v>
          </cell>
          <cell r="Y64" t="str">
            <v>20-10-0721-11-0724-12-07</v>
          </cell>
          <cell r="Z64" t="str">
            <v>F-0242F-0465</v>
          </cell>
          <cell r="AA64" t="str">
            <v>27-10-0706-12-07</v>
          </cell>
          <cell r="AB64" t="str">
            <v>G-0296</v>
          </cell>
          <cell r="AC64" t="str">
            <v>23-12-07</v>
          </cell>
          <cell r="AD64" t="str">
            <v>FF-0561</v>
          </cell>
          <cell r="AG64" t="str">
            <v>KRPC</v>
          </cell>
          <cell r="AH64" t="str">
            <v>x</v>
          </cell>
          <cell r="AI64" t="str">
            <v>x</v>
          </cell>
          <cell r="AJ64" t="str">
            <v>x</v>
          </cell>
          <cell r="AL64" t="str">
            <v/>
          </cell>
          <cell r="AM64">
            <v>0.75</v>
          </cell>
          <cell r="AN64">
            <v>3.3750000000000002E-4</v>
          </cell>
          <cell r="AO64" t="str">
            <v>T</v>
          </cell>
          <cell r="AQ64">
            <v>3.7485000000000003E-4</v>
          </cell>
          <cell r="AR64">
            <v>3.3750000000000002E-4</v>
          </cell>
          <cell r="AS64">
            <v>45</v>
          </cell>
          <cell r="AT64">
            <v>60</v>
          </cell>
          <cell r="AU64">
            <v>75</v>
          </cell>
          <cell r="AV64">
            <v>0</v>
          </cell>
          <cell r="AW64">
            <v>0</v>
          </cell>
          <cell r="AX64">
            <v>75</v>
          </cell>
        </row>
        <row r="65">
          <cell r="C65" t="str">
            <v>SPC</v>
          </cell>
          <cell r="H65" t="str">
            <v>10-XX-ESS-EL-0010</v>
          </cell>
          <cell r="I65" t="str">
            <v>Specification for DC System</v>
          </cell>
          <cell r="N65">
            <v>3.4000000000000002E-2</v>
          </cell>
          <cell r="P65">
            <v>4.9980000000000001E-4</v>
          </cell>
          <cell r="R65">
            <v>4.4999999999999999E-4</v>
          </cell>
          <cell r="V65" t="str">
            <v>ارسال شده</v>
          </cell>
          <cell r="W65">
            <v>0</v>
          </cell>
          <cell r="X65">
            <v>160</v>
          </cell>
          <cell r="Y65" t="str">
            <v>20-10-07</v>
          </cell>
          <cell r="Z65" t="str">
            <v>F-0277</v>
          </cell>
          <cell r="AA65" t="str">
            <v>07-11-07</v>
          </cell>
          <cell r="AB65" t="str">
            <v>G-0298</v>
          </cell>
          <cell r="AC65" t="str">
            <v>23-12-07</v>
          </cell>
          <cell r="AG65" t="str">
            <v>GBT</v>
          </cell>
          <cell r="AH65" t="str">
            <v>x</v>
          </cell>
          <cell r="AJ65" t="str">
            <v/>
          </cell>
          <cell r="AL65" t="str">
            <v/>
          </cell>
          <cell r="AM65">
            <v>0.45</v>
          </cell>
          <cell r="AN65">
            <v>2.0249999999999999E-4</v>
          </cell>
          <cell r="AQ65">
            <v>2.2491000000000001E-4</v>
          </cell>
          <cell r="AR65">
            <v>2.0249999999999999E-4</v>
          </cell>
          <cell r="AS65">
            <v>45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45</v>
          </cell>
        </row>
        <row r="66">
          <cell r="C66" t="str">
            <v>SPC</v>
          </cell>
          <cell r="H66" t="str">
            <v>10-XX-ESS-EL-0011</v>
          </cell>
          <cell r="I66" t="str">
            <v>Specification for Lighting Systems</v>
          </cell>
          <cell r="N66">
            <v>3.4000000000000002E-2</v>
          </cell>
          <cell r="P66">
            <v>4.9980000000000001E-4</v>
          </cell>
          <cell r="R66">
            <v>4.4999999999999999E-4</v>
          </cell>
          <cell r="V66" t="str">
            <v>ارسال شده</v>
          </cell>
          <cell r="W66" t="str">
            <v>01</v>
          </cell>
          <cell r="X66" t="str">
            <v>42302</v>
          </cell>
          <cell r="Y66" t="str">
            <v>01-07-0717-11-07</v>
          </cell>
          <cell r="Z66" t="str">
            <v>F-0077F-0376</v>
          </cell>
          <cell r="AA66" t="str">
            <v>17-07-0722-11-07</v>
          </cell>
          <cell r="AB66" t="str">
            <v>G-0253</v>
          </cell>
          <cell r="AC66" t="str">
            <v>04-12-07</v>
          </cell>
          <cell r="AD66" t="str">
            <v>FF-0467</v>
          </cell>
          <cell r="AG66" t="str">
            <v>GBT</v>
          </cell>
          <cell r="AH66" t="str">
            <v>x</v>
          </cell>
          <cell r="AI66" t="str">
            <v>x</v>
          </cell>
          <cell r="AJ66" t="str">
            <v/>
          </cell>
          <cell r="AL66" t="str">
            <v/>
          </cell>
          <cell r="AM66">
            <v>0.6</v>
          </cell>
          <cell r="AN66">
            <v>2.7E-4</v>
          </cell>
          <cell r="AO66" t="str">
            <v>F-0077 dtd. 17-07-07</v>
          </cell>
          <cell r="AQ66">
            <v>2.9987999999999998E-4</v>
          </cell>
          <cell r="AR66">
            <v>2.7E-4</v>
          </cell>
          <cell r="AS66">
            <v>45</v>
          </cell>
          <cell r="AT66">
            <v>60</v>
          </cell>
          <cell r="AU66">
            <v>0</v>
          </cell>
          <cell r="AV66">
            <v>0</v>
          </cell>
          <cell r="AW66">
            <v>0</v>
          </cell>
          <cell r="AX66">
            <v>60</v>
          </cell>
        </row>
        <row r="67">
          <cell r="C67" t="str">
            <v>SPC</v>
          </cell>
          <cell r="H67" t="str">
            <v>10-XX-ESS-EL-0014</v>
          </cell>
          <cell r="I67" t="str">
            <v>Specification for Earthing &amp; Lightning Protection System</v>
          </cell>
          <cell r="N67">
            <v>3.4000000000000002E-2</v>
          </cell>
          <cell r="P67">
            <v>4.9980000000000001E-4</v>
          </cell>
          <cell r="R67">
            <v>4.4999999999999999E-4</v>
          </cell>
          <cell r="V67" t="str">
            <v>ارسال شده</v>
          </cell>
          <cell r="W67" t="str">
            <v>012</v>
          </cell>
          <cell r="X67" t="str">
            <v>31313498</v>
          </cell>
          <cell r="Y67" t="str">
            <v>24-06-0717-11-0724-12-07</v>
          </cell>
          <cell r="Z67" t="str">
            <v>F-0089F-0442</v>
          </cell>
          <cell r="AA67" t="str">
            <v>25-07-0703-12-07</v>
          </cell>
          <cell r="AB67" t="str">
            <v>G-0234G-0299</v>
          </cell>
          <cell r="AC67" t="str">
            <v>17-11-0723-12-07</v>
          </cell>
          <cell r="AD67" t="str">
            <v/>
          </cell>
          <cell r="AG67" t="str">
            <v>KRPC</v>
          </cell>
          <cell r="AH67" t="str">
            <v>x</v>
          </cell>
          <cell r="AI67" t="str">
            <v>x</v>
          </cell>
          <cell r="AJ67" t="str">
            <v>x</v>
          </cell>
          <cell r="AL67" t="str">
            <v/>
          </cell>
          <cell r="AM67">
            <v>0.75</v>
          </cell>
          <cell r="AN67">
            <v>3.3750000000000002E-4</v>
          </cell>
          <cell r="AO67" t="str">
            <v>T</v>
          </cell>
          <cell r="AQ67">
            <v>3.7485000000000003E-4</v>
          </cell>
          <cell r="AR67">
            <v>3.3750000000000002E-4</v>
          </cell>
          <cell r="AS67">
            <v>45</v>
          </cell>
          <cell r="AT67">
            <v>60</v>
          </cell>
          <cell r="AU67">
            <v>75</v>
          </cell>
          <cell r="AV67">
            <v>0</v>
          </cell>
          <cell r="AW67">
            <v>0</v>
          </cell>
          <cell r="AX67">
            <v>75</v>
          </cell>
        </row>
        <row r="68">
          <cell r="C68" t="str">
            <v>SPC</v>
          </cell>
          <cell r="H68" t="str">
            <v>10-XX-ESS-EL-0012</v>
          </cell>
          <cell r="I68" t="str">
            <v>Specification for Bus Duct</v>
          </cell>
          <cell r="N68">
            <v>3.4000000000000002E-2</v>
          </cell>
          <cell r="P68">
            <v>4.9980000000000001E-4</v>
          </cell>
          <cell r="R68">
            <v>4.4999999999999999E-4</v>
          </cell>
          <cell r="V68" t="str">
            <v>ارسال شده</v>
          </cell>
          <cell r="W68" t="str">
            <v>01</v>
          </cell>
          <cell r="X68" t="str">
            <v>31301</v>
          </cell>
          <cell r="Y68" t="str">
            <v>24-06-0717-11-07</v>
          </cell>
          <cell r="Z68" t="str">
            <v>F-0089F-0369</v>
          </cell>
          <cell r="AA68" t="str">
            <v>25-07-0722-11-07</v>
          </cell>
          <cell r="AB68" t="str">
            <v>G-0234G-0256</v>
          </cell>
          <cell r="AC68" t="str">
            <v>17-11-0704-12-07</v>
          </cell>
          <cell r="AD68" t="str">
            <v>FF-0467</v>
          </cell>
          <cell r="AG68" t="str">
            <v>GBT</v>
          </cell>
          <cell r="AH68" t="str">
            <v>x</v>
          </cell>
          <cell r="AI68" t="str">
            <v>x</v>
          </cell>
          <cell r="AJ68" t="str">
            <v/>
          </cell>
          <cell r="AL68" t="str">
            <v/>
          </cell>
          <cell r="AM68">
            <v>0.6</v>
          </cell>
          <cell r="AN68">
            <v>2.7E-4</v>
          </cell>
          <cell r="AQ68">
            <v>2.9987999999999998E-4</v>
          </cell>
          <cell r="AR68">
            <v>2.7E-4</v>
          </cell>
          <cell r="AS68">
            <v>45</v>
          </cell>
          <cell r="AT68">
            <v>60</v>
          </cell>
          <cell r="AU68">
            <v>0</v>
          </cell>
          <cell r="AV68">
            <v>0</v>
          </cell>
          <cell r="AW68">
            <v>0</v>
          </cell>
          <cell r="AX68">
            <v>60</v>
          </cell>
        </row>
        <row r="69">
          <cell r="C69" t="str">
            <v>SPC</v>
          </cell>
          <cell r="H69" t="str">
            <v>10-XX-ESS-EL-0013</v>
          </cell>
          <cell r="I69" t="str">
            <v>Specification for Diesel Generator Sets</v>
          </cell>
          <cell r="N69">
            <v>3.4000000000000002E-2</v>
          </cell>
          <cell r="P69">
            <v>4.9980000000000001E-4</v>
          </cell>
          <cell r="R69">
            <v>4.4999999999999999E-4</v>
          </cell>
          <cell r="V69" t="str">
            <v>ارسال شده</v>
          </cell>
          <cell r="W69" t="str">
            <v>01</v>
          </cell>
          <cell r="X69" t="str">
            <v>193394</v>
          </cell>
          <cell r="Y69" t="str">
            <v>27-10-0703-12-07</v>
          </cell>
          <cell r="Z69" t="str">
            <v>F-0316,353F-0502</v>
          </cell>
          <cell r="AA69" t="str">
            <v>15-11-0711-12-07</v>
          </cell>
          <cell r="AB69" t="str">
            <v>G-0247</v>
          </cell>
          <cell r="AC69" t="str">
            <v>29-11-07</v>
          </cell>
          <cell r="AD69" t="str">
            <v>FF-0439</v>
          </cell>
          <cell r="AG69" t="str">
            <v>GBT</v>
          </cell>
          <cell r="AH69" t="str">
            <v>x</v>
          </cell>
          <cell r="AI69" t="str">
            <v>x</v>
          </cell>
          <cell r="AJ69" t="str">
            <v/>
          </cell>
          <cell r="AL69" t="str">
            <v/>
          </cell>
          <cell r="AM69">
            <v>0.6</v>
          </cell>
          <cell r="AN69">
            <v>2.7E-4</v>
          </cell>
          <cell r="AQ69">
            <v>2.9987999999999998E-4</v>
          </cell>
          <cell r="AR69">
            <v>2.7E-4</v>
          </cell>
          <cell r="AS69">
            <v>45</v>
          </cell>
          <cell r="AT69">
            <v>60</v>
          </cell>
          <cell r="AU69">
            <v>0</v>
          </cell>
          <cell r="AV69">
            <v>0</v>
          </cell>
          <cell r="AW69">
            <v>0</v>
          </cell>
          <cell r="AX69">
            <v>60</v>
          </cell>
        </row>
        <row r="70">
          <cell r="C70" t="str">
            <v>SPC</v>
          </cell>
          <cell r="H70" t="str">
            <v>10-XX-ESS-EL-0021</v>
          </cell>
          <cell r="I70" t="str">
            <v>Specification for Capacitor Bank</v>
          </cell>
          <cell r="N70">
            <v>3.4000000000000002E-2</v>
          </cell>
          <cell r="P70">
            <v>4.9980000000000001E-4</v>
          </cell>
          <cell r="R70">
            <v>4.4999999999999999E-4</v>
          </cell>
          <cell r="V70" t="str">
            <v>ارسال شده</v>
          </cell>
          <cell r="W70" t="str">
            <v>01</v>
          </cell>
          <cell r="X70" t="str">
            <v>169395</v>
          </cell>
          <cell r="Y70" t="str">
            <v>20-10-0703-12-07</v>
          </cell>
          <cell r="Z70" t="str">
            <v>F-0268F-0516</v>
          </cell>
          <cell r="AA70" t="str">
            <v>04-11-0712-12-07</v>
          </cell>
          <cell r="AB70" t="str">
            <v>G-0254</v>
          </cell>
          <cell r="AC70" t="str">
            <v>04-12-07</v>
          </cell>
          <cell r="AD70" t="str">
            <v>FF-0471</v>
          </cell>
          <cell r="AG70" t="str">
            <v>GBT</v>
          </cell>
          <cell r="AH70" t="str">
            <v>x</v>
          </cell>
          <cell r="AI70" t="str">
            <v>x</v>
          </cell>
          <cell r="AJ70" t="str">
            <v/>
          </cell>
          <cell r="AL70" t="str">
            <v/>
          </cell>
          <cell r="AM70">
            <v>0.6</v>
          </cell>
          <cell r="AN70">
            <v>2.7E-4</v>
          </cell>
          <cell r="AQ70">
            <v>2.9987999999999998E-4</v>
          </cell>
          <cell r="AR70">
            <v>2.7E-4</v>
          </cell>
          <cell r="AS70">
            <v>45</v>
          </cell>
          <cell r="AT70">
            <v>60</v>
          </cell>
          <cell r="AU70">
            <v>0</v>
          </cell>
          <cell r="AV70">
            <v>0</v>
          </cell>
          <cell r="AW70">
            <v>0</v>
          </cell>
          <cell r="AX70">
            <v>60</v>
          </cell>
        </row>
        <row r="71">
          <cell r="C71" t="str">
            <v>SPC</v>
          </cell>
          <cell r="H71" t="str">
            <v>10-XX-ESS-EL-0015</v>
          </cell>
          <cell r="I71" t="str">
            <v xml:space="preserve">Specification for Electrical Bulk Materials </v>
          </cell>
          <cell r="N71">
            <v>3.4000000000000002E-2</v>
          </cell>
          <cell r="P71">
            <v>4.9980000000000001E-4</v>
          </cell>
          <cell r="R71">
            <v>4.4999999999999999E-4</v>
          </cell>
          <cell r="V71" t="str">
            <v>ارسال شده</v>
          </cell>
          <cell r="W71" t="str">
            <v>012</v>
          </cell>
          <cell r="X71" t="str">
            <v>35311495</v>
          </cell>
          <cell r="Y71" t="str">
            <v>26-06-0717-11-0724-12-07</v>
          </cell>
          <cell r="Z71" t="str">
            <v>F-0077F-0440</v>
          </cell>
          <cell r="AA71" t="str">
            <v>17-07-0703-12-07</v>
          </cell>
          <cell r="AG71" t="str">
            <v>KRPC</v>
          </cell>
          <cell r="AH71" t="str">
            <v>x</v>
          </cell>
          <cell r="AI71" t="str">
            <v>x</v>
          </cell>
          <cell r="AJ71" t="str">
            <v>x</v>
          </cell>
          <cell r="AL71" t="str">
            <v/>
          </cell>
          <cell r="AM71">
            <v>0.75</v>
          </cell>
          <cell r="AN71">
            <v>3.3750000000000002E-4</v>
          </cell>
          <cell r="AO71" t="str">
            <v>T</v>
          </cell>
          <cell r="AQ71">
            <v>3.7485000000000003E-4</v>
          </cell>
          <cell r="AR71">
            <v>3.3750000000000002E-4</v>
          </cell>
          <cell r="AS71">
            <v>45</v>
          </cell>
          <cell r="AT71">
            <v>60</v>
          </cell>
          <cell r="AU71">
            <v>75</v>
          </cell>
          <cell r="AV71">
            <v>0</v>
          </cell>
          <cell r="AW71">
            <v>0</v>
          </cell>
          <cell r="AX71">
            <v>75</v>
          </cell>
        </row>
        <row r="72">
          <cell r="C72" t="str">
            <v>SPC</v>
          </cell>
          <cell r="H72" t="str">
            <v>10-XX-ESS-EL-0024</v>
          </cell>
          <cell r="I72" t="str">
            <v>Specification for Explosion Proof Equipments</v>
          </cell>
          <cell r="N72">
            <v>3.4000000000000002E-2</v>
          </cell>
          <cell r="P72">
            <v>4.9980000000000001E-4</v>
          </cell>
          <cell r="R72">
            <v>4.4999999999999999E-4</v>
          </cell>
          <cell r="V72" t="str">
            <v>ارسال شده</v>
          </cell>
          <cell r="W72" t="str">
            <v>01</v>
          </cell>
          <cell r="X72" t="str">
            <v>35314</v>
          </cell>
          <cell r="Y72" t="str">
            <v>26-06-0717-11-07</v>
          </cell>
          <cell r="Z72" t="str">
            <v>F-0077</v>
          </cell>
          <cell r="AA72" t="str">
            <v>17-07-07</v>
          </cell>
          <cell r="AG72" t="str">
            <v>KRPC</v>
          </cell>
          <cell r="AH72" t="str">
            <v>x</v>
          </cell>
          <cell r="AI72" t="str">
            <v>x</v>
          </cell>
          <cell r="AJ72" t="str">
            <v/>
          </cell>
          <cell r="AL72" t="str">
            <v/>
          </cell>
          <cell r="AM72">
            <v>0.6</v>
          </cell>
          <cell r="AN72">
            <v>2.7E-4</v>
          </cell>
          <cell r="AO72" t="str">
            <v>F-0077 dtd. 17-07-07</v>
          </cell>
          <cell r="AQ72">
            <v>2.9987999999999998E-4</v>
          </cell>
          <cell r="AR72">
            <v>2.7E-4</v>
          </cell>
          <cell r="AS72">
            <v>45</v>
          </cell>
          <cell r="AT72">
            <v>60</v>
          </cell>
          <cell r="AU72">
            <v>0</v>
          </cell>
          <cell r="AV72">
            <v>0</v>
          </cell>
          <cell r="AW72">
            <v>0</v>
          </cell>
          <cell r="AX72">
            <v>60</v>
          </cell>
        </row>
        <row r="73">
          <cell r="C73" t="str">
            <v>LIS</v>
          </cell>
          <cell r="H73" t="str">
            <v>10-XX-LST-EL-0001</v>
          </cell>
          <cell r="I73" t="str">
            <v>Electracal Load List</v>
          </cell>
          <cell r="N73">
            <v>0.107</v>
          </cell>
          <cell r="P73">
            <v>1.5728999999999999E-3</v>
          </cell>
          <cell r="Q73" t="str">
            <v>V</v>
          </cell>
          <cell r="R73">
            <v>3.3500000000000001E-3</v>
          </cell>
          <cell r="T73">
            <v>39391</v>
          </cell>
          <cell r="U73" t="str">
            <v>*</v>
          </cell>
          <cell r="V73" t="str">
            <v>2007-11</v>
          </cell>
          <cell r="AH73" t="str">
            <v/>
          </cell>
          <cell r="AJ73" t="str">
            <v/>
          </cell>
          <cell r="AL73" t="str">
            <v/>
          </cell>
          <cell r="AM73">
            <v>0</v>
          </cell>
          <cell r="AN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H74" t="str">
            <v>10-XX-ESS-EL-0030</v>
          </cell>
          <cell r="I74" t="str">
            <v>Specification for Electrical  Installation  in Package Unit</v>
          </cell>
          <cell r="R74">
            <v>3.5E-4</v>
          </cell>
          <cell r="S74" t="str">
            <v>Add</v>
          </cell>
          <cell r="V74" t="str">
            <v>ارسال شده</v>
          </cell>
          <cell r="W74" t="str">
            <v>012</v>
          </cell>
          <cell r="X74" t="str">
            <v>184316496</v>
          </cell>
          <cell r="Y74" t="str">
            <v>25-10-0717-11-0724-12-07</v>
          </cell>
          <cell r="Z74" t="str">
            <v>F-0267F-0451</v>
          </cell>
          <cell r="AA74" t="str">
            <v>04-11-0704-12-07</v>
          </cell>
          <cell r="AB74" t="str">
            <v>G-0213G-0290</v>
          </cell>
          <cell r="AC74" t="str">
            <v>12-11-0717-12-07</v>
          </cell>
          <cell r="AD74" t="str">
            <v>FF-0537</v>
          </cell>
          <cell r="AG74" t="str">
            <v>KRPC</v>
          </cell>
          <cell r="AH74" t="str">
            <v>x</v>
          </cell>
          <cell r="AI74" t="str">
            <v>x</v>
          </cell>
          <cell r="AJ74" t="str">
            <v>x</v>
          </cell>
          <cell r="AM74">
            <v>0.75</v>
          </cell>
          <cell r="AN74">
            <v>2.6249999999999998E-4</v>
          </cell>
          <cell r="AO74" t="str">
            <v>T</v>
          </cell>
          <cell r="AQ74">
            <v>0</v>
          </cell>
          <cell r="AR74">
            <v>2.6249999999999998E-4</v>
          </cell>
          <cell r="AS74">
            <v>45</v>
          </cell>
          <cell r="AT74">
            <v>60</v>
          </cell>
          <cell r="AU74">
            <v>75</v>
          </cell>
          <cell r="AV74">
            <v>0</v>
          </cell>
          <cell r="AW74">
            <v>0</v>
          </cell>
          <cell r="AX74">
            <v>75</v>
          </cell>
        </row>
        <row r="75">
          <cell r="C75" t="str">
            <v>LIS</v>
          </cell>
          <cell r="H75" t="str">
            <v>10-XX-LST-EL-0002</v>
          </cell>
          <cell r="I75" t="str">
            <v>Symbol List &amp; Legend</v>
          </cell>
          <cell r="N75">
            <v>3.4000000000000002E-2</v>
          </cell>
          <cell r="P75">
            <v>4.9980000000000001E-4</v>
          </cell>
          <cell r="R75">
            <v>3.3500000000000001E-3</v>
          </cell>
          <cell r="V75" t="str">
            <v>ارسال شده</v>
          </cell>
          <cell r="W75">
            <v>0</v>
          </cell>
          <cell r="X75">
            <v>60</v>
          </cell>
          <cell r="Y75" t="str">
            <v>21-07-07</v>
          </cell>
          <cell r="AG75" t="str">
            <v>KRPC</v>
          </cell>
          <cell r="AH75" t="str">
            <v>x</v>
          </cell>
          <cell r="AJ75" t="str">
            <v/>
          </cell>
          <cell r="AL75" t="str">
            <v/>
          </cell>
          <cell r="AM75">
            <v>0.45</v>
          </cell>
          <cell r="AN75">
            <v>1.5075000000000002E-3</v>
          </cell>
          <cell r="AQ75">
            <v>2.2491000000000001E-4</v>
          </cell>
          <cell r="AR75">
            <v>1.5075000000000002E-3</v>
          </cell>
          <cell r="AS75">
            <v>45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45</v>
          </cell>
        </row>
        <row r="76">
          <cell r="C76" t="str">
            <v>DIG</v>
          </cell>
          <cell r="H76" t="str">
            <v>10-XX-A0-EL-0021</v>
          </cell>
          <cell r="I76" t="str">
            <v>Utility &amp; Offsite Overall Single Line Diagram</v>
          </cell>
          <cell r="N76">
            <v>0.14399999999999999</v>
          </cell>
          <cell r="P76">
            <v>2.1167999999999998E-3</v>
          </cell>
          <cell r="R76">
            <v>4.4999999999999999E-4</v>
          </cell>
          <cell r="V76" t="str">
            <v>ارسال شده</v>
          </cell>
          <cell r="W76" t="str">
            <v>01</v>
          </cell>
          <cell r="X76" t="str">
            <v>52194</v>
          </cell>
          <cell r="Y76" t="str">
            <v>16-07-0727-10-07</v>
          </cell>
          <cell r="Z76" t="str">
            <v>F-0085F-0354</v>
          </cell>
          <cell r="AA76" t="str">
            <v>18-07-0721-11-07</v>
          </cell>
          <cell r="AB76" t="str">
            <v>G-246,249</v>
          </cell>
          <cell r="AC76" t="str">
            <v>29-11-07</v>
          </cell>
          <cell r="AD76" t="str">
            <v>FF-480,472</v>
          </cell>
          <cell r="AG76" t="str">
            <v>GBT</v>
          </cell>
          <cell r="AH76" t="str">
            <v>x</v>
          </cell>
          <cell r="AI76" t="str">
            <v>x</v>
          </cell>
          <cell r="AJ76" t="str">
            <v/>
          </cell>
          <cell r="AL76" t="str">
            <v/>
          </cell>
          <cell r="AM76">
            <v>0.6</v>
          </cell>
          <cell r="AN76">
            <v>2.7E-4</v>
          </cell>
          <cell r="AQ76">
            <v>1.2700799999999998E-3</v>
          </cell>
          <cell r="AR76">
            <v>2.7E-4</v>
          </cell>
          <cell r="AS76">
            <v>45</v>
          </cell>
          <cell r="AT76">
            <v>60</v>
          </cell>
          <cell r="AU76">
            <v>0</v>
          </cell>
          <cell r="AV76">
            <v>0</v>
          </cell>
          <cell r="AW76">
            <v>0</v>
          </cell>
          <cell r="AX76">
            <v>60</v>
          </cell>
        </row>
        <row r="77">
          <cell r="C77" t="str">
            <v>SPC</v>
          </cell>
          <cell r="H77" t="str">
            <v>10-XX-ESS-EL-0016</v>
          </cell>
          <cell r="I77" t="str">
            <v>Specification for Electrical  Heat Tracing</v>
          </cell>
          <cell r="N77">
            <v>3.4000000000000002E-2</v>
          </cell>
          <cell r="P77">
            <v>4.9980000000000001E-4</v>
          </cell>
          <cell r="R77">
            <v>4.4999999999999999E-4</v>
          </cell>
          <cell r="V77" t="str">
            <v>ارسال شده</v>
          </cell>
          <cell r="W77" t="str">
            <v>012</v>
          </cell>
          <cell r="X77" t="str">
            <v>46315396</v>
          </cell>
          <cell r="Y77" t="str">
            <v>07-07-0717-11-0703-12-07</v>
          </cell>
          <cell r="Z77" t="str">
            <v>F-0077F-0385F-0494</v>
          </cell>
          <cell r="AA77" t="str">
            <v>17-07-0722-11-0711-12-07</v>
          </cell>
          <cell r="AB77" t="str">
            <v>G-0258</v>
          </cell>
          <cell r="AC77" t="str">
            <v>04-12-07</v>
          </cell>
          <cell r="AD77" t="str">
            <v>FF-0470</v>
          </cell>
          <cell r="AG77" t="str">
            <v>GBT</v>
          </cell>
          <cell r="AH77" t="str">
            <v>x</v>
          </cell>
          <cell r="AI77" t="str">
            <v>x</v>
          </cell>
          <cell r="AJ77" t="str">
            <v>x</v>
          </cell>
          <cell r="AL77" t="str">
            <v/>
          </cell>
          <cell r="AM77">
            <v>0.75</v>
          </cell>
          <cell r="AN77">
            <v>3.3750000000000002E-4</v>
          </cell>
          <cell r="AO77" t="str">
            <v>F-0077 dtd. 17-07-07</v>
          </cell>
          <cell r="AQ77">
            <v>3.7485000000000003E-4</v>
          </cell>
          <cell r="AR77">
            <v>3.3750000000000002E-4</v>
          </cell>
          <cell r="AS77">
            <v>45</v>
          </cell>
          <cell r="AT77">
            <v>60</v>
          </cell>
          <cell r="AU77">
            <v>75</v>
          </cell>
          <cell r="AV77">
            <v>0</v>
          </cell>
          <cell r="AW77">
            <v>0</v>
          </cell>
          <cell r="AX77">
            <v>75</v>
          </cell>
        </row>
        <row r="78">
          <cell r="C78" t="str">
            <v>SPC</v>
          </cell>
          <cell r="H78" t="str">
            <v>10-XX-ESS-EL-0002</v>
          </cell>
          <cell r="I78" t="str">
            <v>Technical Specification for Main and Process Transformer</v>
          </cell>
          <cell r="N78">
            <v>3.4000000000000002E-2</v>
          </cell>
          <cell r="P78">
            <v>4.9980000000000001E-4</v>
          </cell>
          <cell r="R78">
            <v>4.4999999999999999E-4</v>
          </cell>
          <cell r="V78" t="str">
            <v>ارسال شده</v>
          </cell>
          <cell r="W78" t="str">
            <v>0 1</v>
          </cell>
          <cell r="X78" t="str">
            <v>13 27</v>
          </cell>
          <cell r="Y78" t="str">
            <v>27-05-07 17-06-07</v>
          </cell>
          <cell r="Z78" t="str">
            <v>F-0010         F-0071</v>
          </cell>
          <cell r="AA78" t="str">
            <v>16-06-07  15-07-07</v>
          </cell>
          <cell r="AG78" t="str">
            <v>GBT</v>
          </cell>
          <cell r="AH78" t="str">
            <v>x</v>
          </cell>
          <cell r="AI78" t="str">
            <v>x</v>
          </cell>
          <cell r="AJ78" t="str">
            <v/>
          </cell>
          <cell r="AL78" t="str">
            <v/>
          </cell>
          <cell r="AM78">
            <v>0.6</v>
          </cell>
          <cell r="AN78">
            <v>2.7E-4</v>
          </cell>
          <cell r="AQ78">
            <v>2.9987999999999998E-4</v>
          </cell>
          <cell r="AR78">
            <v>2.7E-4</v>
          </cell>
          <cell r="AS78">
            <v>45</v>
          </cell>
          <cell r="AT78">
            <v>60</v>
          </cell>
          <cell r="AU78">
            <v>0</v>
          </cell>
          <cell r="AV78">
            <v>0</v>
          </cell>
          <cell r="AW78">
            <v>0</v>
          </cell>
          <cell r="AX78">
            <v>60</v>
          </cell>
        </row>
        <row r="79">
          <cell r="C79" t="str">
            <v>POR</v>
          </cell>
          <cell r="H79" t="str">
            <v>10-XX-POR-EL-0002</v>
          </cell>
          <cell r="I79" t="str">
            <v xml:space="preserve">Scope Of Work,Supply &amp; Engineering For Main Process Transformers </v>
          </cell>
          <cell r="N79">
            <v>3.4000000000000002E-2</v>
          </cell>
          <cell r="P79">
            <v>4.9980000000000001E-4</v>
          </cell>
          <cell r="R79">
            <v>1E-4</v>
          </cell>
          <cell r="V79" t="str">
            <v>ارسال شده</v>
          </cell>
          <cell r="W79">
            <v>0</v>
          </cell>
          <cell r="X79">
            <v>13</v>
          </cell>
          <cell r="Y79" t="str">
            <v>27-05-07</v>
          </cell>
          <cell r="Z79" t="str">
            <v xml:space="preserve">F-0010         </v>
          </cell>
          <cell r="AA79" t="str">
            <v>16-06-07</v>
          </cell>
          <cell r="AG79" t="str">
            <v>GBT</v>
          </cell>
          <cell r="AH79" t="str">
            <v>x</v>
          </cell>
          <cell r="AJ79" t="str">
            <v/>
          </cell>
          <cell r="AL79" t="str">
            <v/>
          </cell>
          <cell r="AM79">
            <v>0.45</v>
          </cell>
          <cell r="AN79">
            <v>4.5000000000000003E-5</v>
          </cell>
          <cell r="AQ79">
            <v>2.2491000000000001E-4</v>
          </cell>
          <cell r="AR79">
            <v>4.5000000000000003E-5</v>
          </cell>
          <cell r="AS79">
            <v>45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45</v>
          </cell>
        </row>
        <row r="80">
          <cell r="C80" t="str">
            <v>SCH</v>
          </cell>
          <cell r="H80" t="str">
            <v>10-XX-SCH-EL-0002</v>
          </cell>
          <cell r="I80" t="str">
            <v>Technical Schedule Of Main &amp; Process Transformer</v>
          </cell>
          <cell r="N80">
            <v>3.4000000000000002E-2</v>
          </cell>
          <cell r="P80">
            <v>4.9980000000000001E-4</v>
          </cell>
          <cell r="R80">
            <v>1E-4</v>
          </cell>
          <cell r="V80" t="str">
            <v>ارسال شده</v>
          </cell>
          <cell r="W80" t="str">
            <v>0 1</v>
          </cell>
          <cell r="X80" t="str">
            <v>13 65</v>
          </cell>
          <cell r="Y80" t="str">
            <v>27-05-07 23-07-07</v>
          </cell>
          <cell r="Z80" t="str">
            <v xml:space="preserve">F-0010         F-0112        </v>
          </cell>
          <cell r="AA80" t="str">
            <v>16-06-07 02-08-07</v>
          </cell>
          <cell r="AG80" t="str">
            <v>GBT</v>
          </cell>
          <cell r="AH80" t="str">
            <v>x</v>
          </cell>
          <cell r="AI80" t="str">
            <v>x</v>
          </cell>
          <cell r="AM80">
            <v>0.6</v>
          </cell>
          <cell r="AN80">
            <v>6.0000000000000002E-5</v>
          </cell>
          <cell r="AQ80">
            <v>2.9987999999999998E-4</v>
          </cell>
          <cell r="AR80">
            <v>6.0000000000000002E-5</v>
          </cell>
          <cell r="AS80">
            <v>45</v>
          </cell>
          <cell r="AT80">
            <v>60</v>
          </cell>
          <cell r="AU80">
            <v>0</v>
          </cell>
          <cell r="AV80">
            <v>0</v>
          </cell>
          <cell r="AW80">
            <v>0</v>
          </cell>
          <cell r="AX80">
            <v>60</v>
          </cell>
        </row>
        <row r="81">
          <cell r="G81" t="str">
            <v>Telecomunication</v>
          </cell>
          <cell r="M81">
            <v>0.26500000000000001</v>
          </cell>
          <cell r="N81">
            <v>1.0000000000000002</v>
          </cell>
          <cell r="P81">
            <v>5.3000000000000009E-3</v>
          </cell>
          <cell r="R81">
            <v>3.850000000000001E-3</v>
          </cell>
          <cell r="T81" t="str">
            <v>.</v>
          </cell>
          <cell r="U81" t="str">
            <v>.</v>
          </cell>
          <cell r="V81" t="str">
            <v>.</v>
          </cell>
          <cell r="AG81" t="str">
            <v>.</v>
          </cell>
          <cell r="AM81">
            <v>0</v>
          </cell>
          <cell r="AN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C82" t="str">
            <v>SPC</v>
          </cell>
          <cell r="H82" t="str">
            <v>10-XX-ESS-EL-0050</v>
          </cell>
          <cell r="I82" t="str">
            <v>Project Specification Telecommunication Information System</v>
          </cell>
          <cell r="N82">
            <v>0.32</v>
          </cell>
          <cell r="P82">
            <v>1.6960000000000002E-3</v>
          </cell>
          <cell r="Q82" t="str">
            <v>C</v>
          </cell>
          <cell r="R82">
            <v>1.1000000000000001E-3</v>
          </cell>
          <cell r="T82">
            <v>39389</v>
          </cell>
          <cell r="U82" t="str">
            <v>*</v>
          </cell>
          <cell r="V82" t="str">
            <v>2007-11</v>
          </cell>
          <cell r="AH82" t="str">
            <v/>
          </cell>
          <cell r="AJ82" t="str">
            <v/>
          </cell>
          <cell r="AL82" t="str">
            <v/>
          </cell>
          <cell r="AM82">
            <v>0</v>
          </cell>
          <cell r="AN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C83" t="str">
            <v>PHS</v>
          </cell>
          <cell r="H83" t="str">
            <v>10-XX-PHS-EL-0010</v>
          </cell>
          <cell r="I83" t="str">
            <v>Telecoms &amp; Information System Philosophy</v>
          </cell>
          <cell r="N83">
            <v>0.24399999999999999</v>
          </cell>
          <cell r="P83">
            <v>1.2932000000000002E-3</v>
          </cell>
          <cell r="Q83" t="str">
            <v>C</v>
          </cell>
          <cell r="R83">
            <v>8.9999999999999998E-4</v>
          </cell>
          <cell r="T83">
            <v>39390</v>
          </cell>
          <cell r="U83" t="str">
            <v>*</v>
          </cell>
          <cell r="V83" t="str">
            <v>2007-11</v>
          </cell>
          <cell r="AH83" t="str">
            <v/>
          </cell>
          <cell r="AJ83" t="str">
            <v/>
          </cell>
          <cell r="AL83" t="str">
            <v/>
          </cell>
          <cell r="AM83">
            <v>0</v>
          </cell>
          <cell r="AN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C84" t="str">
            <v>DWG</v>
          </cell>
          <cell r="H84" t="str">
            <v>10-XX-ESS-EL-0051</v>
          </cell>
          <cell r="I84" t="str">
            <v>Overall Telecomm &amp; Information System Schematic</v>
          </cell>
          <cell r="N84">
            <v>0.192</v>
          </cell>
          <cell r="P84">
            <v>1.0176000000000002E-3</v>
          </cell>
          <cell r="Q84" t="str">
            <v>C</v>
          </cell>
          <cell r="R84">
            <v>8.4999999999999995E-4</v>
          </cell>
          <cell r="T84">
            <v>39393</v>
          </cell>
          <cell r="U84" t="str">
            <v>*</v>
          </cell>
          <cell r="V84" t="str">
            <v>2007-11</v>
          </cell>
          <cell r="AH84" t="str">
            <v/>
          </cell>
          <cell r="AJ84" t="str">
            <v/>
          </cell>
          <cell r="AL84" t="str">
            <v/>
          </cell>
          <cell r="AM84">
            <v>0</v>
          </cell>
          <cell r="AN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C85" t="str">
            <v>SPC</v>
          </cell>
          <cell r="H85" t="str">
            <v>10-XX-ESS-EL-0052</v>
          </cell>
          <cell r="I85" t="str">
            <v>Specification For Telephone Cable</v>
          </cell>
          <cell r="N85">
            <v>6.4000000000000001E-2</v>
          </cell>
          <cell r="P85">
            <v>3.3920000000000006E-4</v>
          </cell>
          <cell r="Q85" t="str">
            <v>C</v>
          </cell>
          <cell r="R85">
            <v>2.5000000000000001E-4</v>
          </cell>
          <cell r="T85">
            <v>39379</v>
          </cell>
          <cell r="U85" t="str">
            <v>*</v>
          </cell>
          <cell r="V85" t="str">
            <v>2007-10</v>
          </cell>
          <cell r="AH85" t="str">
            <v/>
          </cell>
          <cell r="AJ85" t="str">
            <v/>
          </cell>
          <cell r="AL85" t="str">
            <v/>
          </cell>
          <cell r="AM85">
            <v>0</v>
          </cell>
          <cell r="AN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C86" t="str">
            <v>SPC</v>
          </cell>
          <cell r="H86" t="str">
            <v>10-XX-ESS-EL-0053</v>
          </cell>
          <cell r="I86" t="str">
            <v>Specification For Communication Cable</v>
          </cell>
          <cell r="N86">
            <v>5.8000000000000003E-2</v>
          </cell>
          <cell r="P86">
            <v>3.0740000000000005E-4</v>
          </cell>
          <cell r="Q86" t="str">
            <v>C</v>
          </cell>
          <cell r="R86">
            <v>2.5000000000000001E-4</v>
          </cell>
          <cell r="T86">
            <v>39382</v>
          </cell>
          <cell r="U86" t="str">
            <v>*</v>
          </cell>
          <cell r="V86" t="str">
            <v>2007-10</v>
          </cell>
          <cell r="AH86" t="str">
            <v/>
          </cell>
          <cell r="AJ86" t="str">
            <v/>
          </cell>
          <cell r="AL86" t="str">
            <v/>
          </cell>
          <cell r="AM86">
            <v>0</v>
          </cell>
          <cell r="AN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</row>
        <row r="87">
          <cell r="C87" t="str">
            <v>SPC</v>
          </cell>
          <cell r="H87" t="str">
            <v>10-XX-ESS-EL-0054</v>
          </cell>
          <cell r="I87" t="str">
            <v>Specification For VHF/ FM Radio</v>
          </cell>
          <cell r="N87">
            <v>5.8000000000000003E-2</v>
          </cell>
          <cell r="P87">
            <v>3.0740000000000005E-4</v>
          </cell>
          <cell r="Q87" t="str">
            <v>C</v>
          </cell>
          <cell r="R87">
            <v>2.5000000000000001E-4</v>
          </cell>
          <cell r="T87">
            <v>39384</v>
          </cell>
          <cell r="U87" t="str">
            <v>*</v>
          </cell>
          <cell r="V87" t="str">
            <v>2007-10</v>
          </cell>
          <cell r="AH87" t="str">
            <v/>
          </cell>
          <cell r="AJ87" t="str">
            <v/>
          </cell>
          <cell r="AL87" t="str">
            <v/>
          </cell>
          <cell r="AM87">
            <v>0</v>
          </cell>
          <cell r="AN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C88" t="str">
            <v>SPC</v>
          </cell>
          <cell r="H88" t="str">
            <v>10-XX-ESS-EL-0055</v>
          </cell>
          <cell r="I88" t="str">
            <v xml:space="preserve">Specification For Telephone &amp; Paging System </v>
          </cell>
          <cell r="N88">
            <v>6.4000000000000001E-2</v>
          </cell>
          <cell r="P88">
            <v>3.3920000000000006E-4</v>
          </cell>
          <cell r="Q88" t="str">
            <v>C</v>
          </cell>
          <cell r="R88">
            <v>2.5000000000000001E-4</v>
          </cell>
          <cell r="T88">
            <v>39388</v>
          </cell>
          <cell r="U88" t="str">
            <v>*</v>
          </cell>
          <cell r="V88" t="str">
            <v>2007-11</v>
          </cell>
          <cell r="AH88" t="str">
            <v/>
          </cell>
          <cell r="AJ88" t="str">
            <v/>
          </cell>
          <cell r="AL88" t="str">
            <v/>
          </cell>
          <cell r="AM88">
            <v>0</v>
          </cell>
          <cell r="AN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</row>
        <row r="89">
          <cell r="F89" t="str">
            <v>Mechanical</v>
          </cell>
          <cell r="L89">
            <v>0.2</v>
          </cell>
          <cell r="M89" t="e">
            <v>#REF!</v>
          </cell>
          <cell r="P89">
            <v>4.0000000000000008E-2</v>
          </cell>
          <cell r="R89">
            <v>3.9999999999999987E-2</v>
          </cell>
          <cell r="T89" t="str">
            <v>.</v>
          </cell>
          <cell r="U89" t="str">
            <v>.</v>
          </cell>
          <cell r="V89" t="str">
            <v>.</v>
          </cell>
          <cell r="W89" t="str">
            <v>.</v>
          </cell>
          <cell r="X89" t="str">
            <v>.</v>
          </cell>
          <cell r="Y89" t="str">
            <v>.</v>
          </cell>
          <cell r="Z89" t="str">
            <v>.</v>
          </cell>
          <cell r="AA89" t="str">
            <v>.</v>
          </cell>
          <cell r="AG89" t="str">
            <v>.</v>
          </cell>
          <cell r="AH89" t="str">
            <v>.</v>
          </cell>
          <cell r="AI89" t="str">
            <v>.</v>
          </cell>
          <cell r="AJ89" t="str">
            <v>.</v>
          </cell>
          <cell r="AK89" t="str">
            <v>.</v>
          </cell>
          <cell r="AL89" t="str">
            <v>.</v>
          </cell>
          <cell r="AM89">
            <v>0.5121374999999998</v>
          </cell>
          <cell r="AN89">
            <v>2.0485499999999997E-2</v>
          </cell>
          <cell r="AO89" t="str">
            <v>.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G90" t="str">
            <v>General</v>
          </cell>
          <cell r="M90">
            <v>6.4000000000000001E-2</v>
          </cell>
          <cell r="N90">
            <v>1</v>
          </cell>
          <cell r="P90">
            <v>2.5600000000000002E-3</v>
          </cell>
          <cell r="R90">
            <v>2.8E-3</v>
          </cell>
          <cell r="T90" t="str">
            <v>.</v>
          </cell>
          <cell r="U90" t="str">
            <v>.</v>
          </cell>
          <cell r="V90" t="str">
            <v>.</v>
          </cell>
          <cell r="AG90" t="str">
            <v>.</v>
          </cell>
          <cell r="AM90">
            <v>0.32812499999999994</v>
          </cell>
          <cell r="AN90">
            <v>8.3999999999999993E-4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</row>
        <row r="91">
          <cell r="C91" t="str">
            <v>RPT</v>
          </cell>
          <cell r="H91" t="str">
            <v>10-XX-DEC-ME-0001</v>
          </cell>
          <cell r="I91" t="str">
            <v>Mechanical Design Criteria</v>
          </cell>
          <cell r="N91">
            <v>0.5</v>
          </cell>
          <cell r="P91">
            <v>1.2800000000000001E-3</v>
          </cell>
          <cell r="Q91" t="str">
            <v>I</v>
          </cell>
          <cell r="R91">
            <v>1.4E-3</v>
          </cell>
          <cell r="T91">
            <v>39372</v>
          </cell>
          <cell r="U91" t="str">
            <v>*</v>
          </cell>
          <cell r="V91" t="str">
            <v>2007-10</v>
          </cell>
          <cell r="AH91" t="str">
            <v/>
          </cell>
          <cell r="AJ91" t="str">
            <v/>
          </cell>
          <cell r="AL91" t="str">
            <v/>
          </cell>
          <cell r="AM91">
            <v>0</v>
          </cell>
          <cell r="AN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C92" t="str">
            <v>SPC</v>
          </cell>
          <cell r="H92" t="str">
            <v>10-XX-ESS-ME-0001</v>
          </cell>
          <cell r="I92" t="str">
            <v xml:space="preserve">Specification for Minimum Requirements for Packaged Equipment </v>
          </cell>
          <cell r="N92">
            <v>0.5</v>
          </cell>
          <cell r="P92">
            <v>1.2800000000000001E-3</v>
          </cell>
          <cell r="R92">
            <v>1.4E-3</v>
          </cell>
          <cell r="V92" t="str">
            <v>ارسال شده</v>
          </cell>
          <cell r="W92" t="str">
            <v>01</v>
          </cell>
          <cell r="X92" t="str">
            <v>20204</v>
          </cell>
          <cell r="Y92" t="str">
            <v>13-06-0728-10-07</v>
          </cell>
          <cell r="Z92" t="str">
            <v>F-0077F-0291</v>
          </cell>
          <cell r="AA92" t="str">
            <v>17-07-0710-11-07</v>
          </cell>
          <cell r="AG92" t="str">
            <v>GBT</v>
          </cell>
          <cell r="AH92" t="str">
            <v>x</v>
          </cell>
          <cell r="AI92" t="str">
            <v>x</v>
          </cell>
          <cell r="AJ92" t="str">
            <v/>
          </cell>
          <cell r="AL92" t="str">
            <v/>
          </cell>
          <cell r="AM92">
            <v>0.6</v>
          </cell>
          <cell r="AN92">
            <v>8.3999999999999993E-4</v>
          </cell>
          <cell r="AO92" t="str">
            <v>F-0077 dtd. 17-07-07</v>
          </cell>
          <cell r="AQ92">
            <v>7.6800000000000002E-4</v>
          </cell>
          <cell r="AR92">
            <v>8.3999999999999993E-4</v>
          </cell>
          <cell r="AS92">
            <v>45</v>
          </cell>
          <cell r="AT92">
            <v>60</v>
          </cell>
          <cell r="AU92">
            <v>0</v>
          </cell>
          <cell r="AV92">
            <v>0</v>
          </cell>
          <cell r="AW92">
            <v>0</v>
          </cell>
          <cell r="AX92">
            <v>60</v>
          </cell>
        </row>
        <row r="93">
          <cell r="G93" t="str">
            <v>Fixed Equipment</v>
          </cell>
          <cell r="M93">
            <v>0.16600000000000001</v>
          </cell>
          <cell r="N93">
            <v>0.96400000000000041</v>
          </cell>
          <cell r="P93">
            <v>6.6400000000000001E-3</v>
          </cell>
          <cell r="R93">
            <v>1.8009999999999991E-2</v>
          </cell>
          <cell r="T93" t="str">
            <v>.</v>
          </cell>
          <cell r="U93" t="str">
            <v>.</v>
          </cell>
          <cell r="V93" t="str">
            <v>.</v>
          </cell>
          <cell r="AG93" t="str">
            <v>.</v>
          </cell>
          <cell r="AM93">
            <v>1.4209337349397591</v>
          </cell>
          <cell r="AN93">
            <v>9.4350000000000007E-3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</row>
        <row r="94">
          <cell r="C94" t="str">
            <v>SPC</v>
          </cell>
          <cell r="H94" t="str">
            <v>10-XX-ESS-PV-0001</v>
          </cell>
          <cell r="I94" t="str">
            <v>Technical Specification for Pressure Vessels</v>
          </cell>
          <cell r="N94">
            <v>0.187</v>
          </cell>
          <cell r="P94">
            <v>1.24168E-3</v>
          </cell>
          <cell r="R94">
            <v>1.2999999999999999E-3</v>
          </cell>
          <cell r="V94" t="str">
            <v>ارسال شده</v>
          </cell>
          <cell r="W94" t="str">
            <v>01</v>
          </cell>
          <cell r="X94" t="str">
            <v>34221</v>
          </cell>
          <cell r="Y94" t="str">
            <v>25-06-0729-10-07</v>
          </cell>
          <cell r="Z94" t="str">
            <v>F-0077F-0415</v>
          </cell>
          <cell r="AA94" t="str">
            <v>17-07-0702-12-07</v>
          </cell>
          <cell r="AG94" t="str">
            <v>GBT</v>
          </cell>
          <cell r="AH94" t="str">
            <v>x</v>
          </cell>
          <cell r="AI94" t="str">
            <v>x</v>
          </cell>
          <cell r="AJ94" t="str">
            <v/>
          </cell>
          <cell r="AL94" t="str">
            <v/>
          </cell>
          <cell r="AM94">
            <v>0.6</v>
          </cell>
          <cell r="AN94">
            <v>7.7999999999999999E-4</v>
          </cell>
          <cell r="AO94" t="str">
            <v>F-0077 dtd. 17-07-07</v>
          </cell>
          <cell r="AQ94">
            <v>7.4500800000000002E-4</v>
          </cell>
          <cell r="AR94">
            <v>7.7999999999999999E-4</v>
          </cell>
          <cell r="AS94">
            <v>45</v>
          </cell>
          <cell r="AT94">
            <v>60</v>
          </cell>
          <cell r="AU94">
            <v>0</v>
          </cell>
          <cell r="AV94">
            <v>0</v>
          </cell>
          <cell r="AW94">
            <v>0</v>
          </cell>
          <cell r="AX94">
            <v>60</v>
          </cell>
        </row>
        <row r="95">
          <cell r="C95" t="str">
            <v>SPC</v>
          </cell>
          <cell r="H95" t="str">
            <v>10-XX-ESS-ME-0002</v>
          </cell>
          <cell r="I95" t="str">
            <v>Technical Specification of Atmospheric Steel Storage Tank</v>
          </cell>
          <cell r="N95">
            <v>0.187</v>
          </cell>
          <cell r="P95">
            <v>1.24168E-3</v>
          </cell>
          <cell r="R95">
            <v>1.2999999999999999E-3</v>
          </cell>
          <cell r="V95" t="str">
            <v>ارسال شده</v>
          </cell>
          <cell r="W95">
            <v>0</v>
          </cell>
          <cell r="X95">
            <v>2</v>
          </cell>
          <cell r="Y95" t="str">
            <v>09-05-07</v>
          </cell>
          <cell r="Z95" t="str">
            <v>123-13-1156</v>
          </cell>
          <cell r="AA95" t="str">
            <v>86-03-05</v>
          </cell>
          <cell r="AG95" t="str">
            <v>GBT</v>
          </cell>
          <cell r="AH95" t="str">
            <v>x</v>
          </cell>
          <cell r="AJ95" t="str">
            <v/>
          </cell>
          <cell r="AL95" t="str">
            <v/>
          </cell>
          <cell r="AM95">
            <v>0.45</v>
          </cell>
          <cell r="AN95">
            <v>5.8500000000000002E-4</v>
          </cell>
          <cell r="AQ95">
            <v>5.5875599999999999E-4</v>
          </cell>
          <cell r="AR95">
            <v>5.8500000000000002E-4</v>
          </cell>
          <cell r="AS95">
            <v>45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45</v>
          </cell>
        </row>
        <row r="96">
          <cell r="C96" t="str">
            <v>DSH</v>
          </cell>
          <cell r="H96" t="str">
            <v>10-XX-ESS-ME-0003</v>
          </cell>
          <cell r="I96" t="str">
            <v>Loading Data  for Storage Tanks Structure Bulk</v>
          </cell>
          <cell r="N96">
            <v>4.0000000000000001E-3</v>
          </cell>
          <cell r="P96">
            <v>2.656E-5</v>
          </cell>
          <cell r="R96">
            <v>1.1999999999999999E-3</v>
          </cell>
          <cell r="V96" t="str">
            <v>ارسال شده</v>
          </cell>
          <cell r="W96">
            <v>0</v>
          </cell>
          <cell r="X96">
            <v>251</v>
          </cell>
          <cell r="Y96" t="str">
            <v>03-11-07</v>
          </cell>
          <cell r="AG96" t="str">
            <v>KRPC</v>
          </cell>
          <cell r="AH96" t="str">
            <v>x</v>
          </cell>
          <cell r="AJ96" t="str">
            <v/>
          </cell>
          <cell r="AL96" t="str">
            <v/>
          </cell>
          <cell r="AM96">
            <v>0.45</v>
          </cell>
          <cell r="AN96">
            <v>5.4000000000000001E-4</v>
          </cell>
          <cell r="AQ96">
            <v>1.1952E-5</v>
          </cell>
          <cell r="AR96">
            <v>5.4000000000000001E-4</v>
          </cell>
          <cell r="AS96">
            <v>45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45</v>
          </cell>
        </row>
        <row r="97">
          <cell r="C97" t="str">
            <v>SPC</v>
          </cell>
          <cell r="H97" t="str">
            <v>10-XX-ESS-ME-0004</v>
          </cell>
          <cell r="I97" t="str">
            <v>Technical Specification for Storage Sphere</v>
          </cell>
          <cell r="N97">
            <v>5.1999999999999998E-2</v>
          </cell>
          <cell r="P97">
            <v>3.4528E-4</v>
          </cell>
          <cell r="R97">
            <v>8.3000000000000001E-4</v>
          </cell>
          <cell r="V97" t="str">
            <v>ارسال شده</v>
          </cell>
          <cell r="W97" t="str">
            <v>01</v>
          </cell>
          <cell r="X97" t="str">
            <v>121233</v>
          </cell>
          <cell r="Y97" t="str">
            <v>01-10-0730-10-07</v>
          </cell>
          <cell r="Z97" t="str">
            <v>F-0244&amp;0477F-0394</v>
          </cell>
          <cell r="AA97" t="str">
            <v>27-10-0728-11-07</v>
          </cell>
          <cell r="AG97" t="str">
            <v>GBT</v>
          </cell>
          <cell r="AH97" t="str">
            <v>x</v>
          </cell>
          <cell r="AI97" t="str">
            <v>x</v>
          </cell>
          <cell r="AM97">
            <v>0.6</v>
          </cell>
          <cell r="AN97">
            <v>4.9799999999999996E-4</v>
          </cell>
          <cell r="AQ97">
            <v>2.0716800000000001E-4</v>
          </cell>
          <cell r="AR97">
            <v>4.9799999999999996E-4</v>
          </cell>
          <cell r="AS97">
            <v>45</v>
          </cell>
          <cell r="AT97">
            <v>60</v>
          </cell>
          <cell r="AU97">
            <v>0</v>
          </cell>
          <cell r="AV97">
            <v>0</v>
          </cell>
          <cell r="AW97">
            <v>0</v>
          </cell>
          <cell r="AX97">
            <v>60</v>
          </cell>
        </row>
        <row r="98">
          <cell r="H98" t="str">
            <v>10-XX-ESS-ME-0005</v>
          </cell>
          <cell r="I98" t="str">
            <v xml:space="preserve">Technical Specification for Shell &amp; Tube Heat Exchanger </v>
          </cell>
          <cell r="R98">
            <v>8.3000000000000001E-4</v>
          </cell>
          <cell r="S98" t="str">
            <v>Add</v>
          </cell>
          <cell r="V98" t="str">
            <v>ارسال شده</v>
          </cell>
          <cell r="W98">
            <v>0</v>
          </cell>
          <cell r="X98">
            <v>222</v>
          </cell>
          <cell r="Y98" t="str">
            <v>29-10-07</v>
          </cell>
          <cell r="Z98" t="str">
            <v>F-0431</v>
          </cell>
          <cell r="AA98" t="str">
            <v>02-12-07</v>
          </cell>
          <cell r="AG98" t="str">
            <v>GBT</v>
          </cell>
          <cell r="AH98" t="str">
            <v>x</v>
          </cell>
          <cell r="AM98">
            <v>0.45</v>
          </cell>
          <cell r="AN98">
            <v>3.7350000000000003E-4</v>
          </cell>
          <cell r="AQ98">
            <v>0</v>
          </cell>
          <cell r="AR98">
            <v>3.7350000000000003E-4</v>
          </cell>
          <cell r="AS98">
            <v>45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45</v>
          </cell>
        </row>
        <row r="99">
          <cell r="H99" t="str">
            <v>10-XX-ESS-ME-0006</v>
          </cell>
          <cell r="I99" t="str">
            <v xml:space="preserve">Specification for Plate Heat Exchanger </v>
          </cell>
          <cell r="R99">
            <v>8.3000000000000001E-4</v>
          </cell>
          <cell r="AM99">
            <v>0</v>
          </cell>
          <cell r="AN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H100" t="str">
            <v>10-XX-SDG-ME-0001</v>
          </cell>
          <cell r="I100" t="str">
            <v>Set of Standard Drawings For Heat Exchanger</v>
          </cell>
          <cell r="R100">
            <v>8.3000000000000001E-4</v>
          </cell>
          <cell r="S100" t="str">
            <v>Add</v>
          </cell>
          <cell r="V100" t="str">
            <v>ارسال شده</v>
          </cell>
          <cell r="W100" t="str">
            <v>0</v>
          </cell>
          <cell r="X100">
            <v>238</v>
          </cell>
          <cell r="Y100" t="str">
            <v>03-11-07</v>
          </cell>
          <cell r="Z100" t="str">
            <v>F-0332</v>
          </cell>
          <cell r="AA100" t="str">
            <v>22-11-07</v>
          </cell>
          <cell r="AG100" t="str">
            <v>GBT</v>
          </cell>
          <cell r="AH100" t="str">
            <v>x</v>
          </cell>
          <cell r="AM100">
            <v>0.45</v>
          </cell>
          <cell r="AN100">
            <v>3.7350000000000003E-4</v>
          </cell>
          <cell r="AQ100">
            <v>0</v>
          </cell>
          <cell r="AR100">
            <v>3.7350000000000003E-4</v>
          </cell>
          <cell r="AS100">
            <v>45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45</v>
          </cell>
        </row>
        <row r="101">
          <cell r="C101" t="str">
            <v>DWG</v>
          </cell>
          <cell r="H101" t="str">
            <v>10-XX-SDG-PV-0002</v>
          </cell>
          <cell r="I101" t="str">
            <v>Set of Standard Drawings ( pressure vessels)</v>
          </cell>
          <cell r="N101">
            <v>0.11700000000000001</v>
          </cell>
          <cell r="P101">
            <v>7.7688000000000008E-4</v>
          </cell>
          <cell r="R101">
            <v>8.3000000000000001E-4</v>
          </cell>
          <cell r="V101" t="str">
            <v>ارسال شده</v>
          </cell>
          <cell r="W101">
            <v>0</v>
          </cell>
          <cell r="X101">
            <v>232</v>
          </cell>
          <cell r="Y101" t="str">
            <v>30-10-07</v>
          </cell>
          <cell r="Z101" t="str">
            <v>F-0432</v>
          </cell>
          <cell r="AA101" t="str">
            <v>02-12-07</v>
          </cell>
          <cell r="AG101" t="str">
            <v>GBT</v>
          </cell>
          <cell r="AH101" t="str">
            <v>x</v>
          </cell>
          <cell r="AJ101" t="str">
            <v/>
          </cell>
          <cell r="AL101" t="str">
            <v/>
          </cell>
          <cell r="AM101">
            <v>0.45</v>
          </cell>
          <cell r="AN101">
            <v>3.7350000000000003E-4</v>
          </cell>
          <cell r="AQ101">
            <v>3.4959600000000003E-4</v>
          </cell>
          <cell r="AR101">
            <v>3.7350000000000003E-4</v>
          </cell>
          <cell r="AS101">
            <v>45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45</v>
          </cell>
        </row>
        <row r="102">
          <cell r="C102" t="str">
            <v>MTO</v>
          </cell>
          <cell r="H102" t="str">
            <v>10-XX-MTO-ME-0001</v>
          </cell>
          <cell r="I102" t="str">
            <v>MTO For Storage Tanks Plates</v>
          </cell>
          <cell r="N102">
            <v>2.3E-2</v>
          </cell>
          <cell r="P102">
            <v>1.5271999999999999E-4</v>
          </cell>
          <cell r="R102">
            <v>8.3000000000000001E-4</v>
          </cell>
          <cell r="V102" t="str">
            <v>ارسال شده</v>
          </cell>
          <cell r="W102" t="str">
            <v>01</v>
          </cell>
          <cell r="X102" t="str">
            <v>292452</v>
          </cell>
          <cell r="Y102" t="str">
            <v>12-11-0711-12-07</v>
          </cell>
          <cell r="Z102" t="str">
            <v>F-0361</v>
          </cell>
          <cell r="AA102" t="str">
            <v>22-11-07</v>
          </cell>
          <cell r="AG102" t="str">
            <v>KRPC</v>
          </cell>
          <cell r="AH102" t="str">
            <v>x</v>
          </cell>
          <cell r="AI102" t="str">
            <v>x</v>
          </cell>
          <cell r="AJ102" t="str">
            <v/>
          </cell>
          <cell r="AL102" t="str">
            <v/>
          </cell>
          <cell r="AM102">
            <v>0.6</v>
          </cell>
          <cell r="AN102">
            <v>4.9799999999999996E-4</v>
          </cell>
          <cell r="AQ102">
            <v>9.1631999999999993E-5</v>
          </cell>
          <cell r="AR102">
            <v>4.9799999999999996E-4</v>
          </cell>
          <cell r="AS102">
            <v>45</v>
          </cell>
          <cell r="AT102">
            <v>60</v>
          </cell>
          <cell r="AU102">
            <v>0</v>
          </cell>
          <cell r="AV102">
            <v>0</v>
          </cell>
          <cell r="AW102">
            <v>0</v>
          </cell>
          <cell r="AX102">
            <v>60</v>
          </cell>
        </row>
        <row r="103">
          <cell r="C103" t="str">
            <v>QAP</v>
          </cell>
          <cell r="H103" t="str">
            <v>10-XX-QAP-ME-0001</v>
          </cell>
          <cell r="I103" t="str">
            <v>ITP and QC Plan for Storage Tanks</v>
          </cell>
          <cell r="N103">
            <v>4.7E-2</v>
          </cell>
          <cell r="P103">
            <v>3.1208000000000001E-4</v>
          </cell>
          <cell r="R103">
            <v>8.3000000000000001E-4</v>
          </cell>
          <cell r="V103" t="str">
            <v>ارسال شده</v>
          </cell>
          <cell r="W103">
            <v>0</v>
          </cell>
          <cell r="X103">
            <v>72</v>
          </cell>
          <cell r="Y103" t="str">
            <v>04-08-07</v>
          </cell>
          <cell r="Z103" t="str">
            <v>F-0128</v>
          </cell>
          <cell r="AA103" t="str">
            <v>06-08-07</v>
          </cell>
          <cell r="AG103" t="str">
            <v>GBT</v>
          </cell>
          <cell r="AH103" t="str">
            <v>x</v>
          </cell>
          <cell r="AJ103" t="str">
            <v/>
          </cell>
          <cell r="AL103" t="str">
            <v/>
          </cell>
          <cell r="AM103">
            <v>0.45</v>
          </cell>
          <cell r="AN103">
            <v>3.7350000000000003E-4</v>
          </cell>
          <cell r="AQ103">
            <v>1.40436E-4</v>
          </cell>
          <cell r="AR103">
            <v>3.7350000000000003E-4</v>
          </cell>
          <cell r="AS103">
            <v>45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45</v>
          </cell>
        </row>
        <row r="104">
          <cell r="C104" t="str">
            <v>QAP</v>
          </cell>
          <cell r="H104" t="str">
            <v>10-97-QAP-ME-0001</v>
          </cell>
          <cell r="I104" t="str">
            <v>QC PLAN for Storage Sphere</v>
          </cell>
          <cell r="N104">
            <v>6.5000000000000002E-2</v>
          </cell>
          <cell r="P104">
            <v>4.3160000000000003E-4</v>
          </cell>
          <cell r="R104">
            <v>6.9999999999999999E-4</v>
          </cell>
          <cell r="V104" t="str">
            <v>ارسال شده</v>
          </cell>
          <cell r="W104">
            <v>0</v>
          </cell>
          <cell r="X104">
            <v>85</v>
          </cell>
          <cell r="Y104" t="str">
            <v>16-08-07</v>
          </cell>
          <cell r="Z104" t="str">
            <v>F-0180</v>
          </cell>
          <cell r="AA104" t="str">
            <v>25-08-07</v>
          </cell>
          <cell r="AG104" t="str">
            <v>GBT</v>
          </cell>
          <cell r="AH104" t="str">
            <v>x</v>
          </cell>
          <cell r="AJ104" t="str">
            <v/>
          </cell>
          <cell r="AL104" t="str">
            <v/>
          </cell>
          <cell r="AM104">
            <v>0.45</v>
          </cell>
          <cell r="AN104">
            <v>3.1500000000000001E-4</v>
          </cell>
          <cell r="AQ104">
            <v>1.9422000000000002E-4</v>
          </cell>
          <cell r="AR104">
            <v>3.1500000000000001E-4</v>
          </cell>
          <cell r="AS104">
            <v>45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45</v>
          </cell>
        </row>
        <row r="105">
          <cell r="C105" t="str">
            <v>DSH</v>
          </cell>
          <cell r="H105" t="str">
            <v>10-96-DSH-ME-0001</v>
          </cell>
          <cell r="I105" t="str">
            <v xml:space="preserve">Data Sheet for Fuel Oil Tank </v>
          </cell>
          <cell r="N105">
            <v>2.3E-2</v>
          </cell>
          <cell r="P105">
            <v>1.5271999999999999E-4</v>
          </cell>
          <cell r="R105">
            <v>6.9999999999999999E-4</v>
          </cell>
          <cell r="V105" t="str">
            <v>ارسال شده</v>
          </cell>
          <cell r="W105" t="str">
            <v>01</v>
          </cell>
          <cell r="X105" t="str">
            <v>47244</v>
          </cell>
          <cell r="Y105" t="str">
            <v>08-07-0703-11-07</v>
          </cell>
          <cell r="Z105" t="str">
            <v>F-0126F-0362&amp;0476</v>
          </cell>
          <cell r="AA105" t="str">
            <v>06-08-0722-11-07</v>
          </cell>
          <cell r="AG105" t="str">
            <v>GBT</v>
          </cell>
          <cell r="AH105" t="str">
            <v>x</v>
          </cell>
          <cell r="AI105" t="str">
            <v>x</v>
          </cell>
          <cell r="AJ105" t="str">
            <v/>
          </cell>
          <cell r="AL105" t="str">
            <v/>
          </cell>
          <cell r="AM105">
            <v>0.6</v>
          </cell>
          <cell r="AN105">
            <v>4.1999999999999996E-4</v>
          </cell>
          <cell r="AQ105">
            <v>9.1631999999999993E-5</v>
          </cell>
          <cell r="AR105">
            <v>4.1999999999999996E-4</v>
          </cell>
          <cell r="AS105">
            <v>45</v>
          </cell>
          <cell r="AT105">
            <v>60</v>
          </cell>
          <cell r="AU105">
            <v>0</v>
          </cell>
          <cell r="AV105">
            <v>0</v>
          </cell>
          <cell r="AW105">
            <v>0</v>
          </cell>
          <cell r="AX105">
            <v>60</v>
          </cell>
        </row>
        <row r="106">
          <cell r="C106" t="str">
            <v>DSH</v>
          </cell>
          <cell r="H106" t="str">
            <v>10-50-DSH-ME-0001</v>
          </cell>
          <cell r="I106" t="str">
            <v xml:space="preserve">Data Sheet for DM Water Tank </v>
          </cell>
          <cell r="N106">
            <v>2.3E-2</v>
          </cell>
          <cell r="P106">
            <v>1.5271999999999999E-4</v>
          </cell>
          <cell r="R106">
            <v>6.9999999999999999E-4</v>
          </cell>
          <cell r="V106" t="str">
            <v>ارسال شده</v>
          </cell>
          <cell r="W106">
            <v>0</v>
          </cell>
          <cell r="X106">
            <v>47</v>
          </cell>
          <cell r="Y106" t="str">
            <v>08-07-07</v>
          </cell>
          <cell r="Z106" t="str">
            <v>F-0126</v>
          </cell>
          <cell r="AA106" t="str">
            <v>06-08-07</v>
          </cell>
          <cell r="AG106" t="str">
            <v>GBT</v>
          </cell>
          <cell r="AH106" t="str">
            <v>x</v>
          </cell>
          <cell r="AJ106" t="str">
            <v/>
          </cell>
          <cell r="AL106" t="str">
            <v/>
          </cell>
          <cell r="AM106">
            <v>0.45</v>
          </cell>
          <cell r="AN106">
            <v>3.1500000000000001E-4</v>
          </cell>
          <cell r="AQ106">
            <v>6.8724000000000001E-5</v>
          </cell>
          <cell r="AR106">
            <v>3.1500000000000001E-4</v>
          </cell>
          <cell r="AS106">
            <v>45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45</v>
          </cell>
        </row>
        <row r="107">
          <cell r="C107" t="str">
            <v>DSH</v>
          </cell>
          <cell r="H107" t="str">
            <v>10-80-DSH-ME-0001</v>
          </cell>
          <cell r="I107" t="str">
            <v xml:space="preserve">Data Sheet for Fire Water Tank </v>
          </cell>
          <cell r="N107">
            <v>2.5999999999999999E-2</v>
          </cell>
          <cell r="P107">
            <v>1.7264E-4</v>
          </cell>
          <cell r="R107">
            <v>6.9999999999999999E-4</v>
          </cell>
          <cell r="V107" t="str">
            <v>ارسال شده</v>
          </cell>
          <cell r="W107" t="str">
            <v>01</v>
          </cell>
          <cell r="X107" t="str">
            <v>47239</v>
          </cell>
          <cell r="Y107" t="str">
            <v>08-07-0703-11-07</v>
          </cell>
          <cell r="Z107" t="str">
            <v>F-0126F-0393</v>
          </cell>
          <cell r="AA107" t="str">
            <v>06-08-0728-11-07</v>
          </cell>
          <cell r="AG107" t="str">
            <v>GBT</v>
          </cell>
          <cell r="AH107" t="str">
            <v>x</v>
          </cell>
          <cell r="AI107" t="str">
            <v>x</v>
          </cell>
          <cell r="AJ107" t="str">
            <v/>
          </cell>
          <cell r="AL107" t="str">
            <v/>
          </cell>
          <cell r="AM107">
            <v>0.6</v>
          </cell>
          <cell r="AN107">
            <v>4.1999999999999996E-4</v>
          </cell>
          <cell r="AQ107">
            <v>1.03584E-4</v>
          </cell>
          <cell r="AR107">
            <v>4.1999999999999996E-4</v>
          </cell>
          <cell r="AS107">
            <v>45</v>
          </cell>
          <cell r="AT107">
            <v>60</v>
          </cell>
          <cell r="AU107">
            <v>0</v>
          </cell>
          <cell r="AV107">
            <v>0</v>
          </cell>
          <cell r="AW107">
            <v>0</v>
          </cell>
          <cell r="AX107">
            <v>60</v>
          </cell>
        </row>
        <row r="108">
          <cell r="C108" t="str">
            <v>DSH</v>
          </cell>
          <cell r="H108" t="str">
            <v>10-50-DSH-ME-0004</v>
          </cell>
          <cell r="I108" t="str">
            <v xml:space="preserve">Data Sheet for RO Water Tank </v>
          </cell>
          <cell r="N108">
            <v>2.3E-2</v>
          </cell>
          <cell r="P108">
            <v>1.5271999999999999E-4</v>
          </cell>
          <cell r="R108">
            <v>6.9999999999999999E-4</v>
          </cell>
          <cell r="V108" t="str">
            <v>ارسال شده</v>
          </cell>
          <cell r="W108" t="str">
            <v>01</v>
          </cell>
          <cell r="X108" t="str">
            <v>47245</v>
          </cell>
          <cell r="Y108" t="str">
            <v>08-07-0703-11-07</v>
          </cell>
          <cell r="Z108" t="str">
            <v>F-0126F-0308</v>
          </cell>
          <cell r="AA108" t="str">
            <v>06-08-0715-11-07</v>
          </cell>
          <cell r="AG108" t="str">
            <v>GBT</v>
          </cell>
          <cell r="AH108" t="str">
            <v>x</v>
          </cell>
          <cell r="AI108" t="str">
            <v>x</v>
          </cell>
          <cell r="AJ108" t="str">
            <v/>
          </cell>
          <cell r="AL108" t="str">
            <v/>
          </cell>
          <cell r="AM108">
            <v>0.6</v>
          </cell>
          <cell r="AN108">
            <v>4.1999999999999996E-4</v>
          </cell>
          <cell r="AQ108">
            <v>9.1631999999999993E-5</v>
          </cell>
          <cell r="AR108">
            <v>4.1999999999999996E-4</v>
          </cell>
          <cell r="AS108">
            <v>45</v>
          </cell>
          <cell r="AT108">
            <v>60</v>
          </cell>
          <cell r="AU108">
            <v>0</v>
          </cell>
          <cell r="AV108">
            <v>0</v>
          </cell>
          <cell r="AW108">
            <v>0</v>
          </cell>
          <cell r="AX108">
            <v>60</v>
          </cell>
        </row>
        <row r="109">
          <cell r="C109" t="str">
            <v>DSH</v>
          </cell>
          <cell r="H109" t="str">
            <v>10-10-DSH-ME-0005</v>
          </cell>
          <cell r="I109" t="str">
            <v xml:space="preserve">Data Sheet for Condensate Water Tank </v>
          </cell>
          <cell r="N109">
            <v>2.3E-2</v>
          </cell>
          <cell r="P109">
            <v>1.5271999999999999E-4</v>
          </cell>
          <cell r="R109">
            <v>6.9999999999999999E-4</v>
          </cell>
          <cell r="V109" t="str">
            <v>ارسال شده</v>
          </cell>
          <cell r="W109" t="str">
            <v>01</v>
          </cell>
          <cell r="X109" t="str">
            <v>47248</v>
          </cell>
          <cell r="Y109" t="str">
            <v>08-07-0703-11-07</v>
          </cell>
          <cell r="Z109" t="str">
            <v>F-0126F-0514</v>
          </cell>
          <cell r="AA109" t="str">
            <v>06-08-0712-12-07</v>
          </cell>
          <cell r="AG109" t="str">
            <v>GBT</v>
          </cell>
          <cell r="AH109" t="str">
            <v>x</v>
          </cell>
          <cell r="AI109" t="str">
            <v>x</v>
          </cell>
          <cell r="AJ109" t="str">
            <v/>
          </cell>
          <cell r="AL109" t="str">
            <v/>
          </cell>
          <cell r="AM109">
            <v>0.6</v>
          </cell>
          <cell r="AN109">
            <v>4.1999999999999996E-4</v>
          </cell>
          <cell r="AQ109">
            <v>9.1631999999999993E-5</v>
          </cell>
          <cell r="AR109">
            <v>4.1999999999999996E-4</v>
          </cell>
          <cell r="AS109">
            <v>45</v>
          </cell>
          <cell r="AT109">
            <v>60</v>
          </cell>
          <cell r="AU109">
            <v>0</v>
          </cell>
          <cell r="AV109">
            <v>0</v>
          </cell>
          <cell r="AW109">
            <v>0</v>
          </cell>
          <cell r="AX109">
            <v>60</v>
          </cell>
        </row>
        <row r="110">
          <cell r="C110" t="str">
            <v>DSH</v>
          </cell>
          <cell r="H110" t="str">
            <v>10-50-DSH-ME-0006</v>
          </cell>
          <cell r="I110" t="str">
            <v xml:space="preserve">Data Sheet for Potable Water Tank </v>
          </cell>
          <cell r="N110">
            <v>2.3E-2</v>
          </cell>
          <cell r="P110">
            <v>1.5271999999999999E-4</v>
          </cell>
          <cell r="R110">
            <v>6.9999999999999999E-4</v>
          </cell>
          <cell r="V110" t="str">
            <v>ارسال شده</v>
          </cell>
          <cell r="W110" t="str">
            <v>01</v>
          </cell>
          <cell r="X110" t="str">
            <v>47250</v>
          </cell>
          <cell r="Y110" t="str">
            <v>08-07-0703-11-07</v>
          </cell>
          <cell r="Z110" t="str">
            <v>F-0126F-0366</v>
          </cell>
          <cell r="AA110" t="str">
            <v>06-08-0722-11-07</v>
          </cell>
          <cell r="AG110" t="str">
            <v>GBT</v>
          </cell>
          <cell r="AH110" t="str">
            <v>x</v>
          </cell>
          <cell r="AI110" t="str">
            <v>x</v>
          </cell>
          <cell r="AJ110" t="str">
            <v/>
          </cell>
          <cell r="AL110" t="str">
            <v/>
          </cell>
          <cell r="AM110">
            <v>0.6</v>
          </cell>
          <cell r="AN110">
            <v>4.1999999999999996E-4</v>
          </cell>
          <cell r="AQ110">
            <v>9.1631999999999993E-5</v>
          </cell>
          <cell r="AR110">
            <v>4.1999999999999996E-4</v>
          </cell>
          <cell r="AS110">
            <v>45</v>
          </cell>
          <cell r="AT110">
            <v>60</v>
          </cell>
          <cell r="AU110">
            <v>0</v>
          </cell>
          <cell r="AV110">
            <v>0</v>
          </cell>
          <cell r="AW110">
            <v>0</v>
          </cell>
          <cell r="AX110">
            <v>60</v>
          </cell>
        </row>
        <row r="111">
          <cell r="C111" t="str">
            <v>DSH</v>
          </cell>
          <cell r="H111" t="str">
            <v>10-50-DSH-ME-0007</v>
          </cell>
          <cell r="I111" t="str">
            <v>Data Sheet for Filtered Water Tank</v>
          </cell>
          <cell r="N111">
            <v>2.5999999999999999E-2</v>
          </cell>
          <cell r="P111">
            <v>1.7264E-4</v>
          </cell>
          <cell r="R111">
            <v>6.9999999999999999E-4</v>
          </cell>
          <cell r="V111" t="str">
            <v>ارسال شده</v>
          </cell>
          <cell r="W111" t="str">
            <v>01</v>
          </cell>
          <cell r="X111" t="str">
            <v>47249</v>
          </cell>
          <cell r="Y111" t="str">
            <v>08-07-0703-11-07</v>
          </cell>
          <cell r="Z111" t="str">
            <v>F-0126F-0312</v>
          </cell>
          <cell r="AA111" t="str">
            <v>06-08-0715-11-07</v>
          </cell>
          <cell r="AG111" t="str">
            <v>GBT</v>
          </cell>
          <cell r="AH111" t="str">
            <v>x</v>
          </cell>
          <cell r="AI111" t="str">
            <v>x</v>
          </cell>
          <cell r="AJ111" t="str">
            <v/>
          </cell>
          <cell r="AL111" t="str">
            <v/>
          </cell>
          <cell r="AM111">
            <v>0.6</v>
          </cell>
          <cell r="AN111">
            <v>4.1999999999999996E-4</v>
          </cell>
          <cell r="AQ111">
            <v>1.03584E-4</v>
          </cell>
          <cell r="AR111">
            <v>4.1999999999999996E-4</v>
          </cell>
          <cell r="AS111">
            <v>45</v>
          </cell>
          <cell r="AT111">
            <v>60</v>
          </cell>
          <cell r="AU111">
            <v>0</v>
          </cell>
          <cell r="AV111">
            <v>0</v>
          </cell>
          <cell r="AW111">
            <v>0</v>
          </cell>
          <cell r="AX111">
            <v>60</v>
          </cell>
        </row>
        <row r="112">
          <cell r="C112" t="str">
            <v>DSH</v>
          </cell>
          <cell r="H112" t="str">
            <v>10-50-DSH-ME-0009</v>
          </cell>
          <cell r="I112" t="str">
            <v xml:space="preserve">Data Sheet for Clarified Water storage Tank </v>
          </cell>
          <cell r="N112">
            <v>2.3E-2</v>
          </cell>
          <cell r="P112">
            <v>1.5271999999999999E-4</v>
          </cell>
          <cell r="R112">
            <v>6.9999999999999999E-4</v>
          </cell>
          <cell r="V112" t="str">
            <v>ارسال شده</v>
          </cell>
          <cell r="W112" t="str">
            <v>01</v>
          </cell>
          <cell r="X112" t="str">
            <v>47246</v>
          </cell>
          <cell r="Y112" t="str">
            <v>08-07-0703-11-07</v>
          </cell>
          <cell r="Z112" t="str">
            <v>F-0126F-0408</v>
          </cell>
          <cell r="AA112" t="str">
            <v>06-08-0729-11-07</v>
          </cell>
          <cell r="AG112" t="str">
            <v>GBT</v>
          </cell>
          <cell r="AH112" t="str">
            <v>x</v>
          </cell>
          <cell r="AI112" t="str">
            <v>x</v>
          </cell>
          <cell r="AJ112" t="str">
            <v/>
          </cell>
          <cell r="AL112" t="str">
            <v/>
          </cell>
          <cell r="AM112">
            <v>0.6</v>
          </cell>
          <cell r="AN112">
            <v>4.1999999999999996E-4</v>
          </cell>
          <cell r="AQ112">
            <v>9.1631999999999993E-5</v>
          </cell>
          <cell r="AR112">
            <v>4.1999999999999996E-4</v>
          </cell>
          <cell r="AS112">
            <v>45</v>
          </cell>
          <cell r="AT112">
            <v>60</v>
          </cell>
          <cell r="AU112">
            <v>0</v>
          </cell>
          <cell r="AV112">
            <v>0</v>
          </cell>
          <cell r="AW112">
            <v>0</v>
          </cell>
          <cell r="AX112">
            <v>60</v>
          </cell>
        </row>
        <row r="113">
          <cell r="C113" t="str">
            <v>DSH</v>
          </cell>
          <cell r="H113" t="str">
            <v>10-97-DSH-ME-0007</v>
          </cell>
          <cell r="I113" t="str">
            <v xml:space="preserve">Data Sheet for 1-Butene Storage Tank </v>
          </cell>
          <cell r="N113">
            <v>2.3E-2</v>
          </cell>
          <cell r="P113">
            <v>1.5271999999999999E-4</v>
          </cell>
          <cell r="R113">
            <v>6.9999999999999999E-4</v>
          </cell>
          <cell r="V113" t="str">
            <v>ارسال شده</v>
          </cell>
          <cell r="W113" t="str">
            <v>0 12</v>
          </cell>
          <cell r="X113" t="str">
            <v>69 91518</v>
          </cell>
          <cell r="Y113" t="str">
            <v>29-07-07 20-08-0725-12-07</v>
          </cell>
          <cell r="Z113" t="str">
            <v>F-0114         F-172</v>
          </cell>
          <cell r="AA113" t="str">
            <v>02-08-07 23-08-07</v>
          </cell>
          <cell r="AG113" t="str">
            <v>KRPC</v>
          </cell>
          <cell r="AH113" t="str">
            <v>x</v>
          </cell>
          <cell r="AI113" t="str">
            <v>x</v>
          </cell>
          <cell r="AJ113" t="str">
            <v>x</v>
          </cell>
          <cell r="AL113" t="str">
            <v/>
          </cell>
          <cell r="AM113">
            <v>0.75</v>
          </cell>
          <cell r="AN113">
            <v>5.2499999999999997E-4</v>
          </cell>
          <cell r="AO113" t="str">
            <v>T</v>
          </cell>
          <cell r="AQ113">
            <v>1.1454E-4</v>
          </cell>
          <cell r="AR113">
            <v>5.2499999999999997E-4</v>
          </cell>
          <cell r="AS113">
            <v>45</v>
          </cell>
          <cell r="AT113">
            <v>60</v>
          </cell>
          <cell r="AU113">
            <v>75</v>
          </cell>
          <cell r="AV113">
            <v>0</v>
          </cell>
          <cell r="AW113">
            <v>0</v>
          </cell>
          <cell r="AX113">
            <v>75</v>
          </cell>
        </row>
        <row r="114">
          <cell r="C114" t="str">
            <v>DSH</v>
          </cell>
          <cell r="H114" t="str">
            <v>10-97-DSH-ME-0008</v>
          </cell>
          <cell r="I114" t="str">
            <v xml:space="preserve">Data Sheet for Propylene Storage Tank </v>
          </cell>
          <cell r="N114">
            <v>2.3E-2</v>
          </cell>
          <cell r="P114">
            <v>1.5271999999999999E-4</v>
          </cell>
          <cell r="R114">
            <v>6.9999999999999999E-4</v>
          </cell>
          <cell r="V114" t="str">
            <v>ارسال شده</v>
          </cell>
          <cell r="W114" t="str">
            <v>0 12</v>
          </cell>
          <cell r="X114" t="str">
            <v>69 91519</v>
          </cell>
          <cell r="Y114" t="str">
            <v>29-07-07 20-08-0725-12-07</v>
          </cell>
          <cell r="Z114" t="str">
            <v>F-0114         F-172</v>
          </cell>
          <cell r="AA114" t="str">
            <v>02-08-07 23-08-07</v>
          </cell>
          <cell r="AG114" t="str">
            <v>KRPC</v>
          </cell>
          <cell r="AH114" t="str">
            <v>x</v>
          </cell>
          <cell r="AI114" t="str">
            <v>x</v>
          </cell>
          <cell r="AJ114" t="str">
            <v>x</v>
          </cell>
          <cell r="AL114" t="str">
            <v/>
          </cell>
          <cell r="AM114">
            <v>0.75</v>
          </cell>
          <cell r="AN114">
            <v>5.2499999999999997E-4</v>
          </cell>
          <cell r="AO114" t="str">
            <v>T</v>
          </cell>
          <cell r="AQ114">
            <v>1.1454E-4</v>
          </cell>
          <cell r="AR114">
            <v>5.2499999999999997E-4</v>
          </cell>
          <cell r="AS114">
            <v>45</v>
          </cell>
          <cell r="AT114">
            <v>60</v>
          </cell>
          <cell r="AU114">
            <v>75</v>
          </cell>
          <cell r="AV114">
            <v>0</v>
          </cell>
          <cell r="AW114">
            <v>0</v>
          </cell>
          <cell r="AX114">
            <v>75</v>
          </cell>
        </row>
        <row r="115">
          <cell r="C115" t="str">
            <v>DSH</v>
          </cell>
          <cell r="H115" t="str">
            <v>10-95-DSH-ME-0010</v>
          </cell>
          <cell r="I115" t="str">
            <v>Data Sheet for Fuel Gas Drum</v>
          </cell>
          <cell r="N115">
            <v>2.3E-2</v>
          </cell>
          <cell r="P115">
            <v>1.5271999999999999E-4</v>
          </cell>
          <cell r="R115">
            <v>6.9999999999999999E-4</v>
          </cell>
          <cell r="V115" t="str">
            <v>ارسال شده</v>
          </cell>
          <cell r="W115" t="str">
            <v>01</v>
          </cell>
          <cell r="X115" t="str">
            <v>123456</v>
          </cell>
          <cell r="Y115" t="str">
            <v>01-10-0711-12-07</v>
          </cell>
          <cell r="AG115" t="str">
            <v>KRPC</v>
          </cell>
          <cell r="AH115" t="str">
            <v>x</v>
          </cell>
          <cell r="AI115" t="str">
            <v>x</v>
          </cell>
          <cell r="AJ115" t="str">
            <v/>
          </cell>
          <cell r="AL115" t="str">
            <v/>
          </cell>
          <cell r="AM115">
            <v>0.6</v>
          </cell>
          <cell r="AN115">
            <v>4.1999999999999996E-4</v>
          </cell>
          <cell r="AQ115">
            <v>9.1631999999999993E-5</v>
          </cell>
          <cell r="AR115">
            <v>4.1999999999999996E-4</v>
          </cell>
          <cell r="AS115">
            <v>45</v>
          </cell>
          <cell r="AT115">
            <v>60</v>
          </cell>
          <cell r="AU115">
            <v>0</v>
          </cell>
          <cell r="AV115">
            <v>0</v>
          </cell>
          <cell r="AW115">
            <v>0</v>
          </cell>
          <cell r="AX115">
            <v>60</v>
          </cell>
        </row>
        <row r="116">
          <cell r="C116" t="str">
            <v>SPC</v>
          </cell>
          <cell r="H116" t="str">
            <v>10-10-ESS-ME-0005</v>
          </cell>
          <cell r="I116" t="str">
            <v>Specification for Plate Heat Exchanger for Water Service</v>
          </cell>
          <cell r="N116">
            <v>2.3E-2</v>
          </cell>
          <cell r="P116">
            <v>1.5271999999999999E-4</v>
          </cell>
          <cell r="R116">
            <v>0</v>
          </cell>
          <cell r="V116" t="str">
            <v>ارسال شده</v>
          </cell>
          <cell r="W116">
            <v>0</v>
          </cell>
          <cell r="X116">
            <v>22</v>
          </cell>
          <cell r="Y116" t="str">
            <v>14-06-07</v>
          </cell>
          <cell r="Z116" t="str">
            <v>F-0026</v>
          </cell>
          <cell r="AA116" t="str">
            <v>30-06-07</v>
          </cell>
          <cell r="AG116" t="str">
            <v>GBT</v>
          </cell>
          <cell r="AH116" t="str">
            <v>x</v>
          </cell>
          <cell r="AJ116" t="str">
            <v/>
          </cell>
          <cell r="AL116" t="str">
            <v/>
          </cell>
          <cell r="AM116">
            <v>0.45</v>
          </cell>
          <cell r="AN116">
            <v>0</v>
          </cell>
          <cell r="AQ116">
            <v>6.8724000000000001E-5</v>
          </cell>
          <cell r="AR116">
            <v>0</v>
          </cell>
          <cell r="AS116">
            <v>45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45</v>
          </cell>
        </row>
        <row r="117">
          <cell r="G117" t="str">
            <v>Rotary Equipment</v>
          </cell>
          <cell r="M117">
            <v>3.5000000000000003E-2</v>
          </cell>
          <cell r="N117">
            <v>0.99999999999999989</v>
          </cell>
          <cell r="P117">
            <v>1.4000000000000002E-3</v>
          </cell>
          <cell r="R117">
            <v>5.4299999999999999E-3</v>
          </cell>
          <cell r="T117" t="str">
            <v>.</v>
          </cell>
          <cell r="U117" t="str">
            <v>.</v>
          </cell>
          <cell r="V117" t="str">
            <v>.</v>
          </cell>
          <cell r="AG117" t="str">
            <v>.</v>
          </cell>
          <cell r="AM117">
            <v>1.8524999999999996</v>
          </cell>
          <cell r="AN117">
            <v>2.5934999999999999E-3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C118" t="str">
            <v>SPC</v>
          </cell>
          <cell r="H118" t="str">
            <v>10-XX-ESS-RE-0001</v>
          </cell>
          <cell r="I118" t="str">
            <v>Specification for  Agitators (Mixers)</v>
          </cell>
          <cell r="N118">
            <v>0.114</v>
          </cell>
          <cell r="P118">
            <v>1.5960000000000003E-4</v>
          </cell>
          <cell r="R118">
            <v>8.9999999999999998E-4</v>
          </cell>
          <cell r="V118" t="str">
            <v>ارسال شده</v>
          </cell>
          <cell r="W118">
            <v>0</v>
          </cell>
          <cell r="X118">
            <v>253</v>
          </cell>
          <cell r="Y118" t="str">
            <v>03-11-07</v>
          </cell>
          <cell r="Z118" t="str">
            <v>F-0313</v>
          </cell>
          <cell r="AA118" t="str">
            <v>15-11-07</v>
          </cell>
          <cell r="AG118" t="str">
            <v>GBT</v>
          </cell>
          <cell r="AH118" t="str">
            <v>x</v>
          </cell>
          <cell r="AJ118" t="str">
            <v/>
          </cell>
          <cell r="AL118" t="str">
            <v/>
          </cell>
          <cell r="AM118">
            <v>0.45</v>
          </cell>
          <cell r="AN118">
            <v>4.0499999999999998E-4</v>
          </cell>
          <cell r="AQ118">
            <v>7.1820000000000014E-5</v>
          </cell>
          <cell r="AR118">
            <v>4.0499999999999998E-4</v>
          </cell>
          <cell r="AS118">
            <v>45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45</v>
          </cell>
        </row>
        <row r="119">
          <cell r="C119" t="str">
            <v>SPC</v>
          </cell>
          <cell r="H119" t="str">
            <v>10-XX-ESS-RE-0002</v>
          </cell>
          <cell r="I119" t="str">
            <v>Specification for Centrifugal Pumps For General Refinery Services (API 610)</v>
          </cell>
          <cell r="N119">
            <v>0.22</v>
          </cell>
          <cell r="P119">
            <v>3.0800000000000006E-4</v>
          </cell>
          <cell r="R119">
            <v>1E-3</v>
          </cell>
          <cell r="V119" t="str">
            <v>ارسال شده</v>
          </cell>
          <cell r="W119" t="str">
            <v>01</v>
          </cell>
          <cell r="X119" t="str">
            <v>20322</v>
          </cell>
          <cell r="Y119" t="str">
            <v>13-06-0717-11-07</v>
          </cell>
          <cell r="Z119" t="str">
            <v>F-0077F-0430</v>
          </cell>
          <cell r="AA119" t="str">
            <v>17-07-0702-12-07</v>
          </cell>
          <cell r="AG119" t="str">
            <v>GBT</v>
          </cell>
          <cell r="AH119" t="str">
            <v>x</v>
          </cell>
          <cell r="AI119" t="str">
            <v>x</v>
          </cell>
          <cell r="AJ119" t="str">
            <v/>
          </cell>
          <cell r="AL119" t="str">
            <v/>
          </cell>
          <cell r="AM119">
            <v>0.6</v>
          </cell>
          <cell r="AN119">
            <v>5.9999999999999995E-4</v>
          </cell>
          <cell r="AO119" t="str">
            <v>F-0077 dtd. 17-07-07</v>
          </cell>
          <cell r="AQ119">
            <v>1.8480000000000002E-4</v>
          </cell>
          <cell r="AR119">
            <v>5.9999999999999995E-4</v>
          </cell>
          <cell r="AS119">
            <v>45</v>
          </cell>
          <cell r="AT119">
            <v>60</v>
          </cell>
          <cell r="AU119">
            <v>0</v>
          </cell>
          <cell r="AV119">
            <v>0</v>
          </cell>
          <cell r="AW119">
            <v>0</v>
          </cell>
          <cell r="AX119">
            <v>60</v>
          </cell>
        </row>
        <row r="120">
          <cell r="C120" t="str">
            <v>SPC</v>
          </cell>
          <cell r="H120" t="str">
            <v>10-XX-ESS-RE-0003</v>
          </cell>
          <cell r="I120" t="str">
            <v>Specification for Positive Displacement Pumps-control Led Volume (API 675)</v>
          </cell>
          <cell r="N120">
            <v>0.113</v>
          </cell>
          <cell r="P120">
            <v>1.5820000000000002E-4</v>
          </cell>
          <cell r="R120">
            <v>8.9999999999999998E-4</v>
          </cell>
          <cell r="V120" t="str">
            <v>ارسال شده</v>
          </cell>
          <cell r="W120">
            <v>0</v>
          </cell>
          <cell r="X120">
            <v>254</v>
          </cell>
          <cell r="Y120" t="str">
            <v>03-11-07</v>
          </cell>
          <cell r="Z120" t="str">
            <v>F-0367</v>
          </cell>
          <cell r="AA120" t="str">
            <v>22-11-07</v>
          </cell>
          <cell r="AG120" t="str">
            <v>GBT</v>
          </cell>
          <cell r="AH120" t="str">
            <v>x</v>
          </cell>
          <cell r="AJ120" t="str">
            <v/>
          </cell>
          <cell r="AL120" t="str">
            <v/>
          </cell>
          <cell r="AM120">
            <v>0.45</v>
          </cell>
          <cell r="AN120">
            <v>4.0499999999999998E-4</v>
          </cell>
          <cell r="AQ120">
            <v>7.1190000000000015E-5</v>
          </cell>
          <cell r="AR120">
            <v>4.0499999999999998E-4</v>
          </cell>
          <cell r="AS120">
            <v>45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45</v>
          </cell>
        </row>
        <row r="121">
          <cell r="C121" t="str">
            <v>SPC</v>
          </cell>
          <cell r="H121" t="str">
            <v>10-XX-ESS-RE-0004</v>
          </cell>
          <cell r="I121" t="str">
            <v>Specification for Positive Displacement Rotary Pump (API 676)</v>
          </cell>
          <cell r="N121">
            <v>0.18</v>
          </cell>
          <cell r="P121">
            <v>2.5200000000000005E-4</v>
          </cell>
          <cell r="R121">
            <v>8.9999999999999998E-4</v>
          </cell>
          <cell r="V121" t="str">
            <v>ارسال شده</v>
          </cell>
          <cell r="W121">
            <v>0</v>
          </cell>
          <cell r="X121">
            <v>252</v>
          </cell>
          <cell r="Y121" t="str">
            <v>03-11-07</v>
          </cell>
          <cell r="Z121" t="str">
            <v>F-0317</v>
          </cell>
          <cell r="AA121" t="str">
            <v>17-11-07</v>
          </cell>
          <cell r="AG121" t="str">
            <v>GBT</v>
          </cell>
          <cell r="AH121" t="str">
            <v>x</v>
          </cell>
          <cell r="AJ121" t="str">
            <v/>
          </cell>
          <cell r="AL121" t="str">
            <v/>
          </cell>
          <cell r="AM121">
            <v>0.45</v>
          </cell>
          <cell r="AN121">
            <v>4.0499999999999998E-4</v>
          </cell>
          <cell r="AQ121">
            <v>1.1340000000000003E-4</v>
          </cell>
          <cell r="AR121">
            <v>4.0499999999999998E-4</v>
          </cell>
          <cell r="AS121">
            <v>45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45</v>
          </cell>
        </row>
        <row r="122">
          <cell r="C122" t="str">
            <v>SPC</v>
          </cell>
          <cell r="H122" t="str">
            <v>10-XX-ESS-RE-0005</v>
          </cell>
          <cell r="I122" t="str">
            <v>Specification for Fan &amp; Blower</v>
          </cell>
          <cell r="N122">
            <v>0.18</v>
          </cell>
          <cell r="P122">
            <v>2.5200000000000005E-4</v>
          </cell>
          <cell r="R122">
            <v>8.9999999999999998E-4</v>
          </cell>
          <cell r="V122" t="str">
            <v>ارسال شده</v>
          </cell>
          <cell r="W122">
            <v>0</v>
          </cell>
          <cell r="X122">
            <v>255</v>
          </cell>
          <cell r="Y122" t="str">
            <v>03-11-07</v>
          </cell>
          <cell r="Z122" t="str">
            <v>F-0310</v>
          </cell>
          <cell r="AA122" t="str">
            <v>15-11-07</v>
          </cell>
          <cell r="AG122" t="str">
            <v>GBT</v>
          </cell>
          <cell r="AH122" t="str">
            <v>x</v>
          </cell>
          <cell r="AJ122" t="str">
            <v/>
          </cell>
          <cell r="AL122" t="str">
            <v/>
          </cell>
          <cell r="AM122">
            <v>0.45</v>
          </cell>
          <cell r="AN122">
            <v>4.0499999999999998E-4</v>
          </cell>
          <cell r="AQ122">
            <v>1.1340000000000003E-4</v>
          </cell>
          <cell r="AR122">
            <v>4.0499999999999998E-4</v>
          </cell>
          <cell r="AS122">
            <v>45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45</v>
          </cell>
        </row>
        <row r="123">
          <cell r="C123" t="str">
            <v>SPC</v>
          </cell>
          <cell r="H123" t="str">
            <v>10-XX-ESS-RE-0006</v>
          </cell>
          <cell r="I123" t="str">
            <v>Specification for Pumps for Water Service</v>
          </cell>
          <cell r="N123">
            <v>0.113</v>
          </cell>
          <cell r="P123">
            <v>1.5820000000000002E-4</v>
          </cell>
          <cell r="S123" t="str">
            <v>Delete</v>
          </cell>
          <cell r="V123" t="str">
            <v>ارسال شده</v>
          </cell>
          <cell r="W123">
            <v>0</v>
          </cell>
          <cell r="X123">
            <v>22</v>
          </cell>
          <cell r="Y123" t="str">
            <v>14-06-07</v>
          </cell>
          <cell r="Z123" t="str">
            <v>F-0026</v>
          </cell>
          <cell r="AA123" t="str">
            <v>30-06-07</v>
          </cell>
          <cell r="AG123" t="str">
            <v>GBT</v>
          </cell>
          <cell r="AH123" t="str">
            <v>x</v>
          </cell>
          <cell r="AJ123" t="str">
            <v/>
          </cell>
          <cell r="AL123" t="str">
            <v/>
          </cell>
          <cell r="AM123">
            <v>0.45</v>
          </cell>
          <cell r="AN123">
            <v>0</v>
          </cell>
          <cell r="AO123" t="str">
            <v>اين مدرك با مدرك پاييني در Revision جديد يك مدرك شده است</v>
          </cell>
          <cell r="AQ123">
            <v>7.1190000000000015E-5</v>
          </cell>
          <cell r="AR123">
            <v>0</v>
          </cell>
          <cell r="AS123">
            <v>45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45</v>
          </cell>
        </row>
        <row r="124">
          <cell r="C124" t="str">
            <v>SPC</v>
          </cell>
          <cell r="H124" t="str">
            <v>10-XX-ESS-RE-0007</v>
          </cell>
          <cell r="I124" t="str">
            <v>Specification for Centrifuge Pumps for Water General Services</v>
          </cell>
          <cell r="N124">
            <v>0.08</v>
          </cell>
          <cell r="P124">
            <v>1.1200000000000001E-4</v>
          </cell>
          <cell r="R124">
            <v>8.3000000000000001E-4</v>
          </cell>
          <cell r="V124" t="str">
            <v>ارسال شده</v>
          </cell>
          <cell r="W124">
            <v>0</v>
          </cell>
          <cell r="X124">
            <v>95</v>
          </cell>
          <cell r="Y124" t="str">
            <v>05-09-07</v>
          </cell>
          <cell r="Z124" t="str">
            <v>F-0210</v>
          </cell>
          <cell r="AA124" t="str">
            <v>11-10-07</v>
          </cell>
          <cell r="AG124" t="str">
            <v>GBT</v>
          </cell>
          <cell r="AH124" t="str">
            <v>x</v>
          </cell>
          <cell r="AM124">
            <v>0.45</v>
          </cell>
          <cell r="AN124">
            <v>3.7350000000000003E-4</v>
          </cell>
          <cell r="AQ124">
            <v>5.0400000000000005E-5</v>
          </cell>
          <cell r="AR124">
            <v>3.7350000000000003E-4</v>
          </cell>
          <cell r="AS124">
            <v>45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45</v>
          </cell>
        </row>
        <row r="125">
          <cell r="G125" t="str">
            <v>Steam &amp; Condensate System</v>
          </cell>
          <cell r="M125">
            <v>0.38</v>
          </cell>
          <cell r="N125">
            <v>0.56859999999999999</v>
          </cell>
          <cell r="P125">
            <v>1.5200000000000003E-2</v>
          </cell>
          <cell r="R125">
            <v>6.6E-3</v>
          </cell>
          <cell r="T125" t="str">
            <v>.</v>
          </cell>
          <cell r="U125" t="str">
            <v>.</v>
          </cell>
          <cell r="V125" t="str">
            <v>.</v>
          </cell>
          <cell r="AG125" t="str">
            <v>.</v>
          </cell>
          <cell r="AM125">
            <v>0.2348684210526315</v>
          </cell>
          <cell r="AN125">
            <v>3.5699999999999998E-3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C126" t="str">
            <v>SPC</v>
          </cell>
          <cell r="H126" t="str">
            <v>10-10-ESS-HM-0001</v>
          </cell>
          <cell r="I126" t="str">
            <v xml:space="preserve"> Fired Boiler Specification for Water Tube Boiler (HPS &amp; HHPS)</v>
          </cell>
          <cell r="N126">
            <v>0.28570000000000001</v>
          </cell>
          <cell r="P126">
            <v>4.3426400000000009E-3</v>
          </cell>
          <cell r="R126">
            <v>4.0000000000000001E-3</v>
          </cell>
          <cell r="V126" t="str">
            <v>ارسال شده</v>
          </cell>
          <cell r="W126" t="str">
            <v>0 1</v>
          </cell>
          <cell r="X126" t="str">
            <v>24 70</v>
          </cell>
          <cell r="Y126" t="str">
            <v>14-06-07 01-08-07</v>
          </cell>
          <cell r="Z126" t="str">
            <v>F-0055         F-0127</v>
          </cell>
          <cell r="AA126" t="str">
            <v>08-07-07 06-08-07</v>
          </cell>
          <cell r="AG126" t="str">
            <v>GBT</v>
          </cell>
          <cell r="AH126" t="str">
            <v>x</v>
          </cell>
          <cell r="AI126" t="str">
            <v>x</v>
          </cell>
          <cell r="AJ126" t="str">
            <v/>
          </cell>
          <cell r="AL126" t="str">
            <v/>
          </cell>
          <cell r="AM126">
            <v>0.6</v>
          </cell>
          <cell r="AN126">
            <v>2.3999999999999998E-3</v>
          </cell>
          <cell r="AQ126">
            <v>2.6055840000000006E-3</v>
          </cell>
          <cell r="AR126">
            <v>2.3999999999999998E-3</v>
          </cell>
          <cell r="AS126">
            <v>45</v>
          </cell>
          <cell r="AT126">
            <v>60</v>
          </cell>
          <cell r="AU126">
            <v>0</v>
          </cell>
          <cell r="AV126">
            <v>0</v>
          </cell>
          <cell r="AW126">
            <v>0</v>
          </cell>
          <cell r="AX126">
            <v>60</v>
          </cell>
        </row>
        <row r="127">
          <cell r="C127" t="str">
            <v>SPC</v>
          </cell>
          <cell r="H127" t="str">
            <v>10-10-ESS-MP-0002</v>
          </cell>
          <cell r="I127" t="str">
            <v>Specification for Chemical Injecton Package</v>
          </cell>
          <cell r="N127">
            <v>0.14000000000000001</v>
          </cell>
          <cell r="P127">
            <v>2.1280000000000006E-3</v>
          </cell>
          <cell r="S127" t="str">
            <v>Delete</v>
          </cell>
          <cell r="V127" t="str">
            <v>ارسال شده</v>
          </cell>
          <cell r="W127">
            <v>0</v>
          </cell>
          <cell r="X127">
            <v>20</v>
          </cell>
          <cell r="Y127" t="str">
            <v>13-06-07</v>
          </cell>
          <cell r="Z127" t="str">
            <v>F-0077</v>
          </cell>
          <cell r="AA127" t="str">
            <v>17-07-07</v>
          </cell>
          <cell r="AG127" t="str">
            <v>GBT</v>
          </cell>
          <cell r="AH127" t="str">
            <v>x</v>
          </cell>
          <cell r="AJ127" t="str">
            <v/>
          </cell>
          <cell r="AL127" t="str">
            <v/>
          </cell>
          <cell r="AM127">
            <v>0.45</v>
          </cell>
          <cell r="AN127">
            <v>0</v>
          </cell>
          <cell r="AO127" t="str">
            <v>F-0077 dtd. 17-07-07</v>
          </cell>
          <cell r="AQ127">
            <v>9.5760000000000029E-4</v>
          </cell>
          <cell r="AR127">
            <v>0</v>
          </cell>
          <cell r="AS127">
            <v>45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45</v>
          </cell>
        </row>
        <row r="128">
          <cell r="C128" t="str">
            <v>SPC</v>
          </cell>
          <cell r="H128" t="str">
            <v>10-10-ESS-ME-0003</v>
          </cell>
          <cell r="I128" t="str">
            <v>Duty Specification for Deirator</v>
          </cell>
          <cell r="N128">
            <v>0.1429</v>
          </cell>
          <cell r="P128">
            <v>2.1720800000000003E-3</v>
          </cell>
          <cell r="R128">
            <v>2.5999999999999999E-3</v>
          </cell>
          <cell r="V128" t="str">
            <v>ارسال شده</v>
          </cell>
          <cell r="W128">
            <v>0</v>
          </cell>
          <cell r="X128">
            <v>24</v>
          </cell>
          <cell r="Y128" t="str">
            <v>14-06-07</v>
          </cell>
          <cell r="Z128" t="str">
            <v xml:space="preserve">F-0055         </v>
          </cell>
          <cell r="AA128" t="str">
            <v>08-07-07</v>
          </cell>
          <cell r="AG128" t="str">
            <v>GBT</v>
          </cell>
          <cell r="AH128" t="str">
            <v>x</v>
          </cell>
          <cell r="AJ128" t="str">
            <v/>
          </cell>
          <cell r="AL128" t="str">
            <v/>
          </cell>
          <cell r="AM128">
            <v>0.45</v>
          </cell>
          <cell r="AN128">
            <v>1.17E-3</v>
          </cell>
          <cell r="AQ128">
            <v>9.7743600000000015E-4</v>
          </cell>
          <cell r="AR128">
            <v>1.17E-3</v>
          </cell>
          <cell r="AS128">
            <v>45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45</v>
          </cell>
        </row>
        <row r="129">
          <cell r="G129" t="str">
            <v>Air Separation, Instrument &amp; Plant Air System</v>
          </cell>
          <cell r="M129">
            <v>0.115</v>
          </cell>
          <cell r="N129">
            <v>0.66600000000000004</v>
          </cell>
          <cell r="P129">
            <v>4.6000000000000008E-3</v>
          </cell>
          <cell r="R129">
            <v>2.9299999999999999E-3</v>
          </cell>
          <cell r="T129" t="str">
            <v>.</v>
          </cell>
          <cell r="U129" t="str">
            <v>.</v>
          </cell>
          <cell r="V129" t="str">
            <v>.</v>
          </cell>
          <cell r="AG129" t="str">
            <v>.</v>
          </cell>
          <cell r="AM129">
            <v>0.35510869565217384</v>
          </cell>
          <cell r="AN129">
            <v>1.6335E-3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C130" t="str">
            <v>SPC</v>
          </cell>
          <cell r="H130" t="str">
            <v>10-40-ESS-PA-0002</v>
          </cell>
          <cell r="I130" t="str">
            <v>Specification for Packaged air Compressor</v>
          </cell>
          <cell r="N130">
            <v>0.33200000000000002</v>
          </cell>
          <cell r="P130">
            <v>1.5272000000000003E-3</v>
          </cell>
          <cell r="R130">
            <v>1.1999999999999999E-3</v>
          </cell>
          <cell r="V130" t="str">
            <v>ارسال شده</v>
          </cell>
          <cell r="W130" t="str">
            <v>01</v>
          </cell>
          <cell r="X130" t="str">
            <v>20202</v>
          </cell>
          <cell r="Y130" t="str">
            <v>13-06-0728-10-07</v>
          </cell>
          <cell r="Z130" t="str">
            <v>F-0077F-0265</v>
          </cell>
          <cell r="AA130" t="str">
            <v>17-07-0703-11-07</v>
          </cell>
          <cell r="AG130" t="str">
            <v>GBT</v>
          </cell>
          <cell r="AH130" t="str">
            <v>x</v>
          </cell>
          <cell r="AI130" t="str">
            <v>x</v>
          </cell>
          <cell r="AJ130" t="str">
            <v/>
          </cell>
          <cell r="AL130" t="str">
            <v/>
          </cell>
          <cell r="AM130">
            <v>0.6</v>
          </cell>
          <cell r="AN130">
            <v>7.1999999999999994E-4</v>
          </cell>
          <cell r="AO130" t="str">
            <v>F-0077 dtd. 17-07-07</v>
          </cell>
          <cell r="AQ130">
            <v>9.1632000000000009E-4</v>
          </cell>
          <cell r="AR130">
            <v>7.1999999999999994E-4</v>
          </cell>
          <cell r="AS130">
            <v>45</v>
          </cell>
          <cell r="AT130">
            <v>60</v>
          </cell>
          <cell r="AU130">
            <v>0</v>
          </cell>
          <cell r="AV130">
            <v>0</v>
          </cell>
          <cell r="AW130">
            <v>0</v>
          </cell>
          <cell r="AX130">
            <v>60</v>
          </cell>
        </row>
        <row r="131">
          <cell r="C131" t="str">
            <v>SPC</v>
          </cell>
          <cell r="H131" t="str">
            <v> 10-40-ESS-ME-0001 </v>
          </cell>
          <cell r="I131" t="str">
            <v xml:space="preserve">Specification for Air Dryer </v>
          </cell>
          <cell r="N131">
            <v>0.16700000000000001</v>
          </cell>
          <cell r="P131">
            <v>7.6820000000000013E-4</v>
          </cell>
          <cell r="R131">
            <v>8.9999999999999998E-4</v>
          </cell>
          <cell r="V131" t="str">
            <v>ارسال شده</v>
          </cell>
          <cell r="W131" t="str">
            <v>01</v>
          </cell>
          <cell r="X131" t="str">
            <v>20203</v>
          </cell>
          <cell r="Y131" t="str">
            <v>13-06-0728-10-07</v>
          </cell>
          <cell r="Z131" t="str">
            <v>F-0077F-0314</v>
          </cell>
          <cell r="AA131" t="str">
            <v>17-07-0715-11-07</v>
          </cell>
          <cell r="AG131" t="str">
            <v>GBT</v>
          </cell>
          <cell r="AH131" t="str">
            <v>x</v>
          </cell>
          <cell r="AI131" t="str">
            <v>x</v>
          </cell>
          <cell r="AJ131" t="str">
            <v/>
          </cell>
          <cell r="AL131" t="str">
            <v/>
          </cell>
          <cell r="AM131">
            <v>0.6</v>
          </cell>
          <cell r="AN131">
            <v>5.4000000000000001E-4</v>
          </cell>
          <cell r="AO131" t="str">
            <v>F-0077 dtd. 17-07-07</v>
          </cell>
          <cell r="AQ131">
            <v>4.6092000000000008E-4</v>
          </cell>
          <cell r="AR131">
            <v>5.4000000000000001E-4</v>
          </cell>
          <cell r="AS131">
            <v>45</v>
          </cell>
          <cell r="AT131">
            <v>60</v>
          </cell>
          <cell r="AU131">
            <v>0</v>
          </cell>
          <cell r="AV131">
            <v>0</v>
          </cell>
          <cell r="AW131">
            <v>0</v>
          </cell>
          <cell r="AX131">
            <v>60</v>
          </cell>
        </row>
        <row r="132">
          <cell r="C132" t="str">
            <v>SPC</v>
          </cell>
          <cell r="H132" t="str">
            <v>10-40-ESS-ME-0002</v>
          </cell>
          <cell r="I132" t="str">
            <v>Specification for Reciprocating Air Compressor</v>
          </cell>
          <cell r="N132">
            <v>0.16700000000000001</v>
          </cell>
          <cell r="P132">
            <v>7.6820000000000013E-4</v>
          </cell>
          <cell r="R132">
            <v>8.3000000000000001E-4</v>
          </cell>
          <cell r="V132" t="str">
            <v>ارسال شده</v>
          </cell>
          <cell r="W132">
            <v>0</v>
          </cell>
          <cell r="X132">
            <v>20</v>
          </cell>
          <cell r="Y132" t="str">
            <v>13-06-07</v>
          </cell>
          <cell r="Z132" t="str">
            <v>F-0077</v>
          </cell>
          <cell r="AA132" t="str">
            <v>17-07-07</v>
          </cell>
          <cell r="AG132" t="str">
            <v>GBT</v>
          </cell>
          <cell r="AH132" t="str">
            <v>x</v>
          </cell>
          <cell r="AJ132" t="str">
            <v/>
          </cell>
          <cell r="AL132" t="str">
            <v/>
          </cell>
          <cell r="AM132">
            <v>0.45</v>
          </cell>
          <cell r="AN132">
            <v>3.7350000000000003E-4</v>
          </cell>
          <cell r="AO132" t="str">
            <v>F-0077 dtd. 17-07-07</v>
          </cell>
          <cell r="AQ132">
            <v>3.4569000000000006E-4</v>
          </cell>
          <cell r="AR132">
            <v>3.7350000000000003E-4</v>
          </cell>
          <cell r="AS132">
            <v>45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45</v>
          </cell>
        </row>
        <row r="133">
          <cell r="G133" t="str">
            <v>Cooling Water System</v>
          </cell>
          <cell r="M133">
            <v>0.04</v>
          </cell>
          <cell r="N133" t="e">
            <v>#REF!</v>
          </cell>
          <cell r="P133">
            <v>1.6000000000000001E-3</v>
          </cell>
          <cell r="R133">
            <v>8.9999999999999998E-4</v>
          </cell>
          <cell r="T133" t="str">
            <v>.</v>
          </cell>
          <cell r="U133" t="str">
            <v>.</v>
          </cell>
          <cell r="V133" t="str">
            <v>.</v>
          </cell>
          <cell r="AG133" t="str">
            <v>.</v>
          </cell>
          <cell r="AM133">
            <v>0.33749999999999997</v>
          </cell>
          <cell r="AN133">
            <v>5.4000000000000001E-4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</row>
        <row r="134">
          <cell r="C134" t="str">
            <v>SPC</v>
          </cell>
          <cell r="H134" t="str">
            <v>10-70-ESS-ME-0005</v>
          </cell>
          <cell r="I134" t="str">
            <v xml:space="preserve">Cooling Tower Specification </v>
          </cell>
          <cell r="N134">
            <v>0.5</v>
          </cell>
          <cell r="P134">
            <v>8.0000000000000004E-4</v>
          </cell>
          <cell r="R134">
            <v>8.9999999999999998E-4</v>
          </cell>
          <cell r="V134" t="str">
            <v>ارسال شده</v>
          </cell>
          <cell r="W134" t="str">
            <v>01</v>
          </cell>
          <cell r="X134" t="str">
            <v>22282</v>
          </cell>
          <cell r="Y134" t="str">
            <v>14-06-0707-11-07</v>
          </cell>
          <cell r="Z134" t="str">
            <v>F-0026F-0297</v>
          </cell>
          <cell r="AA134" t="str">
            <v>30-06-0712-11-07</v>
          </cell>
          <cell r="AG134" t="str">
            <v>GBT</v>
          </cell>
          <cell r="AH134" t="str">
            <v>x</v>
          </cell>
          <cell r="AI134" t="str">
            <v>x</v>
          </cell>
          <cell r="AJ134" t="str">
            <v/>
          </cell>
          <cell r="AL134" t="str">
            <v/>
          </cell>
          <cell r="AM134">
            <v>0.6</v>
          </cell>
          <cell r="AN134">
            <v>5.4000000000000001E-4</v>
          </cell>
          <cell r="AQ134">
            <v>4.8000000000000001E-4</v>
          </cell>
          <cell r="AR134">
            <v>5.4000000000000001E-4</v>
          </cell>
          <cell r="AS134">
            <v>45</v>
          </cell>
          <cell r="AT134">
            <v>60</v>
          </cell>
          <cell r="AU134">
            <v>0</v>
          </cell>
          <cell r="AV134">
            <v>0</v>
          </cell>
          <cell r="AW134">
            <v>0</v>
          </cell>
          <cell r="AX134">
            <v>60</v>
          </cell>
        </row>
        <row r="135">
          <cell r="G135" t="str">
            <v>Fire Fighting System</v>
          </cell>
          <cell r="M135">
            <v>0.02</v>
          </cell>
          <cell r="N135" t="e">
            <v>#REF!</v>
          </cell>
          <cell r="P135">
            <v>8.0000000000000004E-4</v>
          </cell>
          <cell r="R135">
            <v>8.3000000000000001E-4</v>
          </cell>
          <cell r="T135" t="str">
            <v>.</v>
          </cell>
          <cell r="U135" t="str">
            <v>.</v>
          </cell>
          <cell r="V135" t="str">
            <v>.</v>
          </cell>
          <cell r="AG135" t="str">
            <v>.</v>
          </cell>
          <cell r="AM135">
            <v>0.62249999999999994</v>
          </cell>
          <cell r="AN135">
            <v>4.9799999999999996E-4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C136" t="str">
            <v>SPC</v>
          </cell>
          <cell r="H136" t="str">
            <v>10-80-ESS-RE-0007   </v>
          </cell>
          <cell r="I136" t="str">
            <v>Specification for Fire Water Pump</v>
          </cell>
          <cell r="N136">
            <v>0.4</v>
          </cell>
          <cell r="P136">
            <v>3.2000000000000003E-4</v>
          </cell>
          <cell r="R136">
            <v>8.3000000000000001E-4</v>
          </cell>
          <cell r="V136" t="str">
            <v>ارسال شده</v>
          </cell>
          <cell r="W136" t="str">
            <v>01</v>
          </cell>
          <cell r="X136" t="str">
            <v>25256</v>
          </cell>
          <cell r="Y136" t="str">
            <v>16-06-0703-11-07</v>
          </cell>
          <cell r="Z136" t="str">
            <v>F-0077F-0389</v>
          </cell>
          <cell r="AA136" t="str">
            <v>17-07-0722-11-07</v>
          </cell>
          <cell r="AG136" t="str">
            <v>GBT</v>
          </cell>
          <cell r="AH136" t="str">
            <v>x</v>
          </cell>
          <cell r="AI136" t="str">
            <v>x</v>
          </cell>
          <cell r="AJ136" t="str">
            <v/>
          </cell>
          <cell r="AL136" t="str">
            <v/>
          </cell>
          <cell r="AM136">
            <v>0.6</v>
          </cell>
          <cell r="AN136">
            <v>4.9799999999999996E-4</v>
          </cell>
          <cell r="AO136" t="str">
            <v>F-0077 dtd. 17-07-07</v>
          </cell>
          <cell r="AQ136">
            <v>1.92E-4</v>
          </cell>
          <cell r="AR136">
            <v>4.9799999999999996E-4</v>
          </cell>
          <cell r="AS136">
            <v>45</v>
          </cell>
          <cell r="AT136">
            <v>60</v>
          </cell>
          <cell r="AU136">
            <v>0</v>
          </cell>
          <cell r="AV136">
            <v>0</v>
          </cell>
          <cell r="AW136">
            <v>0</v>
          </cell>
          <cell r="AX136">
            <v>60</v>
          </cell>
        </row>
        <row r="137">
          <cell r="G137" t="str">
            <v>Diesel Generator Package</v>
          </cell>
          <cell r="M137">
            <v>0.03</v>
          </cell>
          <cell r="N137">
            <v>1</v>
          </cell>
          <cell r="P137">
            <v>1.2000000000000001E-3</v>
          </cell>
          <cell r="R137">
            <v>8.3000000000000001E-4</v>
          </cell>
          <cell r="T137" t="str">
            <v>.</v>
          </cell>
          <cell r="U137" t="str">
            <v>.</v>
          </cell>
          <cell r="V137" t="str">
            <v>.</v>
          </cell>
          <cell r="AG137" t="str">
            <v>.</v>
          </cell>
          <cell r="AM137">
            <v>0.41499999999999992</v>
          </cell>
          <cell r="AN137">
            <v>4.9799999999999996E-4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</row>
        <row r="138">
          <cell r="C138" t="str">
            <v>SPC</v>
          </cell>
          <cell r="H138" t="str">
            <v>10-XX-ESS-MP-0001</v>
          </cell>
          <cell r="I138" t="str">
            <v xml:space="preserve">Specification Diesel Engine </v>
          </cell>
          <cell r="N138">
            <v>1</v>
          </cell>
          <cell r="P138">
            <v>1.2000000000000001E-3</v>
          </cell>
          <cell r="R138">
            <v>8.3000000000000001E-4</v>
          </cell>
          <cell r="V138" t="str">
            <v>ارسال شده</v>
          </cell>
          <cell r="W138" t="str">
            <v>01</v>
          </cell>
          <cell r="X138" t="str">
            <v>24257</v>
          </cell>
          <cell r="Y138" t="str">
            <v>14-06-0703-11-07</v>
          </cell>
          <cell r="Z138" t="str">
            <v xml:space="preserve">F-0055  F-0402       </v>
          </cell>
          <cell r="AA138" t="str">
            <v>08-07-0729-11-07</v>
          </cell>
          <cell r="AG138" t="str">
            <v>GBT</v>
          </cell>
          <cell r="AH138" t="str">
            <v>x</v>
          </cell>
          <cell r="AI138" t="str">
            <v>x</v>
          </cell>
          <cell r="AJ138" t="str">
            <v/>
          </cell>
          <cell r="AL138" t="str">
            <v/>
          </cell>
          <cell r="AM138">
            <v>0.6</v>
          </cell>
          <cell r="AN138">
            <v>4.9799999999999996E-4</v>
          </cell>
          <cell r="AQ138">
            <v>7.2000000000000005E-4</v>
          </cell>
          <cell r="AR138">
            <v>4.9799999999999996E-4</v>
          </cell>
          <cell r="AS138">
            <v>45</v>
          </cell>
          <cell r="AT138">
            <v>60</v>
          </cell>
          <cell r="AU138">
            <v>0</v>
          </cell>
          <cell r="AV138">
            <v>0</v>
          </cell>
          <cell r="AW138">
            <v>0</v>
          </cell>
          <cell r="AX138">
            <v>60</v>
          </cell>
        </row>
        <row r="139">
          <cell r="G139" t="str">
            <v>Cranes</v>
          </cell>
          <cell r="M139">
            <v>1.4999999999999999E-2</v>
          </cell>
          <cell r="N139">
            <v>1</v>
          </cell>
          <cell r="P139">
            <v>6.0000000000000006E-4</v>
          </cell>
          <cell r="R139">
            <v>8.3000000000000001E-4</v>
          </cell>
          <cell r="T139" t="str">
            <v>.</v>
          </cell>
          <cell r="U139" t="str">
            <v>.</v>
          </cell>
          <cell r="V139" t="str">
            <v>.</v>
          </cell>
          <cell r="AG139" t="str">
            <v>.</v>
          </cell>
          <cell r="AM139">
            <v>0.62249999999999994</v>
          </cell>
          <cell r="AN139">
            <v>3.7350000000000003E-4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</row>
        <row r="140">
          <cell r="C140" t="str">
            <v>SPC</v>
          </cell>
          <cell r="H140" t="str">
            <v>10-XX-ESS-ME-0011</v>
          </cell>
          <cell r="I140" t="str">
            <v>Specification for  Overhead Traveling Crane</v>
          </cell>
          <cell r="N140">
            <v>1</v>
          </cell>
          <cell r="P140">
            <v>6.0000000000000006E-4</v>
          </cell>
          <cell r="R140">
            <v>8.3000000000000001E-4</v>
          </cell>
          <cell r="V140" t="str">
            <v>ارسال شده</v>
          </cell>
          <cell r="W140">
            <v>0</v>
          </cell>
          <cell r="X140">
            <v>36</v>
          </cell>
          <cell r="Y140" t="str">
            <v>26-06-07</v>
          </cell>
          <cell r="Z140" t="str">
            <v>F-0077</v>
          </cell>
          <cell r="AA140" t="str">
            <v>17-07-07</v>
          </cell>
          <cell r="AG140" t="str">
            <v>GBT</v>
          </cell>
          <cell r="AH140" t="str">
            <v>x</v>
          </cell>
          <cell r="AJ140" t="str">
            <v/>
          </cell>
          <cell r="AL140" t="str">
            <v/>
          </cell>
          <cell r="AM140">
            <v>0.45</v>
          </cell>
          <cell r="AN140">
            <v>3.7350000000000003E-4</v>
          </cell>
          <cell r="AO140" t="str">
            <v>F-0077 dtd. 17-07-07</v>
          </cell>
          <cell r="AQ140">
            <v>2.7000000000000006E-4</v>
          </cell>
          <cell r="AR140">
            <v>3.7350000000000003E-4</v>
          </cell>
          <cell r="AS140">
            <v>45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45</v>
          </cell>
        </row>
        <row r="141">
          <cell r="G141" t="str">
            <v>Flare System</v>
          </cell>
          <cell r="M141">
            <v>0.02</v>
          </cell>
          <cell r="N141" t="e">
            <v>#REF!</v>
          </cell>
          <cell r="P141">
            <v>8.0000000000000004E-4</v>
          </cell>
          <cell r="R141">
            <v>8.4000000000000003E-4</v>
          </cell>
          <cell r="T141" t="str">
            <v>.</v>
          </cell>
          <cell r="U141" t="str">
            <v>.</v>
          </cell>
          <cell r="V141" t="str">
            <v>.</v>
          </cell>
          <cell r="AG141" t="str">
            <v>.</v>
          </cell>
          <cell r="AM141">
            <v>0.63</v>
          </cell>
          <cell r="AN141">
            <v>5.04E-4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C142" t="str">
            <v>SPC</v>
          </cell>
          <cell r="H142" t="str">
            <v>10-90-ESS-ME-0012</v>
          </cell>
          <cell r="I142" t="str">
            <v>Specification for Flare Assemble (Flare stack Ignition Package)</v>
          </cell>
          <cell r="N142">
            <v>0.5</v>
          </cell>
          <cell r="P142">
            <v>4.0000000000000002E-4</v>
          </cell>
          <cell r="R142">
            <v>8.4000000000000003E-4</v>
          </cell>
          <cell r="V142" t="str">
            <v>ارسال شده</v>
          </cell>
          <cell r="W142" t="str">
            <v>0 1</v>
          </cell>
          <cell r="X142" t="str">
            <v>12 127</v>
          </cell>
          <cell r="Y142" t="str">
            <v>22-05-0707-10-07</v>
          </cell>
          <cell r="Z142" t="str">
            <v>F-0012F-245</v>
          </cell>
          <cell r="AA142" t="str">
            <v>13-06-0728-10-07</v>
          </cell>
          <cell r="AG142" t="str">
            <v>GBT</v>
          </cell>
          <cell r="AH142" t="str">
            <v>x</v>
          </cell>
          <cell r="AI142" t="str">
            <v>x</v>
          </cell>
          <cell r="AJ142" t="str">
            <v/>
          </cell>
          <cell r="AL142" t="str">
            <v/>
          </cell>
          <cell r="AM142">
            <v>0.6</v>
          </cell>
          <cell r="AN142">
            <v>5.04E-4</v>
          </cell>
          <cell r="AQ142">
            <v>2.4000000000000001E-4</v>
          </cell>
          <cell r="AR142">
            <v>5.04E-4</v>
          </cell>
          <cell r="AS142">
            <v>45</v>
          </cell>
          <cell r="AT142">
            <v>60</v>
          </cell>
          <cell r="AU142">
            <v>0</v>
          </cell>
          <cell r="AV142">
            <v>0</v>
          </cell>
          <cell r="AW142">
            <v>0</v>
          </cell>
          <cell r="AX142">
            <v>60</v>
          </cell>
        </row>
        <row r="143">
          <cell r="G143" t="str">
            <v>Hydrogen Generation Unit</v>
          </cell>
          <cell r="M143">
            <v>0.02</v>
          </cell>
          <cell r="N143">
            <v>1</v>
          </cell>
          <cell r="P143">
            <v>8.0000000000000004E-4</v>
          </cell>
          <cell r="R143">
            <v>0</v>
          </cell>
          <cell r="T143" t="str">
            <v>.</v>
          </cell>
          <cell r="U143" t="str">
            <v>.</v>
          </cell>
          <cell r="V143" t="str">
            <v>.</v>
          </cell>
          <cell r="AG143" t="str">
            <v>.</v>
          </cell>
          <cell r="AM143">
            <v>0</v>
          </cell>
          <cell r="AN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</row>
        <row r="144">
          <cell r="C144" t="str">
            <v>SPC</v>
          </cell>
          <cell r="H144" t="str">
            <v>10-20-ESS-ME-0001</v>
          </cell>
          <cell r="I144" t="str">
            <v xml:space="preserve">Duty Specification for Hydrogen Unit </v>
          </cell>
          <cell r="N144">
            <v>1</v>
          </cell>
          <cell r="P144">
            <v>8.0000000000000004E-4</v>
          </cell>
          <cell r="R144">
            <v>0</v>
          </cell>
          <cell r="S144" t="str">
            <v>Delete</v>
          </cell>
          <cell r="V144" t="str">
            <v>ارسال شده</v>
          </cell>
          <cell r="W144">
            <v>0</v>
          </cell>
          <cell r="X144">
            <v>40</v>
          </cell>
          <cell r="Y144" t="str">
            <v>28-06-07</v>
          </cell>
          <cell r="AG144" t="str">
            <v>KRPC</v>
          </cell>
          <cell r="AH144" t="str">
            <v>x</v>
          </cell>
          <cell r="AJ144" t="str">
            <v/>
          </cell>
          <cell r="AL144" t="str">
            <v/>
          </cell>
          <cell r="AM144">
            <v>0.45</v>
          </cell>
          <cell r="AN144">
            <v>0</v>
          </cell>
          <cell r="AQ144">
            <v>3.6000000000000002E-4</v>
          </cell>
          <cell r="AR144">
            <v>0</v>
          </cell>
          <cell r="AS144">
            <v>45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45</v>
          </cell>
        </row>
        <row r="145">
          <cell r="F145" t="str">
            <v>Process</v>
          </cell>
          <cell r="L145">
            <v>0.22900000000000001</v>
          </cell>
          <cell r="M145">
            <v>0.99999999999999989</v>
          </cell>
          <cell r="P145">
            <v>4.5800000000000007E-2</v>
          </cell>
          <cell r="R145">
            <v>4.6299999999999994E-2</v>
          </cell>
          <cell r="T145" t="str">
            <v>.</v>
          </cell>
          <cell r="U145" t="str">
            <v>.</v>
          </cell>
          <cell r="V145" t="str">
            <v>.</v>
          </cell>
          <cell r="W145" t="str">
            <v>.</v>
          </cell>
          <cell r="X145" t="str">
            <v>.</v>
          </cell>
          <cell r="Y145" t="str">
            <v>.</v>
          </cell>
          <cell r="Z145" t="str">
            <v>.</v>
          </cell>
          <cell r="AA145" t="str">
            <v>.</v>
          </cell>
          <cell r="AG145" t="str">
            <v>.</v>
          </cell>
          <cell r="AH145" t="str">
            <v>.</v>
          </cell>
          <cell r="AI145" t="str">
            <v>.</v>
          </cell>
          <cell r="AJ145" t="str">
            <v>.</v>
          </cell>
          <cell r="AK145" t="str">
            <v>.</v>
          </cell>
          <cell r="AL145" t="str">
            <v>.</v>
          </cell>
          <cell r="AM145">
            <v>0.76872270742358073</v>
          </cell>
          <cell r="AN145">
            <v>3.5207500000000003E-2</v>
          </cell>
          <cell r="AO145" t="str">
            <v>.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</row>
        <row r="146">
          <cell r="G146" t="str">
            <v>General  Document</v>
          </cell>
          <cell r="M146">
            <v>0.03</v>
          </cell>
          <cell r="N146">
            <v>0.99999999999999989</v>
          </cell>
          <cell r="P146">
            <v>1.3740000000000002E-3</v>
          </cell>
          <cell r="R146">
            <v>7.0000000000000021E-4</v>
          </cell>
          <cell r="T146" t="str">
            <v>.</v>
          </cell>
          <cell r="U146" t="str">
            <v>.</v>
          </cell>
          <cell r="V146" t="str">
            <v>.</v>
          </cell>
          <cell r="AG146" t="str">
            <v>.</v>
          </cell>
          <cell r="AM146">
            <v>0.26200873362445415</v>
          </cell>
          <cell r="AN146">
            <v>3.6000000000000002E-4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</row>
        <row r="147">
          <cell r="C147" t="str">
            <v>RPT</v>
          </cell>
          <cell r="H147" t="str">
            <v>10-XX-RPT-PR-0001</v>
          </cell>
          <cell r="I147" t="str">
            <v>Environmental Data</v>
          </cell>
          <cell r="N147">
            <v>0.08</v>
          </cell>
          <cell r="P147">
            <v>1.0992000000000002E-4</v>
          </cell>
          <cell r="R147">
            <v>6.0000000000000002E-5</v>
          </cell>
          <cell r="V147" t="str">
            <v>ارسال شده</v>
          </cell>
          <cell r="W147" t="str">
            <v>0 1</v>
          </cell>
          <cell r="X147" t="str">
            <v>5 41</v>
          </cell>
          <cell r="Y147" t="str">
            <v>09-05-07 28-06-07</v>
          </cell>
          <cell r="Z147" t="str">
            <v xml:space="preserve">123-13-1097 </v>
          </cell>
          <cell r="AA147" t="str">
            <v>86-02-25</v>
          </cell>
          <cell r="AG147" t="str">
            <v>KRPC</v>
          </cell>
          <cell r="AH147" t="str">
            <v>x</v>
          </cell>
          <cell r="AI147" t="str">
            <v>x</v>
          </cell>
          <cell r="AJ147" t="str">
            <v/>
          </cell>
          <cell r="AL147" t="str">
            <v/>
          </cell>
          <cell r="AM147">
            <v>0.6</v>
          </cell>
          <cell r="AN147">
            <v>3.6000000000000001E-5</v>
          </cell>
          <cell r="AQ147">
            <v>6.5952000000000008E-5</v>
          </cell>
          <cell r="AR147">
            <v>3.6000000000000001E-5</v>
          </cell>
          <cell r="AS147">
            <v>45</v>
          </cell>
          <cell r="AT147">
            <v>60</v>
          </cell>
          <cell r="AU147">
            <v>0</v>
          </cell>
          <cell r="AV147">
            <v>0</v>
          </cell>
          <cell r="AW147">
            <v>0</v>
          </cell>
          <cell r="AX147">
            <v>60</v>
          </cell>
        </row>
        <row r="148">
          <cell r="C148" t="str">
            <v>RPT</v>
          </cell>
          <cell r="H148" t="str">
            <v>10-XX-DEC-PR-0001</v>
          </cell>
          <cell r="I148" t="str">
            <v>Process Design Criteria</v>
          </cell>
          <cell r="N148">
            <v>0.13</v>
          </cell>
          <cell r="P148">
            <v>1.7862000000000005E-4</v>
          </cell>
          <cell r="R148">
            <v>6.0000000000000002E-5</v>
          </cell>
          <cell r="V148" t="str">
            <v>ارسال شده</v>
          </cell>
          <cell r="W148" t="str">
            <v>012</v>
          </cell>
          <cell r="X148" t="str">
            <v>5325462</v>
          </cell>
          <cell r="Y148" t="str">
            <v>09-05-0717-11-0711-12-07</v>
          </cell>
          <cell r="Z148" t="str">
            <v>123-13-1097F-0437&amp;0452F-0534</v>
          </cell>
          <cell r="AA148" t="str">
            <v>86-02-2503-12-0717-12-07</v>
          </cell>
          <cell r="AB148" t="str">
            <v>G-0278</v>
          </cell>
          <cell r="AC148" t="str">
            <v>12-12-07</v>
          </cell>
          <cell r="AD148" t="str">
            <v>FF-0534</v>
          </cell>
          <cell r="AG148" t="str">
            <v>KRPC</v>
          </cell>
          <cell r="AH148" t="str">
            <v>x</v>
          </cell>
          <cell r="AI148" t="str">
            <v>x</v>
          </cell>
          <cell r="AJ148" t="str">
            <v>x</v>
          </cell>
          <cell r="AL148" t="str">
            <v/>
          </cell>
          <cell r="AM148">
            <v>0.75</v>
          </cell>
          <cell r="AN148">
            <v>4.5000000000000003E-5</v>
          </cell>
          <cell r="AQ148">
            <v>1.3396500000000005E-4</v>
          </cell>
          <cell r="AR148">
            <v>4.5000000000000003E-5</v>
          </cell>
          <cell r="AS148">
            <v>45</v>
          </cell>
          <cell r="AT148">
            <v>60</v>
          </cell>
          <cell r="AU148">
            <v>75</v>
          </cell>
          <cell r="AV148">
            <v>0</v>
          </cell>
          <cell r="AW148">
            <v>0</v>
          </cell>
          <cell r="AX148">
            <v>75</v>
          </cell>
        </row>
        <row r="149">
          <cell r="C149" t="str">
            <v>DIG</v>
          </cell>
          <cell r="H149" t="str">
            <v>10-XX-A3-PR-0003</v>
          </cell>
          <cell r="I149" t="str">
            <v>General Block Flow Diagrams</v>
          </cell>
          <cell r="N149">
            <v>0.5</v>
          </cell>
          <cell r="P149">
            <v>6.8700000000000011E-4</v>
          </cell>
          <cell r="R149">
            <v>4.0000000000000002E-4</v>
          </cell>
          <cell r="V149" t="str">
            <v>ارسال شده</v>
          </cell>
          <cell r="W149">
            <v>0</v>
          </cell>
          <cell r="X149">
            <v>5</v>
          </cell>
          <cell r="Y149" t="str">
            <v>09-05-07</v>
          </cell>
          <cell r="Z149" t="str">
            <v>123-13-1097</v>
          </cell>
          <cell r="AA149" t="str">
            <v>86-02-25</v>
          </cell>
          <cell r="AG149" t="str">
            <v>GBT</v>
          </cell>
          <cell r="AH149" t="str">
            <v>x</v>
          </cell>
          <cell r="AJ149" t="str">
            <v/>
          </cell>
          <cell r="AL149" t="str">
            <v/>
          </cell>
          <cell r="AM149">
            <v>0.45</v>
          </cell>
          <cell r="AN149">
            <v>1.8000000000000001E-4</v>
          </cell>
          <cell r="AQ149">
            <v>3.0915000000000006E-4</v>
          </cell>
          <cell r="AR149">
            <v>1.8000000000000001E-4</v>
          </cell>
          <cell r="AS149">
            <v>45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45</v>
          </cell>
        </row>
        <row r="150">
          <cell r="C150" t="str">
            <v>RPT</v>
          </cell>
          <cell r="H150" t="str">
            <v>10-XX-RPT-PR-0002</v>
          </cell>
          <cell r="I150" t="str">
            <v>Process Batery Limit Condition</v>
          </cell>
          <cell r="N150">
            <v>0.08</v>
          </cell>
          <cell r="P150">
            <v>1.0992000000000002E-4</v>
          </cell>
          <cell r="R150">
            <v>6.0000000000000002E-5</v>
          </cell>
          <cell r="V150" t="str">
            <v>ارسال شده</v>
          </cell>
          <cell r="W150">
            <v>0</v>
          </cell>
          <cell r="X150">
            <v>267</v>
          </cell>
          <cell r="Y150" t="str">
            <v>04-11-07</v>
          </cell>
          <cell r="Z150" t="str">
            <v>F-0307</v>
          </cell>
          <cell r="AA150" t="str">
            <v>15-11-07</v>
          </cell>
          <cell r="AG150" t="str">
            <v>GBT</v>
          </cell>
          <cell r="AH150" t="str">
            <v>x</v>
          </cell>
          <cell r="AJ150" t="str">
            <v/>
          </cell>
          <cell r="AL150" t="str">
            <v/>
          </cell>
          <cell r="AM150">
            <v>0.45</v>
          </cell>
          <cell r="AN150">
            <v>2.7000000000000002E-5</v>
          </cell>
          <cell r="AQ150">
            <v>4.9464000000000006E-5</v>
          </cell>
          <cell r="AR150">
            <v>2.7000000000000002E-5</v>
          </cell>
          <cell r="AS150">
            <v>45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45</v>
          </cell>
        </row>
        <row r="151">
          <cell r="C151" t="str">
            <v>SPC</v>
          </cell>
          <cell r="H151" t="str">
            <v>10-XX-ESS-PR-0001</v>
          </cell>
          <cell r="I151" t="str">
            <v>Feed &amp; Product Specification</v>
          </cell>
          <cell r="N151">
            <v>0.13</v>
          </cell>
          <cell r="P151">
            <v>1.7862000000000005E-4</v>
          </cell>
          <cell r="R151">
            <v>6.0000000000000002E-5</v>
          </cell>
          <cell r="V151" t="str">
            <v>ارسال شده</v>
          </cell>
          <cell r="W151" t="str">
            <v>012</v>
          </cell>
          <cell r="X151" t="str">
            <v>17264513</v>
          </cell>
          <cell r="Y151" t="str">
            <v>31-05-0704-11-0725-121-07</v>
          </cell>
          <cell r="Z151" t="str">
            <v>F-0005F-0273</v>
          </cell>
          <cell r="AA151" t="str">
            <v>13-06-0705-11-07</v>
          </cell>
          <cell r="AG151" t="str">
            <v>KRPC</v>
          </cell>
          <cell r="AH151" t="str">
            <v>x</v>
          </cell>
          <cell r="AI151" t="str">
            <v>x</v>
          </cell>
          <cell r="AJ151" t="str">
            <v>x</v>
          </cell>
          <cell r="AL151" t="str">
            <v/>
          </cell>
          <cell r="AM151">
            <v>0.75</v>
          </cell>
          <cell r="AN151">
            <v>4.5000000000000003E-5</v>
          </cell>
          <cell r="AO151" t="str">
            <v>T</v>
          </cell>
          <cell r="AQ151">
            <v>1.3396500000000005E-4</v>
          </cell>
          <cell r="AR151">
            <v>4.5000000000000003E-5</v>
          </cell>
          <cell r="AS151">
            <v>45</v>
          </cell>
          <cell r="AT151">
            <v>60</v>
          </cell>
          <cell r="AU151">
            <v>75</v>
          </cell>
          <cell r="AV151">
            <v>0</v>
          </cell>
          <cell r="AW151">
            <v>0</v>
          </cell>
          <cell r="AX151">
            <v>75</v>
          </cell>
        </row>
        <row r="152">
          <cell r="C152" t="str">
            <v>SPC</v>
          </cell>
          <cell r="H152" t="str">
            <v>10-XX-ESS-PR-0002</v>
          </cell>
          <cell r="I152" t="str">
            <v>Specification for Winterizing and Heat Conservation</v>
          </cell>
          <cell r="N152">
            <v>0.08</v>
          </cell>
          <cell r="P152">
            <v>1.0992000000000002E-4</v>
          </cell>
          <cell r="R152">
            <v>6.0000000000000002E-5</v>
          </cell>
          <cell r="V152" t="str">
            <v>ارسال شده</v>
          </cell>
          <cell r="W152">
            <v>0</v>
          </cell>
          <cell r="X152">
            <v>26</v>
          </cell>
          <cell r="Y152" t="str">
            <v>16-06-07</v>
          </cell>
          <cell r="Z152" t="str">
            <v>F-0014</v>
          </cell>
          <cell r="AA152" t="str">
            <v>19-06-07</v>
          </cell>
          <cell r="AG152" t="str">
            <v>GBT</v>
          </cell>
          <cell r="AH152" t="str">
            <v>x</v>
          </cell>
          <cell r="AJ152" t="str">
            <v/>
          </cell>
          <cell r="AL152" t="str">
            <v/>
          </cell>
          <cell r="AM152">
            <v>0.45</v>
          </cell>
          <cell r="AN152">
            <v>2.7000000000000002E-5</v>
          </cell>
          <cell r="AQ152">
            <v>4.9464000000000006E-5</v>
          </cell>
          <cell r="AR152">
            <v>2.7000000000000002E-5</v>
          </cell>
          <cell r="AS152">
            <v>45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45</v>
          </cell>
        </row>
        <row r="153">
          <cell r="G153" t="str">
            <v>Steam Plant</v>
          </cell>
          <cell r="M153">
            <v>0.06</v>
          </cell>
          <cell r="N153">
            <v>1</v>
          </cell>
          <cell r="P153">
            <v>2.7480000000000004E-3</v>
          </cell>
          <cell r="R153">
            <v>3.0499999999999998E-3</v>
          </cell>
          <cell r="T153" t="str">
            <v>.</v>
          </cell>
          <cell r="U153" t="str">
            <v>.</v>
          </cell>
          <cell r="V153" t="str">
            <v>.</v>
          </cell>
          <cell r="AG153" t="str">
            <v>.</v>
          </cell>
          <cell r="AM153">
            <v>0.76965065502183394</v>
          </cell>
          <cell r="AN153">
            <v>2.1150000000000001E-3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</row>
        <row r="154">
          <cell r="C154" t="str">
            <v>DIG</v>
          </cell>
          <cell r="H154" t="str">
            <v>10-10-A3-PR-0001</v>
          </cell>
          <cell r="I154" t="str">
            <v>Block Flow Diagrams</v>
          </cell>
          <cell r="N154">
            <v>0.11700000000000001</v>
          </cell>
          <cell r="P154">
            <v>3.2151600000000004E-4</v>
          </cell>
          <cell r="R154">
            <v>4.0000000000000002E-4</v>
          </cell>
          <cell r="V154" t="str">
            <v>ارسال شده</v>
          </cell>
          <cell r="W154" t="str">
            <v>01</v>
          </cell>
          <cell r="X154" t="str">
            <v>79510</v>
          </cell>
          <cell r="Y154" t="str">
            <v>13-08-0725-12-07</v>
          </cell>
          <cell r="Z154" t="str">
            <v>F-0152F-0555</v>
          </cell>
          <cell r="AA154" t="str">
            <v>18-08-0726-12-07</v>
          </cell>
          <cell r="AG154" t="str">
            <v>GBT</v>
          </cell>
          <cell r="AH154" t="str">
            <v>x</v>
          </cell>
          <cell r="AI154" t="str">
            <v>x</v>
          </cell>
          <cell r="AJ154" t="str">
            <v/>
          </cell>
          <cell r="AL154" t="str">
            <v/>
          </cell>
          <cell r="AM154">
            <v>0.6</v>
          </cell>
          <cell r="AN154">
            <v>2.4000000000000001E-4</v>
          </cell>
          <cell r="AO154" t="str">
            <v>T</v>
          </cell>
          <cell r="AQ154">
            <v>1.9290960000000002E-4</v>
          </cell>
          <cell r="AR154">
            <v>2.4000000000000001E-4</v>
          </cell>
          <cell r="AS154">
            <v>45</v>
          </cell>
          <cell r="AT154">
            <v>60</v>
          </cell>
          <cell r="AU154">
            <v>0</v>
          </cell>
          <cell r="AV154">
            <v>0</v>
          </cell>
          <cell r="AW154">
            <v>0</v>
          </cell>
          <cell r="AX154">
            <v>60</v>
          </cell>
        </row>
        <row r="155">
          <cell r="C155" t="str">
            <v>DIG</v>
          </cell>
          <cell r="H155" t="str">
            <v>10-10-A3-PR-0002</v>
          </cell>
          <cell r="I155" t="str">
            <v>Process Fow Diagrams</v>
          </cell>
          <cell r="N155">
            <v>0.29499999999999998</v>
          </cell>
          <cell r="P155">
            <v>8.1066000000000005E-4</v>
          </cell>
          <cell r="R155">
            <v>7.5000000000000002E-4</v>
          </cell>
          <cell r="V155" t="str">
            <v>ارسال شده</v>
          </cell>
          <cell r="W155" t="str">
            <v>01</v>
          </cell>
          <cell r="X155" t="str">
            <v>79512</v>
          </cell>
          <cell r="Y155" t="str">
            <v>13-08-0725-12-07</v>
          </cell>
          <cell r="Z155" t="str">
            <v>F-0152F-0555</v>
          </cell>
          <cell r="AA155" t="str">
            <v>18-08-0726-12-07</v>
          </cell>
          <cell r="AG155" t="str">
            <v>GBT</v>
          </cell>
          <cell r="AH155" t="str">
            <v>x</v>
          </cell>
          <cell r="AI155" t="str">
            <v>x</v>
          </cell>
          <cell r="AJ155" t="str">
            <v/>
          </cell>
          <cell r="AL155" t="str">
            <v/>
          </cell>
          <cell r="AM155">
            <v>0.6</v>
          </cell>
          <cell r="AN155">
            <v>4.4999999999999999E-4</v>
          </cell>
          <cell r="AO155" t="str">
            <v>T</v>
          </cell>
          <cell r="AQ155">
            <v>4.86396E-4</v>
          </cell>
          <cell r="AR155">
            <v>4.4999999999999999E-4</v>
          </cell>
          <cell r="AS155">
            <v>45</v>
          </cell>
          <cell r="AT155">
            <v>60</v>
          </cell>
          <cell r="AU155">
            <v>0</v>
          </cell>
          <cell r="AV155">
            <v>0</v>
          </cell>
          <cell r="AW155">
            <v>0</v>
          </cell>
          <cell r="AX155">
            <v>60</v>
          </cell>
        </row>
        <row r="156">
          <cell r="C156" t="str">
            <v>DIG</v>
          </cell>
          <cell r="H156" t="str">
            <v>10-10-A3-PR-0003</v>
          </cell>
          <cell r="I156" t="str">
            <v>Piping &amp; Instrumentation Diagrams</v>
          </cell>
          <cell r="N156">
            <v>0.58799999999999997</v>
          </cell>
          <cell r="P156">
            <v>1.6158240000000001E-3</v>
          </cell>
          <cell r="R156">
            <v>1.9E-3</v>
          </cell>
          <cell r="V156" t="str">
            <v>ارسال شده</v>
          </cell>
          <cell r="W156" t="str">
            <v>012</v>
          </cell>
          <cell r="X156" t="str">
            <v>79350511</v>
          </cell>
          <cell r="Y156" t="str">
            <v>13-08-0720-11-0725-12-07</v>
          </cell>
          <cell r="Z156" t="str">
            <v>F-0152F-0443F-0555</v>
          </cell>
          <cell r="AA156" t="str">
            <v>18-08-0703-12-0726-12-07</v>
          </cell>
          <cell r="AG156" t="str">
            <v>GBT</v>
          </cell>
          <cell r="AH156" t="str">
            <v>x</v>
          </cell>
          <cell r="AI156" t="str">
            <v>x</v>
          </cell>
          <cell r="AJ156" t="str">
            <v>x</v>
          </cell>
          <cell r="AL156" t="str">
            <v/>
          </cell>
          <cell r="AM156">
            <v>0.75</v>
          </cell>
          <cell r="AN156">
            <v>1.4250000000000001E-3</v>
          </cell>
          <cell r="AO156" t="str">
            <v>T</v>
          </cell>
          <cell r="AQ156">
            <v>1.2118680000000001E-3</v>
          </cell>
          <cell r="AR156">
            <v>1.4250000000000001E-3</v>
          </cell>
          <cell r="AS156">
            <v>45</v>
          </cell>
          <cell r="AT156">
            <v>60</v>
          </cell>
          <cell r="AU156">
            <v>75</v>
          </cell>
          <cell r="AV156">
            <v>0</v>
          </cell>
          <cell r="AW156">
            <v>0</v>
          </cell>
          <cell r="AX156">
            <v>75</v>
          </cell>
        </row>
        <row r="157">
          <cell r="G157" t="str">
            <v>Documents</v>
          </cell>
          <cell r="M157">
            <v>3.4000000000000002E-2</v>
          </cell>
          <cell r="N157">
            <v>1</v>
          </cell>
          <cell r="P157">
            <v>1.5572000000000003E-3</v>
          </cell>
          <cell r="R157">
            <v>2.2000000000000001E-3</v>
          </cell>
          <cell r="T157" t="str">
            <v>.</v>
          </cell>
          <cell r="U157" t="str">
            <v>.</v>
          </cell>
          <cell r="V157" t="str">
            <v>.</v>
          </cell>
          <cell r="AG157" t="str">
            <v>.</v>
          </cell>
          <cell r="AM157">
            <v>1.0595941433341893</v>
          </cell>
          <cell r="AN157">
            <v>1.65E-3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</row>
        <row r="158">
          <cell r="C158" t="str">
            <v>RPT</v>
          </cell>
          <cell r="H158" t="str">
            <v>10-10-DEB-PR-0001</v>
          </cell>
          <cell r="I158" t="str">
            <v>Design Basis</v>
          </cell>
          <cell r="N158">
            <v>0.33300000000000002</v>
          </cell>
          <cell r="P158">
            <v>5.1854760000000016E-4</v>
          </cell>
          <cell r="R158">
            <v>5.9999999999999995E-4</v>
          </cell>
          <cell r="V158" t="str">
            <v>ارسال شده</v>
          </cell>
          <cell r="W158" t="str">
            <v>0 12</v>
          </cell>
          <cell r="X158" t="str">
            <v>102 120501</v>
          </cell>
          <cell r="Y158" t="str">
            <v>06-09-07 26-09-0725-12-07</v>
          </cell>
          <cell r="Z158" t="str">
            <v>F-0181F-0208</v>
          </cell>
          <cell r="AA158" t="str">
            <v>08-09-0701-10-07</v>
          </cell>
          <cell r="AB158" t="str">
            <v>G-0294</v>
          </cell>
          <cell r="AC158" t="str">
            <v>23-12-07</v>
          </cell>
          <cell r="AG158" t="str">
            <v>KRPC</v>
          </cell>
          <cell r="AH158" t="str">
            <v>x</v>
          </cell>
          <cell r="AI158" t="str">
            <v>x</v>
          </cell>
          <cell r="AJ158" t="str">
            <v>x</v>
          </cell>
          <cell r="AL158" t="str">
            <v/>
          </cell>
          <cell r="AM158">
            <v>0.75</v>
          </cell>
          <cell r="AN158">
            <v>4.4999999999999999E-4</v>
          </cell>
          <cell r="AO158" t="str">
            <v>T</v>
          </cell>
          <cell r="AQ158">
            <v>3.8891070000000015E-4</v>
          </cell>
          <cell r="AR158">
            <v>4.4999999999999999E-4</v>
          </cell>
          <cell r="AS158">
            <v>45</v>
          </cell>
          <cell r="AT158">
            <v>60</v>
          </cell>
          <cell r="AU158">
            <v>75</v>
          </cell>
          <cell r="AV158">
            <v>0</v>
          </cell>
          <cell r="AW158">
            <v>0</v>
          </cell>
          <cell r="AX158">
            <v>75</v>
          </cell>
        </row>
        <row r="159">
          <cell r="C159" t="str">
            <v>RPT</v>
          </cell>
          <cell r="H159" t="str">
            <v>10-10-PRD-PR-0001</v>
          </cell>
          <cell r="I159" t="str">
            <v>Process Description</v>
          </cell>
          <cell r="N159">
            <v>0.66700000000000004</v>
          </cell>
          <cell r="P159">
            <v>1.0386524000000003E-3</v>
          </cell>
          <cell r="R159">
            <v>1.6000000000000001E-3</v>
          </cell>
          <cell r="V159" t="str">
            <v>ارسال شده</v>
          </cell>
          <cell r="W159" t="str">
            <v>0 12</v>
          </cell>
          <cell r="X159" t="str">
            <v>104119 500</v>
          </cell>
          <cell r="Y159" t="str">
            <v xml:space="preserve">06-09-07 26-09-0725-12-07 </v>
          </cell>
          <cell r="Z159" t="str">
            <v>F-0182F-0206F-0556</v>
          </cell>
          <cell r="AA159" t="str">
            <v>08-09-0730-9-0726-12-07</v>
          </cell>
          <cell r="AG159" t="str">
            <v>GBT</v>
          </cell>
          <cell r="AH159" t="str">
            <v>x</v>
          </cell>
          <cell r="AI159" t="str">
            <v>x</v>
          </cell>
          <cell r="AJ159" t="str">
            <v>x</v>
          </cell>
          <cell r="AL159" t="str">
            <v/>
          </cell>
          <cell r="AM159">
            <v>0.75</v>
          </cell>
          <cell r="AN159">
            <v>1.2000000000000001E-3</v>
          </cell>
          <cell r="AO159" t="str">
            <v>T</v>
          </cell>
          <cell r="AQ159">
            <v>7.7898930000000022E-4</v>
          </cell>
          <cell r="AR159">
            <v>1.2000000000000001E-3</v>
          </cell>
          <cell r="AS159">
            <v>45</v>
          </cell>
          <cell r="AT159">
            <v>60</v>
          </cell>
          <cell r="AU159">
            <v>75</v>
          </cell>
          <cell r="AV159">
            <v>0</v>
          </cell>
          <cell r="AW159">
            <v>0</v>
          </cell>
          <cell r="AX159">
            <v>75</v>
          </cell>
        </row>
        <row r="160">
          <cell r="G160" t="str">
            <v>Hydrogen Generation Unit</v>
          </cell>
          <cell r="M160">
            <v>0.104</v>
          </cell>
          <cell r="N160">
            <v>1</v>
          </cell>
          <cell r="P160">
            <v>4.7632000000000004E-3</v>
          </cell>
          <cell r="R160">
            <v>4.6999999999999993E-3</v>
          </cell>
          <cell r="T160" t="str">
            <v>.</v>
          </cell>
          <cell r="U160" t="str">
            <v>.</v>
          </cell>
          <cell r="V160" t="str">
            <v>.</v>
          </cell>
          <cell r="AG160" t="str">
            <v>.</v>
          </cell>
          <cell r="AM160">
            <v>0.86601444407121242</v>
          </cell>
          <cell r="AN160">
            <v>4.1249999999999993E-3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</row>
        <row r="161">
          <cell r="C161" t="str">
            <v>DIG</v>
          </cell>
          <cell r="H161" t="str">
            <v>10-20-A3-PR-0001</v>
          </cell>
          <cell r="I161" t="str">
            <v>Block Flow Diagrams</v>
          </cell>
          <cell r="N161">
            <v>6.9000000000000006E-2</v>
          </cell>
          <cell r="P161">
            <v>3.2866080000000004E-4</v>
          </cell>
          <cell r="R161">
            <v>1E-4</v>
          </cell>
          <cell r="V161" t="str">
            <v>ارسال شده</v>
          </cell>
          <cell r="W161" t="str">
            <v>0 1234</v>
          </cell>
          <cell r="X161" t="str">
            <v>23 51224382443</v>
          </cell>
          <cell r="Y161" t="str">
            <v>14-06-07 12-07-0729-10-0726-11-0709-12-07</v>
          </cell>
          <cell r="Z161" t="str">
            <v>F-0016         F-0090F-0328F-0441F-0503</v>
          </cell>
          <cell r="AA161" t="str">
            <v>21-06-07 25-07-0718-11-0703-12-0711-12-07</v>
          </cell>
          <cell r="AG161" t="str">
            <v>GBT</v>
          </cell>
          <cell r="AH161" t="str">
            <v>x</v>
          </cell>
          <cell r="AI161" t="str">
            <v>x</v>
          </cell>
          <cell r="AJ161" t="str">
            <v>x</v>
          </cell>
          <cell r="AK161" t="str">
            <v>x</v>
          </cell>
          <cell r="AL161" t="str">
            <v>x</v>
          </cell>
          <cell r="AM161">
            <v>1</v>
          </cell>
          <cell r="AN161">
            <v>1E-4</v>
          </cell>
          <cell r="AQ161">
            <v>3.2866080000000004E-4</v>
          </cell>
          <cell r="AR161">
            <v>1E-4</v>
          </cell>
          <cell r="AS161">
            <v>45</v>
          </cell>
          <cell r="AT161">
            <v>60</v>
          </cell>
          <cell r="AU161">
            <v>75</v>
          </cell>
          <cell r="AV161">
            <v>85</v>
          </cell>
          <cell r="AW161">
            <v>100</v>
          </cell>
          <cell r="AX161">
            <v>100</v>
          </cell>
        </row>
        <row r="162">
          <cell r="C162" t="str">
            <v>DIG</v>
          </cell>
          <cell r="H162" t="str">
            <v>10-20-A3-PR-0002</v>
          </cell>
          <cell r="I162" t="str">
            <v>Utility Flow Diagrams</v>
          </cell>
          <cell r="N162">
            <v>0.17199999999999999</v>
          </cell>
          <cell r="P162">
            <v>8.1927040000000001E-4</v>
          </cell>
          <cell r="R162">
            <v>5.9999999999999995E-4</v>
          </cell>
          <cell r="V162" t="str">
            <v>ارسال شده</v>
          </cell>
          <cell r="W162" t="str">
            <v>0 1234</v>
          </cell>
          <cell r="X162" t="str">
            <v>23 51225383444</v>
          </cell>
          <cell r="Y162" t="str">
            <v>14-06-07 12-07-0729-10-0726-11-0709-12-07</v>
          </cell>
          <cell r="Z162" t="str">
            <v>F-0016         F-0090F-0326F-0441F-0503</v>
          </cell>
          <cell r="AA162" t="str">
            <v>21-06-07 25-07-0718-11-0703-12-0711-12-07</v>
          </cell>
          <cell r="AG162" t="str">
            <v>GBT</v>
          </cell>
          <cell r="AH162" t="str">
            <v>x</v>
          </cell>
          <cell r="AI162" t="str">
            <v>x</v>
          </cell>
          <cell r="AJ162" t="str">
            <v>x</v>
          </cell>
          <cell r="AK162" t="str">
            <v>x</v>
          </cell>
          <cell r="AL162" t="str">
            <v>x</v>
          </cell>
          <cell r="AM162">
            <v>1</v>
          </cell>
          <cell r="AN162">
            <v>5.9999999999999995E-4</v>
          </cell>
          <cell r="AQ162">
            <v>8.1927040000000001E-4</v>
          </cell>
          <cell r="AR162">
            <v>5.9999999999999995E-4</v>
          </cell>
          <cell r="AS162">
            <v>45</v>
          </cell>
          <cell r="AT162">
            <v>60</v>
          </cell>
          <cell r="AU162">
            <v>75</v>
          </cell>
          <cell r="AV162">
            <v>85</v>
          </cell>
          <cell r="AW162">
            <v>100</v>
          </cell>
          <cell r="AX162">
            <v>100</v>
          </cell>
        </row>
        <row r="163">
          <cell r="C163" t="str">
            <v>DIG</v>
          </cell>
          <cell r="H163" t="str">
            <v>10-20-A3-PR-0003</v>
          </cell>
          <cell r="I163" t="str">
            <v>Piping &amp; Instrumentation Diagrams</v>
          </cell>
          <cell r="N163">
            <v>0.34499999999999997</v>
          </cell>
          <cell r="P163">
            <v>1.6433039999999999E-3</v>
          </cell>
          <cell r="R163">
            <v>1.6999999999999999E-3</v>
          </cell>
          <cell r="V163" t="str">
            <v>ارسال شده</v>
          </cell>
          <cell r="W163" t="str">
            <v>01234</v>
          </cell>
          <cell r="X163" t="str">
            <v>63226320384445</v>
          </cell>
          <cell r="Y163" t="str">
            <v>22-07-0729-10-0717-11-0726-11-0709-12-07</v>
          </cell>
          <cell r="Z163" t="str">
            <v>F-0133F-0320F-0407F-0441F-0503</v>
          </cell>
          <cell r="AA163" t="str">
            <v>09-08-0716-11-0729-11-0703-12-0711-12-07</v>
          </cell>
          <cell r="AG163" t="str">
            <v>GBT</v>
          </cell>
          <cell r="AH163" t="str">
            <v>x</v>
          </cell>
          <cell r="AI163" t="str">
            <v>x</v>
          </cell>
          <cell r="AJ163" t="str">
            <v>x</v>
          </cell>
          <cell r="AK163" t="str">
            <v>x</v>
          </cell>
          <cell r="AL163" t="str">
            <v>x</v>
          </cell>
          <cell r="AM163">
            <v>1</v>
          </cell>
          <cell r="AN163">
            <v>1.6999999999999999E-3</v>
          </cell>
          <cell r="AQ163">
            <v>1.6433039999999999E-3</v>
          </cell>
          <cell r="AR163">
            <v>1.6999999999999999E-3</v>
          </cell>
          <cell r="AS163">
            <v>45</v>
          </cell>
          <cell r="AT163">
            <v>60</v>
          </cell>
          <cell r="AU163">
            <v>75</v>
          </cell>
          <cell r="AV163">
            <v>85</v>
          </cell>
          <cell r="AW163">
            <v>100</v>
          </cell>
          <cell r="AX163">
            <v>100</v>
          </cell>
        </row>
        <row r="164">
          <cell r="C164" t="str">
            <v>RPT</v>
          </cell>
          <cell r="H164" t="str">
            <v>10-20-DEB-PR-0001</v>
          </cell>
          <cell r="I164" t="str">
            <v>Design Basis</v>
          </cell>
          <cell r="N164">
            <v>0.13800000000000001</v>
          </cell>
          <cell r="P164">
            <v>6.5732160000000009E-4</v>
          </cell>
          <cell r="R164">
            <v>5.9999999999999995E-4</v>
          </cell>
          <cell r="V164" t="str">
            <v>ارسال شده</v>
          </cell>
          <cell r="W164" t="str">
            <v>012</v>
          </cell>
          <cell r="X164" t="str">
            <v>188296441</v>
          </cell>
          <cell r="Y164" t="str">
            <v>25-10-0712-11-0709-12-07</v>
          </cell>
          <cell r="Z164" t="str">
            <v>F-0255F-0342</v>
          </cell>
          <cell r="AA164" t="str">
            <v>30-10-0718-11-07</v>
          </cell>
          <cell r="AB164" t="str">
            <v>G-0222</v>
          </cell>
          <cell r="AC164" t="str">
            <v>12-11-07</v>
          </cell>
          <cell r="AD164" t="str">
            <v>FF-0348</v>
          </cell>
          <cell r="AG164" t="str">
            <v>KRPC</v>
          </cell>
          <cell r="AH164" t="str">
            <v>x</v>
          </cell>
          <cell r="AI164" t="str">
            <v>x</v>
          </cell>
          <cell r="AJ164" t="str">
            <v>x</v>
          </cell>
          <cell r="AL164" t="str">
            <v/>
          </cell>
          <cell r="AM164">
            <v>0.75</v>
          </cell>
          <cell r="AN164">
            <v>4.4999999999999999E-4</v>
          </cell>
          <cell r="AQ164">
            <v>4.9299120000000009E-4</v>
          </cell>
          <cell r="AR164">
            <v>4.4999999999999999E-4</v>
          </cell>
          <cell r="AS164">
            <v>45</v>
          </cell>
          <cell r="AT164">
            <v>60</v>
          </cell>
          <cell r="AU164">
            <v>75</v>
          </cell>
          <cell r="AV164">
            <v>0</v>
          </cell>
          <cell r="AW164">
            <v>0</v>
          </cell>
          <cell r="AX164">
            <v>75</v>
          </cell>
        </row>
        <row r="165">
          <cell r="C165" t="str">
            <v>RPT</v>
          </cell>
          <cell r="H165" t="str">
            <v>10-20-PRD-PR-0001</v>
          </cell>
          <cell r="I165" t="str">
            <v>Process Description</v>
          </cell>
          <cell r="N165">
            <v>0.27600000000000002</v>
          </cell>
          <cell r="P165">
            <v>1.3146432000000002E-3</v>
          </cell>
          <cell r="R165">
            <v>1.6999999999999999E-3</v>
          </cell>
          <cell r="V165" t="str">
            <v>ارسال شده</v>
          </cell>
          <cell r="W165" t="str">
            <v>012</v>
          </cell>
          <cell r="X165" t="str">
            <v>189293442</v>
          </cell>
          <cell r="Y165" t="str">
            <v>25-10-0712-11-0709-12-07</v>
          </cell>
          <cell r="Z165" t="str">
            <v>F-0255F-0500</v>
          </cell>
          <cell r="AA165" t="str">
            <v>30-10-0711-12-07</v>
          </cell>
          <cell r="AB165" t="str">
            <v>G-0222</v>
          </cell>
          <cell r="AC165" t="str">
            <v>12-11-07</v>
          </cell>
          <cell r="AD165" t="str">
            <v>FF-0348</v>
          </cell>
          <cell r="AG165" t="str">
            <v>GBT</v>
          </cell>
          <cell r="AH165" t="str">
            <v>x</v>
          </cell>
          <cell r="AI165" t="str">
            <v>x</v>
          </cell>
          <cell r="AJ165" t="str">
            <v>x</v>
          </cell>
          <cell r="AL165" t="str">
            <v/>
          </cell>
          <cell r="AM165">
            <v>0.75</v>
          </cell>
          <cell r="AN165">
            <v>1.2749999999999999E-3</v>
          </cell>
          <cell r="AQ165">
            <v>9.8598240000000018E-4</v>
          </cell>
          <cell r="AR165">
            <v>1.2749999999999999E-3</v>
          </cell>
          <cell r="AS165">
            <v>45</v>
          </cell>
          <cell r="AT165">
            <v>60</v>
          </cell>
          <cell r="AU165">
            <v>75</v>
          </cell>
          <cell r="AV165">
            <v>0</v>
          </cell>
          <cell r="AW165">
            <v>0</v>
          </cell>
          <cell r="AX165">
            <v>75</v>
          </cell>
        </row>
        <row r="166">
          <cell r="G166" t="str">
            <v>Nitrogen Generation Unit</v>
          </cell>
          <cell r="M166">
            <v>0.104</v>
          </cell>
          <cell r="N166">
            <v>1</v>
          </cell>
          <cell r="P166">
            <v>4.7632000000000004E-3</v>
          </cell>
          <cell r="R166">
            <v>4.8999999999999998E-3</v>
          </cell>
          <cell r="T166" t="str">
            <v>.</v>
          </cell>
          <cell r="U166" t="str">
            <v>.</v>
          </cell>
          <cell r="V166" t="str">
            <v>.</v>
          </cell>
          <cell r="AG166" t="str">
            <v>.</v>
          </cell>
          <cell r="AM166">
            <v>0.78413671481357061</v>
          </cell>
          <cell r="AN166">
            <v>3.7349999999999996E-3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</row>
        <row r="167">
          <cell r="C167" t="str">
            <v>DIG</v>
          </cell>
          <cell r="H167" t="str">
            <v>10-30-A3-PR-0001</v>
          </cell>
          <cell r="I167" t="str">
            <v>Block Flow Diagrams</v>
          </cell>
          <cell r="N167">
            <v>6.9000000000000006E-2</v>
          </cell>
          <cell r="P167">
            <v>3.2866080000000004E-4</v>
          </cell>
          <cell r="R167">
            <v>1E-4</v>
          </cell>
          <cell r="V167" t="str">
            <v>ارسال شده</v>
          </cell>
          <cell r="W167" t="str">
            <v>012</v>
          </cell>
          <cell r="X167" t="str">
            <v>51271433</v>
          </cell>
          <cell r="Y167" t="str">
            <v>12-07-0705-11-0709-12-07</v>
          </cell>
          <cell r="Z167" t="str">
            <v>F-0090F-0280F-0503</v>
          </cell>
          <cell r="AA167" t="str">
            <v>25-07-0708-11-0711-12-07</v>
          </cell>
          <cell r="AG167" t="str">
            <v>GBT</v>
          </cell>
          <cell r="AH167" t="str">
            <v>x</v>
          </cell>
          <cell r="AI167" t="str">
            <v>x</v>
          </cell>
          <cell r="AJ167" t="str">
            <v>x</v>
          </cell>
          <cell r="AL167" t="str">
            <v/>
          </cell>
          <cell r="AM167">
            <v>0.75</v>
          </cell>
          <cell r="AN167">
            <v>7.5000000000000007E-5</v>
          </cell>
          <cell r="AQ167">
            <v>2.4649560000000005E-4</v>
          </cell>
          <cell r="AR167">
            <v>7.5000000000000007E-5</v>
          </cell>
          <cell r="AS167">
            <v>45</v>
          </cell>
          <cell r="AT167">
            <v>60</v>
          </cell>
          <cell r="AU167">
            <v>75</v>
          </cell>
          <cell r="AV167">
            <v>0</v>
          </cell>
          <cell r="AW167">
            <v>0</v>
          </cell>
          <cell r="AX167">
            <v>75</v>
          </cell>
        </row>
        <row r="168">
          <cell r="C168" t="str">
            <v>DIG</v>
          </cell>
          <cell r="H168" t="str">
            <v>10-30-A3-PR-0002</v>
          </cell>
          <cell r="I168" t="str">
            <v>Utility Flow Diagrams</v>
          </cell>
          <cell r="N168">
            <v>0.17199999999999999</v>
          </cell>
          <cell r="P168">
            <v>8.1927040000000001E-4</v>
          </cell>
          <cell r="R168">
            <v>5.9999999999999995E-4</v>
          </cell>
          <cell r="V168" t="str">
            <v>ارسال شده</v>
          </cell>
          <cell r="W168" t="str">
            <v>0123</v>
          </cell>
          <cell r="X168" t="str">
            <v>61272321434</v>
          </cell>
          <cell r="Y168" t="str">
            <v>21-07-0705-11-0717-11-0709-12-07</v>
          </cell>
          <cell r="Z168" t="str">
            <v>F-0131F-0281F-0405F-0503</v>
          </cell>
          <cell r="AA168" t="str">
            <v>09-08-0708-11-0729-11-0711-12-07</v>
          </cell>
          <cell r="AG168" t="str">
            <v>GBT</v>
          </cell>
          <cell r="AH168" t="str">
            <v>x</v>
          </cell>
          <cell r="AI168" t="str">
            <v>x</v>
          </cell>
          <cell r="AJ168" t="str">
            <v>x</v>
          </cell>
          <cell r="AK168" t="str">
            <v>x</v>
          </cell>
          <cell r="AL168" t="str">
            <v/>
          </cell>
          <cell r="AM168">
            <v>0.85</v>
          </cell>
          <cell r="AN168">
            <v>5.0999999999999993E-4</v>
          </cell>
          <cell r="AQ168">
            <v>6.9637984000000001E-4</v>
          </cell>
          <cell r="AR168">
            <v>5.0999999999999993E-4</v>
          </cell>
          <cell r="AS168">
            <v>45</v>
          </cell>
          <cell r="AT168">
            <v>60</v>
          </cell>
          <cell r="AU168">
            <v>75</v>
          </cell>
          <cell r="AV168">
            <v>85</v>
          </cell>
          <cell r="AW168">
            <v>0</v>
          </cell>
          <cell r="AX168">
            <v>85</v>
          </cell>
        </row>
        <row r="169">
          <cell r="C169" t="str">
            <v>DIG</v>
          </cell>
          <cell r="H169" t="str">
            <v>10-30-A3-PR-0003</v>
          </cell>
          <cell r="I169" t="str">
            <v>Piping &amp; Instrumentation Diagrams</v>
          </cell>
          <cell r="N169">
            <v>0.34499999999999997</v>
          </cell>
          <cell r="P169">
            <v>1.6433039999999999E-3</v>
          </cell>
          <cell r="R169">
            <v>1.9E-3</v>
          </cell>
          <cell r="V169" t="str">
            <v>ارسال شده</v>
          </cell>
          <cell r="W169" t="str">
            <v>012</v>
          </cell>
          <cell r="X169" t="str">
            <v>66273435</v>
          </cell>
          <cell r="Y169" t="str">
            <v>24-07-0705-11-0709-12-07</v>
          </cell>
          <cell r="Z169" t="str">
            <v>F-0099F-0282F-0503</v>
          </cell>
          <cell r="AA169" t="str">
            <v>29-07-0708-11-0711-12-07</v>
          </cell>
          <cell r="AG169" t="str">
            <v>GBT</v>
          </cell>
          <cell r="AH169" t="str">
            <v>x</v>
          </cell>
          <cell r="AI169" t="str">
            <v>x</v>
          </cell>
          <cell r="AJ169" t="str">
            <v>x</v>
          </cell>
          <cell r="AL169" t="str">
            <v/>
          </cell>
          <cell r="AM169">
            <v>0.75</v>
          </cell>
          <cell r="AN169">
            <v>1.4250000000000001E-3</v>
          </cell>
          <cell r="AQ169">
            <v>1.232478E-3</v>
          </cell>
          <cell r="AR169">
            <v>1.4250000000000001E-3</v>
          </cell>
          <cell r="AS169">
            <v>45</v>
          </cell>
          <cell r="AT169">
            <v>60</v>
          </cell>
          <cell r="AU169">
            <v>75</v>
          </cell>
          <cell r="AV169">
            <v>0</v>
          </cell>
          <cell r="AW169">
            <v>0</v>
          </cell>
          <cell r="AX169">
            <v>75</v>
          </cell>
        </row>
        <row r="170">
          <cell r="C170" t="str">
            <v>RPT</v>
          </cell>
          <cell r="H170" t="str">
            <v>10-30-DEB-PR-0001</v>
          </cell>
          <cell r="I170" t="str">
            <v>Design Basis</v>
          </cell>
          <cell r="N170">
            <v>0.13800000000000001</v>
          </cell>
          <cell r="P170">
            <v>6.5732160000000009E-4</v>
          </cell>
          <cell r="R170">
            <v>5.9999999999999995E-4</v>
          </cell>
          <cell r="V170" t="str">
            <v>ارسال شده</v>
          </cell>
          <cell r="W170" t="str">
            <v>012</v>
          </cell>
          <cell r="X170" t="str">
            <v>156295432</v>
          </cell>
          <cell r="Y170" t="str">
            <v>15-10-0712-11-0709-12-07</v>
          </cell>
          <cell r="Z170" t="str">
            <v>F-0232F-0359</v>
          </cell>
          <cell r="AA170" t="str">
            <v>20-10-0722-11-07</v>
          </cell>
          <cell r="AB170" t="str">
            <v>G-0214</v>
          </cell>
          <cell r="AC170" t="str">
            <v>12-11-07</v>
          </cell>
          <cell r="AG170" t="str">
            <v>KRPC</v>
          </cell>
          <cell r="AH170" t="str">
            <v>x</v>
          </cell>
          <cell r="AI170" t="str">
            <v>x</v>
          </cell>
          <cell r="AJ170" t="str">
            <v>x</v>
          </cell>
          <cell r="AL170" t="str">
            <v/>
          </cell>
          <cell r="AM170">
            <v>0.75</v>
          </cell>
          <cell r="AN170">
            <v>4.4999999999999999E-4</v>
          </cell>
          <cell r="AQ170">
            <v>4.9299120000000009E-4</v>
          </cell>
          <cell r="AR170">
            <v>4.4999999999999999E-4</v>
          </cell>
          <cell r="AS170">
            <v>45</v>
          </cell>
          <cell r="AT170">
            <v>60</v>
          </cell>
          <cell r="AU170">
            <v>75</v>
          </cell>
          <cell r="AV170">
            <v>0</v>
          </cell>
          <cell r="AW170">
            <v>0</v>
          </cell>
          <cell r="AX170">
            <v>75</v>
          </cell>
        </row>
        <row r="171">
          <cell r="C171" t="str">
            <v>RPT</v>
          </cell>
          <cell r="H171" t="str">
            <v>10-30-PRD-PR-0001</v>
          </cell>
          <cell r="I171" t="str">
            <v>Process Description</v>
          </cell>
          <cell r="N171">
            <v>0.27600000000000002</v>
          </cell>
          <cell r="P171">
            <v>1.3146432000000002E-3</v>
          </cell>
          <cell r="R171">
            <v>1.6999999999999999E-3</v>
          </cell>
          <cell r="V171" t="str">
            <v>ارسال شده</v>
          </cell>
          <cell r="W171" t="str">
            <v>012</v>
          </cell>
          <cell r="X171" t="str">
            <v>157297431</v>
          </cell>
          <cell r="Y171" t="str">
            <v>15-10-0712-11-0709-12-07</v>
          </cell>
          <cell r="Z171" t="str">
            <v>F-0231F-0359F-0500</v>
          </cell>
          <cell r="AA171" t="str">
            <v>20-10-0722-11-0711-12-07</v>
          </cell>
          <cell r="AB171" t="str">
            <v>G-0221</v>
          </cell>
          <cell r="AC171" t="str">
            <v>12-11-07</v>
          </cell>
          <cell r="AD171" t="str">
            <v>FF-0343</v>
          </cell>
          <cell r="AG171" t="str">
            <v>GBT</v>
          </cell>
          <cell r="AH171" t="str">
            <v>x</v>
          </cell>
          <cell r="AI171" t="str">
            <v>x</v>
          </cell>
          <cell r="AJ171" t="str">
            <v>x</v>
          </cell>
          <cell r="AL171" t="str">
            <v/>
          </cell>
          <cell r="AM171">
            <v>0.75</v>
          </cell>
          <cell r="AN171">
            <v>1.2749999999999999E-3</v>
          </cell>
          <cell r="AQ171">
            <v>9.8598240000000018E-4</v>
          </cell>
          <cell r="AR171">
            <v>1.2749999999999999E-3</v>
          </cell>
          <cell r="AS171">
            <v>45</v>
          </cell>
          <cell r="AT171">
            <v>60</v>
          </cell>
          <cell r="AU171">
            <v>75</v>
          </cell>
          <cell r="AV171">
            <v>0</v>
          </cell>
          <cell r="AW171">
            <v>0</v>
          </cell>
          <cell r="AX171">
            <v>75</v>
          </cell>
        </row>
        <row r="172">
          <cell r="G172" t="str">
            <v>Instrument Air and Plant Air Unit</v>
          </cell>
          <cell r="M172">
            <v>0.104</v>
          </cell>
          <cell r="N172">
            <v>1</v>
          </cell>
          <cell r="P172">
            <v>4.7632000000000004E-3</v>
          </cell>
          <cell r="R172">
            <v>4.3999999999999994E-3</v>
          </cell>
          <cell r="T172" t="str">
            <v>.</v>
          </cell>
          <cell r="U172" t="str">
            <v>.</v>
          </cell>
          <cell r="V172" t="str">
            <v>.</v>
          </cell>
          <cell r="AG172" t="str">
            <v>.</v>
          </cell>
          <cell r="AM172">
            <v>0.7431978501847496</v>
          </cell>
          <cell r="AN172">
            <v>3.5399999999999997E-3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</row>
        <row r="173">
          <cell r="C173" t="str">
            <v>DIG</v>
          </cell>
          <cell r="H173" t="str">
            <v>10-40-A3-PR-0001</v>
          </cell>
          <cell r="I173" t="str">
            <v>Block Flow Diagrams</v>
          </cell>
          <cell r="N173">
            <v>7.0000000000000007E-2</v>
          </cell>
          <cell r="P173">
            <v>3.3342400000000008E-4</v>
          </cell>
          <cell r="R173">
            <v>1E-4</v>
          </cell>
          <cell r="V173" t="str">
            <v>ارسال شده</v>
          </cell>
          <cell r="W173" t="str">
            <v>0 123</v>
          </cell>
          <cell r="X173" t="str">
            <v>51 78206440</v>
          </cell>
          <cell r="Y173" t="str">
            <v>12-07-07 12-08-0728-10-0709-12-07</v>
          </cell>
          <cell r="Z173" t="str">
            <v>F-0090         F-0151F-0356F-0503</v>
          </cell>
          <cell r="AA173" t="str">
            <v>25-07-07 18-08-0721-11-0711-12-07</v>
          </cell>
          <cell r="AG173" t="str">
            <v>GBT</v>
          </cell>
          <cell r="AH173" t="str">
            <v>x</v>
          </cell>
          <cell r="AI173" t="str">
            <v>x</v>
          </cell>
          <cell r="AJ173" t="str">
            <v>x</v>
          </cell>
          <cell r="AK173" t="str">
            <v>x</v>
          </cell>
          <cell r="AL173" t="str">
            <v/>
          </cell>
          <cell r="AM173">
            <v>0.85</v>
          </cell>
          <cell r="AN173">
            <v>8.5000000000000006E-5</v>
          </cell>
          <cell r="AQ173">
            <v>2.8341040000000008E-4</v>
          </cell>
          <cell r="AR173">
            <v>8.5000000000000006E-5</v>
          </cell>
          <cell r="AS173">
            <v>45</v>
          </cell>
          <cell r="AT173">
            <v>60</v>
          </cell>
          <cell r="AU173">
            <v>75</v>
          </cell>
          <cell r="AV173">
            <v>85</v>
          </cell>
          <cell r="AW173">
            <v>0</v>
          </cell>
          <cell r="AX173">
            <v>85</v>
          </cell>
        </row>
        <row r="174">
          <cell r="C174" t="str">
            <v>DIG</v>
          </cell>
          <cell r="H174" t="str">
            <v>10-40-A3-PR-0002</v>
          </cell>
          <cell r="I174" t="str">
            <v>Utility Flow Diagrams</v>
          </cell>
          <cell r="N174">
            <v>0.17199999999999999</v>
          </cell>
          <cell r="P174">
            <v>8.1927040000000001E-4</v>
          </cell>
          <cell r="R174">
            <v>5.9999999999999995E-4</v>
          </cell>
          <cell r="V174" t="str">
            <v>ارسال شده</v>
          </cell>
          <cell r="W174" t="str">
            <v>0 123</v>
          </cell>
          <cell r="X174" t="str">
            <v>61 78205439</v>
          </cell>
          <cell r="Y174" t="str">
            <v>21-07-07 12-08-0728-10-0709-12-07</v>
          </cell>
          <cell r="Z174" t="str">
            <v>F-0131         F-0151F-0356F-0503</v>
          </cell>
          <cell r="AA174" t="str">
            <v>09-08-07 18-08-0721-11-0711-12-07</v>
          </cell>
          <cell r="AG174" t="str">
            <v>GBT</v>
          </cell>
          <cell r="AH174" t="str">
            <v>x</v>
          </cell>
          <cell r="AI174" t="str">
            <v>x</v>
          </cell>
          <cell r="AJ174" t="str">
            <v>x</v>
          </cell>
          <cell r="AK174" t="str">
            <v>x</v>
          </cell>
          <cell r="AL174" t="str">
            <v/>
          </cell>
          <cell r="AM174">
            <v>0.85</v>
          </cell>
          <cell r="AN174">
            <v>5.0999999999999993E-4</v>
          </cell>
          <cell r="AQ174">
            <v>6.9637984000000001E-4</v>
          </cell>
          <cell r="AR174">
            <v>5.0999999999999993E-4</v>
          </cell>
          <cell r="AS174">
            <v>45</v>
          </cell>
          <cell r="AT174">
            <v>60</v>
          </cell>
          <cell r="AU174">
            <v>75</v>
          </cell>
          <cell r="AV174">
            <v>85</v>
          </cell>
          <cell r="AW174">
            <v>0</v>
          </cell>
          <cell r="AX174">
            <v>85</v>
          </cell>
        </row>
        <row r="175">
          <cell r="C175" t="str">
            <v>DIG</v>
          </cell>
          <cell r="H175" t="str">
            <v>10-40-A3-PR-0003</v>
          </cell>
          <cell r="I175" t="str">
            <v>Piping &amp; Instrumentation Diagrams</v>
          </cell>
          <cell r="N175">
            <v>0.34499999999999997</v>
          </cell>
          <cell r="P175">
            <v>1.6433039999999999E-3</v>
          </cell>
          <cell r="R175">
            <v>1.6999999999999999E-3</v>
          </cell>
          <cell r="V175" t="str">
            <v>ارسال شده</v>
          </cell>
          <cell r="W175" t="str">
            <v>0123</v>
          </cell>
          <cell r="X175" t="str">
            <v>76207309438</v>
          </cell>
          <cell r="Y175" t="str">
            <v>08-08-0728-10-0717-11-0709-12-07</v>
          </cell>
          <cell r="Z175" t="str">
            <v>F-0134F-0355F-0355F-0503</v>
          </cell>
          <cell r="AA175" t="str">
            <v>09-08-0721-11-0721-11-0711-12-07</v>
          </cell>
          <cell r="AB175" t="str">
            <v>G-0188</v>
          </cell>
          <cell r="AC175" t="str">
            <v>28-10-07</v>
          </cell>
          <cell r="AD175" t="str">
            <v>370,349,325</v>
          </cell>
          <cell r="AG175" t="str">
            <v>GBT</v>
          </cell>
          <cell r="AH175" t="str">
            <v>x</v>
          </cell>
          <cell r="AI175" t="str">
            <v>x</v>
          </cell>
          <cell r="AJ175" t="str">
            <v>x</v>
          </cell>
          <cell r="AK175" t="str">
            <v>x</v>
          </cell>
          <cell r="AL175" t="str">
            <v/>
          </cell>
          <cell r="AM175">
            <v>0.85</v>
          </cell>
          <cell r="AN175">
            <v>1.4449999999999999E-3</v>
          </cell>
          <cell r="AQ175">
            <v>1.3968084E-3</v>
          </cell>
          <cell r="AR175">
            <v>1.4449999999999999E-3</v>
          </cell>
          <cell r="AS175">
            <v>45</v>
          </cell>
          <cell r="AT175">
            <v>60</v>
          </cell>
          <cell r="AU175">
            <v>75</v>
          </cell>
          <cell r="AV175">
            <v>85</v>
          </cell>
          <cell r="AW175">
            <v>0</v>
          </cell>
          <cell r="AX175">
            <v>85</v>
          </cell>
        </row>
        <row r="176">
          <cell r="C176" t="str">
            <v>RPT</v>
          </cell>
          <cell r="H176" t="str">
            <v>10-40-DEB-PR-0001</v>
          </cell>
          <cell r="I176" t="str">
            <v>Design basis</v>
          </cell>
          <cell r="N176">
            <v>0.13800000000000001</v>
          </cell>
          <cell r="P176">
            <v>6.5732160000000009E-4</v>
          </cell>
          <cell r="R176">
            <v>2.9999999999999997E-4</v>
          </cell>
          <cell r="V176" t="str">
            <v>ارسال شده</v>
          </cell>
          <cell r="W176" t="str">
            <v>012</v>
          </cell>
          <cell r="X176" t="str">
            <v>158298436</v>
          </cell>
          <cell r="Y176" t="str">
            <v>15-10-0712-11-0709-12-07</v>
          </cell>
          <cell r="Z176" t="str">
            <v>F-0236F-0358</v>
          </cell>
          <cell r="AA176" t="str">
            <v>23-10-0722-11-07</v>
          </cell>
          <cell r="AB176" t="str">
            <v>G-0220</v>
          </cell>
          <cell r="AC176" t="str">
            <v>12-11-07</v>
          </cell>
          <cell r="AD176" t="str">
            <v>FF-0344</v>
          </cell>
          <cell r="AG176" t="str">
            <v>KRPC</v>
          </cell>
          <cell r="AH176" t="str">
            <v>x</v>
          </cell>
          <cell r="AI176" t="str">
            <v>x</v>
          </cell>
          <cell r="AJ176" t="str">
            <v>x</v>
          </cell>
          <cell r="AL176" t="str">
            <v/>
          </cell>
          <cell r="AM176">
            <v>0.75</v>
          </cell>
          <cell r="AN176">
            <v>2.2499999999999999E-4</v>
          </cell>
          <cell r="AQ176">
            <v>4.9299120000000009E-4</v>
          </cell>
          <cell r="AR176">
            <v>2.2499999999999999E-4</v>
          </cell>
          <cell r="AS176">
            <v>45</v>
          </cell>
          <cell r="AT176">
            <v>60</v>
          </cell>
          <cell r="AU176">
            <v>75</v>
          </cell>
          <cell r="AV176">
            <v>0</v>
          </cell>
          <cell r="AW176">
            <v>0</v>
          </cell>
          <cell r="AX176">
            <v>75</v>
          </cell>
        </row>
        <row r="177">
          <cell r="C177" t="str">
            <v>RPT</v>
          </cell>
          <cell r="H177" t="str">
            <v>10-40-PRD-PR-0001</v>
          </cell>
          <cell r="I177" t="str">
            <v>Process Description</v>
          </cell>
          <cell r="N177">
            <v>0.27500000000000002</v>
          </cell>
          <cell r="P177">
            <v>1.3098800000000002E-3</v>
          </cell>
          <cell r="R177">
            <v>1.6999999999999999E-3</v>
          </cell>
          <cell r="V177" t="str">
            <v>ارسال شده</v>
          </cell>
          <cell r="W177" t="str">
            <v>012</v>
          </cell>
          <cell r="X177" t="str">
            <v>155294437</v>
          </cell>
          <cell r="Y177" t="str">
            <v>15-10-0712-11-0709-12-07</v>
          </cell>
          <cell r="Z177" t="str">
            <v>F-0235F-0358F-0500</v>
          </cell>
          <cell r="AA177" t="str">
            <v>23-10-0722-11-0711-12-07</v>
          </cell>
          <cell r="AB177" t="str">
            <v>G-0233</v>
          </cell>
          <cell r="AC177" t="str">
            <v>12-11-07</v>
          </cell>
          <cell r="AD177" t="str">
            <v>FF-0347</v>
          </cell>
          <cell r="AG177" t="str">
            <v>GBT</v>
          </cell>
          <cell r="AH177" t="str">
            <v>x</v>
          </cell>
          <cell r="AI177" t="str">
            <v>x</v>
          </cell>
          <cell r="AJ177" t="str">
            <v>x</v>
          </cell>
          <cell r="AL177" t="str">
            <v/>
          </cell>
          <cell r="AM177">
            <v>0.75</v>
          </cell>
          <cell r="AN177">
            <v>1.2749999999999999E-3</v>
          </cell>
          <cell r="AQ177">
            <v>9.8241000000000018E-4</v>
          </cell>
          <cell r="AR177">
            <v>1.2749999999999999E-3</v>
          </cell>
          <cell r="AS177">
            <v>45</v>
          </cell>
          <cell r="AT177">
            <v>60</v>
          </cell>
          <cell r="AU177">
            <v>75</v>
          </cell>
          <cell r="AV177">
            <v>0</v>
          </cell>
          <cell r="AW177">
            <v>0</v>
          </cell>
          <cell r="AX177">
            <v>75</v>
          </cell>
        </row>
        <row r="178">
          <cell r="G178" t="str">
            <v>Water Treatment Unit</v>
          </cell>
          <cell r="M178">
            <v>0.104</v>
          </cell>
          <cell r="N178">
            <v>1</v>
          </cell>
          <cell r="P178">
            <v>4.7632000000000004E-3</v>
          </cell>
          <cell r="R178">
            <v>4.8999999999999998E-3</v>
          </cell>
          <cell r="T178" t="str">
            <v>.</v>
          </cell>
          <cell r="U178" t="str">
            <v>.</v>
          </cell>
          <cell r="V178" t="str">
            <v>.</v>
          </cell>
          <cell r="AG178" t="str">
            <v>.</v>
          </cell>
          <cell r="AM178">
            <v>0.87756130332549531</v>
          </cell>
          <cell r="AN178">
            <v>4.1799999999999997E-3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</row>
        <row r="179">
          <cell r="C179" t="str">
            <v>DIG</v>
          </cell>
          <cell r="H179" t="str">
            <v>10-50-A3-PR-0001</v>
          </cell>
          <cell r="I179" t="str">
            <v>Block Flow Diagrams</v>
          </cell>
          <cell r="N179">
            <v>7.0000000000000007E-2</v>
          </cell>
          <cell r="P179">
            <v>3.3342400000000008E-4</v>
          </cell>
          <cell r="R179">
            <v>1E-4</v>
          </cell>
          <cell r="V179" t="str">
            <v>ارسال شده</v>
          </cell>
          <cell r="W179" t="str">
            <v>0 1 234</v>
          </cell>
          <cell r="X179" t="str">
            <v>48 71 93133473</v>
          </cell>
          <cell r="Y179" t="str">
            <v>08-07-07 04-08-07 05-09-0707-10-0713-12-07</v>
          </cell>
          <cell r="Z179" t="str">
            <v xml:space="preserve">F-0072F-0135F-0186F-0464F-0531                   </v>
          </cell>
          <cell r="AA179" t="str">
            <v>15-07-0709-08-0708-09-0706-12-07 17-12-07</v>
          </cell>
          <cell r="AB179" t="str">
            <v>G-0145</v>
          </cell>
          <cell r="AC179" t="str">
            <v>02-10-07</v>
          </cell>
          <cell r="AD179" t="str">
            <v>FF-0373</v>
          </cell>
          <cell r="AG179" t="str">
            <v>GBT</v>
          </cell>
          <cell r="AH179" t="str">
            <v>x</v>
          </cell>
          <cell r="AI179" t="str">
            <v>x</v>
          </cell>
          <cell r="AJ179" t="str">
            <v>x</v>
          </cell>
          <cell r="AK179" t="str">
            <v>x</v>
          </cell>
          <cell r="AL179" t="str">
            <v>x</v>
          </cell>
          <cell r="AM179">
            <v>1</v>
          </cell>
          <cell r="AN179">
            <v>1E-4</v>
          </cell>
          <cell r="AQ179">
            <v>3.3342400000000008E-4</v>
          </cell>
          <cell r="AR179">
            <v>1E-4</v>
          </cell>
          <cell r="AS179">
            <v>45</v>
          </cell>
          <cell r="AT179">
            <v>60</v>
          </cell>
          <cell r="AU179">
            <v>75</v>
          </cell>
          <cell r="AV179">
            <v>85</v>
          </cell>
          <cell r="AW179">
            <v>100</v>
          </cell>
          <cell r="AX179">
            <v>100</v>
          </cell>
        </row>
        <row r="180">
          <cell r="C180" t="str">
            <v>DIG</v>
          </cell>
          <cell r="H180" t="str">
            <v>10-50-A3-PR-0002</v>
          </cell>
          <cell r="I180" t="str">
            <v>Utility  Flow Diagrams</v>
          </cell>
          <cell r="N180">
            <v>0.17199999999999999</v>
          </cell>
          <cell r="P180">
            <v>8.1927040000000001E-4</v>
          </cell>
          <cell r="R180">
            <v>5.9999999999999995E-4</v>
          </cell>
          <cell r="V180" t="str">
            <v>ارسال شده</v>
          </cell>
          <cell r="W180" t="str">
            <v>0123</v>
          </cell>
          <cell r="X180" t="str">
            <v>51217310471</v>
          </cell>
          <cell r="Y180" t="str">
            <v>12-07-0728-10-0717-11-0713-12-07</v>
          </cell>
          <cell r="Z180" t="str">
            <v>F-0090F-0294F-0397F-0531</v>
          </cell>
          <cell r="AA180" t="str">
            <v>25-07-0712-11-0729-11-0717-12-07</v>
          </cell>
          <cell r="AG180" t="str">
            <v>GBT</v>
          </cell>
          <cell r="AH180" t="str">
            <v>x</v>
          </cell>
          <cell r="AI180" t="str">
            <v>x</v>
          </cell>
          <cell r="AJ180" t="str">
            <v>x</v>
          </cell>
          <cell r="AK180" t="str">
            <v>x</v>
          </cell>
          <cell r="AL180" t="str">
            <v/>
          </cell>
          <cell r="AM180">
            <v>0.85</v>
          </cell>
          <cell r="AN180">
            <v>5.0999999999999993E-4</v>
          </cell>
          <cell r="AQ180">
            <v>6.9637984000000001E-4</v>
          </cell>
          <cell r="AR180">
            <v>5.0999999999999993E-4</v>
          </cell>
          <cell r="AS180">
            <v>45</v>
          </cell>
          <cell r="AT180">
            <v>60</v>
          </cell>
          <cell r="AU180">
            <v>75</v>
          </cell>
          <cell r="AV180">
            <v>85</v>
          </cell>
          <cell r="AW180">
            <v>0</v>
          </cell>
          <cell r="AX180">
            <v>85</v>
          </cell>
        </row>
        <row r="181">
          <cell r="C181" t="str">
            <v>DIG</v>
          </cell>
          <cell r="H181" t="str">
            <v>10-50-A3-PR-0003</v>
          </cell>
          <cell r="I181" t="str">
            <v>Piping &amp; Instrumentation Diagrams</v>
          </cell>
          <cell r="N181">
            <v>0.34499999999999997</v>
          </cell>
          <cell r="P181">
            <v>1.6433039999999999E-3</v>
          </cell>
          <cell r="R181">
            <v>1.9E-3</v>
          </cell>
          <cell r="V181" t="str">
            <v>ارسال شده</v>
          </cell>
          <cell r="W181" t="str">
            <v>0123</v>
          </cell>
          <cell r="X181" t="str">
            <v>56216308472</v>
          </cell>
          <cell r="Y181" t="str">
            <v>17-07-0728-10-0717-11-0713-12-07</v>
          </cell>
          <cell r="Z181" t="str">
            <v>F-0099F-0319F-0396F-0531</v>
          </cell>
          <cell r="AA181" t="str">
            <v>29-07-0711-11-0729-11-0717-12-07</v>
          </cell>
          <cell r="AB181" t="str">
            <v>G-0257</v>
          </cell>
          <cell r="AC181" t="str">
            <v>04-12-07</v>
          </cell>
          <cell r="AG181" t="str">
            <v>GBT</v>
          </cell>
          <cell r="AH181" t="str">
            <v>x</v>
          </cell>
          <cell r="AI181" t="str">
            <v>x</v>
          </cell>
          <cell r="AJ181" t="str">
            <v>x</v>
          </cell>
          <cell r="AK181" t="str">
            <v>x</v>
          </cell>
          <cell r="AL181" t="str">
            <v/>
          </cell>
          <cell r="AM181">
            <v>0.85</v>
          </cell>
          <cell r="AN181">
            <v>1.6149999999999999E-3</v>
          </cell>
          <cell r="AQ181">
            <v>1.3968084E-3</v>
          </cell>
          <cell r="AR181">
            <v>1.6149999999999999E-3</v>
          </cell>
          <cell r="AS181">
            <v>45</v>
          </cell>
          <cell r="AT181">
            <v>60</v>
          </cell>
          <cell r="AU181">
            <v>75</v>
          </cell>
          <cell r="AV181">
            <v>85</v>
          </cell>
          <cell r="AW181">
            <v>0</v>
          </cell>
          <cell r="AX181">
            <v>85</v>
          </cell>
        </row>
        <row r="182">
          <cell r="C182" t="str">
            <v>RPT</v>
          </cell>
          <cell r="H182" t="str">
            <v>10-50-DEB-PR-0001</v>
          </cell>
          <cell r="I182" t="str">
            <v>Design Basis</v>
          </cell>
          <cell r="N182">
            <v>0.13800000000000001</v>
          </cell>
          <cell r="P182">
            <v>6.5732160000000009E-4</v>
          </cell>
          <cell r="R182">
            <v>5.9999999999999995E-4</v>
          </cell>
          <cell r="V182" t="str">
            <v>ارسال شده</v>
          </cell>
          <cell r="W182" t="str">
            <v>0 1 23</v>
          </cell>
          <cell r="X182" t="str">
            <v>61 86 106468</v>
          </cell>
          <cell r="Y182" t="str">
            <v>21-07-07 16-08-07 08-09-0713-12-07</v>
          </cell>
          <cell r="Z182" t="str">
            <v>F-0125         F-0162         F-0196</v>
          </cell>
          <cell r="AA182" t="str">
            <v>05-08-07 20-08-07 10-08-07</v>
          </cell>
          <cell r="AG182" t="str">
            <v>KRPC</v>
          </cell>
          <cell r="AH182" t="str">
            <v>x</v>
          </cell>
          <cell r="AI182" t="str">
            <v>x</v>
          </cell>
          <cell r="AJ182" t="str">
            <v>x</v>
          </cell>
          <cell r="AK182" t="str">
            <v>x</v>
          </cell>
          <cell r="AL182" t="str">
            <v/>
          </cell>
          <cell r="AM182">
            <v>0.85</v>
          </cell>
          <cell r="AN182">
            <v>5.0999999999999993E-4</v>
          </cell>
          <cell r="AQ182">
            <v>5.5872336000000009E-4</v>
          </cell>
          <cell r="AR182">
            <v>5.0999999999999993E-4</v>
          </cell>
          <cell r="AS182">
            <v>45</v>
          </cell>
          <cell r="AT182">
            <v>60</v>
          </cell>
          <cell r="AU182">
            <v>75</v>
          </cell>
          <cell r="AV182">
            <v>85</v>
          </cell>
          <cell r="AW182">
            <v>0</v>
          </cell>
          <cell r="AX182">
            <v>85</v>
          </cell>
        </row>
        <row r="183">
          <cell r="C183" t="str">
            <v>RPT</v>
          </cell>
          <cell r="H183" t="str">
            <v>10-50-PRD-PR-0001</v>
          </cell>
          <cell r="I183" t="str">
            <v>Process Description</v>
          </cell>
          <cell r="N183">
            <v>0.27500000000000002</v>
          </cell>
          <cell r="P183">
            <v>1.3098800000000002E-3</v>
          </cell>
          <cell r="R183">
            <v>1.6999999999999999E-3</v>
          </cell>
          <cell r="V183" t="str">
            <v>ارسال شده</v>
          </cell>
          <cell r="W183" t="str">
            <v>0 1 23</v>
          </cell>
          <cell r="X183" t="str">
            <v>83 97 125470</v>
          </cell>
          <cell r="Y183" t="str">
            <v>15-08-0705-09-0705-10-0713-12-07</v>
          </cell>
          <cell r="Z183" t="str">
            <v xml:space="preserve">F-0153F-0191F-0529        </v>
          </cell>
          <cell r="AA183" t="str">
            <v>18-08-0709-09-0717-12-07</v>
          </cell>
          <cell r="AG183" t="str">
            <v>GBT</v>
          </cell>
          <cell r="AH183" t="str">
            <v>x</v>
          </cell>
          <cell r="AI183" t="str">
            <v>x</v>
          </cell>
          <cell r="AJ183" t="str">
            <v>x</v>
          </cell>
          <cell r="AK183" t="str">
            <v>x</v>
          </cell>
          <cell r="AL183" t="str">
            <v/>
          </cell>
          <cell r="AM183">
            <v>0.85</v>
          </cell>
          <cell r="AN183">
            <v>1.4449999999999999E-3</v>
          </cell>
          <cell r="AQ183">
            <v>1.1133980000000003E-3</v>
          </cell>
          <cell r="AR183">
            <v>1.4449999999999999E-3</v>
          </cell>
          <cell r="AS183">
            <v>45</v>
          </cell>
          <cell r="AT183">
            <v>60</v>
          </cell>
          <cell r="AU183">
            <v>75</v>
          </cell>
          <cell r="AV183">
            <v>85</v>
          </cell>
          <cell r="AW183">
            <v>0</v>
          </cell>
          <cell r="AX183">
            <v>85</v>
          </cell>
        </row>
        <row r="184">
          <cell r="G184" t="str">
            <v>Waste Water Treatment Unit</v>
          </cell>
          <cell r="M184">
            <v>0.104</v>
          </cell>
          <cell r="N184">
            <v>1</v>
          </cell>
          <cell r="P184">
            <v>4.7632000000000004E-3</v>
          </cell>
          <cell r="R184">
            <v>4.7999999999999996E-3</v>
          </cell>
          <cell r="T184" t="str">
            <v>.</v>
          </cell>
          <cell r="U184" t="str">
            <v>.</v>
          </cell>
          <cell r="V184" t="str">
            <v>.</v>
          </cell>
          <cell r="AG184" t="str">
            <v>.</v>
          </cell>
          <cell r="AM184">
            <v>0.61408296943231433</v>
          </cell>
          <cell r="AN184">
            <v>2.9249999999999996E-3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</row>
        <row r="185">
          <cell r="C185" t="str">
            <v>DIG</v>
          </cell>
          <cell r="H185" t="str">
            <v>10-60-A3-PR-0001</v>
          </cell>
          <cell r="I185" t="str">
            <v>Block Flow Diagrams</v>
          </cell>
          <cell r="N185">
            <v>7.0000000000000007E-2</v>
          </cell>
          <cell r="P185">
            <v>3.3342400000000008E-4</v>
          </cell>
          <cell r="R185">
            <v>1E-4</v>
          </cell>
          <cell r="V185" t="str">
            <v>ارسال شده</v>
          </cell>
          <cell r="W185">
            <v>0</v>
          </cell>
          <cell r="X185">
            <v>68</v>
          </cell>
          <cell r="Y185" t="str">
            <v>25-07-07</v>
          </cell>
          <cell r="Z185" t="str">
            <v>F-0137</v>
          </cell>
          <cell r="AA185" t="str">
            <v>09-08-07</v>
          </cell>
          <cell r="AG185" t="str">
            <v>GBT</v>
          </cell>
          <cell r="AH185" t="str">
            <v>x</v>
          </cell>
          <cell r="AJ185" t="str">
            <v/>
          </cell>
          <cell r="AL185" t="str">
            <v/>
          </cell>
          <cell r="AM185">
            <v>0.45</v>
          </cell>
          <cell r="AN185">
            <v>4.5000000000000003E-5</v>
          </cell>
          <cell r="AQ185">
            <v>1.5004080000000005E-4</v>
          </cell>
          <cell r="AR185">
            <v>4.5000000000000003E-5</v>
          </cell>
          <cell r="AS185">
            <v>45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45</v>
          </cell>
        </row>
        <row r="186">
          <cell r="C186" t="str">
            <v>DIG</v>
          </cell>
          <cell r="H186" t="str">
            <v>10-60-A3-PR-0002</v>
          </cell>
          <cell r="I186" t="str">
            <v>Utility  Flow Diagrams</v>
          </cell>
          <cell r="N186">
            <v>0.17199999999999999</v>
          </cell>
          <cell r="P186">
            <v>8.1927040000000001E-4</v>
          </cell>
          <cell r="R186">
            <v>5.9999999999999995E-4</v>
          </cell>
          <cell r="V186" t="str">
            <v>ارسال شده</v>
          </cell>
          <cell r="W186" t="str">
            <v>01</v>
          </cell>
          <cell r="X186" t="str">
            <v>73219</v>
          </cell>
          <cell r="Y186" t="str">
            <v>06-08-0728-10-07</v>
          </cell>
          <cell r="Z186" t="str">
            <v>F-0140F-0296</v>
          </cell>
          <cell r="AA186" t="str">
            <v>09-08-0712-11-07</v>
          </cell>
          <cell r="AG186" t="str">
            <v>GBT</v>
          </cell>
          <cell r="AH186" t="str">
            <v>x</v>
          </cell>
          <cell r="AI186" t="str">
            <v>x</v>
          </cell>
          <cell r="AJ186" t="str">
            <v/>
          </cell>
          <cell r="AL186" t="str">
            <v/>
          </cell>
          <cell r="AM186">
            <v>0.6</v>
          </cell>
          <cell r="AN186">
            <v>3.5999999999999997E-4</v>
          </cell>
          <cell r="AQ186">
            <v>4.9156223999999998E-4</v>
          </cell>
          <cell r="AR186">
            <v>3.5999999999999997E-4</v>
          </cell>
          <cell r="AS186">
            <v>45</v>
          </cell>
          <cell r="AT186">
            <v>60</v>
          </cell>
          <cell r="AU186">
            <v>0</v>
          </cell>
          <cell r="AV186">
            <v>0</v>
          </cell>
          <cell r="AW186">
            <v>0</v>
          </cell>
          <cell r="AX186">
            <v>60</v>
          </cell>
        </row>
        <row r="187">
          <cell r="C187" t="str">
            <v>DIG</v>
          </cell>
          <cell r="H187" t="str">
            <v>10-60-A3-PR-0003</v>
          </cell>
          <cell r="I187" t="str">
            <v>Piping &amp; Instrumentation Diagrams</v>
          </cell>
          <cell r="N187">
            <v>0.34499999999999997</v>
          </cell>
          <cell r="P187">
            <v>1.6433039999999999E-3</v>
          </cell>
          <cell r="R187">
            <v>1.6999999999999999E-3</v>
          </cell>
          <cell r="V187" t="str">
            <v>ارسال شده</v>
          </cell>
          <cell r="W187" t="str">
            <v>01</v>
          </cell>
          <cell r="X187" t="str">
            <v>83218</v>
          </cell>
          <cell r="Y187" t="str">
            <v>15-08-0728-10-07</v>
          </cell>
          <cell r="Z187" t="str">
            <v>F-0153F-0318</v>
          </cell>
          <cell r="AA187" t="str">
            <v>18-08-0711-11-07</v>
          </cell>
          <cell r="AG187" t="str">
            <v>GBT</v>
          </cell>
          <cell r="AH187" t="str">
            <v>x</v>
          </cell>
          <cell r="AI187" t="str">
            <v>x</v>
          </cell>
          <cell r="AJ187" t="str">
            <v/>
          </cell>
          <cell r="AL187" t="str">
            <v/>
          </cell>
          <cell r="AM187">
            <v>0.6</v>
          </cell>
          <cell r="AN187">
            <v>1.0199999999999999E-3</v>
          </cell>
          <cell r="AQ187">
            <v>9.8598239999999997E-4</v>
          </cell>
          <cell r="AR187">
            <v>1.0199999999999999E-3</v>
          </cell>
          <cell r="AS187">
            <v>45</v>
          </cell>
          <cell r="AT187">
            <v>60</v>
          </cell>
          <cell r="AU187">
            <v>0</v>
          </cell>
          <cell r="AV187">
            <v>0</v>
          </cell>
          <cell r="AW187">
            <v>0</v>
          </cell>
          <cell r="AX187">
            <v>60</v>
          </cell>
        </row>
        <row r="188">
          <cell r="C188" t="str">
            <v>RPT</v>
          </cell>
          <cell r="H188" t="str">
            <v>10-60-DEB-PR-0001</v>
          </cell>
          <cell r="I188" t="str">
            <v>Design Basis</v>
          </cell>
          <cell r="N188">
            <v>0.13800000000000001</v>
          </cell>
          <cell r="P188">
            <v>6.5732160000000009E-4</v>
          </cell>
          <cell r="R188">
            <v>2.9999999999999997E-4</v>
          </cell>
          <cell r="V188" t="str">
            <v>ارسال شده</v>
          </cell>
          <cell r="W188" t="str">
            <v>0 1 2</v>
          </cell>
          <cell r="X188" t="str">
            <v>86 94130</v>
          </cell>
          <cell r="Y188" t="str">
            <v>16-08-0705-09-0707-10-07</v>
          </cell>
          <cell r="Z188" t="str">
            <v>F-0162F-0190F-0219</v>
          </cell>
          <cell r="AA188" t="str">
            <v xml:space="preserve">20-08-0709-09-0715-10-07 </v>
          </cell>
          <cell r="AG188" t="str">
            <v>GBT</v>
          </cell>
          <cell r="AH188" t="str">
            <v>x</v>
          </cell>
          <cell r="AI188" t="str">
            <v>x</v>
          </cell>
          <cell r="AJ188" t="str">
            <v>x</v>
          </cell>
          <cell r="AL188" t="str">
            <v/>
          </cell>
          <cell r="AM188">
            <v>0.75</v>
          </cell>
          <cell r="AN188">
            <v>2.2499999999999999E-4</v>
          </cell>
          <cell r="AQ188">
            <v>4.9299120000000009E-4</v>
          </cell>
          <cell r="AR188">
            <v>2.2499999999999999E-4</v>
          </cell>
          <cell r="AS188">
            <v>45</v>
          </cell>
          <cell r="AT188">
            <v>60</v>
          </cell>
          <cell r="AU188">
            <v>75</v>
          </cell>
          <cell r="AV188">
            <v>0</v>
          </cell>
          <cell r="AW188">
            <v>0</v>
          </cell>
          <cell r="AX188">
            <v>75</v>
          </cell>
        </row>
        <row r="189">
          <cell r="I189" t="str">
            <v>Equipment List</v>
          </cell>
          <cell r="R189">
            <v>1E-4</v>
          </cell>
          <cell r="AN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</row>
        <row r="190">
          <cell r="I190" t="str">
            <v xml:space="preserve">Equipment Process Data Sheets </v>
          </cell>
          <cell r="R190">
            <v>2.9999999999999997E-4</v>
          </cell>
          <cell r="AN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</row>
        <row r="191">
          <cell r="C191" t="str">
            <v>RPT</v>
          </cell>
          <cell r="H191" t="str">
            <v>10-60-PRD-PR-0001</v>
          </cell>
          <cell r="I191" t="str">
            <v>Process Description</v>
          </cell>
          <cell r="N191">
            <v>0.27500000000000002</v>
          </cell>
          <cell r="P191">
            <v>1.3098800000000002E-3</v>
          </cell>
          <cell r="R191">
            <v>1.6999999999999999E-3</v>
          </cell>
          <cell r="V191" t="str">
            <v>ارسال شده</v>
          </cell>
          <cell r="W191" t="str">
            <v xml:space="preserve">0 1 2 </v>
          </cell>
          <cell r="X191" t="str">
            <v xml:space="preserve">86   107 124 </v>
          </cell>
          <cell r="Y191" t="str">
            <v xml:space="preserve">16-08-07 08-09-07 07-10-07 </v>
          </cell>
          <cell r="Z191" t="str">
            <v>F-0162F-0194</v>
          </cell>
          <cell r="AA191" t="str">
            <v>20-08-0710-09-07</v>
          </cell>
          <cell r="AB191" t="str">
            <v>G-0154</v>
          </cell>
          <cell r="AC191" t="str">
            <v>07-10-07</v>
          </cell>
          <cell r="AG191" t="str">
            <v>KRPC</v>
          </cell>
          <cell r="AH191" t="str">
            <v>x</v>
          </cell>
          <cell r="AI191" t="str">
            <v>x</v>
          </cell>
          <cell r="AJ191" t="str">
            <v>x</v>
          </cell>
          <cell r="AL191" t="str">
            <v/>
          </cell>
          <cell r="AM191">
            <v>0.75</v>
          </cell>
          <cell r="AN191">
            <v>1.2749999999999999E-3</v>
          </cell>
          <cell r="AQ191">
            <v>9.8241000000000018E-4</v>
          </cell>
          <cell r="AR191">
            <v>1.2749999999999999E-3</v>
          </cell>
          <cell r="AS191">
            <v>45</v>
          </cell>
          <cell r="AT191">
            <v>60</v>
          </cell>
          <cell r="AU191">
            <v>75</v>
          </cell>
          <cell r="AV191">
            <v>0</v>
          </cell>
          <cell r="AW191">
            <v>0</v>
          </cell>
          <cell r="AX191">
            <v>75</v>
          </cell>
        </row>
        <row r="192">
          <cell r="G192" t="str">
            <v>Cooling Water Unit</v>
          </cell>
          <cell r="M192">
            <v>0.104</v>
          </cell>
          <cell r="N192">
            <v>1</v>
          </cell>
          <cell r="P192">
            <v>4.7632000000000004E-3</v>
          </cell>
          <cell r="R192">
            <v>5.0999999999999995E-3</v>
          </cell>
          <cell r="T192" t="str">
            <v>.</v>
          </cell>
          <cell r="U192" t="str">
            <v>.</v>
          </cell>
          <cell r="V192" t="str">
            <v>.</v>
          </cell>
          <cell r="AG192" t="str">
            <v>.</v>
          </cell>
          <cell r="AM192">
            <v>0.76419213973799116</v>
          </cell>
          <cell r="AN192">
            <v>3.64E-3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</row>
        <row r="193">
          <cell r="C193" t="str">
            <v>DIG</v>
          </cell>
          <cell r="H193" t="str">
            <v>10-70-A3-PR-0001</v>
          </cell>
          <cell r="I193" t="str">
            <v>Block Flow Diagrams</v>
          </cell>
          <cell r="N193">
            <v>7.0000000000000007E-2</v>
          </cell>
          <cell r="P193">
            <v>3.3342400000000008E-4</v>
          </cell>
          <cell r="R193">
            <v>4.0000000000000002E-4</v>
          </cell>
          <cell r="V193" t="str">
            <v>ارسال شده</v>
          </cell>
          <cell r="W193" t="str">
            <v>0123</v>
          </cell>
          <cell r="X193" t="str">
            <v>21145349507</v>
          </cell>
          <cell r="Y193" t="str">
            <v>13-06-0709-10-0720-11-0725-12-07</v>
          </cell>
          <cell r="Z193" t="str">
            <v>F-0013F-0212F-0416F-0555</v>
          </cell>
          <cell r="AA193" t="str">
            <v>19-06-0715-10-0702-12-0726-12-07</v>
          </cell>
          <cell r="AB193" t="str">
            <v>G-0235</v>
          </cell>
          <cell r="AC193" t="str">
            <v>18-11-07</v>
          </cell>
          <cell r="AD193" t="str">
            <v>FF-0352</v>
          </cell>
          <cell r="AG193" t="str">
            <v>GBT</v>
          </cell>
          <cell r="AH193" t="str">
            <v>x</v>
          </cell>
          <cell r="AI193" t="str">
            <v>x</v>
          </cell>
          <cell r="AJ193" t="str">
            <v>x</v>
          </cell>
          <cell r="AK193" t="str">
            <v>x</v>
          </cell>
          <cell r="AL193" t="str">
            <v/>
          </cell>
          <cell r="AM193">
            <v>0.85</v>
          </cell>
          <cell r="AN193">
            <v>3.4000000000000002E-4</v>
          </cell>
          <cell r="AO193" t="str">
            <v>T</v>
          </cell>
          <cell r="AQ193">
            <v>2.8341040000000008E-4</v>
          </cell>
          <cell r="AR193">
            <v>3.4000000000000002E-4</v>
          </cell>
          <cell r="AS193">
            <v>45</v>
          </cell>
          <cell r="AT193">
            <v>60</v>
          </cell>
          <cell r="AU193">
            <v>75</v>
          </cell>
          <cell r="AV193">
            <v>85</v>
          </cell>
          <cell r="AW193">
            <v>0</v>
          </cell>
          <cell r="AX193">
            <v>85</v>
          </cell>
        </row>
        <row r="194">
          <cell r="C194" t="str">
            <v>DIG</v>
          </cell>
          <cell r="H194" t="str">
            <v>10-70-A3-PR-0002</v>
          </cell>
          <cell r="I194" t="str">
            <v>Utility  Flow Diagrams</v>
          </cell>
          <cell r="N194">
            <v>0.17199999999999999</v>
          </cell>
          <cell r="P194">
            <v>8.1927040000000001E-4</v>
          </cell>
          <cell r="R194">
            <v>5.9999999999999995E-4</v>
          </cell>
          <cell r="V194" t="str">
            <v>ارسال شده</v>
          </cell>
          <cell r="W194" t="str">
            <v>0123</v>
          </cell>
          <cell r="X194" t="str">
            <v>21139348506</v>
          </cell>
          <cell r="Y194" t="str">
            <v>13-06-0708-10-0720-11-0725-12-07</v>
          </cell>
          <cell r="Z194" t="str">
            <v>F-0013F-0211F-0417F-0555</v>
          </cell>
          <cell r="AA194" t="str">
            <v>19-06-0715-10-0702-12-0726-12-07</v>
          </cell>
          <cell r="AB194" t="str">
            <v>G-0236</v>
          </cell>
          <cell r="AC194" t="str">
            <v>18-11-07</v>
          </cell>
          <cell r="AD194" t="str">
            <v>FF-0352</v>
          </cell>
          <cell r="AG194" t="str">
            <v>GBT</v>
          </cell>
          <cell r="AH194" t="str">
            <v>x</v>
          </cell>
          <cell r="AI194" t="str">
            <v>x</v>
          </cell>
          <cell r="AJ194" t="str">
            <v>x</v>
          </cell>
          <cell r="AK194" t="str">
            <v>x</v>
          </cell>
          <cell r="AL194" t="str">
            <v/>
          </cell>
          <cell r="AM194">
            <v>0.85</v>
          </cell>
          <cell r="AN194">
            <v>5.0999999999999993E-4</v>
          </cell>
          <cell r="AO194" t="str">
            <v>T</v>
          </cell>
          <cell r="AQ194">
            <v>6.9637984000000001E-4</v>
          </cell>
          <cell r="AR194">
            <v>5.0999999999999993E-4</v>
          </cell>
          <cell r="AS194">
            <v>45</v>
          </cell>
          <cell r="AT194">
            <v>60</v>
          </cell>
          <cell r="AU194">
            <v>75</v>
          </cell>
          <cell r="AV194">
            <v>85</v>
          </cell>
          <cell r="AW194">
            <v>0</v>
          </cell>
          <cell r="AX194">
            <v>85</v>
          </cell>
        </row>
        <row r="195">
          <cell r="C195" t="str">
            <v>DIG</v>
          </cell>
          <cell r="H195" t="str">
            <v>10-70-A3-PR-0003</v>
          </cell>
          <cell r="I195" t="str">
            <v>Piping &amp; Instrumentation Diagrams</v>
          </cell>
          <cell r="N195">
            <v>0.27</v>
          </cell>
          <cell r="P195">
            <v>1.2860640000000002E-3</v>
          </cell>
          <cell r="R195">
            <v>1.6999999999999999E-3</v>
          </cell>
          <cell r="V195" t="str">
            <v>ارسال شده</v>
          </cell>
          <cell r="W195" t="str">
            <v>012</v>
          </cell>
          <cell r="X195" t="str">
            <v>48347505</v>
          </cell>
          <cell r="Y195" t="str">
            <v>08-07-0720-11-0725-12-07</v>
          </cell>
          <cell r="Z195" t="str">
            <v>F-0072F-0460F-0555</v>
          </cell>
          <cell r="AA195" t="str">
            <v>15-07-0705-12-0726-12-07</v>
          </cell>
          <cell r="AB195" t="str">
            <v>G-0282</v>
          </cell>
          <cell r="AC195" t="str">
            <v>12-12-07</v>
          </cell>
          <cell r="AD195" t="str">
            <v>FF-0524</v>
          </cell>
          <cell r="AG195" t="str">
            <v>GBT</v>
          </cell>
          <cell r="AH195" t="str">
            <v>x</v>
          </cell>
          <cell r="AI195" t="str">
            <v>x</v>
          </cell>
          <cell r="AJ195" t="str">
            <v>x</v>
          </cell>
          <cell r="AL195" t="str">
            <v/>
          </cell>
          <cell r="AM195">
            <v>0.75</v>
          </cell>
          <cell r="AN195">
            <v>1.2749999999999999E-3</v>
          </cell>
          <cell r="AO195" t="str">
            <v>T</v>
          </cell>
          <cell r="AQ195">
            <v>9.6454800000000018E-4</v>
          </cell>
          <cell r="AR195">
            <v>1.2749999999999999E-3</v>
          </cell>
          <cell r="AS195">
            <v>45</v>
          </cell>
          <cell r="AT195">
            <v>60</v>
          </cell>
          <cell r="AU195">
            <v>75</v>
          </cell>
          <cell r="AV195">
            <v>0</v>
          </cell>
          <cell r="AW195">
            <v>0</v>
          </cell>
          <cell r="AX195">
            <v>75</v>
          </cell>
        </row>
        <row r="196">
          <cell r="C196" t="str">
            <v>RPT</v>
          </cell>
          <cell r="H196" t="str">
            <v>10-70-DEB-PR-0001</v>
          </cell>
          <cell r="I196" t="str">
            <v>Design Basis</v>
          </cell>
          <cell r="N196">
            <v>0.13800000000000001</v>
          </cell>
          <cell r="P196">
            <v>6.5732160000000009E-4</v>
          </cell>
          <cell r="R196">
            <v>2.9999999999999997E-4</v>
          </cell>
          <cell r="V196" t="str">
            <v>ارسال شده</v>
          </cell>
          <cell r="W196" t="str">
            <v>0 123</v>
          </cell>
          <cell r="X196" t="str">
            <v>61 100137517</v>
          </cell>
          <cell r="Y196" t="str">
            <v xml:space="preserve">21-07-0706-09-0708-10-0725-12-07 </v>
          </cell>
          <cell r="Z196" t="str">
            <v>F-0125F-0183F-0213</v>
          </cell>
          <cell r="AA196" t="str">
            <v>05-08-0708-09-0715-10-07</v>
          </cell>
          <cell r="AG196" t="str">
            <v>KRPC</v>
          </cell>
          <cell r="AH196" t="str">
            <v>x</v>
          </cell>
          <cell r="AI196" t="str">
            <v>x</v>
          </cell>
          <cell r="AJ196" t="str">
            <v>x</v>
          </cell>
          <cell r="AK196" t="str">
            <v>x</v>
          </cell>
          <cell r="AL196" t="str">
            <v/>
          </cell>
          <cell r="AM196">
            <v>0.85</v>
          </cell>
          <cell r="AN196">
            <v>2.5499999999999996E-4</v>
          </cell>
          <cell r="AO196" t="str">
            <v>T</v>
          </cell>
          <cell r="AQ196">
            <v>5.5872336000000009E-4</v>
          </cell>
          <cell r="AR196">
            <v>2.5499999999999996E-4</v>
          </cell>
          <cell r="AS196">
            <v>45</v>
          </cell>
          <cell r="AT196">
            <v>60</v>
          </cell>
          <cell r="AU196">
            <v>75</v>
          </cell>
          <cell r="AV196">
            <v>85</v>
          </cell>
          <cell r="AW196">
            <v>0</v>
          </cell>
          <cell r="AX196">
            <v>85</v>
          </cell>
        </row>
        <row r="197">
          <cell r="C197" t="str">
            <v>LIS</v>
          </cell>
          <cell r="H197" t="str">
            <v>10-70-EQL-PR-0001</v>
          </cell>
          <cell r="I197" t="str">
            <v>Equipment List</v>
          </cell>
          <cell r="N197">
            <v>0.05</v>
          </cell>
          <cell r="P197">
            <v>2.3816000000000004E-4</v>
          </cell>
          <cell r="R197">
            <v>1E-4</v>
          </cell>
          <cell r="V197" t="str">
            <v>ارسال شده</v>
          </cell>
          <cell r="W197" t="str">
            <v>01</v>
          </cell>
          <cell r="X197" t="str">
            <v>178516</v>
          </cell>
          <cell r="Y197" t="str">
            <v>20-10-0725-12-07</v>
          </cell>
          <cell r="Z197" t="str">
            <v>F-0285F-0557</v>
          </cell>
          <cell r="AA197" t="str">
            <v>10-11-0726-12-07</v>
          </cell>
          <cell r="AG197" t="str">
            <v>GBT</v>
          </cell>
          <cell r="AH197" t="str">
            <v>x</v>
          </cell>
          <cell r="AI197" t="str">
            <v>x</v>
          </cell>
          <cell r="AM197">
            <v>0.6</v>
          </cell>
          <cell r="AN197">
            <v>6.0000000000000002E-5</v>
          </cell>
          <cell r="AO197" t="str">
            <v>T</v>
          </cell>
          <cell r="AQ197">
            <v>1.4289600000000002E-4</v>
          </cell>
          <cell r="AR197">
            <v>6.0000000000000002E-5</v>
          </cell>
          <cell r="AS197">
            <v>45</v>
          </cell>
          <cell r="AT197">
            <v>60</v>
          </cell>
          <cell r="AU197">
            <v>0</v>
          </cell>
          <cell r="AV197">
            <v>0</v>
          </cell>
          <cell r="AW197">
            <v>0</v>
          </cell>
          <cell r="AX197">
            <v>60</v>
          </cell>
        </row>
        <row r="198">
          <cell r="C198" t="str">
            <v>DSH</v>
          </cell>
          <cell r="H198" t="str">
            <v>10-70-DSH-PR-0001</v>
          </cell>
          <cell r="I198" t="str">
            <v xml:space="preserve">Equipment Process Data Sheets </v>
          </cell>
          <cell r="N198">
            <v>0.05</v>
          </cell>
          <cell r="P198">
            <v>2.3816000000000004E-4</v>
          </cell>
          <cell r="R198">
            <v>2.9999999999999997E-4</v>
          </cell>
          <cell r="V198" t="str">
            <v>ارسال شده</v>
          </cell>
          <cell r="W198" t="str">
            <v>01</v>
          </cell>
          <cell r="X198" t="str">
            <v>210515</v>
          </cell>
          <cell r="Y198" t="str">
            <v>28-10-0725-12-07</v>
          </cell>
          <cell r="Z198" t="str">
            <v>F-0335</v>
          </cell>
          <cell r="AA198" t="str">
            <v>22-11-07</v>
          </cell>
          <cell r="AG198" t="str">
            <v>KRPC</v>
          </cell>
          <cell r="AH198" t="str">
            <v>x</v>
          </cell>
          <cell r="AI198" t="str">
            <v>x</v>
          </cell>
          <cell r="AM198">
            <v>0.6</v>
          </cell>
          <cell r="AN198">
            <v>1.7999999999999998E-4</v>
          </cell>
          <cell r="AO198" t="str">
            <v>T</v>
          </cell>
          <cell r="AQ198">
            <v>1.4289600000000002E-4</v>
          </cell>
          <cell r="AR198">
            <v>1.7999999999999998E-4</v>
          </cell>
          <cell r="AS198">
            <v>45</v>
          </cell>
          <cell r="AT198">
            <v>60</v>
          </cell>
          <cell r="AU198">
            <v>0</v>
          </cell>
          <cell r="AV198">
            <v>0</v>
          </cell>
          <cell r="AW198">
            <v>0</v>
          </cell>
          <cell r="AX198">
            <v>60</v>
          </cell>
        </row>
        <row r="199">
          <cell r="C199" t="str">
            <v>RPT</v>
          </cell>
          <cell r="H199" t="str">
            <v>10-70-PRD-PR-0001</v>
          </cell>
          <cell r="I199" t="str">
            <v>Process Description</v>
          </cell>
          <cell r="N199">
            <v>0.25</v>
          </cell>
          <cell r="P199">
            <v>1.1908000000000001E-3</v>
          </cell>
          <cell r="R199">
            <v>1.6999999999999999E-3</v>
          </cell>
          <cell r="V199" t="str">
            <v>ارسال شده</v>
          </cell>
          <cell r="W199" t="str">
            <v>01</v>
          </cell>
          <cell r="X199" t="str">
            <v>79514</v>
          </cell>
          <cell r="Y199" t="str">
            <v>13-08-0725-12-07</v>
          </cell>
          <cell r="Z199" t="str">
            <v>F-0152F-0558</v>
          </cell>
          <cell r="AA199" t="str">
            <v>18-08-0726-12-07</v>
          </cell>
          <cell r="AG199" t="str">
            <v>GBT</v>
          </cell>
          <cell r="AH199" t="str">
            <v>x</v>
          </cell>
          <cell r="AI199" t="str">
            <v>x</v>
          </cell>
          <cell r="AJ199" t="str">
            <v/>
          </cell>
          <cell r="AL199" t="str">
            <v/>
          </cell>
          <cell r="AM199">
            <v>0.6</v>
          </cell>
          <cell r="AN199">
            <v>1.0199999999999999E-3</v>
          </cell>
          <cell r="AO199" t="str">
            <v>T</v>
          </cell>
          <cell r="AQ199">
            <v>7.1448000000000008E-4</v>
          </cell>
          <cell r="AR199">
            <v>1.0199999999999999E-3</v>
          </cell>
          <cell r="AS199">
            <v>45</v>
          </cell>
          <cell r="AT199">
            <v>60</v>
          </cell>
          <cell r="AU199">
            <v>0</v>
          </cell>
          <cell r="AV199">
            <v>0</v>
          </cell>
          <cell r="AW199">
            <v>0</v>
          </cell>
          <cell r="AX199">
            <v>60</v>
          </cell>
        </row>
        <row r="200">
          <cell r="G200" t="str">
            <v>Flare Unit</v>
          </cell>
          <cell r="M200">
            <v>0.104</v>
          </cell>
          <cell r="N200">
            <v>1</v>
          </cell>
          <cell r="P200">
            <v>4.7632000000000004E-3</v>
          </cell>
          <cell r="R200">
            <v>5.1999999999999998E-3</v>
          </cell>
          <cell r="T200" t="str">
            <v>.</v>
          </cell>
          <cell r="U200" t="str">
            <v>.</v>
          </cell>
          <cell r="V200" t="str">
            <v>.</v>
          </cell>
          <cell r="AG200" t="str">
            <v>.</v>
          </cell>
          <cell r="AM200">
            <v>0.81562814914343285</v>
          </cell>
          <cell r="AN200">
            <v>3.8849999999999996E-3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</row>
        <row r="201">
          <cell r="C201" t="str">
            <v>DIG</v>
          </cell>
          <cell r="H201" t="str">
            <v>10-90-A3-PR-0001</v>
          </cell>
          <cell r="I201" t="str">
            <v>Block Flow Diagrams</v>
          </cell>
          <cell r="N201">
            <v>7.0000000000000007E-2</v>
          </cell>
          <cell r="P201">
            <v>3.3342400000000008E-4</v>
          </cell>
          <cell r="R201">
            <v>1E-4</v>
          </cell>
          <cell r="V201" t="str">
            <v>ارسال شده</v>
          </cell>
          <cell r="W201" t="str">
            <v>012</v>
          </cell>
          <cell r="X201" t="str">
            <v>92132503</v>
          </cell>
          <cell r="Y201" t="str">
            <v>21-08-0707-10-0725-12-07</v>
          </cell>
          <cell r="Z201" t="str">
            <v>F-0170F-0225F-0555</v>
          </cell>
          <cell r="AA201" t="str">
            <v>21-08-0720-10-0726-12-07</v>
          </cell>
          <cell r="AG201" t="str">
            <v>GBT</v>
          </cell>
          <cell r="AH201" t="str">
            <v>x</v>
          </cell>
          <cell r="AI201" t="str">
            <v>x</v>
          </cell>
          <cell r="AJ201" t="str">
            <v>x</v>
          </cell>
          <cell r="AL201" t="str">
            <v/>
          </cell>
          <cell r="AM201">
            <v>0.75</v>
          </cell>
          <cell r="AN201">
            <v>7.5000000000000007E-5</v>
          </cell>
          <cell r="AO201" t="str">
            <v>T</v>
          </cell>
          <cell r="AQ201">
            <v>2.5006800000000005E-4</v>
          </cell>
          <cell r="AR201">
            <v>7.5000000000000007E-5</v>
          </cell>
          <cell r="AS201">
            <v>45</v>
          </cell>
          <cell r="AT201">
            <v>60</v>
          </cell>
          <cell r="AU201">
            <v>75</v>
          </cell>
          <cell r="AV201">
            <v>0</v>
          </cell>
          <cell r="AW201">
            <v>0</v>
          </cell>
          <cell r="AX201">
            <v>75</v>
          </cell>
        </row>
        <row r="202">
          <cell r="C202" t="str">
            <v>DIG</v>
          </cell>
          <cell r="H202" t="str">
            <v>10-90-A3-PR-0002</v>
          </cell>
          <cell r="I202" t="str">
            <v>Utility  Flow Diagrams</v>
          </cell>
          <cell r="N202">
            <v>0.17199999999999999</v>
          </cell>
          <cell r="P202">
            <v>8.1927040000000001E-4</v>
          </cell>
          <cell r="R202">
            <v>5.9999999999999995E-4</v>
          </cell>
          <cell r="V202" t="str">
            <v>ارسال شده</v>
          </cell>
          <cell r="W202" t="str">
            <v>012</v>
          </cell>
          <cell r="X202" t="str">
            <v>73131504</v>
          </cell>
          <cell r="Y202" t="str">
            <v>06-08-0707-10-0725-12-07</v>
          </cell>
          <cell r="Z202" t="str">
            <v>F-0140F-0226F-0555</v>
          </cell>
          <cell r="AA202" t="str">
            <v>09-08-0720-10-0726-12-07</v>
          </cell>
          <cell r="AG202" t="str">
            <v>GBT</v>
          </cell>
          <cell r="AH202" t="str">
            <v>x</v>
          </cell>
          <cell r="AI202" t="str">
            <v>x</v>
          </cell>
          <cell r="AJ202" t="str">
            <v>x</v>
          </cell>
          <cell r="AL202" t="str">
            <v/>
          </cell>
          <cell r="AM202">
            <v>0.75</v>
          </cell>
          <cell r="AN202">
            <v>4.4999999999999999E-4</v>
          </cell>
          <cell r="AO202" t="str">
            <v>T</v>
          </cell>
          <cell r="AQ202">
            <v>6.1445279999999998E-4</v>
          </cell>
          <cell r="AR202">
            <v>4.4999999999999999E-4</v>
          </cell>
          <cell r="AS202">
            <v>45</v>
          </cell>
          <cell r="AT202">
            <v>60</v>
          </cell>
          <cell r="AU202">
            <v>75</v>
          </cell>
          <cell r="AV202">
            <v>0</v>
          </cell>
          <cell r="AW202">
            <v>0</v>
          </cell>
          <cell r="AX202">
            <v>75</v>
          </cell>
        </row>
        <row r="203">
          <cell r="C203" t="str">
            <v>DIG</v>
          </cell>
          <cell r="H203" t="str">
            <v>10-90-A3-PR-0003</v>
          </cell>
          <cell r="I203" t="str">
            <v>Piping &amp; Instrumentation Diagrams</v>
          </cell>
          <cell r="N203">
            <v>0.27</v>
          </cell>
          <cell r="P203">
            <v>1.2860640000000002E-3</v>
          </cell>
          <cell r="R203">
            <v>1.6999999999999999E-3</v>
          </cell>
          <cell r="V203" t="str">
            <v>ارسال شده</v>
          </cell>
          <cell r="W203" t="str">
            <v>012</v>
          </cell>
          <cell r="X203" t="str">
            <v>73134502</v>
          </cell>
          <cell r="Y203" t="str">
            <v>06-08-0707-10-0725-12-07</v>
          </cell>
          <cell r="Z203" t="str">
            <v>F-0140F-0227F-0555</v>
          </cell>
          <cell r="AA203" t="str">
            <v>09-08-0720-10-0726-12-07</v>
          </cell>
          <cell r="AG203" t="str">
            <v>GBT</v>
          </cell>
          <cell r="AH203" t="str">
            <v>x</v>
          </cell>
          <cell r="AI203" t="str">
            <v>x</v>
          </cell>
          <cell r="AJ203" t="str">
            <v>x</v>
          </cell>
          <cell r="AL203" t="str">
            <v/>
          </cell>
          <cell r="AM203">
            <v>0.75</v>
          </cell>
          <cell r="AN203">
            <v>1.2749999999999999E-3</v>
          </cell>
          <cell r="AO203" t="str">
            <v>T</v>
          </cell>
          <cell r="AQ203">
            <v>9.6454800000000018E-4</v>
          </cell>
          <cell r="AR203">
            <v>1.2749999999999999E-3</v>
          </cell>
          <cell r="AS203">
            <v>45</v>
          </cell>
          <cell r="AT203">
            <v>60</v>
          </cell>
          <cell r="AU203">
            <v>75</v>
          </cell>
          <cell r="AV203">
            <v>0</v>
          </cell>
          <cell r="AW203">
            <v>0</v>
          </cell>
          <cell r="AX203">
            <v>75</v>
          </cell>
        </row>
        <row r="204">
          <cell r="C204" t="str">
            <v>RPT</v>
          </cell>
          <cell r="H204" t="str">
            <v>10-90-DEB-PR-0001</v>
          </cell>
          <cell r="I204" t="str">
            <v>Design Basis</v>
          </cell>
          <cell r="N204">
            <v>0.13800000000000001</v>
          </cell>
          <cell r="P204">
            <v>6.5732160000000009E-4</v>
          </cell>
          <cell r="R204">
            <v>5.9999999999999995E-4</v>
          </cell>
          <cell r="V204" t="str">
            <v>ارسال شده</v>
          </cell>
          <cell r="W204" t="str">
            <v>0 12</v>
          </cell>
          <cell r="X204" t="str">
            <v>73 129469</v>
          </cell>
          <cell r="Y204" t="str">
            <v>06-08-0707-10-0713-12-07</v>
          </cell>
          <cell r="Z204" t="str">
            <v>F-0140F-0221</v>
          </cell>
          <cell r="AA204" t="str">
            <v>09-08-0720-10-07</v>
          </cell>
          <cell r="AG204" t="str">
            <v>KRPC</v>
          </cell>
          <cell r="AH204" t="str">
            <v>x</v>
          </cell>
          <cell r="AI204" t="str">
            <v>x</v>
          </cell>
          <cell r="AJ204" t="str">
            <v>x</v>
          </cell>
          <cell r="AL204" t="str">
            <v/>
          </cell>
          <cell r="AM204">
            <v>0.75</v>
          </cell>
          <cell r="AN204">
            <v>4.4999999999999999E-4</v>
          </cell>
          <cell r="AQ204">
            <v>4.9299120000000009E-4</v>
          </cell>
          <cell r="AR204">
            <v>4.4999999999999999E-4</v>
          </cell>
          <cell r="AS204">
            <v>45</v>
          </cell>
          <cell r="AT204">
            <v>60</v>
          </cell>
          <cell r="AU204">
            <v>75</v>
          </cell>
          <cell r="AV204">
            <v>0</v>
          </cell>
          <cell r="AW204">
            <v>0</v>
          </cell>
          <cell r="AX204">
            <v>75</v>
          </cell>
        </row>
        <row r="205">
          <cell r="C205" t="str">
            <v>LIS</v>
          </cell>
          <cell r="H205" t="str">
            <v>10-90-EQL-PR-0001</v>
          </cell>
          <cell r="I205" t="str">
            <v>Equipment List</v>
          </cell>
          <cell r="N205">
            <v>0.05</v>
          </cell>
          <cell r="R205">
            <v>1.6999999999999999E-3</v>
          </cell>
          <cell r="V205" t="str">
            <v>ارسال شده</v>
          </cell>
          <cell r="W205" t="str">
            <v>02</v>
          </cell>
          <cell r="X205" t="str">
            <v>177465</v>
          </cell>
          <cell r="Y205" t="str">
            <v>25-10-0713-12-07</v>
          </cell>
          <cell r="Z205" t="str">
            <v>F-0284</v>
          </cell>
          <cell r="AA205" t="str">
            <v>10-11-07</v>
          </cell>
          <cell r="AG205" t="str">
            <v>KRPC</v>
          </cell>
          <cell r="AH205" t="str">
            <v>x</v>
          </cell>
          <cell r="AI205" t="str">
            <v>x</v>
          </cell>
          <cell r="AJ205" t="str">
            <v>x</v>
          </cell>
          <cell r="AM205">
            <v>0.75</v>
          </cell>
          <cell r="AN205">
            <v>1.2749999999999999E-3</v>
          </cell>
          <cell r="AQ205">
            <v>0</v>
          </cell>
          <cell r="AR205">
            <v>1.2749999999999999E-3</v>
          </cell>
          <cell r="AS205">
            <v>45</v>
          </cell>
          <cell r="AT205">
            <v>60</v>
          </cell>
          <cell r="AU205">
            <v>75</v>
          </cell>
          <cell r="AV205">
            <v>0</v>
          </cell>
          <cell r="AW205">
            <v>0</v>
          </cell>
          <cell r="AX205">
            <v>75</v>
          </cell>
        </row>
        <row r="206">
          <cell r="C206" t="str">
            <v>DSH</v>
          </cell>
          <cell r="H206" t="str">
            <v>10-90-DSH-PR-0001</v>
          </cell>
          <cell r="I206" t="str">
            <v xml:space="preserve">Equipment Process Data Sheets </v>
          </cell>
          <cell r="N206">
            <v>0.05</v>
          </cell>
          <cell r="R206">
            <v>1E-4</v>
          </cell>
          <cell r="V206" t="str">
            <v>ارسال شده</v>
          </cell>
          <cell r="W206" t="str">
            <v>01</v>
          </cell>
          <cell r="X206" t="str">
            <v>183464</v>
          </cell>
          <cell r="Y206" t="str">
            <v>25-10-0713-12-07</v>
          </cell>
          <cell r="Z206" t="str">
            <v>F-0384</v>
          </cell>
          <cell r="AA206" t="str">
            <v>22-11-07</v>
          </cell>
          <cell r="AG206" t="str">
            <v>KRPC</v>
          </cell>
          <cell r="AH206" t="str">
            <v>x</v>
          </cell>
          <cell r="AI206" t="str">
            <v>x</v>
          </cell>
          <cell r="AM206">
            <v>0.6</v>
          </cell>
          <cell r="AN206">
            <v>6.0000000000000002E-5</v>
          </cell>
          <cell r="AQ206">
            <v>0</v>
          </cell>
          <cell r="AR206">
            <v>6.0000000000000002E-5</v>
          </cell>
          <cell r="AS206">
            <v>45</v>
          </cell>
          <cell r="AT206">
            <v>60</v>
          </cell>
          <cell r="AU206">
            <v>0</v>
          </cell>
          <cell r="AV206">
            <v>0</v>
          </cell>
          <cell r="AW206">
            <v>0</v>
          </cell>
          <cell r="AX206">
            <v>60</v>
          </cell>
        </row>
        <row r="207">
          <cell r="C207" t="str">
            <v>RPT</v>
          </cell>
          <cell r="H207" t="str">
            <v>10-90-PRD-PR-0001</v>
          </cell>
          <cell r="I207" t="str">
            <v>Process Description</v>
          </cell>
          <cell r="N207">
            <v>0.25</v>
          </cell>
          <cell r="P207">
            <v>1.1908000000000001E-3</v>
          </cell>
          <cell r="R207">
            <v>4.0000000000000002E-4</v>
          </cell>
          <cell r="V207" t="str">
            <v>ارسال شده</v>
          </cell>
          <cell r="W207" t="str">
            <v>0 12</v>
          </cell>
          <cell r="X207" t="str">
            <v>81128466</v>
          </cell>
          <cell r="Y207" t="str">
            <v>15-08-07 07-10-0713-12-07</v>
          </cell>
          <cell r="Z207" t="str">
            <v>F-0150F-0220F-0529</v>
          </cell>
          <cell r="AA207" t="str">
            <v>18-08-0720-10-0717-12-07</v>
          </cell>
          <cell r="AG207" t="str">
            <v>GBT</v>
          </cell>
          <cell r="AH207" t="str">
            <v>x</v>
          </cell>
          <cell r="AI207" t="str">
            <v>x</v>
          </cell>
          <cell r="AJ207" t="str">
            <v>x</v>
          </cell>
          <cell r="AL207" t="str">
            <v/>
          </cell>
          <cell r="AM207">
            <v>0.75</v>
          </cell>
          <cell r="AN207">
            <v>3.0000000000000003E-4</v>
          </cell>
          <cell r="AQ207">
            <v>8.9310000000000008E-4</v>
          </cell>
          <cell r="AR207">
            <v>3.0000000000000003E-4</v>
          </cell>
          <cell r="AS207">
            <v>45</v>
          </cell>
          <cell r="AT207">
            <v>60</v>
          </cell>
          <cell r="AU207">
            <v>75</v>
          </cell>
          <cell r="AV207">
            <v>0</v>
          </cell>
          <cell r="AW207">
            <v>0</v>
          </cell>
          <cell r="AX207">
            <v>75</v>
          </cell>
        </row>
        <row r="208">
          <cell r="G208" t="str">
            <v>Fuel System (Natural Gas/Gas Oil)</v>
          </cell>
          <cell r="M208">
            <v>0.112</v>
          </cell>
          <cell r="N208">
            <v>1</v>
          </cell>
          <cell r="P208">
            <v>5.1296000000000007E-3</v>
          </cell>
          <cell r="R208">
            <v>5.1999999999999998E-3</v>
          </cell>
          <cell r="T208" t="str">
            <v>.</v>
          </cell>
          <cell r="U208" t="str">
            <v>.</v>
          </cell>
          <cell r="V208" t="str">
            <v>.</v>
          </cell>
          <cell r="AG208" t="str">
            <v>.</v>
          </cell>
          <cell r="AM208">
            <v>0.84022145976294449</v>
          </cell>
          <cell r="AN208">
            <v>4.3100000000000005E-3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</row>
        <row r="209">
          <cell r="C209" t="str">
            <v>DIG</v>
          </cell>
          <cell r="H209" t="str">
            <v>10-95-A3-PR-0001</v>
          </cell>
          <cell r="I209" t="str">
            <v>Block Flow Diagrams</v>
          </cell>
          <cell r="N209">
            <v>6.3E-2</v>
          </cell>
          <cell r="P209">
            <v>3.2316480000000003E-4</v>
          </cell>
          <cell r="R209">
            <v>1E-4</v>
          </cell>
          <cell r="V209" t="str">
            <v>ارسال شده</v>
          </cell>
          <cell r="W209" t="str">
            <v>01</v>
          </cell>
          <cell r="X209" t="str">
            <v>51508</v>
          </cell>
          <cell r="Y209" t="str">
            <v>12-07-0725-12-07</v>
          </cell>
          <cell r="Z209" t="str">
            <v>F-0090F-0555</v>
          </cell>
          <cell r="AA209" t="str">
            <v>25-07-0726-12-07</v>
          </cell>
          <cell r="AG209" t="str">
            <v>GBT</v>
          </cell>
          <cell r="AH209" t="str">
            <v>x</v>
          </cell>
          <cell r="AI209" t="str">
            <v>x</v>
          </cell>
          <cell r="AJ209" t="str">
            <v/>
          </cell>
          <cell r="AL209" t="str">
            <v/>
          </cell>
          <cell r="AM209">
            <v>0.6</v>
          </cell>
          <cell r="AN209">
            <v>6.0000000000000002E-5</v>
          </cell>
          <cell r="AO209" t="str">
            <v>T</v>
          </cell>
          <cell r="AQ209">
            <v>1.9389888E-4</v>
          </cell>
          <cell r="AR209">
            <v>6.0000000000000002E-5</v>
          </cell>
          <cell r="AS209">
            <v>45</v>
          </cell>
          <cell r="AT209">
            <v>60</v>
          </cell>
          <cell r="AU209">
            <v>0</v>
          </cell>
          <cell r="AV209">
            <v>0</v>
          </cell>
          <cell r="AW209">
            <v>0</v>
          </cell>
          <cell r="AX209">
            <v>60</v>
          </cell>
        </row>
        <row r="210">
          <cell r="C210" t="str">
            <v>DIG</v>
          </cell>
          <cell r="H210" t="str">
            <v>10-95-A3-PR-0002</v>
          </cell>
          <cell r="I210" t="str">
            <v>Utility  Flow Diagrams</v>
          </cell>
          <cell r="N210">
            <v>0.159</v>
          </cell>
          <cell r="P210">
            <v>8.1560640000000011E-4</v>
          </cell>
          <cell r="R210">
            <v>5.9999999999999995E-4</v>
          </cell>
          <cell r="V210" t="str">
            <v>ارسال شده</v>
          </cell>
          <cell r="W210" t="str">
            <v>012</v>
          </cell>
          <cell r="X210" t="str">
            <v>54140509</v>
          </cell>
          <cell r="Y210" t="str">
            <v>16-07-0708-10-0725-12-07</v>
          </cell>
          <cell r="Z210" t="str">
            <v>F-0086F-0222F-0555</v>
          </cell>
          <cell r="AA210" t="str">
            <v>18-07-0720-10-0726-12-07</v>
          </cell>
          <cell r="AG210" t="str">
            <v>GBT</v>
          </cell>
          <cell r="AH210" t="str">
            <v>x</v>
          </cell>
          <cell r="AI210" t="str">
            <v>x</v>
          </cell>
          <cell r="AJ210" t="str">
            <v>x</v>
          </cell>
          <cell r="AL210" t="str">
            <v/>
          </cell>
          <cell r="AM210">
            <v>0.75</v>
          </cell>
          <cell r="AN210">
            <v>4.4999999999999999E-4</v>
          </cell>
          <cell r="AO210" t="str">
            <v>T</v>
          </cell>
          <cell r="AQ210">
            <v>6.1170480000000008E-4</v>
          </cell>
          <cell r="AR210">
            <v>4.4999999999999999E-4</v>
          </cell>
          <cell r="AS210">
            <v>45</v>
          </cell>
          <cell r="AT210">
            <v>60</v>
          </cell>
          <cell r="AU210">
            <v>75</v>
          </cell>
          <cell r="AV210">
            <v>0</v>
          </cell>
          <cell r="AW210">
            <v>0</v>
          </cell>
          <cell r="AX210">
            <v>75</v>
          </cell>
        </row>
        <row r="211">
          <cell r="C211" t="str">
            <v>DIG</v>
          </cell>
          <cell r="H211" t="str">
            <v>10-95-A3-PR-0003</v>
          </cell>
          <cell r="I211" t="str">
            <v>Piping &amp; Instrumentation Diagrams</v>
          </cell>
          <cell r="N211">
            <v>0.315</v>
          </cell>
          <cell r="P211">
            <v>1.6158240000000003E-3</v>
          </cell>
          <cell r="R211">
            <v>1.6999999999999999E-3</v>
          </cell>
          <cell r="V211" t="str">
            <v>ارسال شده</v>
          </cell>
          <cell r="W211" t="str">
            <v>0123</v>
          </cell>
          <cell r="X211" t="str">
            <v>78215381479</v>
          </cell>
          <cell r="Y211" t="str">
            <v>12-08-0728-10-0726-11-0717-11-07</v>
          </cell>
          <cell r="Z211" t="str">
            <v>F-0151F-0306F-0457F-0538</v>
          </cell>
          <cell r="AA211" t="str">
            <v>18-08-0714-11-0705-12-0719-12-07</v>
          </cell>
          <cell r="AB211" t="str">
            <v>G-0248G-0270</v>
          </cell>
          <cell r="AC211" t="str">
            <v>29-11-0706-12-07</v>
          </cell>
          <cell r="AD211" t="str">
            <v>FF-0450FF-491,487</v>
          </cell>
          <cell r="AG211" t="str">
            <v>KRPC</v>
          </cell>
          <cell r="AH211" t="str">
            <v>x</v>
          </cell>
          <cell r="AI211" t="str">
            <v>x</v>
          </cell>
          <cell r="AJ211" t="str">
            <v>x</v>
          </cell>
          <cell r="AK211" t="str">
            <v>x</v>
          </cell>
          <cell r="AL211" t="str">
            <v/>
          </cell>
          <cell r="AM211">
            <v>0.85</v>
          </cell>
          <cell r="AN211">
            <v>1.4449999999999999E-3</v>
          </cell>
          <cell r="AQ211">
            <v>1.3734504000000002E-3</v>
          </cell>
          <cell r="AR211">
            <v>1.4449999999999999E-3</v>
          </cell>
          <cell r="AS211">
            <v>45</v>
          </cell>
          <cell r="AT211">
            <v>60</v>
          </cell>
          <cell r="AU211">
            <v>75</v>
          </cell>
          <cell r="AV211">
            <v>85</v>
          </cell>
          <cell r="AW211">
            <v>0</v>
          </cell>
          <cell r="AX211">
            <v>85</v>
          </cell>
        </row>
        <row r="212">
          <cell r="C212" t="str">
            <v>RPT</v>
          </cell>
          <cell r="H212" t="str">
            <v>10-95-DEB-PR-0001</v>
          </cell>
          <cell r="I212" t="str">
            <v>Design Basis</v>
          </cell>
          <cell r="N212">
            <v>0.125</v>
          </cell>
          <cell r="P212">
            <v>6.4120000000000008E-4</v>
          </cell>
          <cell r="R212">
            <v>5.9999999999999995E-4</v>
          </cell>
          <cell r="V212" t="str">
            <v>ارسال شده</v>
          </cell>
          <cell r="W212" t="str">
            <v>0 123</v>
          </cell>
          <cell r="X212" t="str">
            <v>61 105135480</v>
          </cell>
          <cell r="Y212" t="str">
            <v>21-07-0708-09-0708-10-0717-12-07</v>
          </cell>
          <cell r="Z212" t="str">
            <v>F-0125F-0195</v>
          </cell>
          <cell r="AA212" t="str">
            <v>05-08-07 10-09-07</v>
          </cell>
          <cell r="AG212" t="str">
            <v>KRPC</v>
          </cell>
          <cell r="AH212" t="str">
            <v>x</v>
          </cell>
          <cell r="AI212" t="str">
            <v>x</v>
          </cell>
          <cell r="AJ212" t="str">
            <v>x</v>
          </cell>
          <cell r="AK212" t="str">
            <v>x</v>
          </cell>
          <cell r="AL212" t="str">
            <v/>
          </cell>
          <cell r="AM212">
            <v>0.85</v>
          </cell>
          <cell r="AN212">
            <v>5.0999999999999993E-4</v>
          </cell>
          <cell r="AQ212">
            <v>5.4502000000000001E-4</v>
          </cell>
          <cell r="AR212">
            <v>5.0999999999999993E-4</v>
          </cell>
          <cell r="AS212">
            <v>45</v>
          </cell>
          <cell r="AT212">
            <v>60</v>
          </cell>
          <cell r="AU212">
            <v>75</v>
          </cell>
          <cell r="AV212">
            <v>85</v>
          </cell>
          <cell r="AW212">
            <v>0</v>
          </cell>
          <cell r="AX212">
            <v>85</v>
          </cell>
        </row>
        <row r="213">
          <cell r="C213" t="str">
            <v>RPT</v>
          </cell>
          <cell r="H213" t="str">
            <v>10-95-PRD-PR-0001</v>
          </cell>
          <cell r="I213" t="str">
            <v>Process Description</v>
          </cell>
          <cell r="N213">
            <v>0.25</v>
          </cell>
          <cell r="P213">
            <v>1.2824000000000002E-3</v>
          </cell>
          <cell r="R213">
            <v>1.6999999999999999E-3</v>
          </cell>
          <cell r="V213" t="str">
            <v>ارسال شده</v>
          </cell>
          <cell r="W213" t="str">
            <v>0 123</v>
          </cell>
          <cell r="X213" t="str">
            <v>86 108136482</v>
          </cell>
          <cell r="Y213" t="str">
            <v>16-08-0708-09-0708-10-0717-12-07</v>
          </cell>
          <cell r="Z213" t="str">
            <v>F-0162F-0192F-0253</v>
          </cell>
          <cell r="AA213" t="str">
            <v>20-08-0710-09-07 30-10-07</v>
          </cell>
          <cell r="AB213" t="str">
            <v>G-0224</v>
          </cell>
          <cell r="AC213" t="str">
            <v>12-11-07</v>
          </cell>
          <cell r="AD213" t="str">
            <v>FF-0346</v>
          </cell>
          <cell r="AG213" t="str">
            <v>KRPC</v>
          </cell>
          <cell r="AH213" t="str">
            <v>x</v>
          </cell>
          <cell r="AI213" t="str">
            <v>x</v>
          </cell>
          <cell r="AJ213" t="str">
            <v>x</v>
          </cell>
          <cell r="AK213" t="str">
            <v>x</v>
          </cell>
          <cell r="AL213" t="str">
            <v/>
          </cell>
          <cell r="AM213">
            <v>0.85</v>
          </cell>
          <cell r="AN213">
            <v>1.4449999999999999E-3</v>
          </cell>
          <cell r="AQ213">
            <v>1.09004E-3</v>
          </cell>
          <cell r="AR213">
            <v>1.4449999999999999E-3</v>
          </cell>
          <cell r="AS213">
            <v>45</v>
          </cell>
          <cell r="AT213">
            <v>60</v>
          </cell>
          <cell r="AU213">
            <v>75</v>
          </cell>
          <cell r="AV213">
            <v>85</v>
          </cell>
          <cell r="AW213">
            <v>0</v>
          </cell>
          <cell r="AX213">
            <v>85</v>
          </cell>
        </row>
        <row r="214">
          <cell r="C214" t="str">
            <v>lis</v>
          </cell>
          <cell r="H214" t="str">
            <v>10-95-EQL-PR-0001</v>
          </cell>
          <cell r="I214" t="str">
            <v>Equipment list</v>
          </cell>
          <cell r="N214">
            <v>2.5000000000000001E-2</v>
          </cell>
          <cell r="P214">
            <v>1.2824000000000003E-4</v>
          </cell>
          <cell r="R214">
            <v>1E-4</v>
          </cell>
          <cell r="V214" t="str">
            <v>ارسال شده</v>
          </cell>
          <cell r="W214" t="str">
            <v>01</v>
          </cell>
          <cell r="X214" t="str">
            <v>79481</v>
          </cell>
          <cell r="Y214" t="str">
            <v>13-08-0717-12-07</v>
          </cell>
          <cell r="Z214" t="str">
            <v>F-0152F-0544</v>
          </cell>
          <cell r="AA214" t="str">
            <v>18-08-0722-12-07</v>
          </cell>
          <cell r="AG214" t="str">
            <v>GBT</v>
          </cell>
          <cell r="AH214" t="str">
            <v>x</v>
          </cell>
          <cell r="AI214" t="str">
            <v>x</v>
          </cell>
          <cell r="AJ214" t="str">
            <v/>
          </cell>
          <cell r="AL214" t="str">
            <v/>
          </cell>
          <cell r="AM214">
            <v>0.6</v>
          </cell>
          <cell r="AN214">
            <v>6.0000000000000002E-5</v>
          </cell>
          <cell r="AQ214">
            <v>7.6944000000000014E-5</v>
          </cell>
          <cell r="AR214">
            <v>6.0000000000000002E-5</v>
          </cell>
          <cell r="AS214">
            <v>45</v>
          </cell>
          <cell r="AT214">
            <v>60</v>
          </cell>
          <cell r="AU214">
            <v>0</v>
          </cell>
          <cell r="AV214">
            <v>0</v>
          </cell>
          <cell r="AW214">
            <v>0</v>
          </cell>
          <cell r="AX214">
            <v>60</v>
          </cell>
        </row>
        <row r="215">
          <cell r="C215" t="str">
            <v>DSH</v>
          </cell>
          <cell r="H215" t="str">
            <v>10-95-DSH-PR-0001</v>
          </cell>
          <cell r="I215" t="str">
            <v xml:space="preserve">Equipment Process Data Sheets </v>
          </cell>
          <cell r="N215">
            <v>6.3E-2</v>
          </cell>
          <cell r="P215">
            <v>3.2316480000000003E-4</v>
          </cell>
          <cell r="R215">
            <v>4.0000000000000002E-4</v>
          </cell>
          <cell r="V215" t="str">
            <v>ارسال شده</v>
          </cell>
          <cell r="W215" t="str">
            <v>0 123</v>
          </cell>
          <cell r="X215" t="str">
            <v>86 109138478</v>
          </cell>
          <cell r="Y215" t="str">
            <v xml:space="preserve">16-08-0708-09-0708-10-0717-12-07 </v>
          </cell>
          <cell r="Z215" t="str">
            <v>F-0162F-0197F-0278</v>
          </cell>
          <cell r="AA215" t="str">
            <v>20-08-0710-09-0707-11-07</v>
          </cell>
          <cell r="AG215" t="str">
            <v>KRPC</v>
          </cell>
          <cell r="AH215" t="str">
            <v>x</v>
          </cell>
          <cell r="AI215" t="str">
            <v>x</v>
          </cell>
          <cell r="AJ215" t="str">
            <v>x</v>
          </cell>
          <cell r="AK215" t="str">
            <v>x</v>
          </cell>
          <cell r="AL215" t="str">
            <v/>
          </cell>
          <cell r="AM215">
            <v>0.85</v>
          </cell>
          <cell r="AN215">
            <v>3.4000000000000002E-4</v>
          </cell>
          <cell r="AQ215">
            <v>2.7469008000000002E-4</v>
          </cell>
          <cell r="AR215">
            <v>3.4000000000000002E-4</v>
          </cell>
          <cell r="AS215">
            <v>45</v>
          </cell>
          <cell r="AT215">
            <v>60</v>
          </cell>
          <cell r="AU215">
            <v>75</v>
          </cell>
          <cell r="AV215">
            <v>85</v>
          </cell>
          <cell r="AW215">
            <v>0</v>
          </cell>
          <cell r="AX215">
            <v>85</v>
          </cell>
        </row>
        <row r="216">
          <cell r="G216" t="str">
            <v>Ethylen/Propylen/1- Buten Line</v>
          </cell>
          <cell r="M216">
            <v>3.5999999999999997E-2</v>
          </cell>
          <cell r="N216">
            <v>1</v>
          </cell>
          <cell r="P216">
            <v>1.6488E-3</v>
          </cell>
          <cell r="R216">
            <v>1.15E-3</v>
          </cell>
          <cell r="T216" t="str">
            <v>.</v>
          </cell>
          <cell r="U216" t="str">
            <v>.</v>
          </cell>
          <cell r="V216" t="str">
            <v>.</v>
          </cell>
          <cell r="AG216" t="str">
            <v>.</v>
          </cell>
          <cell r="AM216">
            <v>0.45032751091703055</v>
          </cell>
          <cell r="AN216">
            <v>7.425E-4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</row>
        <row r="217">
          <cell r="C217" t="str">
            <v>DIG</v>
          </cell>
          <cell r="H217" t="str">
            <v>10-97-A3-PR-0001</v>
          </cell>
          <cell r="I217" t="str">
            <v>Process Flow Diagrams</v>
          </cell>
          <cell r="N217">
            <v>0.1</v>
          </cell>
          <cell r="P217">
            <v>1.6488000000000001E-4</v>
          </cell>
          <cell r="R217">
            <v>5.0000000000000002E-5</v>
          </cell>
          <cell r="V217" t="str">
            <v>ارسال شده</v>
          </cell>
          <cell r="W217" t="str">
            <v>0 12</v>
          </cell>
          <cell r="X217" t="str">
            <v>51 79163</v>
          </cell>
          <cell r="Y217" t="str">
            <v>12-07-07 13-08-0717-10-07</v>
          </cell>
          <cell r="Z217" t="str">
            <v>F-0090F-0152F-0243</v>
          </cell>
          <cell r="AA217" t="str">
            <v>25-07-0718-08-0727-10-07</v>
          </cell>
          <cell r="AB217" t="str">
            <v>G-0206</v>
          </cell>
          <cell r="AC217" t="str">
            <v>04-11-07</v>
          </cell>
          <cell r="AD217" t="str">
            <v>FF-0372</v>
          </cell>
          <cell r="AG217" t="str">
            <v>GBT</v>
          </cell>
          <cell r="AH217" t="str">
            <v>x</v>
          </cell>
          <cell r="AI217" t="str">
            <v>x</v>
          </cell>
          <cell r="AJ217" t="str">
            <v>x</v>
          </cell>
          <cell r="AL217" t="str">
            <v/>
          </cell>
          <cell r="AM217">
            <v>0.75</v>
          </cell>
          <cell r="AN217">
            <v>3.7500000000000003E-5</v>
          </cell>
          <cell r="AQ217">
            <v>1.2365999999999999E-4</v>
          </cell>
          <cell r="AR217">
            <v>3.7500000000000003E-5</v>
          </cell>
          <cell r="AS217">
            <v>45</v>
          </cell>
          <cell r="AT217">
            <v>60</v>
          </cell>
          <cell r="AU217">
            <v>75</v>
          </cell>
          <cell r="AV217">
            <v>0</v>
          </cell>
          <cell r="AW217">
            <v>0</v>
          </cell>
          <cell r="AX217">
            <v>75</v>
          </cell>
        </row>
        <row r="218">
          <cell r="C218" t="str">
            <v>DIG</v>
          </cell>
          <cell r="H218" t="str">
            <v>10-97-A3-PR-0002</v>
          </cell>
          <cell r="I218" t="str">
            <v>Piping &amp; Instrumentation Diagrams</v>
          </cell>
          <cell r="N218">
            <v>0.3</v>
          </cell>
          <cell r="P218">
            <v>4.9463999999999997E-4</v>
          </cell>
          <cell r="R218">
            <v>2.9999999999999997E-4</v>
          </cell>
          <cell r="V218" t="str">
            <v>ارسال شده</v>
          </cell>
          <cell r="W218" t="str">
            <v>0 12</v>
          </cell>
          <cell r="X218" t="str">
            <v>63 73343</v>
          </cell>
          <cell r="Y218" t="str">
            <v>22-07-07 06-08-0720-11-07</v>
          </cell>
          <cell r="Z218" t="str">
            <v>F-133           F-0140F-0456</v>
          </cell>
          <cell r="AA218" t="str">
            <v>09-08-07 09-08-0705-12-07</v>
          </cell>
          <cell r="AG218" t="str">
            <v>GBT</v>
          </cell>
          <cell r="AH218" t="str">
            <v>x</v>
          </cell>
          <cell r="AI218" t="str">
            <v>x</v>
          </cell>
          <cell r="AJ218" t="str">
            <v>x</v>
          </cell>
          <cell r="AL218" t="str">
            <v/>
          </cell>
          <cell r="AM218">
            <v>0.75</v>
          </cell>
          <cell r="AN218">
            <v>2.2499999999999999E-4</v>
          </cell>
          <cell r="AO218" t="str">
            <v>دو برگ اين مد رك REV 00 مي باشد.</v>
          </cell>
          <cell r="AQ218">
            <v>3.7097999999999998E-4</v>
          </cell>
          <cell r="AR218">
            <v>2.2499999999999999E-4</v>
          </cell>
          <cell r="AS218">
            <v>45</v>
          </cell>
          <cell r="AT218">
            <v>60</v>
          </cell>
          <cell r="AU218">
            <v>75</v>
          </cell>
          <cell r="AV218">
            <v>0</v>
          </cell>
          <cell r="AW218">
            <v>0</v>
          </cell>
          <cell r="AX218">
            <v>75</v>
          </cell>
        </row>
        <row r="219">
          <cell r="C219" t="str">
            <v>RPT</v>
          </cell>
          <cell r="H219" t="str">
            <v>10-97-PRD-PR-0001</v>
          </cell>
          <cell r="I219" t="str">
            <v>Process Description</v>
          </cell>
          <cell r="N219">
            <v>0.3</v>
          </cell>
          <cell r="P219">
            <v>4.9463999999999997E-4</v>
          </cell>
          <cell r="R219">
            <v>2.9999999999999997E-4</v>
          </cell>
          <cell r="V219" t="str">
            <v>ارسال شده</v>
          </cell>
          <cell r="W219" t="str">
            <v>0 12</v>
          </cell>
          <cell r="X219" t="str">
            <v>81 98161</v>
          </cell>
          <cell r="Y219" t="str">
            <v>15-08-07 05-09-0717-10-07</v>
          </cell>
          <cell r="Z219" t="str">
            <v>F-0150F-0189F-0237</v>
          </cell>
          <cell r="AA219" t="str">
            <v>15-08-07 08-09-0723-10-07</v>
          </cell>
          <cell r="AB219" t="str">
            <v>G-0205</v>
          </cell>
          <cell r="AC219" t="str">
            <v>04-11-07</v>
          </cell>
          <cell r="AD219" t="str">
            <v>FF-0372</v>
          </cell>
          <cell r="AG219" t="str">
            <v>GBT</v>
          </cell>
          <cell r="AH219" t="str">
            <v>x</v>
          </cell>
          <cell r="AI219" t="str">
            <v>x</v>
          </cell>
          <cell r="AJ219" t="str">
            <v>x</v>
          </cell>
          <cell r="AL219" t="str">
            <v/>
          </cell>
          <cell r="AM219">
            <v>0.75</v>
          </cell>
          <cell r="AN219">
            <v>2.2499999999999999E-4</v>
          </cell>
          <cell r="AQ219">
            <v>3.7097999999999998E-4</v>
          </cell>
          <cell r="AR219">
            <v>2.2499999999999999E-4</v>
          </cell>
          <cell r="AS219">
            <v>45</v>
          </cell>
          <cell r="AT219">
            <v>60</v>
          </cell>
          <cell r="AU219">
            <v>75</v>
          </cell>
          <cell r="AV219">
            <v>0</v>
          </cell>
          <cell r="AW219">
            <v>0</v>
          </cell>
          <cell r="AX219">
            <v>75</v>
          </cell>
        </row>
        <row r="220">
          <cell r="C220" t="str">
            <v>LIS</v>
          </cell>
          <cell r="H220" t="str">
            <v>10-97-EQL-PR-0001</v>
          </cell>
          <cell r="I220" t="str">
            <v>Equipment List</v>
          </cell>
          <cell r="N220">
            <v>0.05</v>
          </cell>
          <cell r="R220">
            <v>1E-4</v>
          </cell>
          <cell r="V220" t="str">
            <v>ارسال شده</v>
          </cell>
          <cell r="W220">
            <v>0</v>
          </cell>
          <cell r="X220">
            <v>182</v>
          </cell>
          <cell r="Y220" t="str">
            <v>25-10-07</v>
          </cell>
          <cell r="Z220" t="str">
            <v>F-0287</v>
          </cell>
          <cell r="AA220" t="str">
            <v>10-11-07</v>
          </cell>
          <cell r="AG220" t="str">
            <v>GBT</v>
          </cell>
          <cell r="AH220" t="str">
            <v>x</v>
          </cell>
          <cell r="AM220">
            <v>0.45</v>
          </cell>
          <cell r="AN220">
            <v>4.5000000000000003E-5</v>
          </cell>
          <cell r="AQ220">
            <v>0</v>
          </cell>
          <cell r="AR220">
            <v>4.5000000000000003E-5</v>
          </cell>
          <cell r="AS220">
            <v>45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45</v>
          </cell>
        </row>
        <row r="221">
          <cell r="C221" t="str">
            <v>DSH</v>
          </cell>
          <cell r="H221" t="str">
            <v>10-97-DSH-PR-0001</v>
          </cell>
          <cell r="I221" t="str">
            <v xml:space="preserve">Equipment Process Data Sheets </v>
          </cell>
          <cell r="N221">
            <v>0.05</v>
          </cell>
          <cell r="R221">
            <v>2.9999999999999997E-4</v>
          </cell>
          <cell r="V221" t="str">
            <v>ارسال شده</v>
          </cell>
          <cell r="W221">
            <v>0</v>
          </cell>
          <cell r="X221">
            <v>286</v>
          </cell>
          <cell r="Y221" t="str">
            <v>12-11-07</v>
          </cell>
          <cell r="Z221" t="str">
            <v>F-0377</v>
          </cell>
          <cell r="AA221" t="str">
            <v>22-11-07</v>
          </cell>
          <cell r="AG221" t="str">
            <v>GBT</v>
          </cell>
          <cell r="AH221" t="str">
            <v>x</v>
          </cell>
          <cell r="AM221">
            <v>0.45</v>
          </cell>
          <cell r="AN221">
            <v>1.35E-4</v>
          </cell>
          <cell r="AQ221">
            <v>0</v>
          </cell>
          <cell r="AR221">
            <v>1.35E-4</v>
          </cell>
          <cell r="AS221">
            <v>45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45</v>
          </cell>
        </row>
        <row r="222">
          <cell r="C222" t="str">
            <v>lis</v>
          </cell>
          <cell r="H222" t="str">
            <v>10-97-LST-PR-0001</v>
          </cell>
          <cell r="I222" t="str">
            <v>Line list</v>
          </cell>
          <cell r="N222">
            <v>0.2</v>
          </cell>
          <cell r="P222">
            <v>3.2976000000000001E-4</v>
          </cell>
          <cell r="R222">
            <v>1E-4</v>
          </cell>
          <cell r="V222" t="str">
            <v>ارسال شده</v>
          </cell>
          <cell r="W222" t="str">
            <v>012</v>
          </cell>
          <cell r="X222" t="str">
            <v>101118162</v>
          </cell>
          <cell r="Y222" t="str">
            <v>06-09-07 26-09-0717-10-07</v>
          </cell>
          <cell r="Z222" t="str">
            <v xml:space="preserve">F-0193F-0207F-0223         </v>
          </cell>
          <cell r="AA222" t="str">
            <v>10-09-0730-09-0720-10-07</v>
          </cell>
          <cell r="AB222" t="str">
            <v>G-0133</v>
          </cell>
          <cell r="AC222" t="str">
            <v>26-09-07</v>
          </cell>
          <cell r="AD222" t="str">
            <v>FF-0207</v>
          </cell>
          <cell r="AG222" t="str">
            <v>GBT</v>
          </cell>
          <cell r="AH222" t="str">
            <v>x</v>
          </cell>
          <cell r="AI222" t="str">
            <v>x</v>
          </cell>
          <cell r="AJ222" t="str">
            <v>x</v>
          </cell>
          <cell r="AL222" t="str">
            <v/>
          </cell>
          <cell r="AM222">
            <v>0.75</v>
          </cell>
          <cell r="AN222">
            <v>7.5000000000000007E-5</v>
          </cell>
          <cell r="AQ222">
            <v>2.4731999999999998E-4</v>
          </cell>
          <cell r="AR222">
            <v>7.5000000000000007E-5</v>
          </cell>
          <cell r="AS222">
            <v>45</v>
          </cell>
          <cell r="AT222">
            <v>60</v>
          </cell>
          <cell r="AU222">
            <v>75</v>
          </cell>
          <cell r="AV222">
            <v>0</v>
          </cell>
          <cell r="AW222">
            <v>0</v>
          </cell>
          <cell r="AX222">
            <v>75</v>
          </cell>
        </row>
        <row r="223">
          <cell r="F223" t="str">
            <v>HSE</v>
          </cell>
          <cell r="L223">
            <v>0.02</v>
          </cell>
          <cell r="M223">
            <v>1</v>
          </cell>
          <cell r="P223">
            <v>4.0000000000000001E-3</v>
          </cell>
          <cell r="R223">
            <v>4.0000000000000001E-3</v>
          </cell>
          <cell r="T223" t="str">
            <v>.</v>
          </cell>
          <cell r="U223" t="str">
            <v>.</v>
          </cell>
          <cell r="V223" t="str">
            <v>.</v>
          </cell>
          <cell r="W223" t="str">
            <v>.</v>
          </cell>
          <cell r="X223" t="str">
            <v>.</v>
          </cell>
          <cell r="Y223" t="str">
            <v>.</v>
          </cell>
          <cell r="Z223" t="str">
            <v>.</v>
          </cell>
          <cell r="AA223" t="str">
            <v>.</v>
          </cell>
          <cell r="AG223" t="str">
            <v>.</v>
          </cell>
          <cell r="AH223" t="str">
            <v>.</v>
          </cell>
          <cell r="AI223" t="str">
            <v>.</v>
          </cell>
          <cell r="AJ223" t="str">
            <v>.</v>
          </cell>
          <cell r="AK223" t="str">
            <v>.</v>
          </cell>
          <cell r="AL223" t="str">
            <v>.</v>
          </cell>
          <cell r="AM223">
            <v>0.56812499999999999</v>
          </cell>
          <cell r="AN223">
            <v>2.2725000000000002E-3</v>
          </cell>
          <cell r="AO223" t="str">
            <v>.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</row>
        <row r="224">
          <cell r="C224" t="str">
            <v>RPT</v>
          </cell>
          <cell r="H224" t="str">
            <v>10-80-DEB-SA-0001</v>
          </cell>
          <cell r="I224" t="str">
            <v>Design Basis &amp;System Description for Safety / Fire Fighting System</v>
          </cell>
          <cell r="M224">
            <v>0.14399999999999999</v>
          </cell>
          <cell r="P224">
            <v>5.7600000000000001E-4</v>
          </cell>
          <cell r="R224">
            <v>6.4999999999999997E-4</v>
          </cell>
          <cell r="V224" t="str">
            <v>ارسال شده</v>
          </cell>
          <cell r="W224">
            <v>0</v>
          </cell>
          <cell r="X224">
            <v>50</v>
          </cell>
          <cell r="Y224" t="str">
            <v>11-07-07</v>
          </cell>
          <cell r="Z224" t="str">
            <v>F-0161</v>
          </cell>
          <cell r="AA224" t="str">
            <v>20-08-07</v>
          </cell>
          <cell r="AG224" t="str">
            <v>GBT</v>
          </cell>
          <cell r="AH224" t="str">
            <v>x</v>
          </cell>
          <cell r="AJ224" t="str">
            <v/>
          </cell>
          <cell r="AL224" t="str">
            <v/>
          </cell>
          <cell r="AM224">
            <v>0.45</v>
          </cell>
          <cell r="AN224">
            <v>2.9250000000000001E-4</v>
          </cell>
          <cell r="AQ224">
            <v>2.5920000000000001E-4</v>
          </cell>
          <cell r="AR224">
            <v>2.9250000000000001E-4</v>
          </cell>
          <cell r="AS224">
            <v>45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45</v>
          </cell>
        </row>
        <row r="225">
          <cell r="C225" t="str">
            <v>DIG</v>
          </cell>
          <cell r="H225" t="str">
            <v>10-80-A3-SA-0001</v>
          </cell>
          <cell r="I225" t="str">
            <v>Fire Water Distribution UtilityFlow Diagrams</v>
          </cell>
          <cell r="M225">
            <v>5.7000000000000002E-2</v>
          </cell>
          <cell r="P225">
            <v>2.2800000000000004E-4</v>
          </cell>
          <cell r="R225">
            <v>2.0000000000000001E-4</v>
          </cell>
          <cell r="V225" t="str">
            <v>ارسال شده</v>
          </cell>
          <cell r="W225">
            <v>0</v>
          </cell>
          <cell r="X225">
            <v>57</v>
          </cell>
          <cell r="Y225" t="str">
            <v>17-07-07</v>
          </cell>
          <cell r="Z225" t="str">
            <v>F-156</v>
          </cell>
          <cell r="AA225" t="str">
            <v>19-08-07</v>
          </cell>
          <cell r="AG225" t="str">
            <v>GBT</v>
          </cell>
          <cell r="AH225" t="str">
            <v>x</v>
          </cell>
          <cell r="AJ225" t="str">
            <v/>
          </cell>
          <cell r="AL225" t="str">
            <v/>
          </cell>
          <cell r="AM225">
            <v>0.45</v>
          </cell>
          <cell r="AN225">
            <v>9.0000000000000006E-5</v>
          </cell>
          <cell r="AQ225">
            <v>1.0260000000000001E-4</v>
          </cell>
          <cell r="AR225">
            <v>9.0000000000000006E-5</v>
          </cell>
          <cell r="AS225">
            <v>45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45</v>
          </cell>
        </row>
        <row r="226">
          <cell r="C226" t="str">
            <v>DIG</v>
          </cell>
          <cell r="H226" t="str">
            <v>10-80-A3-SA-0002</v>
          </cell>
          <cell r="I226" t="str">
            <v>Fire Water Pump Utility Flow Diagrams</v>
          </cell>
          <cell r="M226">
            <v>5.7000000000000002E-2</v>
          </cell>
          <cell r="P226">
            <v>2.2800000000000004E-4</v>
          </cell>
          <cell r="R226">
            <v>2.0000000000000001E-4</v>
          </cell>
          <cell r="V226" t="str">
            <v>ارسال شده</v>
          </cell>
          <cell r="W226" t="str">
            <v>0 1</v>
          </cell>
          <cell r="X226" t="str">
            <v>33 59</v>
          </cell>
          <cell r="Y226" t="str">
            <v>24-06-07 21-07-07</v>
          </cell>
          <cell r="Z226" t="str">
            <v xml:space="preserve">F-0024         F-0136          </v>
          </cell>
          <cell r="AA226" t="str">
            <v>27-06-07 09-08-07</v>
          </cell>
          <cell r="AG226" t="str">
            <v>GBT</v>
          </cell>
          <cell r="AH226" t="str">
            <v>x</v>
          </cell>
          <cell r="AI226" t="str">
            <v>x</v>
          </cell>
          <cell r="AJ226" t="str">
            <v/>
          </cell>
          <cell r="AL226" t="str">
            <v/>
          </cell>
          <cell r="AM226">
            <v>0.6</v>
          </cell>
          <cell r="AN226">
            <v>1.2E-4</v>
          </cell>
          <cell r="AQ226">
            <v>1.3680000000000002E-4</v>
          </cell>
          <cell r="AR226">
            <v>1.2E-4</v>
          </cell>
          <cell r="AS226">
            <v>45</v>
          </cell>
          <cell r="AT226">
            <v>60</v>
          </cell>
          <cell r="AU226">
            <v>0</v>
          </cell>
          <cell r="AV226">
            <v>0</v>
          </cell>
          <cell r="AW226">
            <v>0</v>
          </cell>
          <cell r="AX226">
            <v>60</v>
          </cell>
        </row>
        <row r="227">
          <cell r="C227" t="str">
            <v>DIG</v>
          </cell>
          <cell r="H227" t="str">
            <v>10-80-A3-SA-0003</v>
          </cell>
          <cell r="I227" t="str">
            <v>Fire Water Pump Piping &amp; Instrumentation Diagram</v>
          </cell>
          <cell r="M227">
            <v>0.114</v>
          </cell>
          <cell r="P227">
            <v>4.5600000000000008E-4</v>
          </cell>
          <cell r="R227">
            <v>5.0000000000000001E-4</v>
          </cell>
          <cell r="V227" t="str">
            <v>ارسال شده</v>
          </cell>
          <cell r="W227" t="str">
            <v>012</v>
          </cell>
          <cell r="X227" t="str">
            <v>144223409</v>
          </cell>
          <cell r="Y227" t="str">
            <v>08-10-0729-10-0703-12-07</v>
          </cell>
          <cell r="Z227" t="str">
            <v>F-0216,0270F-0461F-0493</v>
          </cell>
          <cell r="AA227" t="str">
            <v>15-10-0705-12-0711-12-07</v>
          </cell>
          <cell r="AB227" t="str">
            <v>G-204,252G-0304</v>
          </cell>
          <cell r="AC227" t="str">
            <v>04-11-0725-12-07</v>
          </cell>
          <cell r="AD227" t="str">
            <v>478,350,370</v>
          </cell>
          <cell r="AG227" t="str">
            <v>GBT</v>
          </cell>
          <cell r="AH227" t="str">
            <v>x</v>
          </cell>
          <cell r="AI227" t="str">
            <v>x</v>
          </cell>
          <cell r="AJ227" t="str">
            <v>x</v>
          </cell>
          <cell r="AL227" t="str">
            <v/>
          </cell>
          <cell r="AM227">
            <v>0.75</v>
          </cell>
          <cell r="AN227">
            <v>3.7500000000000001E-4</v>
          </cell>
          <cell r="AQ227">
            <v>3.4200000000000007E-4</v>
          </cell>
          <cell r="AR227">
            <v>3.7500000000000001E-4</v>
          </cell>
          <cell r="AS227">
            <v>45</v>
          </cell>
          <cell r="AT227">
            <v>60</v>
          </cell>
          <cell r="AU227">
            <v>75</v>
          </cell>
          <cell r="AV227">
            <v>0</v>
          </cell>
          <cell r="AW227">
            <v>0</v>
          </cell>
          <cell r="AX227">
            <v>75</v>
          </cell>
        </row>
        <row r="228">
          <cell r="C228" t="str">
            <v>SPC</v>
          </cell>
          <cell r="H228" t="str">
            <v>10-80-ESS-SA-0001</v>
          </cell>
          <cell r="I228" t="str">
            <v>Argonite Automatic Fire Extinguishing System Specification</v>
          </cell>
          <cell r="M228">
            <v>0.114</v>
          </cell>
          <cell r="P228">
            <v>4.5600000000000008E-4</v>
          </cell>
          <cell r="R228">
            <v>5.0000000000000001E-4</v>
          </cell>
          <cell r="V228" t="str">
            <v>ارسال شده</v>
          </cell>
          <cell r="W228">
            <v>0</v>
          </cell>
          <cell r="X228">
            <v>186</v>
          </cell>
          <cell r="Y228" t="str">
            <v>25-10-07</v>
          </cell>
          <cell r="Z228" t="str">
            <v>F-0292</v>
          </cell>
          <cell r="AA228" t="str">
            <v>10-11-07</v>
          </cell>
          <cell r="AG228" t="str">
            <v>GBT</v>
          </cell>
          <cell r="AH228" t="str">
            <v>x</v>
          </cell>
          <cell r="AJ228" t="str">
            <v/>
          </cell>
          <cell r="AL228" t="str">
            <v/>
          </cell>
          <cell r="AM228">
            <v>0.45</v>
          </cell>
          <cell r="AN228">
            <v>2.2500000000000002E-4</v>
          </cell>
          <cell r="AQ228">
            <v>2.0520000000000003E-4</v>
          </cell>
          <cell r="AR228">
            <v>2.2500000000000002E-4</v>
          </cell>
          <cell r="AS228">
            <v>45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45</v>
          </cell>
        </row>
        <row r="229">
          <cell r="C229" t="str">
            <v>DIG</v>
          </cell>
          <cell r="H229" t="str">
            <v>10-80-A3-SA-0048</v>
          </cell>
          <cell r="I229" t="str">
            <v>Gas Oil Tank FOAM System Utility Flow Diagrams</v>
          </cell>
          <cell r="M229">
            <v>5.7000000000000002E-2</v>
          </cell>
          <cell r="P229">
            <v>2.2800000000000004E-4</v>
          </cell>
          <cell r="R229">
            <v>1.8000000000000001E-4</v>
          </cell>
          <cell r="V229" t="str">
            <v>ارسال شده</v>
          </cell>
          <cell r="W229" t="str">
            <v>01</v>
          </cell>
          <cell r="X229" t="str">
            <v>59403</v>
          </cell>
          <cell r="Y229" t="str">
            <v>21-07-0703-12-07</v>
          </cell>
          <cell r="Z229" t="str">
            <v>F-0136F-0522</v>
          </cell>
          <cell r="AA229" t="str">
            <v>09-08-0716-12-07</v>
          </cell>
          <cell r="AG229" t="str">
            <v>GBT</v>
          </cell>
          <cell r="AH229" t="str">
            <v>x</v>
          </cell>
          <cell r="AI229" t="str">
            <v>x</v>
          </cell>
          <cell r="AJ229" t="str">
            <v/>
          </cell>
          <cell r="AL229" t="str">
            <v/>
          </cell>
          <cell r="AM229">
            <v>0.6</v>
          </cell>
          <cell r="AN229">
            <v>1.0800000000000001E-4</v>
          </cell>
          <cell r="AO229" t="str">
            <v>تكراري با رديف 1213</v>
          </cell>
          <cell r="AQ229">
            <v>1.3680000000000002E-4</v>
          </cell>
          <cell r="AR229">
            <v>1.0800000000000001E-4</v>
          </cell>
          <cell r="AS229">
            <v>45</v>
          </cell>
          <cell r="AT229">
            <v>60</v>
          </cell>
          <cell r="AU229">
            <v>0</v>
          </cell>
          <cell r="AV229">
            <v>0</v>
          </cell>
          <cell r="AW229">
            <v>0</v>
          </cell>
          <cell r="AX229">
            <v>60</v>
          </cell>
        </row>
        <row r="230">
          <cell r="C230" t="str">
            <v>DIG</v>
          </cell>
          <cell r="H230" t="str">
            <v>10-80-A3-SA-0004</v>
          </cell>
          <cell r="I230" t="str">
            <v>Gas Oil Tank Foam System Piping &amp; Instrumentation Diagram</v>
          </cell>
          <cell r="M230">
            <v>5.7000000000000002E-2</v>
          </cell>
          <cell r="P230">
            <v>2.2800000000000004E-4</v>
          </cell>
          <cell r="R230">
            <v>1.7000000000000001E-4</v>
          </cell>
          <cell r="V230" t="str">
            <v>ارسال شده</v>
          </cell>
          <cell r="W230" t="str">
            <v>01</v>
          </cell>
          <cell r="X230" t="str">
            <v>143408</v>
          </cell>
          <cell r="Y230" t="str">
            <v>08-10-0703-12-07</v>
          </cell>
          <cell r="Z230" t="str">
            <v>F-0234F-0522</v>
          </cell>
          <cell r="AA230" t="str">
            <v>22-10-0716-12-07</v>
          </cell>
          <cell r="AB230" t="str">
            <v>G-0203</v>
          </cell>
          <cell r="AC230" t="str">
            <v>04-11-07</v>
          </cell>
          <cell r="AD230" t="str">
            <v>FF-0374</v>
          </cell>
          <cell r="AG230" t="str">
            <v>GBT</v>
          </cell>
          <cell r="AH230" t="str">
            <v>x</v>
          </cell>
          <cell r="AI230" t="str">
            <v>x</v>
          </cell>
          <cell r="AJ230" t="str">
            <v/>
          </cell>
          <cell r="AL230" t="str">
            <v/>
          </cell>
          <cell r="AM230">
            <v>0.6</v>
          </cell>
          <cell r="AN230">
            <v>1.02E-4</v>
          </cell>
          <cell r="AQ230">
            <v>1.3680000000000002E-4</v>
          </cell>
          <cell r="AR230">
            <v>1.02E-4</v>
          </cell>
          <cell r="AS230">
            <v>45</v>
          </cell>
          <cell r="AT230">
            <v>60</v>
          </cell>
          <cell r="AU230">
            <v>0</v>
          </cell>
          <cell r="AV230">
            <v>0</v>
          </cell>
          <cell r="AW230">
            <v>0</v>
          </cell>
          <cell r="AX230">
            <v>60</v>
          </cell>
        </row>
        <row r="231">
          <cell r="C231" t="str">
            <v>DIG</v>
          </cell>
          <cell r="H231" t="str">
            <v>10-80-A3-SA-0043</v>
          </cell>
          <cell r="I231" t="str">
            <v>Gas Oil Cooling System Utility Flow Diagrams</v>
          </cell>
          <cell r="M231">
            <v>0.1</v>
          </cell>
          <cell r="P231">
            <v>4.0000000000000002E-4</v>
          </cell>
          <cell r="R231">
            <v>4.0000000000000002E-4</v>
          </cell>
          <cell r="V231" t="str">
            <v>ارسال شده</v>
          </cell>
          <cell r="W231" t="str">
            <v>01</v>
          </cell>
          <cell r="X231" t="str">
            <v>159407</v>
          </cell>
          <cell r="Y231" t="str">
            <v>15-10-0703-12-07</v>
          </cell>
          <cell r="Z231" t="str">
            <v>F-0246F-0520</v>
          </cell>
          <cell r="AA231" t="str">
            <v>20-10-0716-12-07</v>
          </cell>
          <cell r="AG231" t="str">
            <v>GBT</v>
          </cell>
          <cell r="AH231" t="str">
            <v>x</v>
          </cell>
          <cell r="AI231" t="str">
            <v>x</v>
          </cell>
          <cell r="AJ231" t="str">
            <v/>
          </cell>
          <cell r="AL231" t="str">
            <v/>
          </cell>
          <cell r="AM231">
            <v>0.6</v>
          </cell>
          <cell r="AN231">
            <v>2.4000000000000001E-4</v>
          </cell>
          <cell r="AQ231">
            <v>2.4000000000000001E-4</v>
          </cell>
          <cell r="AR231">
            <v>2.4000000000000001E-4</v>
          </cell>
          <cell r="AS231">
            <v>45</v>
          </cell>
          <cell r="AT231">
            <v>60</v>
          </cell>
          <cell r="AU231">
            <v>0</v>
          </cell>
          <cell r="AV231">
            <v>0</v>
          </cell>
          <cell r="AW231">
            <v>0</v>
          </cell>
          <cell r="AX231">
            <v>60</v>
          </cell>
        </row>
        <row r="232">
          <cell r="C232" t="str">
            <v>dwg</v>
          </cell>
          <cell r="H232" t="str">
            <v>10-80-A3-SA-0044</v>
          </cell>
          <cell r="I232" t="str">
            <v xml:space="preserve">Gas Oil Tank Cooling System P&amp;ID </v>
          </cell>
          <cell r="M232">
            <v>0.1</v>
          </cell>
          <cell r="P232">
            <v>4.0000000000000002E-4</v>
          </cell>
          <cell r="R232">
            <v>4.0000000000000002E-4</v>
          </cell>
          <cell r="V232" t="str">
            <v>ارسال شده</v>
          </cell>
          <cell r="W232" t="str">
            <v>01</v>
          </cell>
          <cell r="X232" t="str">
            <v>142406</v>
          </cell>
          <cell r="Y232" t="str">
            <v>08-10-0703-12-07</v>
          </cell>
          <cell r="Z232" t="str">
            <v>F-0228F-0520</v>
          </cell>
          <cell r="AA232" t="str">
            <v>20-10-0716-12-07</v>
          </cell>
          <cell r="AG232" t="str">
            <v>GBT</v>
          </cell>
          <cell r="AH232" t="str">
            <v>x</v>
          </cell>
          <cell r="AI232" t="str">
            <v>x</v>
          </cell>
          <cell r="AJ232" t="str">
            <v/>
          </cell>
          <cell r="AL232" t="str">
            <v/>
          </cell>
          <cell r="AM232">
            <v>0.6</v>
          </cell>
          <cell r="AN232">
            <v>2.4000000000000001E-4</v>
          </cell>
          <cell r="AQ232">
            <v>2.4000000000000001E-4</v>
          </cell>
          <cell r="AR232">
            <v>2.4000000000000001E-4</v>
          </cell>
          <cell r="AS232">
            <v>45</v>
          </cell>
          <cell r="AT232">
            <v>60</v>
          </cell>
          <cell r="AU232">
            <v>0</v>
          </cell>
          <cell r="AV232">
            <v>0</v>
          </cell>
          <cell r="AW232">
            <v>0</v>
          </cell>
          <cell r="AX232">
            <v>60</v>
          </cell>
        </row>
        <row r="233">
          <cell r="C233" t="str">
            <v>DIG</v>
          </cell>
          <cell r="H233" t="str">
            <v>10-80-A3-SA-0045</v>
          </cell>
          <cell r="I233" t="str">
            <v>50 MVA Power Transformers Delug  System Utility Flow Diagrams</v>
          </cell>
          <cell r="M233">
            <v>0.1</v>
          </cell>
          <cell r="P233">
            <v>4.0000000000000002E-4</v>
          </cell>
          <cell r="R233">
            <v>4.0000000000000002E-4</v>
          </cell>
          <cell r="V233" t="str">
            <v>ارسال شده</v>
          </cell>
          <cell r="W233" t="str">
            <v>01</v>
          </cell>
          <cell r="X233" t="str">
            <v>67405</v>
          </cell>
          <cell r="Y233" t="str">
            <v>25-07-0703-12-07</v>
          </cell>
          <cell r="Z233" t="str">
            <v>F-115</v>
          </cell>
          <cell r="AA233" t="str">
            <v>02-08-07</v>
          </cell>
          <cell r="AG233" t="str">
            <v>KRPC</v>
          </cell>
          <cell r="AH233" t="str">
            <v>x</v>
          </cell>
          <cell r="AI233" t="str">
            <v>x</v>
          </cell>
          <cell r="AJ233" t="str">
            <v/>
          </cell>
          <cell r="AL233" t="str">
            <v/>
          </cell>
          <cell r="AM233">
            <v>0.6</v>
          </cell>
          <cell r="AN233">
            <v>2.4000000000000001E-4</v>
          </cell>
          <cell r="AQ233">
            <v>2.4000000000000001E-4</v>
          </cell>
          <cell r="AR233">
            <v>2.4000000000000001E-4</v>
          </cell>
          <cell r="AS233">
            <v>45</v>
          </cell>
          <cell r="AT233">
            <v>60</v>
          </cell>
          <cell r="AU233">
            <v>0</v>
          </cell>
          <cell r="AV233">
            <v>0</v>
          </cell>
          <cell r="AW233">
            <v>0</v>
          </cell>
          <cell r="AX233">
            <v>60</v>
          </cell>
        </row>
        <row r="234">
          <cell r="C234" t="str">
            <v>DIG</v>
          </cell>
          <cell r="H234" t="str">
            <v>10-80-A3-SA-0046</v>
          </cell>
          <cell r="I234" t="str">
            <v>Power Transformers Fire Fighting System Piping &amp; Instrumentation Diagrams</v>
          </cell>
          <cell r="M234">
            <v>0.1</v>
          </cell>
          <cell r="P234">
            <v>4.0000000000000002E-4</v>
          </cell>
          <cell r="R234">
            <v>4.0000000000000002E-4</v>
          </cell>
          <cell r="V234" t="str">
            <v>ارسال شده</v>
          </cell>
          <cell r="W234" t="str">
            <v>01</v>
          </cell>
          <cell r="X234" t="str">
            <v>141404</v>
          </cell>
          <cell r="Y234" t="str">
            <v>08-10-0703-12-07</v>
          </cell>
          <cell r="Z234" t="str">
            <v>123-13-1595F-0496</v>
          </cell>
          <cell r="AA234" t="str">
            <v>86-07-2311-12-07</v>
          </cell>
          <cell r="AG234" t="str">
            <v>GBT</v>
          </cell>
          <cell r="AH234" t="str">
            <v>x</v>
          </cell>
          <cell r="AI234" t="str">
            <v>x</v>
          </cell>
          <cell r="AJ234" t="str">
            <v/>
          </cell>
          <cell r="AL234" t="str">
            <v/>
          </cell>
          <cell r="AM234">
            <v>0.6</v>
          </cell>
          <cell r="AN234">
            <v>2.4000000000000001E-4</v>
          </cell>
          <cell r="AO234" t="str">
            <v>اسم مدرك بهدرخواست كارفرما (1595-13-123) تغيير داده شد.</v>
          </cell>
          <cell r="AQ234">
            <v>2.4000000000000001E-4</v>
          </cell>
          <cell r="AR234">
            <v>2.4000000000000001E-4</v>
          </cell>
          <cell r="AS234">
            <v>45</v>
          </cell>
          <cell r="AT234">
            <v>60</v>
          </cell>
          <cell r="AU234">
            <v>0</v>
          </cell>
          <cell r="AV234">
            <v>0</v>
          </cell>
          <cell r="AW234">
            <v>0</v>
          </cell>
          <cell r="AX234">
            <v>60</v>
          </cell>
        </row>
        <row r="235">
          <cell r="F235" t="str">
            <v>Civil</v>
          </cell>
          <cell r="L235">
            <v>0.15</v>
          </cell>
          <cell r="M235">
            <v>0.89500000000000024</v>
          </cell>
          <cell r="P235">
            <v>0.03</v>
          </cell>
          <cell r="R235">
            <v>2.9500000000000009E-2</v>
          </cell>
          <cell r="T235" t="str">
            <v>.</v>
          </cell>
          <cell r="U235" t="str">
            <v>.</v>
          </cell>
          <cell r="V235" t="str">
            <v>.</v>
          </cell>
          <cell r="W235" t="str">
            <v>.</v>
          </cell>
          <cell r="X235" t="str">
            <v>.</v>
          </cell>
          <cell r="Y235" t="str">
            <v>.</v>
          </cell>
          <cell r="Z235" t="str">
            <v>.</v>
          </cell>
          <cell r="AA235" t="str">
            <v>.</v>
          </cell>
          <cell r="AG235" t="str">
            <v>.</v>
          </cell>
          <cell r="AH235" t="str">
            <v>.</v>
          </cell>
          <cell r="AI235" t="str">
            <v>.</v>
          </cell>
          <cell r="AJ235" t="str">
            <v>.</v>
          </cell>
          <cell r="AK235" t="str">
            <v>.</v>
          </cell>
          <cell r="AL235" t="str">
            <v>.</v>
          </cell>
          <cell r="AM235">
            <v>0.56028333333333324</v>
          </cell>
          <cell r="AN235">
            <v>1.6808499999999997E-2</v>
          </cell>
          <cell r="AO235" t="str">
            <v>.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</row>
        <row r="236">
          <cell r="C236" t="str">
            <v>RPT</v>
          </cell>
          <cell r="H236" t="str">
            <v>10-XX-DEC-CI-0001</v>
          </cell>
          <cell r="I236" t="str">
            <v>Design Criteria for Load &amp; Forces</v>
          </cell>
          <cell r="M236">
            <v>2.1000000000000001E-2</v>
          </cell>
          <cell r="P236">
            <v>6.3000000000000003E-4</v>
          </cell>
          <cell r="R236">
            <v>6.8000000000000005E-4</v>
          </cell>
          <cell r="V236" t="str">
            <v>ارسال شده</v>
          </cell>
          <cell r="W236" t="str">
            <v>0 12</v>
          </cell>
          <cell r="X236" t="str">
            <v>14 116327</v>
          </cell>
          <cell r="Y236" t="str">
            <v>29-05-07 16-09-0717-11-07</v>
          </cell>
          <cell r="Z236" t="str">
            <v>F-0007         F-0204F-0383</v>
          </cell>
          <cell r="AA236" t="str">
            <v>14-06-07 22-09-0722-11-07</v>
          </cell>
          <cell r="AG236" t="str">
            <v>GBT</v>
          </cell>
          <cell r="AH236" t="str">
            <v>x</v>
          </cell>
          <cell r="AI236" t="str">
            <v>x</v>
          </cell>
          <cell r="AJ236" t="str">
            <v>x</v>
          </cell>
          <cell r="AL236" t="str">
            <v/>
          </cell>
          <cell r="AM236">
            <v>0.75</v>
          </cell>
          <cell r="AN236">
            <v>5.1000000000000004E-4</v>
          </cell>
          <cell r="AQ236">
            <v>4.7250000000000005E-4</v>
          </cell>
          <cell r="AR236">
            <v>5.1000000000000004E-4</v>
          </cell>
          <cell r="AS236">
            <v>45</v>
          </cell>
          <cell r="AT236">
            <v>60</v>
          </cell>
          <cell r="AU236">
            <v>75</v>
          </cell>
          <cell r="AV236">
            <v>0</v>
          </cell>
          <cell r="AW236">
            <v>0</v>
          </cell>
          <cell r="AX236">
            <v>75</v>
          </cell>
        </row>
        <row r="237">
          <cell r="C237" t="str">
            <v>RPT</v>
          </cell>
          <cell r="H237" t="str">
            <v>10-XX-DEC-CI-0002</v>
          </cell>
          <cell r="I237" t="str">
            <v>Design Criteria for Civil Works</v>
          </cell>
          <cell r="M237">
            <v>2.1000000000000001E-2</v>
          </cell>
          <cell r="P237">
            <v>6.3000000000000003E-4</v>
          </cell>
          <cell r="R237">
            <v>6.8000000000000005E-4</v>
          </cell>
          <cell r="V237" t="str">
            <v>ارسال شده</v>
          </cell>
          <cell r="W237" t="str">
            <v>012</v>
          </cell>
          <cell r="X237" t="str">
            <v>14173354</v>
          </cell>
          <cell r="Y237" t="str">
            <v>29-05-0720-10-0721-11-07</v>
          </cell>
          <cell r="Z237" t="str">
            <v>F-0007F-0458</v>
          </cell>
          <cell r="AA237" t="str">
            <v>14-06-0705-12-07</v>
          </cell>
          <cell r="AF237" t="str">
            <v>86-07-18</v>
          </cell>
          <cell r="AG237" t="str">
            <v>GBT</v>
          </cell>
          <cell r="AH237" t="str">
            <v>x</v>
          </cell>
          <cell r="AI237" t="str">
            <v>x</v>
          </cell>
          <cell r="AJ237" t="str">
            <v>x</v>
          </cell>
          <cell r="AL237" t="str">
            <v/>
          </cell>
          <cell r="AM237">
            <v>0.75</v>
          </cell>
          <cell r="AN237">
            <v>5.1000000000000004E-4</v>
          </cell>
          <cell r="AO237" t="str">
            <v>x</v>
          </cell>
          <cell r="AQ237">
            <v>4.7250000000000005E-4</v>
          </cell>
          <cell r="AR237">
            <v>5.1000000000000004E-4</v>
          </cell>
          <cell r="AS237">
            <v>45</v>
          </cell>
          <cell r="AT237">
            <v>60</v>
          </cell>
          <cell r="AU237">
            <v>75</v>
          </cell>
          <cell r="AV237">
            <v>0</v>
          </cell>
          <cell r="AW237">
            <v>0</v>
          </cell>
          <cell r="AX237">
            <v>75</v>
          </cell>
        </row>
        <row r="238">
          <cell r="C238" t="str">
            <v>RPT</v>
          </cell>
          <cell r="H238" t="str">
            <v>10-XX-DEC-ST-0003</v>
          </cell>
          <cell r="I238" t="str">
            <v>Design Criteria for Steel Structure</v>
          </cell>
          <cell r="M238">
            <v>2.1000000000000001E-2</v>
          </cell>
          <cell r="P238">
            <v>6.3000000000000003E-4</v>
          </cell>
          <cell r="R238">
            <v>6.8000000000000005E-4</v>
          </cell>
          <cell r="V238" t="str">
            <v>ارسال شده</v>
          </cell>
          <cell r="W238" t="str">
            <v>0 12</v>
          </cell>
          <cell r="X238" t="str">
            <v>14 115324</v>
          </cell>
          <cell r="Y238" t="str">
            <v>29-05-07 16-09-0717-11-07</v>
          </cell>
          <cell r="Z238" t="str">
            <v>F-0007         F-0203F-0382</v>
          </cell>
          <cell r="AA238" t="str">
            <v>14-06-07 22-09-0722-11-07</v>
          </cell>
          <cell r="AG238" t="str">
            <v>GBT</v>
          </cell>
          <cell r="AH238" t="str">
            <v>x</v>
          </cell>
          <cell r="AI238" t="str">
            <v>x</v>
          </cell>
          <cell r="AJ238" t="str">
            <v>x</v>
          </cell>
          <cell r="AL238" t="str">
            <v/>
          </cell>
          <cell r="AM238">
            <v>0.75</v>
          </cell>
          <cell r="AN238">
            <v>5.1000000000000004E-4</v>
          </cell>
          <cell r="AQ238">
            <v>4.7250000000000005E-4</v>
          </cell>
          <cell r="AR238">
            <v>5.1000000000000004E-4</v>
          </cell>
          <cell r="AS238">
            <v>45</v>
          </cell>
          <cell r="AT238">
            <v>60</v>
          </cell>
          <cell r="AU238">
            <v>75</v>
          </cell>
          <cell r="AV238">
            <v>0</v>
          </cell>
          <cell r="AW238">
            <v>0</v>
          </cell>
          <cell r="AX238">
            <v>75</v>
          </cell>
        </row>
        <row r="239">
          <cell r="C239" t="str">
            <v>SPC</v>
          </cell>
          <cell r="H239" t="str">
            <v>10-XX-ESS-ST-0004</v>
          </cell>
          <cell r="I239" t="str">
            <v>Specification for Structural Concrete Works</v>
          </cell>
          <cell r="M239">
            <v>2.1000000000000001E-2</v>
          </cell>
          <cell r="P239">
            <v>6.3000000000000003E-4</v>
          </cell>
          <cell r="R239">
            <v>6.8000000000000005E-4</v>
          </cell>
          <cell r="V239" t="str">
            <v>ارسال شده</v>
          </cell>
          <cell r="W239" t="str">
            <v>0123</v>
          </cell>
          <cell r="X239" t="str">
            <v>14172323390</v>
          </cell>
          <cell r="Y239" t="str">
            <v>29-05-0720-10-0717-11-0701-12-07</v>
          </cell>
          <cell r="Z239" t="str">
            <v>F-0007F-0249F-0379F-0459</v>
          </cell>
          <cell r="AA239" t="str">
            <v>14-06-0728-10-0722-11-0705-12-07</v>
          </cell>
          <cell r="AF239" t="str">
            <v>86-07-18</v>
          </cell>
          <cell r="AG239" t="str">
            <v>GBT</v>
          </cell>
          <cell r="AH239" t="str">
            <v>x</v>
          </cell>
          <cell r="AI239" t="str">
            <v>x</v>
          </cell>
          <cell r="AJ239" t="str">
            <v>x</v>
          </cell>
          <cell r="AK239" t="str">
            <v>x</v>
          </cell>
          <cell r="AL239" t="str">
            <v/>
          </cell>
          <cell r="AM239">
            <v>0.85</v>
          </cell>
          <cell r="AN239">
            <v>5.7800000000000006E-4</v>
          </cell>
          <cell r="AO239" t="str">
            <v>x</v>
          </cell>
          <cell r="AQ239">
            <v>5.3550000000000006E-4</v>
          </cell>
          <cell r="AR239">
            <v>5.7800000000000006E-4</v>
          </cell>
          <cell r="AS239">
            <v>45</v>
          </cell>
          <cell r="AT239">
            <v>60</v>
          </cell>
          <cell r="AU239">
            <v>75</v>
          </cell>
          <cell r="AV239">
            <v>85</v>
          </cell>
          <cell r="AW239">
            <v>0</v>
          </cell>
          <cell r="AX239">
            <v>85</v>
          </cell>
        </row>
        <row r="240">
          <cell r="C240" t="str">
            <v>SPC</v>
          </cell>
          <cell r="H240" t="str">
            <v>10-XX-ESS-CI-0005</v>
          </cell>
          <cell r="I240" t="str">
            <v>Specification for Grouting</v>
          </cell>
          <cell r="M240">
            <v>2.1000000000000001E-2</v>
          </cell>
          <cell r="P240">
            <v>6.3000000000000003E-4</v>
          </cell>
          <cell r="R240">
            <v>6.8000000000000005E-4</v>
          </cell>
          <cell r="V240" t="str">
            <v>ارسال شده</v>
          </cell>
          <cell r="W240" t="str">
            <v>01</v>
          </cell>
          <cell r="X240" t="str">
            <v>14355</v>
          </cell>
          <cell r="Y240" t="str">
            <v>29-05-0721-11-07</v>
          </cell>
          <cell r="Z240" t="str">
            <v>F-0007F-0446</v>
          </cell>
          <cell r="AA240" t="str">
            <v>14-06-0703-12-07</v>
          </cell>
          <cell r="AF240" t="str">
            <v>86-07-18</v>
          </cell>
          <cell r="AG240" t="str">
            <v>GBT</v>
          </cell>
          <cell r="AH240" t="str">
            <v>x</v>
          </cell>
          <cell r="AI240" t="str">
            <v>x</v>
          </cell>
          <cell r="AJ240" t="str">
            <v/>
          </cell>
          <cell r="AL240" t="str">
            <v/>
          </cell>
          <cell r="AM240">
            <v>0.6</v>
          </cell>
          <cell r="AN240">
            <v>4.08E-4</v>
          </cell>
          <cell r="AQ240">
            <v>3.7800000000000003E-4</v>
          </cell>
          <cell r="AR240">
            <v>4.08E-4</v>
          </cell>
          <cell r="AS240">
            <v>45</v>
          </cell>
          <cell r="AT240">
            <v>60</v>
          </cell>
          <cell r="AU240">
            <v>0</v>
          </cell>
          <cell r="AV240">
            <v>0</v>
          </cell>
          <cell r="AW240">
            <v>0</v>
          </cell>
          <cell r="AX240">
            <v>60</v>
          </cell>
        </row>
        <row r="241">
          <cell r="C241" t="str">
            <v>SPC</v>
          </cell>
          <cell r="H241" t="str">
            <v>10-XX-ESS-CI-0006</v>
          </cell>
          <cell r="I241" t="str">
            <v>Specification for Earth works</v>
          </cell>
          <cell r="M241">
            <v>2.1000000000000001E-2</v>
          </cell>
          <cell r="P241">
            <v>6.3000000000000003E-4</v>
          </cell>
          <cell r="R241">
            <v>6.8000000000000005E-4</v>
          </cell>
          <cell r="V241" t="str">
            <v>ارسال شده</v>
          </cell>
          <cell r="W241" t="str">
            <v>01</v>
          </cell>
          <cell r="X241" t="str">
            <v>14389</v>
          </cell>
          <cell r="Y241" t="str">
            <v>29-05-0701-12-07</v>
          </cell>
          <cell r="Z241" t="str">
            <v>F-0007</v>
          </cell>
          <cell r="AA241" t="str">
            <v>14-06-07</v>
          </cell>
          <cell r="AF241" t="str">
            <v>86-07-18</v>
          </cell>
          <cell r="AG241" t="str">
            <v>KRPC</v>
          </cell>
          <cell r="AH241" t="str">
            <v>x</v>
          </cell>
          <cell r="AI241" t="str">
            <v>x</v>
          </cell>
          <cell r="AJ241" t="str">
            <v/>
          </cell>
          <cell r="AL241" t="str">
            <v/>
          </cell>
          <cell r="AM241">
            <v>0.6</v>
          </cell>
          <cell r="AN241">
            <v>4.08E-4</v>
          </cell>
          <cell r="AQ241">
            <v>3.7800000000000003E-4</v>
          </cell>
          <cell r="AR241">
            <v>4.08E-4</v>
          </cell>
          <cell r="AS241">
            <v>45</v>
          </cell>
          <cell r="AT241">
            <v>60</v>
          </cell>
          <cell r="AU241">
            <v>0</v>
          </cell>
          <cell r="AV241">
            <v>0</v>
          </cell>
          <cell r="AW241">
            <v>0</v>
          </cell>
          <cell r="AX241">
            <v>60</v>
          </cell>
        </row>
        <row r="242">
          <cell r="C242" t="str">
            <v>SPC</v>
          </cell>
          <cell r="H242" t="str">
            <v>10-XX-ESS-ST-0007</v>
          </cell>
          <cell r="I242" t="str">
            <v>Specification for Structural Steel Fabrication</v>
          </cell>
          <cell r="M242">
            <v>2.1000000000000001E-2</v>
          </cell>
          <cell r="P242">
            <v>6.3000000000000003E-4</v>
          </cell>
          <cell r="R242">
            <v>6.8000000000000005E-4</v>
          </cell>
          <cell r="V242" t="str">
            <v>ارسال شده</v>
          </cell>
          <cell r="W242" t="str">
            <v>01</v>
          </cell>
          <cell r="X242" t="str">
            <v>14353</v>
          </cell>
          <cell r="Y242" t="str">
            <v>29-05-0721-11-07</v>
          </cell>
          <cell r="Z242" t="str">
            <v>F-0007F-0454</v>
          </cell>
          <cell r="AA242" t="str">
            <v>14-06-0705-12-07</v>
          </cell>
          <cell r="AF242" t="str">
            <v>86-07-18</v>
          </cell>
          <cell r="AG242" t="str">
            <v>GBT</v>
          </cell>
          <cell r="AH242" t="str">
            <v>x</v>
          </cell>
          <cell r="AI242" t="str">
            <v>x</v>
          </cell>
          <cell r="AJ242" t="str">
            <v/>
          </cell>
          <cell r="AL242" t="str">
            <v/>
          </cell>
          <cell r="AM242">
            <v>0.6</v>
          </cell>
          <cell r="AN242">
            <v>4.08E-4</v>
          </cell>
          <cell r="AO242" t="str">
            <v>x</v>
          </cell>
          <cell r="AQ242">
            <v>3.7800000000000003E-4</v>
          </cell>
          <cell r="AR242">
            <v>4.08E-4</v>
          </cell>
          <cell r="AS242">
            <v>45</v>
          </cell>
          <cell r="AT242">
            <v>60</v>
          </cell>
          <cell r="AU242">
            <v>0</v>
          </cell>
          <cell r="AV242">
            <v>0</v>
          </cell>
          <cell r="AW242">
            <v>0</v>
          </cell>
          <cell r="AX242">
            <v>60</v>
          </cell>
        </row>
        <row r="243">
          <cell r="C243" t="str">
            <v>SPC</v>
          </cell>
          <cell r="H243" t="str">
            <v>10-XX-ESS-ST-0008</v>
          </cell>
          <cell r="I243" t="str">
            <v>Specification for Structural Steel Erection</v>
          </cell>
          <cell r="M243">
            <v>2.1000000000000001E-2</v>
          </cell>
          <cell r="P243">
            <v>6.3000000000000003E-4</v>
          </cell>
          <cell r="R243">
            <v>6.8000000000000005E-4</v>
          </cell>
          <cell r="V243" t="str">
            <v>ارسال شده</v>
          </cell>
          <cell r="W243" t="str">
            <v>01</v>
          </cell>
          <cell r="X243" t="str">
            <v>14356</v>
          </cell>
          <cell r="Y243" t="str">
            <v>29-05-0721-11-07</v>
          </cell>
          <cell r="Z243" t="str">
            <v>F-0007F-0425</v>
          </cell>
          <cell r="AA243" t="str">
            <v>14-06-0702-12-07</v>
          </cell>
          <cell r="AF243" t="str">
            <v>86-07-18</v>
          </cell>
          <cell r="AG243" t="str">
            <v>GBT</v>
          </cell>
          <cell r="AH243" t="str">
            <v>x</v>
          </cell>
          <cell r="AI243" t="str">
            <v>x</v>
          </cell>
          <cell r="AJ243" t="str">
            <v/>
          </cell>
          <cell r="AL243" t="str">
            <v/>
          </cell>
          <cell r="AM243">
            <v>0.6</v>
          </cell>
          <cell r="AN243">
            <v>4.08E-4</v>
          </cell>
          <cell r="AQ243">
            <v>3.7800000000000003E-4</v>
          </cell>
          <cell r="AR243">
            <v>4.08E-4</v>
          </cell>
          <cell r="AS243">
            <v>45</v>
          </cell>
          <cell r="AT243">
            <v>60</v>
          </cell>
          <cell r="AU243">
            <v>0</v>
          </cell>
          <cell r="AV243">
            <v>0</v>
          </cell>
          <cell r="AW243">
            <v>0</v>
          </cell>
          <cell r="AX243">
            <v>60</v>
          </cell>
        </row>
        <row r="244">
          <cell r="C244" t="str">
            <v>ITP</v>
          </cell>
          <cell r="H244" t="str">
            <v>10-XX-PCJ-CI-0009</v>
          </cell>
          <cell r="I244" t="str">
            <v>Testing &amp; Inspection Procedure (ITP) for Concrete Works</v>
          </cell>
          <cell r="M244">
            <v>2.1000000000000001E-2</v>
          </cell>
          <cell r="P244">
            <v>6.3000000000000003E-4</v>
          </cell>
          <cell r="R244">
            <v>6.8000000000000005E-4</v>
          </cell>
          <cell r="V244" t="str">
            <v>ارسال شده</v>
          </cell>
          <cell r="W244" t="str">
            <v>0 123</v>
          </cell>
          <cell r="X244" t="str">
            <v>14 114326391</v>
          </cell>
          <cell r="Y244" t="str">
            <v>29-05-07 16-09-0717-11-0701-12-07</v>
          </cell>
          <cell r="Z244" t="str">
            <v>F-0007         F-0202F-0381F-0463</v>
          </cell>
          <cell r="AA244" t="str">
            <v>14-06-07 22-09-0722-11-0705-12-07</v>
          </cell>
          <cell r="AF244" t="str">
            <v>86-07-18</v>
          </cell>
          <cell r="AG244" t="str">
            <v>GBT</v>
          </cell>
          <cell r="AH244" t="str">
            <v>x</v>
          </cell>
          <cell r="AI244" t="str">
            <v>x</v>
          </cell>
          <cell r="AJ244" t="str">
            <v>x</v>
          </cell>
          <cell r="AK244" t="str">
            <v>x</v>
          </cell>
          <cell r="AL244" t="str">
            <v/>
          </cell>
          <cell r="AM244">
            <v>0.85</v>
          </cell>
          <cell r="AN244">
            <v>5.7800000000000006E-4</v>
          </cell>
          <cell r="AO244" t="str">
            <v>x</v>
          </cell>
          <cell r="AQ244">
            <v>5.3550000000000006E-4</v>
          </cell>
          <cell r="AR244">
            <v>5.7800000000000006E-4</v>
          </cell>
          <cell r="AS244">
            <v>45</v>
          </cell>
          <cell r="AT244">
            <v>60</v>
          </cell>
          <cell r="AU244">
            <v>75</v>
          </cell>
          <cell r="AV244">
            <v>85</v>
          </cell>
          <cell r="AW244">
            <v>0</v>
          </cell>
          <cell r="AX244">
            <v>85</v>
          </cell>
        </row>
        <row r="245">
          <cell r="C245" t="str">
            <v>ITP</v>
          </cell>
          <cell r="H245" t="str">
            <v>10-XX-PCJ-ST-0010</v>
          </cell>
          <cell r="I245" t="str">
            <v>Testing &amp; Inspection Procedure (ITP) for Steel</v>
          </cell>
          <cell r="M245">
            <v>2.1000000000000001E-2</v>
          </cell>
          <cell r="P245">
            <v>6.3000000000000003E-4</v>
          </cell>
          <cell r="R245">
            <v>6.8000000000000005E-4</v>
          </cell>
          <cell r="V245" t="str">
            <v>ارسال شده</v>
          </cell>
          <cell r="W245" t="str">
            <v>01</v>
          </cell>
          <cell r="X245" t="str">
            <v>14357</v>
          </cell>
          <cell r="Y245" t="str">
            <v>29-05-0721-11-07</v>
          </cell>
          <cell r="Z245" t="str">
            <v>F-0007F-0438</v>
          </cell>
          <cell r="AA245" t="str">
            <v>14-06-0703-12-07</v>
          </cell>
          <cell r="AF245" t="str">
            <v>86-08-30</v>
          </cell>
          <cell r="AG245" t="str">
            <v>GBT</v>
          </cell>
          <cell r="AH245" t="str">
            <v>x</v>
          </cell>
          <cell r="AI245" t="str">
            <v>x</v>
          </cell>
          <cell r="AJ245" t="str">
            <v/>
          </cell>
          <cell r="AL245" t="str">
            <v/>
          </cell>
          <cell r="AM245">
            <v>0.6</v>
          </cell>
          <cell r="AN245">
            <v>4.08E-4</v>
          </cell>
          <cell r="AO245" t="str">
            <v>x</v>
          </cell>
          <cell r="AQ245">
            <v>3.7800000000000003E-4</v>
          </cell>
          <cell r="AR245">
            <v>4.08E-4</v>
          </cell>
          <cell r="AS245">
            <v>45</v>
          </cell>
          <cell r="AT245">
            <v>60</v>
          </cell>
          <cell r="AU245">
            <v>0</v>
          </cell>
          <cell r="AV245">
            <v>0</v>
          </cell>
          <cell r="AW245">
            <v>0</v>
          </cell>
          <cell r="AX245">
            <v>60</v>
          </cell>
        </row>
        <row r="246">
          <cell r="C246" t="str">
            <v>SPC</v>
          </cell>
          <cell r="H246" t="str">
            <v>10-XX-ESS-CI-0001</v>
          </cell>
          <cell r="I246" t="str">
            <v>Specification for Building</v>
          </cell>
          <cell r="M246">
            <v>2.1000000000000001E-2</v>
          </cell>
          <cell r="P246">
            <v>6.3000000000000003E-4</v>
          </cell>
          <cell r="Q246" t="str">
            <v>I</v>
          </cell>
          <cell r="R246">
            <v>6.4999999999999997E-4</v>
          </cell>
          <cell r="AH246" t="str">
            <v/>
          </cell>
          <cell r="AJ246" t="str">
            <v/>
          </cell>
          <cell r="AL246" t="str">
            <v/>
          </cell>
          <cell r="AM246">
            <v>0</v>
          </cell>
          <cell r="AN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</row>
        <row r="247">
          <cell r="C247" t="str">
            <v>dwg</v>
          </cell>
          <cell r="H247" t="str">
            <v>10-XX-A0-CI-0011</v>
          </cell>
          <cell r="I247" t="str">
            <v xml:space="preserve">Rough Grading Plan </v>
          </cell>
          <cell r="M247">
            <v>2.1000000000000001E-2</v>
          </cell>
          <cell r="P247">
            <v>6.3000000000000003E-4</v>
          </cell>
          <cell r="R247">
            <v>6.4999999999999997E-4</v>
          </cell>
          <cell r="V247" t="str">
            <v>ارسال شده</v>
          </cell>
          <cell r="W247" t="str">
            <v>0 1 2</v>
          </cell>
          <cell r="X247" t="str">
            <v>6 1645</v>
          </cell>
          <cell r="Y247" t="str">
            <v>09-05-07 30-05-07 04-07-07</v>
          </cell>
          <cell r="Z247" t="str">
            <v xml:space="preserve">123-13-1077 F-0006       F-0060                      </v>
          </cell>
          <cell r="AA247" t="str">
            <v>86-02-22   13-06-07 09-07-07</v>
          </cell>
          <cell r="AG247" t="str">
            <v>GBT</v>
          </cell>
          <cell r="AH247" t="str">
            <v>x</v>
          </cell>
          <cell r="AI247" t="str">
            <v>x</v>
          </cell>
          <cell r="AJ247" t="str">
            <v>x</v>
          </cell>
          <cell r="AL247" t="str">
            <v/>
          </cell>
          <cell r="AM247">
            <v>0.75</v>
          </cell>
          <cell r="AN247">
            <v>4.8749999999999998E-4</v>
          </cell>
          <cell r="AQ247">
            <v>4.7250000000000005E-4</v>
          </cell>
          <cell r="AR247">
            <v>4.8749999999999998E-4</v>
          </cell>
          <cell r="AS247">
            <v>45</v>
          </cell>
          <cell r="AT247">
            <v>60</v>
          </cell>
          <cell r="AU247">
            <v>75</v>
          </cell>
          <cell r="AV247">
            <v>0</v>
          </cell>
          <cell r="AW247">
            <v>0</v>
          </cell>
          <cell r="AX247">
            <v>75</v>
          </cell>
        </row>
        <row r="248">
          <cell r="C248" t="str">
            <v>dwg</v>
          </cell>
          <cell r="H248" t="str">
            <v>10-XX-A3-CI-0001</v>
          </cell>
          <cell r="I248" t="str">
            <v>Lighting Standard Foundation</v>
          </cell>
          <cell r="M248">
            <v>2.1000000000000001E-2</v>
          </cell>
          <cell r="P248">
            <v>6.3000000000000003E-4</v>
          </cell>
          <cell r="R248">
            <v>6.4999999999999997E-4</v>
          </cell>
          <cell r="V248" t="str">
            <v>ارسال شده</v>
          </cell>
          <cell r="W248" t="str">
            <v>01</v>
          </cell>
          <cell r="X248" t="str">
            <v>14359</v>
          </cell>
          <cell r="Y248" t="str">
            <v>29-05-0722-11-07</v>
          </cell>
          <cell r="Z248" t="str">
            <v>F-0007F-0423</v>
          </cell>
          <cell r="AA248" t="str">
            <v>14-06-0702-12-07</v>
          </cell>
          <cell r="AG248" t="str">
            <v>GBT</v>
          </cell>
          <cell r="AH248" t="str">
            <v>x</v>
          </cell>
          <cell r="AI248" t="str">
            <v>x</v>
          </cell>
          <cell r="AJ248" t="str">
            <v/>
          </cell>
          <cell r="AL248" t="str">
            <v/>
          </cell>
          <cell r="AM248">
            <v>0.6</v>
          </cell>
          <cell r="AN248">
            <v>3.8999999999999999E-4</v>
          </cell>
          <cell r="AQ248">
            <v>3.7800000000000003E-4</v>
          </cell>
          <cell r="AR248">
            <v>3.8999999999999999E-4</v>
          </cell>
          <cell r="AS248">
            <v>45</v>
          </cell>
          <cell r="AT248">
            <v>60</v>
          </cell>
          <cell r="AU248">
            <v>0</v>
          </cell>
          <cell r="AV248">
            <v>0</v>
          </cell>
          <cell r="AW248">
            <v>0</v>
          </cell>
          <cell r="AX248">
            <v>60</v>
          </cell>
        </row>
        <row r="249">
          <cell r="C249" t="str">
            <v>dwg</v>
          </cell>
          <cell r="H249" t="str">
            <v>10-XX-A3-CI-0002</v>
          </cell>
          <cell r="I249" t="str">
            <v>Road Cross Section</v>
          </cell>
          <cell r="M249">
            <v>2.1000000000000001E-2</v>
          </cell>
          <cell r="P249">
            <v>6.3000000000000003E-4</v>
          </cell>
          <cell r="R249">
            <v>6.4999999999999997E-4</v>
          </cell>
          <cell r="V249" t="str">
            <v>ارسال شده</v>
          </cell>
          <cell r="W249">
            <v>0</v>
          </cell>
          <cell r="X249">
            <v>14</v>
          </cell>
          <cell r="Y249" t="str">
            <v>29-05-07</v>
          </cell>
          <cell r="Z249" t="str">
            <v>F-0007</v>
          </cell>
          <cell r="AA249" t="str">
            <v>14-06-07</v>
          </cell>
          <cell r="AG249" t="str">
            <v>GBT</v>
          </cell>
          <cell r="AH249" t="str">
            <v>x</v>
          </cell>
          <cell r="AJ249" t="str">
            <v/>
          </cell>
          <cell r="AL249" t="str">
            <v/>
          </cell>
          <cell r="AM249">
            <v>0.45</v>
          </cell>
          <cell r="AN249">
            <v>2.9250000000000001E-4</v>
          </cell>
          <cell r="AQ249">
            <v>2.8350000000000001E-4</v>
          </cell>
          <cell r="AR249">
            <v>2.9250000000000001E-4</v>
          </cell>
          <cell r="AS249">
            <v>45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45</v>
          </cell>
        </row>
        <row r="250">
          <cell r="C250" t="str">
            <v>dwg</v>
          </cell>
          <cell r="H250" t="str">
            <v>10-XX-A3-CI-0003</v>
          </cell>
          <cell r="I250" t="str">
            <v>Reinforecment Concrete Drainage Channel</v>
          </cell>
          <cell r="M250">
            <v>2.1000000000000001E-2</v>
          </cell>
          <cell r="P250">
            <v>6.3000000000000003E-4</v>
          </cell>
          <cell r="R250">
            <v>6.4999999999999997E-4</v>
          </cell>
          <cell r="V250" t="str">
            <v>ارسال شده</v>
          </cell>
          <cell r="W250" t="str">
            <v>01</v>
          </cell>
          <cell r="X250" t="str">
            <v>14360</v>
          </cell>
          <cell r="Y250" t="str">
            <v>29-05-0722-11-07</v>
          </cell>
          <cell r="Z250" t="str">
            <v>F-0007F-0421</v>
          </cell>
          <cell r="AA250" t="str">
            <v>14-06-0702-12-07</v>
          </cell>
          <cell r="AG250" t="str">
            <v>GBT</v>
          </cell>
          <cell r="AH250" t="str">
            <v>x</v>
          </cell>
          <cell r="AI250" t="str">
            <v>x</v>
          </cell>
          <cell r="AJ250" t="str">
            <v/>
          </cell>
          <cell r="AL250" t="str">
            <v/>
          </cell>
          <cell r="AM250">
            <v>0.6</v>
          </cell>
          <cell r="AN250">
            <v>3.8999999999999999E-4</v>
          </cell>
          <cell r="AQ250">
            <v>3.7800000000000003E-4</v>
          </cell>
          <cell r="AR250">
            <v>3.8999999999999999E-4</v>
          </cell>
          <cell r="AS250">
            <v>45</v>
          </cell>
          <cell r="AT250">
            <v>60</v>
          </cell>
          <cell r="AU250">
            <v>0</v>
          </cell>
          <cell r="AV250">
            <v>0</v>
          </cell>
          <cell r="AW250">
            <v>0</v>
          </cell>
          <cell r="AX250">
            <v>60</v>
          </cell>
        </row>
        <row r="251">
          <cell r="C251" t="str">
            <v>dwg</v>
          </cell>
          <cell r="H251" t="str">
            <v>10-XX-A3-CI-0004</v>
          </cell>
          <cell r="I251" t="str">
            <v>Discharge Catch Basin</v>
          </cell>
          <cell r="M251">
            <v>2.1000000000000001E-2</v>
          </cell>
          <cell r="P251">
            <v>6.3000000000000003E-4</v>
          </cell>
          <cell r="R251">
            <v>6.4999999999999997E-4</v>
          </cell>
          <cell r="V251" t="str">
            <v>ارسال شده</v>
          </cell>
          <cell r="W251" t="str">
            <v>31</v>
          </cell>
          <cell r="X251" t="str">
            <v>14361</v>
          </cell>
          <cell r="Y251" t="str">
            <v>29-05-0722-11-07</v>
          </cell>
          <cell r="Z251" t="str">
            <v>F-0007</v>
          </cell>
          <cell r="AA251" t="str">
            <v>14-06-07</v>
          </cell>
          <cell r="AG251" t="str">
            <v>KRPC</v>
          </cell>
          <cell r="AH251" t="str">
            <v>x</v>
          </cell>
          <cell r="AI251" t="str">
            <v>x</v>
          </cell>
          <cell r="AJ251" t="str">
            <v>x</v>
          </cell>
          <cell r="AL251" t="str">
            <v/>
          </cell>
          <cell r="AM251">
            <v>0.75</v>
          </cell>
          <cell r="AN251">
            <v>4.8749999999999998E-4</v>
          </cell>
          <cell r="AQ251">
            <v>4.7250000000000005E-4</v>
          </cell>
          <cell r="AR251">
            <v>4.8749999999999998E-4</v>
          </cell>
          <cell r="AS251">
            <v>45</v>
          </cell>
          <cell r="AT251">
            <v>60</v>
          </cell>
          <cell r="AU251">
            <v>75</v>
          </cell>
          <cell r="AV251">
            <v>0</v>
          </cell>
          <cell r="AW251">
            <v>0</v>
          </cell>
          <cell r="AX251">
            <v>75</v>
          </cell>
        </row>
        <row r="252">
          <cell r="C252" t="str">
            <v>dwg</v>
          </cell>
          <cell r="H252" t="str">
            <v>10-XX-A3-CI-0005</v>
          </cell>
          <cell r="I252" t="str">
            <v>Staintary Manhole Detail</v>
          </cell>
          <cell r="M252">
            <v>2.1000000000000001E-2</v>
          </cell>
          <cell r="P252">
            <v>6.3000000000000003E-4</v>
          </cell>
          <cell r="R252">
            <v>6.4999999999999997E-4</v>
          </cell>
          <cell r="V252" t="str">
            <v>ارسال شده</v>
          </cell>
          <cell r="W252" t="str">
            <v>01</v>
          </cell>
          <cell r="X252" t="str">
            <v>14362</v>
          </cell>
          <cell r="Y252" t="str">
            <v>29-05-0722-11-07</v>
          </cell>
          <cell r="Z252" t="str">
            <v>F-0007F-0421</v>
          </cell>
          <cell r="AA252" t="str">
            <v>14-06-0702-12-07</v>
          </cell>
          <cell r="AG252" t="str">
            <v>GBT</v>
          </cell>
          <cell r="AH252" t="str">
            <v>x</v>
          </cell>
          <cell r="AI252" t="str">
            <v>x</v>
          </cell>
          <cell r="AJ252" t="str">
            <v/>
          </cell>
          <cell r="AL252" t="str">
            <v/>
          </cell>
          <cell r="AM252">
            <v>0.6</v>
          </cell>
          <cell r="AN252">
            <v>3.8999999999999999E-4</v>
          </cell>
          <cell r="AQ252">
            <v>3.7800000000000003E-4</v>
          </cell>
          <cell r="AR252">
            <v>3.8999999999999999E-4</v>
          </cell>
          <cell r="AS252">
            <v>45</v>
          </cell>
          <cell r="AT252">
            <v>60</v>
          </cell>
          <cell r="AU252">
            <v>0</v>
          </cell>
          <cell r="AV252">
            <v>0</v>
          </cell>
          <cell r="AW252">
            <v>0</v>
          </cell>
          <cell r="AX252">
            <v>60</v>
          </cell>
        </row>
        <row r="253">
          <cell r="C253" t="str">
            <v>dwg</v>
          </cell>
          <cell r="H253" t="str">
            <v>10-XX-A3-CI-0006</v>
          </cell>
          <cell r="I253" t="str">
            <v>Catch Basin Cover &amp; Opening Detail</v>
          </cell>
          <cell r="M253">
            <v>2.1000000000000001E-2</v>
          </cell>
          <cell r="P253">
            <v>6.3000000000000003E-4</v>
          </cell>
          <cell r="R253">
            <v>6.4999999999999997E-4</v>
          </cell>
          <cell r="V253" t="str">
            <v>ارسال شده</v>
          </cell>
          <cell r="W253" t="str">
            <v>01</v>
          </cell>
          <cell r="X253" t="str">
            <v>14363</v>
          </cell>
          <cell r="Y253" t="str">
            <v>29-05-0722-11-07</v>
          </cell>
          <cell r="Z253" t="str">
            <v>F-0007F-0420</v>
          </cell>
          <cell r="AA253" t="str">
            <v>14-06-0702-12-07</v>
          </cell>
          <cell r="AG253" t="str">
            <v>GBT</v>
          </cell>
          <cell r="AH253" t="str">
            <v>x</v>
          </cell>
          <cell r="AI253" t="str">
            <v>x</v>
          </cell>
          <cell r="AJ253" t="str">
            <v/>
          </cell>
          <cell r="AL253" t="str">
            <v/>
          </cell>
          <cell r="AM253">
            <v>0.6</v>
          </cell>
          <cell r="AN253">
            <v>3.8999999999999999E-4</v>
          </cell>
          <cell r="AQ253">
            <v>3.7800000000000003E-4</v>
          </cell>
          <cell r="AR253">
            <v>3.8999999999999999E-4</v>
          </cell>
          <cell r="AS253">
            <v>45</v>
          </cell>
          <cell r="AT253">
            <v>60</v>
          </cell>
          <cell r="AU253">
            <v>0</v>
          </cell>
          <cell r="AV253">
            <v>0</v>
          </cell>
          <cell r="AW253">
            <v>0</v>
          </cell>
          <cell r="AX253">
            <v>60</v>
          </cell>
        </row>
        <row r="254">
          <cell r="C254" t="str">
            <v>dwg</v>
          </cell>
          <cell r="H254" t="str">
            <v>10-XX-A3-CI-0007</v>
          </cell>
          <cell r="I254" t="str">
            <v>CSS &amp; NCSS Typical Basin</v>
          </cell>
          <cell r="M254">
            <v>2.1000000000000001E-2</v>
          </cell>
          <cell r="P254">
            <v>6.3000000000000003E-4</v>
          </cell>
          <cell r="R254">
            <v>6.4999999999999997E-4</v>
          </cell>
          <cell r="V254" t="str">
            <v>ارسال شده</v>
          </cell>
          <cell r="W254" t="str">
            <v>01</v>
          </cell>
          <cell r="X254" t="str">
            <v>14364</v>
          </cell>
          <cell r="Y254" t="str">
            <v>29-05-0722-11-07</v>
          </cell>
          <cell r="Z254" t="str">
            <v>F-0007</v>
          </cell>
          <cell r="AA254" t="str">
            <v>14-06-07</v>
          </cell>
          <cell r="AG254" t="str">
            <v>KRPC</v>
          </cell>
          <cell r="AH254" t="str">
            <v>x</v>
          </cell>
          <cell r="AI254" t="str">
            <v>x</v>
          </cell>
          <cell r="AJ254" t="str">
            <v/>
          </cell>
          <cell r="AL254" t="str">
            <v/>
          </cell>
          <cell r="AM254">
            <v>0.6</v>
          </cell>
          <cell r="AN254">
            <v>3.8999999999999999E-4</v>
          </cell>
          <cell r="AQ254">
            <v>3.7800000000000003E-4</v>
          </cell>
          <cell r="AR254">
            <v>3.8999999999999999E-4</v>
          </cell>
          <cell r="AS254">
            <v>45</v>
          </cell>
          <cell r="AT254">
            <v>60</v>
          </cell>
          <cell r="AU254">
            <v>0</v>
          </cell>
          <cell r="AV254">
            <v>0</v>
          </cell>
          <cell r="AW254">
            <v>0</v>
          </cell>
          <cell r="AX254">
            <v>60</v>
          </cell>
        </row>
        <row r="255">
          <cell r="C255" t="str">
            <v>dwg</v>
          </cell>
          <cell r="H255" t="str">
            <v>10-XX-A3-CI-0008</v>
          </cell>
          <cell r="I255" t="str">
            <v>Typical Cross Section of Main Road</v>
          </cell>
          <cell r="M255">
            <v>2.1000000000000001E-2</v>
          </cell>
          <cell r="P255">
            <v>6.3000000000000003E-4</v>
          </cell>
          <cell r="R255">
            <v>6.4999999999999997E-4</v>
          </cell>
          <cell r="V255" t="str">
            <v>ارسال شده</v>
          </cell>
          <cell r="W255">
            <v>0</v>
          </cell>
          <cell r="X255">
            <v>14</v>
          </cell>
          <cell r="Y255" t="str">
            <v>29-05-07</v>
          </cell>
          <cell r="Z255" t="str">
            <v>F-0007</v>
          </cell>
          <cell r="AA255" t="str">
            <v>14-06-07</v>
          </cell>
          <cell r="AG255" t="str">
            <v>GBT</v>
          </cell>
          <cell r="AH255" t="str">
            <v>x</v>
          </cell>
          <cell r="AJ255" t="str">
            <v/>
          </cell>
          <cell r="AL255" t="str">
            <v/>
          </cell>
          <cell r="AM255">
            <v>0.45</v>
          </cell>
          <cell r="AN255">
            <v>2.9250000000000001E-4</v>
          </cell>
          <cell r="AQ255">
            <v>2.8350000000000001E-4</v>
          </cell>
          <cell r="AR255">
            <v>2.9250000000000001E-4</v>
          </cell>
          <cell r="AS255">
            <v>45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45</v>
          </cell>
        </row>
        <row r="256">
          <cell r="C256" t="str">
            <v>dwg</v>
          </cell>
          <cell r="H256" t="str">
            <v>10-XX-A3-CI-0009</v>
          </cell>
          <cell r="I256" t="str">
            <v>Typical Cross Section of  Road</v>
          </cell>
          <cell r="M256">
            <v>2.1000000000000001E-2</v>
          </cell>
          <cell r="P256">
            <v>6.3000000000000003E-4</v>
          </cell>
          <cell r="R256">
            <v>6.4999999999999997E-4</v>
          </cell>
          <cell r="V256" t="str">
            <v>ارسال شده</v>
          </cell>
          <cell r="W256">
            <v>0</v>
          </cell>
          <cell r="X256">
            <v>14</v>
          </cell>
          <cell r="Y256" t="str">
            <v>29-05-07</v>
          </cell>
          <cell r="Z256" t="str">
            <v>F-0007</v>
          </cell>
          <cell r="AA256" t="str">
            <v>14-06-07</v>
          </cell>
          <cell r="AG256" t="str">
            <v>GBT</v>
          </cell>
          <cell r="AH256" t="str">
            <v>x</v>
          </cell>
          <cell r="AJ256" t="str">
            <v/>
          </cell>
          <cell r="AL256" t="str">
            <v/>
          </cell>
          <cell r="AM256">
            <v>0.45</v>
          </cell>
          <cell r="AN256">
            <v>2.9250000000000001E-4</v>
          </cell>
          <cell r="AQ256">
            <v>2.8350000000000001E-4</v>
          </cell>
          <cell r="AR256">
            <v>2.9250000000000001E-4</v>
          </cell>
          <cell r="AS256">
            <v>45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45</v>
          </cell>
        </row>
        <row r="257">
          <cell r="C257" t="str">
            <v>dwg</v>
          </cell>
          <cell r="H257" t="str">
            <v>10-XX-A3-CI-0010</v>
          </cell>
          <cell r="I257" t="str">
            <v>Raod Crossing Conduits for Electrical or Instrument Cables</v>
          </cell>
          <cell r="M257">
            <v>2.1000000000000001E-2</v>
          </cell>
          <cell r="P257">
            <v>6.3000000000000003E-4</v>
          </cell>
          <cell r="R257">
            <v>6.4999999999999997E-4</v>
          </cell>
          <cell r="V257" t="str">
            <v>ارسال شده</v>
          </cell>
          <cell r="W257">
            <v>0</v>
          </cell>
          <cell r="X257">
            <v>14</v>
          </cell>
          <cell r="Y257" t="str">
            <v>29-05-07</v>
          </cell>
          <cell r="Z257" t="str">
            <v>F-0007</v>
          </cell>
          <cell r="AA257" t="str">
            <v>14-06-07</v>
          </cell>
          <cell r="AG257" t="str">
            <v>GBT</v>
          </cell>
          <cell r="AH257" t="str">
            <v>x</v>
          </cell>
          <cell r="AJ257" t="str">
            <v/>
          </cell>
          <cell r="AL257" t="str">
            <v/>
          </cell>
          <cell r="AM257">
            <v>0.45</v>
          </cell>
          <cell r="AN257">
            <v>2.9250000000000001E-4</v>
          </cell>
          <cell r="AQ257">
            <v>2.8350000000000001E-4</v>
          </cell>
          <cell r="AR257">
            <v>2.9250000000000001E-4</v>
          </cell>
          <cell r="AS257">
            <v>45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45</v>
          </cell>
        </row>
        <row r="258">
          <cell r="C258" t="str">
            <v>dwg</v>
          </cell>
          <cell r="H258" t="str">
            <v>10-XX-A3-CI-0011</v>
          </cell>
          <cell r="I258" t="str">
            <v xml:space="preserve">Concrete Paving </v>
          </cell>
          <cell r="M258">
            <v>2.1000000000000001E-2</v>
          </cell>
          <cell r="P258">
            <v>6.3000000000000003E-4</v>
          </cell>
          <cell r="R258">
            <v>6.4999999999999997E-4</v>
          </cell>
          <cell r="V258" t="str">
            <v>ارسال شده</v>
          </cell>
          <cell r="W258" t="str">
            <v>01</v>
          </cell>
          <cell r="X258" t="str">
            <v>14365</v>
          </cell>
          <cell r="Y258" t="str">
            <v>29-05-0722-11-07</v>
          </cell>
          <cell r="Z258" t="str">
            <v>F-0007F-0418</v>
          </cell>
          <cell r="AA258" t="str">
            <v>14-06-0702-12-07</v>
          </cell>
          <cell r="AG258" t="str">
            <v>GBT</v>
          </cell>
          <cell r="AH258" t="str">
            <v>x</v>
          </cell>
          <cell r="AI258" t="str">
            <v>x</v>
          </cell>
          <cell r="AJ258" t="str">
            <v/>
          </cell>
          <cell r="AL258" t="str">
            <v/>
          </cell>
          <cell r="AM258">
            <v>0.6</v>
          </cell>
          <cell r="AN258">
            <v>3.8999999999999999E-4</v>
          </cell>
          <cell r="AQ258">
            <v>3.7800000000000003E-4</v>
          </cell>
          <cell r="AR258">
            <v>3.8999999999999999E-4</v>
          </cell>
          <cell r="AS258">
            <v>45</v>
          </cell>
          <cell r="AT258">
            <v>60</v>
          </cell>
          <cell r="AU258">
            <v>0</v>
          </cell>
          <cell r="AV258">
            <v>0</v>
          </cell>
          <cell r="AW258">
            <v>0</v>
          </cell>
          <cell r="AX258">
            <v>60</v>
          </cell>
        </row>
        <row r="259">
          <cell r="C259" t="str">
            <v>dwg</v>
          </cell>
          <cell r="H259" t="str">
            <v>10-XX-A3-CI-0012</v>
          </cell>
          <cell r="I259" t="str">
            <v>U/G Oily Sewer Clean Out</v>
          </cell>
          <cell r="M259">
            <v>2.1000000000000001E-2</v>
          </cell>
          <cell r="P259">
            <v>6.3000000000000003E-4</v>
          </cell>
          <cell r="R259">
            <v>6.4999999999999997E-4</v>
          </cell>
          <cell r="V259" t="str">
            <v>ارسال شده</v>
          </cell>
          <cell r="W259" t="str">
            <v>01</v>
          </cell>
          <cell r="X259" t="str">
            <v>14366</v>
          </cell>
          <cell r="Y259" t="str">
            <v>29-05-0722-11-07</v>
          </cell>
          <cell r="Z259" t="str">
            <v>F-0007F-0429</v>
          </cell>
          <cell r="AA259" t="str">
            <v>14-06-0702-12-07</v>
          </cell>
          <cell r="AG259" t="str">
            <v>GBT</v>
          </cell>
          <cell r="AH259" t="str">
            <v>x</v>
          </cell>
          <cell r="AI259" t="str">
            <v>x</v>
          </cell>
          <cell r="AJ259" t="str">
            <v/>
          </cell>
          <cell r="AL259" t="str">
            <v/>
          </cell>
          <cell r="AM259">
            <v>0.6</v>
          </cell>
          <cell r="AN259">
            <v>3.8999999999999999E-4</v>
          </cell>
          <cell r="AQ259">
            <v>3.7800000000000003E-4</v>
          </cell>
          <cell r="AR259">
            <v>3.8999999999999999E-4</v>
          </cell>
          <cell r="AS259">
            <v>45</v>
          </cell>
          <cell r="AT259">
            <v>60</v>
          </cell>
          <cell r="AU259">
            <v>0</v>
          </cell>
          <cell r="AV259">
            <v>0</v>
          </cell>
          <cell r="AW259">
            <v>0</v>
          </cell>
          <cell r="AX259">
            <v>60</v>
          </cell>
        </row>
        <row r="260">
          <cell r="C260" t="str">
            <v>dwg</v>
          </cell>
          <cell r="H260" t="str">
            <v>10-XX-A3-CI-0013</v>
          </cell>
          <cell r="I260" t="str">
            <v>Sealed Manhole (Type-1)</v>
          </cell>
          <cell r="M260">
            <v>2.1000000000000001E-2</v>
          </cell>
          <cell r="P260">
            <v>6.3000000000000003E-4</v>
          </cell>
          <cell r="R260">
            <v>6.4999999999999997E-4</v>
          </cell>
          <cell r="V260" t="str">
            <v>ارسال شده</v>
          </cell>
          <cell r="W260" t="str">
            <v>01</v>
          </cell>
          <cell r="X260" t="str">
            <v>14367</v>
          </cell>
          <cell r="Y260" t="str">
            <v>29-05-0722-11-07</v>
          </cell>
          <cell r="Z260" t="str">
            <v>F-0007F-0421</v>
          </cell>
          <cell r="AA260" t="str">
            <v>14-06-0702-12-07</v>
          </cell>
          <cell r="AG260" t="str">
            <v>GBT</v>
          </cell>
          <cell r="AH260" t="str">
            <v>x</v>
          </cell>
          <cell r="AI260" t="str">
            <v>x</v>
          </cell>
          <cell r="AJ260" t="str">
            <v/>
          </cell>
          <cell r="AL260" t="str">
            <v/>
          </cell>
          <cell r="AM260">
            <v>0.6</v>
          </cell>
          <cell r="AN260">
            <v>3.8999999999999999E-4</v>
          </cell>
          <cell r="AQ260">
            <v>3.7800000000000003E-4</v>
          </cell>
          <cell r="AR260">
            <v>3.8999999999999999E-4</v>
          </cell>
          <cell r="AS260">
            <v>45</v>
          </cell>
          <cell r="AT260">
            <v>60</v>
          </cell>
          <cell r="AU260">
            <v>0</v>
          </cell>
          <cell r="AV260">
            <v>0</v>
          </cell>
          <cell r="AW260">
            <v>0</v>
          </cell>
          <cell r="AX260">
            <v>60</v>
          </cell>
        </row>
        <row r="261">
          <cell r="C261" t="str">
            <v>dwg</v>
          </cell>
          <cell r="H261" t="str">
            <v>10-XX-A3-CI-0014</v>
          </cell>
          <cell r="I261" t="str">
            <v>Typical Funnel</v>
          </cell>
          <cell r="M261">
            <v>2.1000000000000001E-2</v>
          </cell>
          <cell r="P261">
            <v>6.3000000000000003E-4</v>
          </cell>
          <cell r="R261">
            <v>6.4999999999999997E-4</v>
          </cell>
          <cell r="V261" t="str">
            <v>ارسال شده</v>
          </cell>
          <cell r="W261" t="str">
            <v>01</v>
          </cell>
          <cell r="X261" t="str">
            <v>14368</v>
          </cell>
          <cell r="Y261" t="str">
            <v>29-05-0722-11-07</v>
          </cell>
          <cell r="Z261" t="str">
            <v>F-0007F-0427</v>
          </cell>
          <cell r="AA261" t="str">
            <v>14-06-0702-12-07</v>
          </cell>
          <cell r="AG261" t="str">
            <v>GBT</v>
          </cell>
          <cell r="AH261" t="str">
            <v>x</v>
          </cell>
          <cell r="AI261" t="str">
            <v>x</v>
          </cell>
          <cell r="AJ261" t="str">
            <v/>
          </cell>
          <cell r="AL261" t="str">
            <v/>
          </cell>
          <cell r="AM261">
            <v>0.6</v>
          </cell>
          <cell r="AN261">
            <v>3.8999999999999999E-4</v>
          </cell>
          <cell r="AQ261">
            <v>3.7800000000000003E-4</v>
          </cell>
          <cell r="AR261">
            <v>3.8999999999999999E-4</v>
          </cell>
          <cell r="AS261">
            <v>45</v>
          </cell>
          <cell r="AT261">
            <v>60</v>
          </cell>
          <cell r="AU261">
            <v>0</v>
          </cell>
          <cell r="AV261">
            <v>0</v>
          </cell>
          <cell r="AW261">
            <v>0</v>
          </cell>
          <cell r="AX261">
            <v>60</v>
          </cell>
        </row>
        <row r="262">
          <cell r="C262" t="str">
            <v>dwg</v>
          </cell>
          <cell r="H262" t="str">
            <v>10-XX-A3-CI-0015</v>
          </cell>
          <cell r="I262" t="str">
            <v>Concrete Cable Trench for Electrical</v>
          </cell>
          <cell r="M262">
            <v>2.1000000000000001E-2</v>
          </cell>
          <cell r="P262">
            <v>6.3000000000000003E-4</v>
          </cell>
          <cell r="R262">
            <v>6.4999999999999997E-4</v>
          </cell>
          <cell r="V262" t="str">
            <v>ارسال شده</v>
          </cell>
          <cell r="W262" t="str">
            <v>01</v>
          </cell>
          <cell r="X262" t="str">
            <v>14369</v>
          </cell>
          <cell r="Y262" t="str">
            <v>29-05-0722-11-07</v>
          </cell>
          <cell r="Z262" t="str">
            <v>F-0007</v>
          </cell>
          <cell r="AA262" t="str">
            <v>14-06-07</v>
          </cell>
          <cell r="AG262" t="str">
            <v>KRPC</v>
          </cell>
          <cell r="AH262" t="str">
            <v>x</v>
          </cell>
          <cell r="AI262" t="str">
            <v>x</v>
          </cell>
          <cell r="AJ262" t="str">
            <v/>
          </cell>
          <cell r="AL262" t="str">
            <v/>
          </cell>
          <cell r="AM262">
            <v>0.6</v>
          </cell>
          <cell r="AN262">
            <v>3.8999999999999999E-4</v>
          </cell>
          <cell r="AQ262">
            <v>3.7800000000000003E-4</v>
          </cell>
          <cell r="AR262">
            <v>3.8999999999999999E-4</v>
          </cell>
          <cell r="AS262">
            <v>45</v>
          </cell>
          <cell r="AT262">
            <v>60</v>
          </cell>
          <cell r="AU262">
            <v>0</v>
          </cell>
          <cell r="AV262">
            <v>0</v>
          </cell>
          <cell r="AW262">
            <v>0</v>
          </cell>
          <cell r="AX262">
            <v>60</v>
          </cell>
        </row>
        <row r="263">
          <cell r="C263" t="str">
            <v>dwg</v>
          </cell>
          <cell r="H263" t="str">
            <v>10-XX-A3-CI-0016</v>
          </cell>
          <cell r="I263" t="str">
            <v>Concrete Cover for Electrical &amp; Instrument Trench</v>
          </cell>
          <cell r="M263">
            <v>2.1000000000000001E-2</v>
          </cell>
          <cell r="P263">
            <v>6.3000000000000003E-4</v>
          </cell>
          <cell r="R263">
            <v>6.4999999999999997E-4</v>
          </cell>
          <cell r="V263" t="str">
            <v>ارسال شده</v>
          </cell>
          <cell r="W263" t="str">
            <v>01</v>
          </cell>
          <cell r="X263" t="str">
            <v>14370</v>
          </cell>
          <cell r="Y263" t="str">
            <v>29-05-0722-11-07</v>
          </cell>
          <cell r="Z263" t="str">
            <v>F-0007</v>
          </cell>
          <cell r="AA263" t="str">
            <v>14-06-07</v>
          </cell>
          <cell r="AG263" t="str">
            <v>KRPC</v>
          </cell>
          <cell r="AH263" t="str">
            <v>x</v>
          </cell>
          <cell r="AI263" t="str">
            <v>x</v>
          </cell>
          <cell r="AJ263" t="str">
            <v/>
          </cell>
          <cell r="AL263" t="str">
            <v/>
          </cell>
          <cell r="AM263">
            <v>0.6</v>
          </cell>
          <cell r="AN263">
            <v>3.8999999999999999E-4</v>
          </cell>
          <cell r="AQ263">
            <v>3.7800000000000003E-4</v>
          </cell>
          <cell r="AR263">
            <v>3.8999999999999999E-4</v>
          </cell>
          <cell r="AS263">
            <v>45</v>
          </cell>
          <cell r="AT263">
            <v>60</v>
          </cell>
          <cell r="AU263">
            <v>0</v>
          </cell>
          <cell r="AV263">
            <v>0</v>
          </cell>
          <cell r="AW263">
            <v>0</v>
          </cell>
          <cell r="AX263">
            <v>60</v>
          </cell>
        </row>
        <row r="264">
          <cell r="C264" t="str">
            <v>dwg</v>
          </cell>
          <cell r="H264" t="str">
            <v>10-XX-A3-CI-0017</v>
          </cell>
          <cell r="I264" t="str">
            <v>U/G Pipe Bedding Details</v>
          </cell>
          <cell r="M264">
            <v>2.1000000000000001E-2</v>
          </cell>
          <cell r="P264">
            <v>6.3000000000000003E-4</v>
          </cell>
          <cell r="R264">
            <v>6.4999999999999997E-4</v>
          </cell>
          <cell r="V264" t="str">
            <v>ارسال شده</v>
          </cell>
          <cell r="W264" t="str">
            <v>01</v>
          </cell>
          <cell r="X264" t="str">
            <v>14371</v>
          </cell>
          <cell r="Y264" t="str">
            <v>29-05-0722-11-07</v>
          </cell>
          <cell r="Z264" t="str">
            <v>F-0007</v>
          </cell>
          <cell r="AA264" t="str">
            <v>14-06-07</v>
          </cell>
          <cell r="AG264" t="str">
            <v>KRPC</v>
          </cell>
          <cell r="AH264" t="str">
            <v>x</v>
          </cell>
          <cell r="AI264" t="str">
            <v>x</v>
          </cell>
          <cell r="AJ264" t="str">
            <v/>
          </cell>
          <cell r="AL264" t="str">
            <v/>
          </cell>
          <cell r="AM264">
            <v>0.6</v>
          </cell>
          <cell r="AN264">
            <v>3.8999999999999999E-4</v>
          </cell>
          <cell r="AQ264">
            <v>3.7800000000000003E-4</v>
          </cell>
          <cell r="AR264">
            <v>3.8999999999999999E-4</v>
          </cell>
          <cell r="AS264">
            <v>45</v>
          </cell>
          <cell r="AT264">
            <v>60</v>
          </cell>
          <cell r="AU264">
            <v>0</v>
          </cell>
          <cell r="AV264">
            <v>0</v>
          </cell>
          <cell r="AW264">
            <v>0</v>
          </cell>
          <cell r="AX264">
            <v>60</v>
          </cell>
        </row>
        <row r="265">
          <cell r="C265" t="str">
            <v>dwg</v>
          </cell>
          <cell r="H265" t="str">
            <v>10-XX-A3-CI-0018</v>
          </cell>
          <cell r="I265" t="str">
            <v>Sealed Manhole (Type-2)</v>
          </cell>
          <cell r="M265">
            <v>2.1000000000000001E-2</v>
          </cell>
          <cell r="P265">
            <v>6.3000000000000003E-4</v>
          </cell>
          <cell r="R265">
            <v>6.4999999999999997E-4</v>
          </cell>
          <cell r="V265" t="str">
            <v>ارسال شده</v>
          </cell>
          <cell r="W265" t="str">
            <v>012</v>
          </cell>
          <cell r="X265" t="str">
            <v>14174372</v>
          </cell>
          <cell r="Y265" t="str">
            <v>29-05-0720-10-0722-11-07</v>
          </cell>
          <cell r="Z265" t="str">
            <v>F-0007F-0421</v>
          </cell>
          <cell r="AA265" t="str">
            <v>14-06-0702-12-07</v>
          </cell>
          <cell r="AG265" t="str">
            <v>GBT</v>
          </cell>
          <cell r="AH265" t="str">
            <v>x</v>
          </cell>
          <cell r="AI265" t="str">
            <v>x</v>
          </cell>
          <cell r="AJ265" t="str">
            <v>x</v>
          </cell>
          <cell r="AL265" t="str">
            <v/>
          </cell>
          <cell r="AM265">
            <v>0.75</v>
          </cell>
          <cell r="AN265">
            <v>4.8749999999999998E-4</v>
          </cell>
          <cell r="AO265" t="str">
            <v>x</v>
          </cell>
          <cell r="AQ265">
            <v>4.7250000000000005E-4</v>
          </cell>
          <cell r="AR265">
            <v>4.8749999999999998E-4</v>
          </cell>
          <cell r="AS265">
            <v>45</v>
          </cell>
          <cell r="AT265">
            <v>60</v>
          </cell>
          <cell r="AU265">
            <v>75</v>
          </cell>
          <cell r="AV265">
            <v>0</v>
          </cell>
          <cell r="AW265">
            <v>0</v>
          </cell>
          <cell r="AX265">
            <v>75</v>
          </cell>
        </row>
        <row r="266">
          <cell r="C266" t="str">
            <v>dwg</v>
          </cell>
          <cell r="H266" t="str">
            <v>10-XX-A3-CI-0019</v>
          </cell>
          <cell r="I266" t="str">
            <v>Vents for CSS &amp; NCSS Manhole &amp; Vent</v>
          </cell>
          <cell r="M266">
            <v>2.1000000000000001E-2</v>
          </cell>
          <cell r="P266">
            <v>6.3000000000000003E-4</v>
          </cell>
          <cell r="R266">
            <v>6.4999999999999997E-4</v>
          </cell>
          <cell r="V266" t="str">
            <v>ارسال شده</v>
          </cell>
          <cell r="W266" t="str">
            <v>01</v>
          </cell>
          <cell r="X266" t="str">
            <v>14373</v>
          </cell>
          <cell r="Y266" t="str">
            <v>29-05-0722-11-07</v>
          </cell>
          <cell r="Z266" t="str">
            <v>F-0007F-0428</v>
          </cell>
          <cell r="AA266" t="str">
            <v>14-06-0702-12-07</v>
          </cell>
          <cell r="AG266" t="str">
            <v>GBT</v>
          </cell>
          <cell r="AH266" t="str">
            <v>x</v>
          </cell>
          <cell r="AI266" t="str">
            <v>x</v>
          </cell>
          <cell r="AJ266" t="str">
            <v/>
          </cell>
          <cell r="AL266" t="str">
            <v/>
          </cell>
          <cell r="AM266">
            <v>0.6</v>
          </cell>
          <cell r="AN266">
            <v>3.8999999999999999E-4</v>
          </cell>
          <cell r="AO266" t="str">
            <v>x</v>
          </cell>
          <cell r="AQ266">
            <v>3.7800000000000003E-4</v>
          </cell>
          <cell r="AR266">
            <v>3.8999999999999999E-4</v>
          </cell>
          <cell r="AS266">
            <v>45</v>
          </cell>
          <cell r="AT266">
            <v>60</v>
          </cell>
          <cell r="AU266">
            <v>0</v>
          </cell>
          <cell r="AV266">
            <v>0</v>
          </cell>
          <cell r="AW266">
            <v>0</v>
          </cell>
          <cell r="AX266">
            <v>60</v>
          </cell>
        </row>
        <row r="267">
          <cell r="C267" t="str">
            <v>dwg</v>
          </cell>
          <cell r="H267" t="str">
            <v>10-XX-A3-CI-0020</v>
          </cell>
          <cell r="I267" t="str">
            <v>Typical Pit Details</v>
          </cell>
          <cell r="M267">
            <v>2.1000000000000001E-2</v>
          </cell>
          <cell r="P267">
            <v>6.3000000000000003E-4</v>
          </cell>
          <cell r="R267">
            <v>6.4999999999999997E-4</v>
          </cell>
          <cell r="V267" t="str">
            <v>ارسال شده</v>
          </cell>
          <cell r="W267" t="str">
            <v>01</v>
          </cell>
          <cell r="X267" t="str">
            <v>14374</v>
          </cell>
          <cell r="Y267" t="str">
            <v>29-05-0722-11-07</v>
          </cell>
          <cell r="Z267" t="str">
            <v>F-0007F-0421</v>
          </cell>
          <cell r="AA267" t="str">
            <v>14-06-0702-12-07</v>
          </cell>
          <cell r="AG267" t="str">
            <v>GBT</v>
          </cell>
          <cell r="AH267" t="str">
            <v>x</v>
          </cell>
          <cell r="AI267" t="str">
            <v>x</v>
          </cell>
          <cell r="AJ267" t="str">
            <v/>
          </cell>
          <cell r="AL267" t="str">
            <v/>
          </cell>
          <cell r="AM267">
            <v>0.6</v>
          </cell>
          <cell r="AN267">
            <v>3.8999999999999999E-4</v>
          </cell>
          <cell r="AO267" t="str">
            <v>x</v>
          </cell>
          <cell r="AQ267">
            <v>3.7800000000000003E-4</v>
          </cell>
          <cell r="AR267">
            <v>3.8999999999999999E-4</v>
          </cell>
          <cell r="AS267">
            <v>45</v>
          </cell>
          <cell r="AT267">
            <v>60</v>
          </cell>
          <cell r="AU267">
            <v>0</v>
          </cell>
          <cell r="AV267">
            <v>0</v>
          </cell>
          <cell r="AW267">
            <v>0</v>
          </cell>
          <cell r="AX267">
            <v>60</v>
          </cell>
        </row>
        <row r="268">
          <cell r="C268" t="str">
            <v>dwg</v>
          </cell>
          <cell r="H268" t="str">
            <v>10-XX-A0-CI-0022</v>
          </cell>
          <cell r="I268" t="str">
            <v xml:space="preserve"> Central Control &amp; N2 and Air MCC and Control Building and Substation</v>
          </cell>
          <cell r="M268">
            <v>2.1000000000000001E-2</v>
          </cell>
          <cell r="P268">
            <v>6.3000000000000003E-4</v>
          </cell>
          <cell r="R268">
            <v>6.4999999999999997E-4</v>
          </cell>
          <cell r="S268" t="str">
            <v>Edite</v>
          </cell>
          <cell r="V268" t="str">
            <v>ارسال شده</v>
          </cell>
          <cell r="W268" t="str">
            <v>01</v>
          </cell>
          <cell r="X268" t="str">
            <v>15376</v>
          </cell>
          <cell r="Y268" t="str">
            <v>29-05-0722-11-07</v>
          </cell>
          <cell r="Z268" t="str">
            <v>F-0009F-0445</v>
          </cell>
          <cell r="AA268" t="str">
            <v>14-06-0703-12-07</v>
          </cell>
          <cell r="AG268" t="str">
            <v>GBT</v>
          </cell>
          <cell r="AH268" t="str">
            <v>x</v>
          </cell>
          <cell r="AI268" t="str">
            <v>x</v>
          </cell>
          <cell r="AJ268" t="str">
            <v/>
          </cell>
          <cell r="AL268" t="str">
            <v/>
          </cell>
          <cell r="AM268">
            <v>0.6</v>
          </cell>
          <cell r="AN268">
            <v>3.8999999999999999E-4</v>
          </cell>
          <cell r="AO268" t="str">
            <v>x</v>
          </cell>
          <cell r="AQ268">
            <v>3.7800000000000003E-4</v>
          </cell>
          <cell r="AR268">
            <v>3.8999999999999999E-4</v>
          </cell>
          <cell r="AS268">
            <v>45</v>
          </cell>
          <cell r="AT268">
            <v>60</v>
          </cell>
          <cell r="AU268">
            <v>0</v>
          </cell>
          <cell r="AV268">
            <v>0</v>
          </cell>
          <cell r="AW268">
            <v>0</v>
          </cell>
          <cell r="AX268">
            <v>60</v>
          </cell>
        </row>
        <row r="269">
          <cell r="C269" t="str">
            <v>dwg</v>
          </cell>
          <cell r="H269" t="str">
            <v>10-00-A1-CI-0003</v>
          </cell>
          <cell r="I269" t="str">
            <v>LV/MV Commen Swichgar 2</v>
          </cell>
          <cell r="M269">
            <v>2.1000000000000001E-2</v>
          </cell>
          <cell r="P269">
            <v>6.3000000000000003E-4</v>
          </cell>
          <cell r="R269">
            <v>7.5000000000000002E-4</v>
          </cell>
          <cell r="S269" t="str">
            <v>Edite</v>
          </cell>
          <cell r="V269" t="str">
            <v>ارسال شده</v>
          </cell>
          <cell r="W269" t="str">
            <v>01</v>
          </cell>
          <cell r="X269" t="str">
            <v>15375</v>
          </cell>
          <cell r="Y269" t="str">
            <v>29-05-0722-11-07</v>
          </cell>
          <cell r="Z269" t="str">
            <v>F-0009F-0422</v>
          </cell>
          <cell r="AA269" t="str">
            <v>14-06-0702-12-07</v>
          </cell>
          <cell r="AG269" t="str">
            <v>GBT</v>
          </cell>
          <cell r="AH269" t="str">
            <v>x</v>
          </cell>
          <cell r="AI269" t="str">
            <v>x</v>
          </cell>
          <cell r="AJ269" t="str">
            <v/>
          </cell>
          <cell r="AL269" t="str">
            <v/>
          </cell>
          <cell r="AM269">
            <v>0.6</v>
          </cell>
          <cell r="AN269">
            <v>4.4999999999999999E-4</v>
          </cell>
          <cell r="AO269" t="str">
            <v>x</v>
          </cell>
          <cell r="AQ269">
            <v>3.7800000000000003E-4</v>
          </cell>
          <cell r="AR269">
            <v>4.4999999999999999E-4</v>
          </cell>
          <cell r="AS269">
            <v>45</v>
          </cell>
          <cell r="AT269">
            <v>60</v>
          </cell>
          <cell r="AU269">
            <v>0</v>
          </cell>
          <cell r="AV269">
            <v>0</v>
          </cell>
          <cell r="AW269">
            <v>0</v>
          </cell>
          <cell r="AX269">
            <v>60</v>
          </cell>
        </row>
        <row r="270">
          <cell r="C270" t="str">
            <v>dwg</v>
          </cell>
          <cell r="H270" t="str">
            <v>10-80-A1-CI-0004</v>
          </cell>
          <cell r="I270" t="str">
            <v xml:space="preserve"> Fire Fighting Pump House</v>
          </cell>
          <cell r="M270">
            <v>2.1000000000000001E-2</v>
          </cell>
          <cell r="P270">
            <v>6.3000000000000003E-4</v>
          </cell>
          <cell r="R270">
            <v>7.5000000000000002E-4</v>
          </cell>
          <cell r="V270" t="str">
            <v>ارسال شده</v>
          </cell>
          <cell r="W270" t="str">
            <v>01</v>
          </cell>
          <cell r="X270" t="str">
            <v>15425</v>
          </cell>
          <cell r="Y270" t="str">
            <v>29-05-0709-12-07</v>
          </cell>
          <cell r="Z270" t="str">
            <v>F-0009F-0553</v>
          </cell>
          <cell r="AA270" t="str">
            <v>14-06-0726-12-07</v>
          </cell>
          <cell r="AG270" t="str">
            <v>GBT</v>
          </cell>
          <cell r="AH270" t="str">
            <v>x</v>
          </cell>
          <cell r="AI270" t="str">
            <v>x</v>
          </cell>
          <cell r="AJ270" t="str">
            <v/>
          </cell>
          <cell r="AL270" t="str">
            <v/>
          </cell>
          <cell r="AM270">
            <v>0.6</v>
          </cell>
          <cell r="AN270">
            <v>4.4999999999999999E-4</v>
          </cell>
          <cell r="AQ270">
            <v>3.7800000000000003E-4</v>
          </cell>
          <cell r="AR270">
            <v>4.4999999999999999E-4</v>
          </cell>
          <cell r="AS270">
            <v>45</v>
          </cell>
          <cell r="AT270">
            <v>60</v>
          </cell>
          <cell r="AU270">
            <v>0</v>
          </cell>
          <cell r="AV270">
            <v>0</v>
          </cell>
          <cell r="AW270">
            <v>0</v>
          </cell>
          <cell r="AX270">
            <v>60</v>
          </cell>
        </row>
        <row r="271">
          <cell r="C271" t="str">
            <v>dwg</v>
          </cell>
          <cell r="H271" t="str">
            <v>10-80-A1-BL-0002</v>
          </cell>
          <cell r="I271" t="str">
            <v xml:space="preserve"> Fire Station</v>
          </cell>
          <cell r="M271">
            <v>2.1000000000000001E-2</v>
          </cell>
          <cell r="P271">
            <v>6.3000000000000003E-4</v>
          </cell>
          <cell r="R271">
            <v>7.5000000000000002E-4</v>
          </cell>
          <cell r="S271" t="str">
            <v>Edite</v>
          </cell>
          <cell r="V271" t="str">
            <v>ارسال شده</v>
          </cell>
          <cell r="W271" t="str">
            <v>012</v>
          </cell>
          <cell r="X271" t="str">
            <v>15113388</v>
          </cell>
          <cell r="Y271" t="str">
            <v>29-05-0715-09-0728-11-07</v>
          </cell>
          <cell r="Z271" t="str">
            <v>F-0009F-0205F-0444</v>
          </cell>
          <cell r="AA271" t="str">
            <v>14-06-0723-09-0703-12-07</v>
          </cell>
          <cell r="AG271" t="str">
            <v>GBT</v>
          </cell>
          <cell r="AH271" t="str">
            <v>x</v>
          </cell>
          <cell r="AI271" t="str">
            <v>x</v>
          </cell>
          <cell r="AJ271" t="str">
            <v>x</v>
          </cell>
          <cell r="AL271" t="str">
            <v/>
          </cell>
          <cell r="AM271">
            <v>0.75</v>
          </cell>
          <cell r="AN271">
            <v>5.6250000000000007E-4</v>
          </cell>
          <cell r="AO271" t="str">
            <v>x</v>
          </cell>
          <cell r="AQ271">
            <v>4.7250000000000005E-4</v>
          </cell>
          <cell r="AR271">
            <v>5.6250000000000007E-4</v>
          </cell>
          <cell r="AS271">
            <v>45</v>
          </cell>
          <cell r="AT271">
            <v>60</v>
          </cell>
          <cell r="AU271">
            <v>75</v>
          </cell>
          <cell r="AV271">
            <v>0</v>
          </cell>
          <cell r="AW271">
            <v>0</v>
          </cell>
          <cell r="AX271">
            <v>75</v>
          </cell>
        </row>
        <row r="272">
          <cell r="C272" t="str">
            <v>dwg</v>
          </cell>
          <cell r="H272" t="str">
            <v>10-XX-A1-CI-0009</v>
          </cell>
          <cell r="I272" t="str">
            <v xml:space="preserve"> Fired Boiler Room</v>
          </cell>
          <cell r="M272">
            <v>2.1000000000000001E-2</v>
          </cell>
          <cell r="P272">
            <v>6.3000000000000003E-4</v>
          </cell>
          <cell r="R272">
            <v>7.5000000000000002E-4</v>
          </cell>
          <cell r="V272" t="str">
            <v>ارسال شده</v>
          </cell>
          <cell r="W272">
            <v>0</v>
          </cell>
          <cell r="X272">
            <v>378</v>
          </cell>
          <cell r="Y272" t="str">
            <v>26-11-07</v>
          </cell>
          <cell r="Z272" t="str">
            <v>F-0453</v>
          </cell>
          <cell r="AA272" t="str">
            <v>05-12-07</v>
          </cell>
          <cell r="AG272" t="str">
            <v>GBT</v>
          </cell>
          <cell r="AH272" t="str">
            <v>x</v>
          </cell>
          <cell r="AJ272" t="str">
            <v/>
          </cell>
          <cell r="AL272" t="str">
            <v/>
          </cell>
          <cell r="AM272">
            <v>0.45</v>
          </cell>
          <cell r="AN272">
            <v>3.3750000000000002E-4</v>
          </cell>
          <cell r="AO272" t="str">
            <v>x</v>
          </cell>
          <cell r="AQ272">
            <v>2.8350000000000001E-4</v>
          </cell>
          <cell r="AR272">
            <v>3.3750000000000002E-4</v>
          </cell>
          <cell r="AS272">
            <v>45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45</v>
          </cell>
        </row>
        <row r="273">
          <cell r="C273" t="str">
            <v>dwg</v>
          </cell>
          <cell r="H273" t="str">
            <v>10-XX-ESS-ST-0009</v>
          </cell>
          <cell r="I273" t="str">
            <v>Specification for Anchor Bolt</v>
          </cell>
          <cell r="M273">
            <v>2.1000000000000001E-2</v>
          </cell>
          <cell r="P273">
            <v>6.3000000000000003E-4</v>
          </cell>
          <cell r="R273">
            <v>4.4999999999999999E-4</v>
          </cell>
          <cell r="S273" t="str">
            <v>Edite</v>
          </cell>
          <cell r="T273">
            <v>39403</v>
          </cell>
          <cell r="U273" t="str">
            <v>*</v>
          </cell>
          <cell r="V273" t="str">
            <v>2007-11</v>
          </cell>
          <cell r="AH273" t="str">
            <v/>
          </cell>
          <cell r="AJ273" t="str">
            <v/>
          </cell>
          <cell r="AL273" t="str">
            <v/>
          </cell>
          <cell r="AM273">
            <v>0</v>
          </cell>
          <cell r="AN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</row>
        <row r="274">
          <cell r="H274" t="str">
            <v>10-70-A0-CI-0012</v>
          </cell>
          <cell r="I274" t="str">
            <v>Post Treatment Building</v>
          </cell>
          <cell r="R274">
            <v>7.5000000000000002E-4</v>
          </cell>
          <cell r="S274" t="str">
            <v>Add</v>
          </cell>
          <cell r="V274" t="str">
            <v>ارسال شده</v>
          </cell>
          <cell r="W274">
            <v>0</v>
          </cell>
          <cell r="X274">
            <v>358</v>
          </cell>
          <cell r="Y274" t="str">
            <v>22-11-07</v>
          </cell>
          <cell r="Z274" t="str">
            <v>F-0378</v>
          </cell>
          <cell r="AA274" t="str">
            <v>22-11-07</v>
          </cell>
          <cell r="AG274" t="str">
            <v>GBT</v>
          </cell>
          <cell r="AH274" t="str">
            <v>x</v>
          </cell>
          <cell r="AM274">
            <v>0.45</v>
          </cell>
          <cell r="AN274">
            <v>3.3750000000000002E-4</v>
          </cell>
          <cell r="AQ274">
            <v>0</v>
          </cell>
          <cell r="AR274">
            <v>3.3750000000000002E-4</v>
          </cell>
          <cell r="AS274">
            <v>45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45</v>
          </cell>
        </row>
        <row r="275">
          <cell r="H275" t="str">
            <v>10-70-A0-CI-0002</v>
          </cell>
          <cell r="I275" t="str">
            <v>Pre Treatment Building</v>
          </cell>
          <cell r="Q275" t="str">
            <v>I</v>
          </cell>
          <cell r="R275">
            <v>7.5000000000000002E-4</v>
          </cell>
          <cell r="S275" t="str">
            <v>Add</v>
          </cell>
          <cell r="V275" t="str">
            <v>ارسال شده</v>
          </cell>
          <cell r="W275">
            <v>0</v>
          </cell>
          <cell r="X275">
            <v>426</v>
          </cell>
          <cell r="Y275" t="str">
            <v>09-12-07</v>
          </cell>
          <cell r="Z275" t="str">
            <v>F-0553</v>
          </cell>
          <cell r="AA275" t="str">
            <v>26-12-07</v>
          </cell>
          <cell r="AG275" t="str">
            <v>GBT</v>
          </cell>
          <cell r="AH275" t="str">
            <v>x</v>
          </cell>
          <cell r="AM275">
            <v>0.45</v>
          </cell>
          <cell r="AN275">
            <v>3.3750000000000002E-4</v>
          </cell>
          <cell r="AQ275">
            <v>0</v>
          </cell>
          <cell r="AR275">
            <v>3.3750000000000002E-4</v>
          </cell>
          <cell r="AS275">
            <v>45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45</v>
          </cell>
        </row>
        <row r="276">
          <cell r="C276" t="str">
            <v>dwg</v>
          </cell>
          <cell r="H276" t="str">
            <v>10-20-A1-CI-0011</v>
          </cell>
          <cell r="I276" t="str">
            <v>Hydrogen MCC/Control Building</v>
          </cell>
          <cell r="M276">
            <v>2.35E-2</v>
          </cell>
          <cell r="P276">
            <v>7.0500000000000001E-4</v>
          </cell>
          <cell r="Q276" t="str">
            <v>I</v>
          </cell>
          <cell r="R276">
            <v>5.5000000000000003E-4</v>
          </cell>
          <cell r="T276">
            <v>39399</v>
          </cell>
          <cell r="U276" t="str">
            <v>*</v>
          </cell>
          <cell r="V276" t="str">
            <v>2007-11</v>
          </cell>
          <cell r="AH276" t="str">
            <v/>
          </cell>
          <cell r="AJ276" t="str">
            <v/>
          </cell>
          <cell r="AL276" t="str">
            <v/>
          </cell>
          <cell r="AM276">
            <v>0</v>
          </cell>
          <cell r="AN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</row>
        <row r="277">
          <cell r="C277" t="str">
            <v>dwg</v>
          </cell>
          <cell r="H277" t="str">
            <v>10-XX-A1-CI-0012</v>
          </cell>
          <cell r="I277" t="str">
            <v>Gas Oil Pump House</v>
          </cell>
          <cell r="M277">
            <v>2.4500000000000001E-2</v>
          </cell>
          <cell r="P277">
            <v>7.3499999999999998E-4</v>
          </cell>
          <cell r="R277">
            <v>7.5000000000000002E-4</v>
          </cell>
          <cell r="V277" t="str">
            <v>ارسال شده</v>
          </cell>
          <cell r="W277">
            <v>0</v>
          </cell>
          <cell r="X277">
            <v>379</v>
          </cell>
          <cell r="Y277" t="str">
            <v>26-11-07</v>
          </cell>
          <cell r="Z277" t="str">
            <v>F-0448</v>
          </cell>
          <cell r="AA277" t="str">
            <v>04-12-07</v>
          </cell>
          <cell r="AG277" t="str">
            <v>GBT</v>
          </cell>
          <cell r="AH277" t="str">
            <v>x</v>
          </cell>
          <cell r="AJ277" t="str">
            <v/>
          </cell>
          <cell r="AL277" t="str">
            <v/>
          </cell>
          <cell r="AM277">
            <v>0.45</v>
          </cell>
          <cell r="AN277">
            <v>3.3750000000000002E-4</v>
          </cell>
          <cell r="AO277" t="str">
            <v>x</v>
          </cell>
          <cell r="AQ277">
            <v>3.3074999999999999E-4</v>
          </cell>
          <cell r="AR277">
            <v>3.3750000000000002E-4</v>
          </cell>
          <cell r="AS277">
            <v>45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45</v>
          </cell>
        </row>
        <row r="278">
          <cell r="C278" t="str">
            <v>dwg</v>
          </cell>
          <cell r="H278" t="str">
            <v>10-XX-A1-CI-0013</v>
          </cell>
          <cell r="I278" t="str">
            <v xml:space="preserve"> Laboratory Building</v>
          </cell>
          <cell r="M278">
            <v>2.4500000000000001E-2</v>
          </cell>
          <cell r="P278">
            <v>7.3499999999999998E-4</v>
          </cell>
          <cell r="R278">
            <v>7.5000000000000002E-4</v>
          </cell>
          <cell r="V278" t="str">
            <v>ارسال شده</v>
          </cell>
          <cell r="W278" t="str">
            <v>01</v>
          </cell>
          <cell r="X278" t="str">
            <v>15387</v>
          </cell>
          <cell r="Y278" t="str">
            <v>29-05-0728-11-07</v>
          </cell>
          <cell r="Z278" t="str">
            <v>F-0009F-0424</v>
          </cell>
          <cell r="AA278" t="str">
            <v>14-06-0702-12-07</v>
          </cell>
          <cell r="AG278" t="str">
            <v>GBT</v>
          </cell>
          <cell r="AH278" t="str">
            <v>x</v>
          </cell>
          <cell r="AI278" t="str">
            <v>x</v>
          </cell>
          <cell r="AJ278" t="str">
            <v/>
          </cell>
          <cell r="AL278" t="str">
            <v/>
          </cell>
          <cell r="AM278">
            <v>0.6</v>
          </cell>
          <cell r="AN278">
            <v>4.4999999999999999E-4</v>
          </cell>
          <cell r="AO278" t="str">
            <v>x</v>
          </cell>
          <cell r="AQ278">
            <v>4.4099999999999999E-4</v>
          </cell>
          <cell r="AR278">
            <v>4.4999999999999999E-4</v>
          </cell>
          <cell r="AS278">
            <v>45</v>
          </cell>
          <cell r="AT278">
            <v>60</v>
          </cell>
          <cell r="AU278">
            <v>0</v>
          </cell>
          <cell r="AV278">
            <v>0</v>
          </cell>
          <cell r="AW278">
            <v>0</v>
          </cell>
          <cell r="AX278">
            <v>60</v>
          </cell>
        </row>
        <row r="279">
          <cell r="C279" t="str">
            <v>dwg</v>
          </cell>
          <cell r="H279" t="str">
            <v>10-60-A1-CI-0014</v>
          </cell>
          <cell r="I279" t="str">
            <v xml:space="preserve">  Waste Water Treatment MCC/Control Building</v>
          </cell>
          <cell r="M279">
            <v>2.4500000000000001E-2</v>
          </cell>
          <cell r="P279">
            <v>7.3499999999999998E-4</v>
          </cell>
          <cell r="R279">
            <v>7.5000000000000002E-4</v>
          </cell>
          <cell r="V279" t="str">
            <v>ارسال شده</v>
          </cell>
          <cell r="W279">
            <v>0</v>
          </cell>
          <cell r="X279">
            <v>424</v>
          </cell>
          <cell r="Y279" t="str">
            <v>09-12-07</v>
          </cell>
          <cell r="Z279" t="str">
            <v>F-0521</v>
          </cell>
          <cell r="AA279" t="str">
            <v>16-12-07</v>
          </cell>
          <cell r="AG279" t="str">
            <v>GBT</v>
          </cell>
          <cell r="AH279" t="str">
            <v>x</v>
          </cell>
          <cell r="AJ279" t="str">
            <v/>
          </cell>
          <cell r="AL279" t="str">
            <v/>
          </cell>
          <cell r="AM279">
            <v>0.45</v>
          </cell>
          <cell r="AN279">
            <v>3.3750000000000002E-4</v>
          </cell>
          <cell r="AO279" t="str">
            <v>x</v>
          </cell>
          <cell r="AQ279">
            <v>3.3074999999999999E-4</v>
          </cell>
          <cell r="AR279">
            <v>3.3750000000000002E-4</v>
          </cell>
          <cell r="AS279">
            <v>45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45</v>
          </cell>
        </row>
        <row r="280">
          <cell r="F280" t="str">
            <v>Insulation &amp; Painting</v>
          </cell>
          <cell r="L280">
            <v>0.02</v>
          </cell>
          <cell r="M280">
            <v>1</v>
          </cell>
          <cell r="P280">
            <v>4.0000000000000001E-3</v>
          </cell>
          <cell r="R280">
            <v>4.0000000000000001E-3</v>
          </cell>
          <cell r="T280" t="str">
            <v>.</v>
          </cell>
          <cell r="U280" t="str">
            <v>.</v>
          </cell>
          <cell r="V280" t="str">
            <v>.</v>
          </cell>
          <cell r="W280" t="str">
            <v>.</v>
          </cell>
          <cell r="X280" t="str">
            <v>.</v>
          </cell>
          <cell r="Y280" t="str">
            <v>.</v>
          </cell>
          <cell r="Z280" t="str">
            <v>.</v>
          </cell>
          <cell r="AA280" t="str">
            <v>.</v>
          </cell>
          <cell r="AG280" t="str">
            <v>.</v>
          </cell>
          <cell r="AH280" t="str">
            <v>.</v>
          </cell>
          <cell r="AI280" t="str">
            <v>.</v>
          </cell>
          <cell r="AJ280" t="str">
            <v>.</v>
          </cell>
          <cell r="AK280" t="str">
            <v>.</v>
          </cell>
          <cell r="AL280" t="str">
            <v>.</v>
          </cell>
          <cell r="AM280">
            <v>0.48750000000000004</v>
          </cell>
          <cell r="AN280">
            <v>1.9500000000000001E-3</v>
          </cell>
          <cell r="AO280" t="str">
            <v>.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</row>
        <row r="281">
          <cell r="C281" t="str">
            <v>Spc</v>
          </cell>
          <cell r="H281" t="str">
            <v>10-XX-ESS-IP-0001</v>
          </cell>
          <cell r="I281" t="str">
            <v>Specification for Protective Coating</v>
          </cell>
          <cell r="M281">
            <v>0.25</v>
          </cell>
          <cell r="P281">
            <v>1E-3</v>
          </cell>
          <cell r="R281">
            <v>1E-3</v>
          </cell>
          <cell r="V281" t="str">
            <v>ارسال شده</v>
          </cell>
          <cell r="W281" t="str">
            <v>01</v>
          </cell>
          <cell r="X281" t="str">
            <v>38149</v>
          </cell>
          <cell r="Y281" t="str">
            <v>26-06-0709-10-07</v>
          </cell>
          <cell r="Z281" t="str">
            <v>F-0077</v>
          </cell>
          <cell r="AA281" t="str">
            <v>17-07-07</v>
          </cell>
          <cell r="AG281" t="str">
            <v>KRPC</v>
          </cell>
          <cell r="AH281" t="str">
            <v>x</v>
          </cell>
          <cell r="AI281" t="str">
            <v>x</v>
          </cell>
          <cell r="AJ281" t="str">
            <v/>
          </cell>
          <cell r="AL281" t="str">
            <v/>
          </cell>
          <cell r="AM281">
            <v>0.6</v>
          </cell>
          <cell r="AN281">
            <v>5.9999999999999995E-4</v>
          </cell>
          <cell r="AO281" t="str">
            <v>F-0077 dtd. 17-07-07</v>
          </cell>
          <cell r="AQ281">
            <v>5.9999999999999995E-4</v>
          </cell>
          <cell r="AR281">
            <v>5.9999999999999995E-4</v>
          </cell>
          <cell r="AS281">
            <v>45</v>
          </cell>
          <cell r="AT281">
            <v>60</v>
          </cell>
          <cell r="AU281">
            <v>0</v>
          </cell>
          <cell r="AV281">
            <v>0</v>
          </cell>
          <cell r="AW281">
            <v>0</v>
          </cell>
          <cell r="AX281">
            <v>60</v>
          </cell>
        </row>
        <row r="282">
          <cell r="C282" t="str">
            <v>Spc</v>
          </cell>
          <cell r="H282" t="str">
            <v>10-XX-ESS-IP-0002</v>
          </cell>
          <cell r="I282" t="str">
            <v xml:space="preserve">Specification for Hot Insulation </v>
          </cell>
          <cell r="M282">
            <v>0.25</v>
          </cell>
          <cell r="P282">
            <v>1E-3</v>
          </cell>
          <cell r="R282">
            <v>1E-3</v>
          </cell>
          <cell r="V282" t="str">
            <v>ارسال شده</v>
          </cell>
          <cell r="W282">
            <v>0</v>
          </cell>
          <cell r="X282">
            <v>7</v>
          </cell>
          <cell r="Y282" t="str">
            <v>09-05-07</v>
          </cell>
          <cell r="Z282" t="str">
            <v>F-0004</v>
          </cell>
          <cell r="AA282" t="str">
            <v>12-06-07</v>
          </cell>
          <cell r="AG282" t="str">
            <v>GBT</v>
          </cell>
          <cell r="AH282" t="str">
            <v>x</v>
          </cell>
          <cell r="AJ282" t="str">
            <v/>
          </cell>
          <cell r="AL282" t="str">
            <v/>
          </cell>
          <cell r="AM282">
            <v>0.45</v>
          </cell>
          <cell r="AN282">
            <v>4.5000000000000004E-4</v>
          </cell>
          <cell r="AQ282">
            <v>4.5000000000000004E-4</v>
          </cell>
          <cell r="AR282">
            <v>4.5000000000000004E-4</v>
          </cell>
          <cell r="AS282">
            <v>45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45</v>
          </cell>
        </row>
        <row r="283">
          <cell r="C283" t="str">
            <v>Spc</v>
          </cell>
          <cell r="H283" t="str">
            <v>10-XX-ESS-IP-0003</v>
          </cell>
          <cell r="I283" t="str">
            <v xml:space="preserve">Specification for Cold Insulation </v>
          </cell>
          <cell r="M283">
            <v>0.25</v>
          </cell>
          <cell r="P283">
            <v>1E-3</v>
          </cell>
          <cell r="R283">
            <v>1E-3</v>
          </cell>
          <cell r="V283" t="str">
            <v>ارسال شده</v>
          </cell>
          <cell r="W283">
            <v>0</v>
          </cell>
          <cell r="X283">
            <v>7</v>
          </cell>
          <cell r="Y283" t="str">
            <v>09-05-07</v>
          </cell>
          <cell r="Z283" t="str">
            <v>F-0004</v>
          </cell>
          <cell r="AA283" t="str">
            <v>12-06-07</v>
          </cell>
          <cell r="AG283" t="str">
            <v>GBT</v>
          </cell>
          <cell r="AH283" t="str">
            <v>x</v>
          </cell>
          <cell r="AJ283" t="str">
            <v/>
          </cell>
          <cell r="AL283" t="str">
            <v/>
          </cell>
          <cell r="AM283">
            <v>0.45</v>
          </cell>
          <cell r="AN283">
            <v>4.5000000000000004E-4</v>
          </cell>
          <cell r="AQ283">
            <v>4.5000000000000004E-4</v>
          </cell>
          <cell r="AR283">
            <v>4.5000000000000004E-4</v>
          </cell>
          <cell r="AS283">
            <v>45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45</v>
          </cell>
        </row>
        <row r="284">
          <cell r="C284" t="str">
            <v>Spc</v>
          </cell>
          <cell r="H284" t="str">
            <v>10-XX-ESS-IP-0004</v>
          </cell>
          <cell r="I284" t="str">
            <v>Specification for Painting</v>
          </cell>
          <cell r="M284">
            <v>0.25</v>
          </cell>
          <cell r="P284">
            <v>1E-3</v>
          </cell>
          <cell r="R284">
            <v>1E-3</v>
          </cell>
          <cell r="V284" t="str">
            <v>ارسال شده</v>
          </cell>
          <cell r="W284">
            <v>0</v>
          </cell>
          <cell r="X284">
            <v>7</v>
          </cell>
          <cell r="Y284" t="str">
            <v>09-05-07</v>
          </cell>
          <cell r="Z284" t="str">
            <v>F-0004</v>
          </cell>
          <cell r="AA284" t="str">
            <v>12-06-07</v>
          </cell>
          <cell r="AG284" t="str">
            <v>GBT</v>
          </cell>
          <cell r="AH284" t="str">
            <v>x</v>
          </cell>
          <cell r="AJ284" t="str">
            <v/>
          </cell>
          <cell r="AL284" t="str">
            <v/>
          </cell>
          <cell r="AM284">
            <v>0.45</v>
          </cell>
          <cell r="AN284">
            <v>4.5000000000000004E-4</v>
          </cell>
          <cell r="AQ284">
            <v>4.5000000000000004E-4</v>
          </cell>
          <cell r="AR284">
            <v>4.5000000000000004E-4</v>
          </cell>
          <cell r="AS284">
            <v>45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45</v>
          </cell>
        </row>
        <row r="285">
          <cell r="E285" t="str">
            <v>Detail</v>
          </cell>
          <cell r="K285">
            <v>0.8</v>
          </cell>
          <cell r="L285">
            <v>1.0000000000000002</v>
          </cell>
          <cell r="P285">
            <v>0.8</v>
          </cell>
          <cell r="R285">
            <v>0.80000265174490193</v>
          </cell>
          <cell r="T285" t="str">
            <v>.</v>
          </cell>
          <cell r="U285" t="str">
            <v>.</v>
          </cell>
          <cell r="V285" t="str">
            <v>.</v>
          </cell>
          <cell r="W285" t="str">
            <v>.</v>
          </cell>
          <cell r="X285" t="str">
            <v>.</v>
          </cell>
          <cell r="Y285" t="str">
            <v>.</v>
          </cell>
          <cell r="Z285" t="str">
            <v>.</v>
          </cell>
          <cell r="AA285" t="str">
            <v>.</v>
          </cell>
          <cell r="AG285" t="str">
            <v>.</v>
          </cell>
          <cell r="AH285" t="str">
            <v>.</v>
          </cell>
          <cell r="AI285" t="str">
            <v>.</v>
          </cell>
          <cell r="AJ285" t="str">
            <v>.</v>
          </cell>
          <cell r="AK285" t="str">
            <v>.</v>
          </cell>
          <cell r="AL285" t="str">
            <v>.</v>
          </cell>
          <cell r="AM285">
            <v>7.867312500000001E-2</v>
          </cell>
          <cell r="AN285">
            <v>6.2938500000000008E-2</v>
          </cell>
          <cell r="AO285" t="str">
            <v>.</v>
          </cell>
          <cell r="AQ285">
            <v>2.9207178080000003E-2</v>
          </cell>
          <cell r="AR285">
            <v>6.304538836104516E-2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</row>
        <row r="286">
          <cell r="F286" t="str">
            <v>Instrument</v>
          </cell>
          <cell r="L286">
            <v>0.11</v>
          </cell>
          <cell r="M286">
            <v>1</v>
          </cell>
          <cell r="P286">
            <v>8.8000000000000009E-2</v>
          </cell>
          <cell r="R286">
            <v>8.7999999999999995E-2</v>
          </cell>
          <cell r="T286" t="str">
            <v>.</v>
          </cell>
          <cell r="U286" t="str">
            <v>.</v>
          </cell>
          <cell r="V286" t="str">
            <v>.</v>
          </cell>
          <cell r="W286" t="str">
            <v>.</v>
          </cell>
          <cell r="X286" t="str">
            <v>.</v>
          </cell>
          <cell r="Y286" t="str">
            <v>.</v>
          </cell>
          <cell r="Z286" t="str">
            <v>.</v>
          </cell>
          <cell r="AA286" t="str">
            <v>.</v>
          </cell>
          <cell r="AG286" t="str">
            <v>.</v>
          </cell>
          <cell r="AH286" t="str">
            <v>.</v>
          </cell>
          <cell r="AI286" t="str">
            <v>.</v>
          </cell>
          <cell r="AJ286" t="str">
            <v>.</v>
          </cell>
          <cell r="AK286" t="str">
            <v>.</v>
          </cell>
          <cell r="AL286" t="str">
            <v>.</v>
          </cell>
          <cell r="AM286">
            <v>0</v>
          </cell>
          <cell r="AN286">
            <v>0</v>
          </cell>
          <cell r="AO286" t="str">
            <v>.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</row>
        <row r="287">
          <cell r="G287" t="str">
            <v>Instrument</v>
          </cell>
          <cell r="M287">
            <v>0.68899999999999995</v>
          </cell>
          <cell r="N287">
            <v>0.99989999999999957</v>
          </cell>
          <cell r="P287">
            <v>6.0631999999999998E-2</v>
          </cell>
          <cell r="R287">
            <v>5.4880000000000012E-2</v>
          </cell>
          <cell r="T287" t="str">
            <v>.</v>
          </cell>
          <cell r="U287" t="str">
            <v>.</v>
          </cell>
          <cell r="V287" t="str">
            <v>.</v>
          </cell>
          <cell r="AG287" t="str">
            <v>.</v>
          </cell>
          <cell r="AM287">
            <v>0</v>
          </cell>
          <cell r="AN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</row>
        <row r="288">
          <cell r="C288" t="str">
            <v>Dwg</v>
          </cell>
          <cell r="H288" t="str">
            <v>10-XX-A2-IN-0002</v>
          </cell>
          <cell r="I288" t="str">
            <v xml:space="preserve">Control System Overall Configuration </v>
          </cell>
          <cell r="N288">
            <v>1.72E-2</v>
          </cell>
          <cell r="P288">
            <v>1.0428703999999999E-3</v>
          </cell>
          <cell r="Q288" t="str">
            <v>I</v>
          </cell>
          <cell r="R288">
            <v>8.9999999999999998E-4</v>
          </cell>
          <cell r="T288">
            <v>39400</v>
          </cell>
          <cell r="U288" t="str">
            <v>*</v>
          </cell>
          <cell r="V288" t="str">
            <v>2007-11</v>
          </cell>
          <cell r="AH288" t="str">
            <v/>
          </cell>
          <cell r="AJ288" t="str">
            <v/>
          </cell>
          <cell r="AL288" t="str">
            <v/>
          </cell>
          <cell r="AM288">
            <v>0</v>
          </cell>
          <cell r="AN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</row>
        <row r="289">
          <cell r="C289" t="str">
            <v>dwg</v>
          </cell>
          <cell r="H289" t="str">
            <v>10-XX-A2-IN-0003</v>
          </cell>
          <cell r="I289" t="str">
            <v>Control Room Layout</v>
          </cell>
          <cell r="N289">
            <v>1.2E-2</v>
          </cell>
          <cell r="P289">
            <v>7.2758399999999998E-4</v>
          </cell>
          <cell r="Q289" t="str">
            <v>V</v>
          </cell>
          <cell r="R289">
            <v>8.9999999999999998E-4</v>
          </cell>
          <cell r="T289">
            <v>39426</v>
          </cell>
          <cell r="U289" t="str">
            <v>*</v>
          </cell>
          <cell r="V289" t="str">
            <v>2007-12</v>
          </cell>
          <cell r="AH289" t="str">
            <v/>
          </cell>
          <cell r="AJ289" t="str">
            <v/>
          </cell>
          <cell r="AL289" t="str">
            <v/>
          </cell>
          <cell r="AM289">
            <v>0</v>
          </cell>
          <cell r="AN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</row>
        <row r="290">
          <cell r="C290" t="str">
            <v>lis</v>
          </cell>
          <cell r="H290" t="str">
            <v>10-XX-LST-IN-0018</v>
          </cell>
          <cell r="I290" t="str">
            <v>I/O List for DCS</v>
          </cell>
          <cell r="N290">
            <v>3.44E-2</v>
          </cell>
          <cell r="P290">
            <v>2.0857407999999998E-3</v>
          </cell>
          <cell r="Q290" t="str">
            <v>V</v>
          </cell>
          <cell r="R290">
            <v>1.9E-3</v>
          </cell>
          <cell r="T290">
            <v>39426</v>
          </cell>
          <cell r="U290" t="str">
            <v>*</v>
          </cell>
          <cell r="V290" t="str">
            <v>2007-12</v>
          </cell>
          <cell r="AH290" t="str">
            <v/>
          </cell>
          <cell r="AJ290" t="str">
            <v/>
          </cell>
          <cell r="AL290" t="str">
            <v/>
          </cell>
          <cell r="AM290">
            <v>0</v>
          </cell>
          <cell r="AN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</row>
        <row r="291">
          <cell r="C291" t="str">
            <v>lis</v>
          </cell>
          <cell r="H291" t="str">
            <v>10-XX-LST-IN-0019</v>
          </cell>
          <cell r="I291" t="str">
            <v>I/O List for ESD</v>
          </cell>
          <cell r="N291">
            <v>2.1499999999999998E-2</v>
          </cell>
          <cell r="P291">
            <v>1.3035879999999998E-3</v>
          </cell>
          <cell r="Q291" t="str">
            <v>V</v>
          </cell>
          <cell r="R291">
            <v>1.1999999999999999E-3</v>
          </cell>
          <cell r="T291">
            <v>39426</v>
          </cell>
          <cell r="U291" t="str">
            <v>*</v>
          </cell>
          <cell r="V291" t="str">
            <v>2007-12</v>
          </cell>
          <cell r="AH291" t="str">
            <v/>
          </cell>
          <cell r="AJ291" t="str">
            <v/>
          </cell>
          <cell r="AL291" t="str">
            <v/>
          </cell>
          <cell r="AM291">
            <v>0</v>
          </cell>
          <cell r="AN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</row>
        <row r="292">
          <cell r="C292" t="str">
            <v>lis</v>
          </cell>
          <cell r="H292" t="str">
            <v>10-XX-LST-IN-0020</v>
          </cell>
          <cell r="I292" t="str">
            <v>I/O List for F&amp;G</v>
          </cell>
          <cell r="N292">
            <v>1.72E-2</v>
          </cell>
          <cell r="P292">
            <v>1.0428703999999999E-3</v>
          </cell>
          <cell r="Q292" t="str">
            <v>V</v>
          </cell>
          <cell r="R292">
            <v>8.9999999999999998E-4</v>
          </cell>
          <cell r="T292">
            <v>39426</v>
          </cell>
          <cell r="U292" t="str">
            <v>*</v>
          </cell>
          <cell r="V292" t="str">
            <v>2007-12</v>
          </cell>
          <cell r="AH292" t="str">
            <v/>
          </cell>
          <cell r="AJ292" t="str">
            <v/>
          </cell>
          <cell r="AL292" t="str">
            <v/>
          </cell>
          <cell r="AM292">
            <v>0</v>
          </cell>
          <cell r="AN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</row>
        <row r="293">
          <cell r="C293" t="str">
            <v>lis</v>
          </cell>
          <cell r="H293" t="str">
            <v>10-XX-LST-IN-0021</v>
          </cell>
          <cell r="I293" t="str">
            <v>Alarm &amp; Set Point List</v>
          </cell>
          <cell r="N293">
            <v>2.1499999999999998E-2</v>
          </cell>
          <cell r="P293">
            <v>1.3035879999999998E-3</v>
          </cell>
          <cell r="Q293" t="str">
            <v>I</v>
          </cell>
          <cell r="R293">
            <v>1.1999999999999999E-3</v>
          </cell>
          <cell r="T293">
            <v>39359</v>
          </cell>
          <cell r="U293" t="str">
            <v>*</v>
          </cell>
          <cell r="V293" t="str">
            <v>2007-10</v>
          </cell>
          <cell r="AH293" t="str">
            <v/>
          </cell>
          <cell r="AJ293" t="str">
            <v/>
          </cell>
          <cell r="AL293" t="str">
            <v/>
          </cell>
          <cell r="AM293">
            <v>0</v>
          </cell>
          <cell r="AN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</row>
        <row r="294">
          <cell r="C294" t="str">
            <v>ANS</v>
          </cell>
          <cell r="H294" t="str">
            <v>10-XX-ANS-IN-0022</v>
          </cell>
          <cell r="I294" t="str">
            <v>Cause &amp; Effect  for ESD</v>
          </cell>
          <cell r="N294">
            <v>2.1499999999999998E-2</v>
          </cell>
          <cell r="P294">
            <v>1.3035879999999998E-3</v>
          </cell>
          <cell r="Q294" t="str">
            <v>I</v>
          </cell>
          <cell r="R294">
            <v>1.1999999999999999E-3</v>
          </cell>
          <cell r="T294">
            <v>39415</v>
          </cell>
          <cell r="U294" t="str">
            <v>*</v>
          </cell>
          <cell r="V294" t="str">
            <v>2007-11</v>
          </cell>
          <cell r="AH294" t="str">
            <v/>
          </cell>
          <cell r="AJ294" t="str">
            <v/>
          </cell>
          <cell r="AL294" t="str">
            <v/>
          </cell>
          <cell r="AM294">
            <v>0</v>
          </cell>
          <cell r="AN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</row>
        <row r="295">
          <cell r="C295" t="str">
            <v>ANS</v>
          </cell>
          <cell r="H295" t="str">
            <v>10-XX-ANS-IN-0023</v>
          </cell>
          <cell r="I295" t="str">
            <v>Cause &amp; Effect  for F&amp;G</v>
          </cell>
          <cell r="N295">
            <v>1.72E-2</v>
          </cell>
          <cell r="P295">
            <v>1.0428703999999999E-3</v>
          </cell>
          <cell r="Q295" t="str">
            <v>I</v>
          </cell>
          <cell r="R295">
            <v>1E-3</v>
          </cell>
          <cell r="T295">
            <v>39418</v>
          </cell>
          <cell r="U295" t="str">
            <v>*</v>
          </cell>
          <cell r="V295" t="str">
            <v>2007-12</v>
          </cell>
          <cell r="AH295" t="str">
            <v/>
          </cell>
          <cell r="AJ295" t="str">
            <v/>
          </cell>
          <cell r="AL295" t="str">
            <v/>
          </cell>
          <cell r="AM295">
            <v>0</v>
          </cell>
          <cell r="AN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</row>
        <row r="296">
          <cell r="C296" t="str">
            <v>ANS</v>
          </cell>
          <cell r="H296" t="str">
            <v>10-XX-ANS-IN-0024</v>
          </cell>
          <cell r="I296" t="str">
            <v>Cause &amp; Effect  for DCS</v>
          </cell>
          <cell r="N296">
            <v>0.03</v>
          </cell>
          <cell r="P296">
            <v>1.8189599999999999E-3</v>
          </cell>
          <cell r="Q296" t="str">
            <v>I</v>
          </cell>
          <cell r="R296">
            <v>1.4E-3</v>
          </cell>
          <cell r="T296">
            <v>39415</v>
          </cell>
          <cell r="U296" t="str">
            <v>*</v>
          </cell>
          <cell r="V296" t="str">
            <v>2007-11</v>
          </cell>
          <cell r="AH296" t="str">
            <v/>
          </cell>
          <cell r="AJ296" t="str">
            <v/>
          </cell>
          <cell r="AL296" t="str">
            <v/>
          </cell>
          <cell r="AM296">
            <v>0</v>
          </cell>
          <cell r="AN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</row>
        <row r="297">
          <cell r="C297" t="str">
            <v>ANS</v>
          </cell>
          <cell r="H297" t="str">
            <v>10-XX-ANS-IN-0028</v>
          </cell>
          <cell r="I297" t="str">
            <v>Logic Diagram for ESD</v>
          </cell>
          <cell r="N297">
            <v>0.03</v>
          </cell>
          <cell r="P297">
            <v>1.8189599999999999E-3</v>
          </cell>
          <cell r="Q297" t="str">
            <v>L</v>
          </cell>
          <cell r="R297">
            <v>1.9E-3</v>
          </cell>
          <cell r="T297">
            <v>39483</v>
          </cell>
          <cell r="V297" t="str">
            <v>2008-02</v>
          </cell>
          <cell r="AM297">
            <v>0</v>
          </cell>
          <cell r="AN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</row>
        <row r="298">
          <cell r="C298" t="str">
            <v>DIG</v>
          </cell>
          <cell r="H298" t="str">
            <v>10-XX-DIG-IN-0026</v>
          </cell>
          <cell r="I298" t="str">
            <v>Logic Diagram for DCS</v>
          </cell>
          <cell r="N298">
            <v>0.03</v>
          </cell>
          <cell r="P298">
            <v>1.8189599999999999E-3</v>
          </cell>
          <cell r="Q298" t="str">
            <v>L</v>
          </cell>
          <cell r="R298">
            <v>1.9E-3</v>
          </cell>
          <cell r="T298">
            <v>39483</v>
          </cell>
          <cell r="V298" t="str">
            <v>2008-02</v>
          </cell>
          <cell r="AH298" t="str">
            <v/>
          </cell>
          <cell r="AJ298" t="str">
            <v/>
          </cell>
          <cell r="AL298" t="str">
            <v/>
          </cell>
          <cell r="AM298">
            <v>0</v>
          </cell>
          <cell r="AN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</row>
        <row r="299">
          <cell r="C299" t="str">
            <v>lis</v>
          </cell>
          <cell r="H299" t="str">
            <v>10-XX-LST-IN-0027</v>
          </cell>
          <cell r="I299" t="str">
            <v>Instrument List</v>
          </cell>
          <cell r="N299">
            <v>0.03</v>
          </cell>
          <cell r="P299">
            <v>1.8189599999999999E-3</v>
          </cell>
          <cell r="Q299" t="str">
            <v>I</v>
          </cell>
          <cell r="R299">
            <v>1.6999999999999999E-3</v>
          </cell>
          <cell r="T299">
            <v>39430</v>
          </cell>
          <cell r="U299" t="str">
            <v>*</v>
          </cell>
          <cell r="V299" t="str">
            <v>2007-12</v>
          </cell>
          <cell r="AH299" t="str">
            <v/>
          </cell>
          <cell r="AJ299" t="str">
            <v/>
          </cell>
          <cell r="AL299" t="str">
            <v/>
          </cell>
          <cell r="AM299">
            <v>0</v>
          </cell>
          <cell r="AN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</row>
        <row r="300">
          <cell r="C300" t="str">
            <v>DSH</v>
          </cell>
          <cell r="H300" t="str">
            <v>10-XX-DSH-IN-0028</v>
          </cell>
          <cell r="I300" t="str">
            <v>Data Sheet for Analyzer</v>
          </cell>
          <cell r="N300">
            <v>1.0800000000000001E-2</v>
          </cell>
          <cell r="P300">
            <v>6.5482560000000003E-4</v>
          </cell>
          <cell r="Q300" t="str">
            <v>I</v>
          </cell>
          <cell r="R300">
            <v>6.9999999999999999E-4</v>
          </cell>
          <cell r="T300">
            <v>39427</v>
          </cell>
          <cell r="U300" t="str">
            <v>*</v>
          </cell>
          <cell r="V300" t="str">
            <v>2007-12</v>
          </cell>
          <cell r="AH300" t="str">
            <v/>
          </cell>
          <cell r="AJ300" t="str">
            <v/>
          </cell>
          <cell r="AL300" t="str">
            <v/>
          </cell>
          <cell r="AM300">
            <v>0</v>
          </cell>
          <cell r="AN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</row>
        <row r="301">
          <cell r="C301" t="str">
            <v>DSH</v>
          </cell>
          <cell r="H301" t="str">
            <v>10-XX-DSH-IN-0029</v>
          </cell>
          <cell r="I301" t="str">
            <v>Data Sheet for Control Valve</v>
          </cell>
          <cell r="N301">
            <v>1.0800000000000001E-2</v>
          </cell>
          <cell r="P301">
            <v>6.5482560000000003E-4</v>
          </cell>
          <cell r="Q301" t="str">
            <v>I</v>
          </cell>
          <cell r="R301">
            <v>6.9999999999999999E-4</v>
          </cell>
          <cell r="T301">
            <v>39427</v>
          </cell>
          <cell r="U301" t="str">
            <v>*</v>
          </cell>
          <cell r="V301" t="str">
            <v>2007-12</v>
          </cell>
          <cell r="AH301" t="str">
            <v/>
          </cell>
          <cell r="AJ301" t="str">
            <v/>
          </cell>
          <cell r="AL301" t="str">
            <v/>
          </cell>
          <cell r="AM301">
            <v>0</v>
          </cell>
          <cell r="AN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</row>
        <row r="302">
          <cell r="C302" t="str">
            <v>DSH</v>
          </cell>
          <cell r="H302" t="str">
            <v>10-XX-DSH-IN-0030</v>
          </cell>
          <cell r="I302" t="str">
            <v>Data Sheet for Flow Instrument</v>
          </cell>
          <cell r="N302">
            <v>1.0800000000000001E-2</v>
          </cell>
          <cell r="P302">
            <v>6.5482560000000003E-4</v>
          </cell>
          <cell r="Q302" t="str">
            <v>I</v>
          </cell>
          <cell r="R302">
            <v>6.9999999999999999E-4</v>
          </cell>
          <cell r="T302">
            <v>39427</v>
          </cell>
          <cell r="U302" t="str">
            <v>*</v>
          </cell>
          <cell r="V302" t="str">
            <v>2007-12</v>
          </cell>
          <cell r="AH302" t="str">
            <v/>
          </cell>
          <cell r="AJ302" t="str">
            <v/>
          </cell>
          <cell r="AL302" t="str">
            <v/>
          </cell>
          <cell r="AM302">
            <v>0</v>
          </cell>
          <cell r="AN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</row>
        <row r="303">
          <cell r="C303" t="str">
            <v>DSH</v>
          </cell>
          <cell r="H303" t="str">
            <v>10-XX-DSH-IN-0031</v>
          </cell>
          <cell r="I303" t="str">
            <v>Data Sheet for Level Instrument</v>
          </cell>
          <cell r="N303">
            <v>1.0800000000000001E-2</v>
          </cell>
          <cell r="P303">
            <v>6.5482560000000003E-4</v>
          </cell>
          <cell r="Q303" t="str">
            <v>I</v>
          </cell>
          <cell r="R303">
            <v>6.9999999999999999E-4</v>
          </cell>
          <cell r="T303">
            <v>39427</v>
          </cell>
          <cell r="U303" t="str">
            <v>*</v>
          </cell>
          <cell r="V303" t="str">
            <v>2007-12</v>
          </cell>
          <cell r="AH303" t="str">
            <v/>
          </cell>
          <cell r="AJ303" t="str">
            <v/>
          </cell>
          <cell r="AL303" t="str">
            <v/>
          </cell>
          <cell r="AM303">
            <v>0</v>
          </cell>
          <cell r="AN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</row>
        <row r="304">
          <cell r="C304" t="str">
            <v>DSH</v>
          </cell>
          <cell r="H304" t="str">
            <v>10-XX-DSH-IN-0032</v>
          </cell>
          <cell r="I304" t="str">
            <v>Data Sheet for Temperature Instrument</v>
          </cell>
          <cell r="N304">
            <v>1.0800000000000001E-2</v>
          </cell>
          <cell r="P304">
            <v>6.5482560000000003E-4</v>
          </cell>
          <cell r="Q304" t="str">
            <v>I</v>
          </cell>
          <cell r="R304">
            <v>6.9999999999999999E-4</v>
          </cell>
          <cell r="T304">
            <v>39427</v>
          </cell>
          <cell r="U304" t="str">
            <v>*</v>
          </cell>
          <cell r="V304" t="str">
            <v>2007-12</v>
          </cell>
          <cell r="AH304" t="str">
            <v/>
          </cell>
          <cell r="AJ304" t="str">
            <v/>
          </cell>
          <cell r="AL304" t="str">
            <v/>
          </cell>
          <cell r="AM304">
            <v>0</v>
          </cell>
          <cell r="AN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</row>
        <row r="305">
          <cell r="C305" t="str">
            <v>DSH</v>
          </cell>
          <cell r="H305" t="str">
            <v>10-XX-DSH-IN-0033</v>
          </cell>
          <cell r="I305" t="str">
            <v>Data Sheet for Pressure Instrument</v>
          </cell>
          <cell r="N305">
            <v>1.0800000000000001E-2</v>
          </cell>
          <cell r="P305">
            <v>6.5482560000000003E-4</v>
          </cell>
          <cell r="Q305" t="str">
            <v>I</v>
          </cell>
          <cell r="R305">
            <v>6.9999999999999999E-4</v>
          </cell>
          <cell r="T305">
            <v>39427</v>
          </cell>
          <cell r="U305" t="str">
            <v>*</v>
          </cell>
          <cell r="V305" t="str">
            <v>2007-12</v>
          </cell>
          <cell r="AH305" t="str">
            <v/>
          </cell>
          <cell r="AJ305" t="str">
            <v/>
          </cell>
          <cell r="AL305" t="str">
            <v/>
          </cell>
          <cell r="AM305">
            <v>0</v>
          </cell>
          <cell r="AN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</row>
        <row r="306">
          <cell r="C306" t="str">
            <v>DSH</v>
          </cell>
          <cell r="H306" t="str">
            <v>10-XX-DSH-IN-0034</v>
          </cell>
          <cell r="I306" t="str">
            <v xml:space="preserve">Data Sheet for ON/OFF Valve </v>
          </cell>
          <cell r="N306">
            <v>1.0800000000000001E-2</v>
          </cell>
          <cell r="P306">
            <v>6.5482560000000003E-4</v>
          </cell>
          <cell r="Q306" t="str">
            <v>I</v>
          </cell>
          <cell r="R306">
            <v>6.9999999999999999E-4</v>
          </cell>
          <cell r="T306">
            <v>39427</v>
          </cell>
          <cell r="U306" t="str">
            <v>*</v>
          </cell>
          <cell r="V306" t="str">
            <v>2007-12</v>
          </cell>
          <cell r="AH306" t="str">
            <v/>
          </cell>
          <cell r="AJ306" t="str">
            <v/>
          </cell>
          <cell r="AL306" t="str">
            <v/>
          </cell>
          <cell r="AM306">
            <v>0</v>
          </cell>
          <cell r="AN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</row>
        <row r="307">
          <cell r="C307" t="str">
            <v>DSH</v>
          </cell>
          <cell r="H307" t="str">
            <v>10-XX-DSH-IN-0035</v>
          </cell>
          <cell r="I307" t="str">
            <v xml:space="preserve">Data Sheet for MOV </v>
          </cell>
          <cell r="N307">
            <v>1.0800000000000001E-2</v>
          </cell>
          <cell r="P307">
            <v>6.5482560000000003E-4</v>
          </cell>
          <cell r="Q307" t="str">
            <v>I</v>
          </cell>
          <cell r="R307">
            <v>6.9999999999999999E-4</v>
          </cell>
          <cell r="T307">
            <v>39427</v>
          </cell>
          <cell r="U307" t="str">
            <v>*</v>
          </cell>
          <cell r="V307" t="str">
            <v>2007-12</v>
          </cell>
          <cell r="AH307" t="str">
            <v/>
          </cell>
          <cell r="AJ307" t="str">
            <v/>
          </cell>
          <cell r="AL307" t="str">
            <v/>
          </cell>
          <cell r="AM307">
            <v>0</v>
          </cell>
          <cell r="AN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</row>
        <row r="308">
          <cell r="C308" t="str">
            <v>DSH</v>
          </cell>
          <cell r="H308" t="str">
            <v>10-XX-DSH-IN-0036</v>
          </cell>
          <cell r="I308" t="str">
            <v>Data Sheet for Regulator</v>
          </cell>
          <cell r="N308">
            <v>1.0800000000000001E-2</v>
          </cell>
          <cell r="P308">
            <v>6.5482560000000003E-4</v>
          </cell>
          <cell r="Q308" t="str">
            <v>I</v>
          </cell>
          <cell r="R308">
            <v>6.9999999999999999E-4</v>
          </cell>
          <cell r="T308">
            <v>39427</v>
          </cell>
          <cell r="U308" t="str">
            <v>*</v>
          </cell>
          <cell r="V308" t="str">
            <v>2007-12</v>
          </cell>
          <cell r="AH308" t="str">
            <v/>
          </cell>
          <cell r="AJ308" t="str">
            <v/>
          </cell>
          <cell r="AL308" t="str">
            <v/>
          </cell>
          <cell r="AM308">
            <v>0</v>
          </cell>
          <cell r="AN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</row>
        <row r="309">
          <cell r="C309" t="str">
            <v>DSH</v>
          </cell>
          <cell r="H309" t="str">
            <v>10-XX-DSH-IN-0037</v>
          </cell>
          <cell r="I309" t="str">
            <v>Data Sheet for Safety Valve</v>
          </cell>
          <cell r="N309">
            <v>1.0800000000000001E-2</v>
          </cell>
          <cell r="P309">
            <v>6.5482560000000003E-4</v>
          </cell>
          <cell r="Q309" t="str">
            <v>I</v>
          </cell>
          <cell r="R309">
            <v>6.9999999999999999E-4</v>
          </cell>
          <cell r="T309">
            <v>39427</v>
          </cell>
          <cell r="U309" t="str">
            <v>*</v>
          </cell>
          <cell r="V309" t="str">
            <v>2007-12</v>
          </cell>
          <cell r="AH309" t="str">
            <v/>
          </cell>
          <cell r="AJ309" t="str">
            <v/>
          </cell>
          <cell r="AL309" t="str">
            <v/>
          </cell>
          <cell r="AM309">
            <v>0</v>
          </cell>
          <cell r="AN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</row>
        <row r="310">
          <cell r="C310" t="str">
            <v>DWG</v>
          </cell>
          <cell r="H310" t="str">
            <v>10-XX-A2-IN-0004</v>
          </cell>
          <cell r="I310" t="str">
            <v>Instrument Location Layout</v>
          </cell>
          <cell r="N310">
            <v>0.03</v>
          </cell>
          <cell r="P310">
            <v>1.8189599999999999E-3</v>
          </cell>
          <cell r="Q310" t="str">
            <v>L</v>
          </cell>
          <cell r="R310">
            <v>1.9E-3</v>
          </cell>
          <cell r="T310">
            <v>39453</v>
          </cell>
          <cell r="V310" t="str">
            <v>2008-01</v>
          </cell>
          <cell r="AH310" t="str">
            <v/>
          </cell>
          <cell r="AJ310" t="str">
            <v/>
          </cell>
          <cell r="AL310" t="str">
            <v/>
          </cell>
          <cell r="AM310">
            <v>0</v>
          </cell>
          <cell r="AN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</row>
        <row r="311">
          <cell r="C311" t="str">
            <v>DWG</v>
          </cell>
          <cell r="H311" t="str">
            <v>10-XX-A2-IN-0005</v>
          </cell>
          <cell r="I311" t="str">
            <v>Instrument Main Cable Route Layout</v>
          </cell>
          <cell r="N311">
            <v>0.03</v>
          </cell>
          <cell r="P311">
            <v>1.8189599999999999E-3</v>
          </cell>
          <cell r="Q311" t="str">
            <v>L</v>
          </cell>
          <cell r="R311">
            <v>1.9E-3</v>
          </cell>
          <cell r="T311">
            <v>39464</v>
          </cell>
          <cell r="V311" t="str">
            <v>2008-01</v>
          </cell>
          <cell r="AH311" t="str">
            <v/>
          </cell>
          <cell r="AJ311" t="str">
            <v/>
          </cell>
          <cell r="AL311" t="str">
            <v/>
          </cell>
          <cell r="AM311">
            <v>0</v>
          </cell>
          <cell r="AN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</row>
        <row r="312">
          <cell r="C312" t="str">
            <v>DWG</v>
          </cell>
          <cell r="H312" t="str">
            <v>10-XX-DIG-IN-0038</v>
          </cell>
          <cell r="I312" t="str">
            <v>Instrument Junction Box Connection Dwg.</v>
          </cell>
          <cell r="N312">
            <v>3.44E-2</v>
          </cell>
          <cell r="P312">
            <v>2.0857407999999998E-3</v>
          </cell>
          <cell r="Q312" t="str">
            <v>L</v>
          </cell>
          <cell r="R312">
            <v>1.9E-3</v>
          </cell>
          <cell r="T312">
            <v>39456</v>
          </cell>
          <cell r="V312" t="str">
            <v>2008-01</v>
          </cell>
          <cell r="AH312" t="str">
            <v/>
          </cell>
          <cell r="AJ312" t="str">
            <v/>
          </cell>
          <cell r="AL312" t="str">
            <v/>
          </cell>
          <cell r="AM312">
            <v>0</v>
          </cell>
          <cell r="AN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</row>
        <row r="313">
          <cell r="C313" t="str">
            <v>DWG</v>
          </cell>
          <cell r="H313" t="str">
            <v>10-XX-SDG-IN-0007</v>
          </cell>
          <cell r="I313" t="str">
            <v>Instrument Process Hook up  Dwg.</v>
          </cell>
          <cell r="N313">
            <v>3.44E-2</v>
          </cell>
          <cell r="P313">
            <v>2.0857407999999998E-3</v>
          </cell>
          <cell r="Q313" t="str">
            <v>I</v>
          </cell>
          <cell r="R313">
            <v>1.9E-3</v>
          </cell>
          <cell r="T313">
            <v>39435</v>
          </cell>
          <cell r="U313" t="str">
            <v>*</v>
          </cell>
          <cell r="V313" t="str">
            <v>2007-12</v>
          </cell>
          <cell r="AH313" t="str">
            <v/>
          </cell>
          <cell r="AJ313" t="str">
            <v/>
          </cell>
          <cell r="AL313" t="str">
            <v/>
          </cell>
          <cell r="AM313">
            <v>0</v>
          </cell>
          <cell r="AN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</row>
        <row r="314">
          <cell r="C314" t="str">
            <v>DWG</v>
          </cell>
          <cell r="H314" t="str">
            <v>10-XX-SDG-IN-0008</v>
          </cell>
          <cell r="I314" t="str">
            <v>Instrument Air  Hook up Dwg.</v>
          </cell>
          <cell r="N314">
            <v>2.58E-2</v>
          </cell>
          <cell r="P314">
            <v>1.5643056E-3</v>
          </cell>
          <cell r="Q314" t="str">
            <v>I</v>
          </cell>
          <cell r="R314">
            <v>1.4E-3</v>
          </cell>
          <cell r="T314">
            <v>39435</v>
          </cell>
          <cell r="U314" t="str">
            <v>*</v>
          </cell>
          <cell r="V314" t="str">
            <v>2007-12</v>
          </cell>
          <cell r="AH314" t="str">
            <v/>
          </cell>
          <cell r="AJ314" t="str">
            <v/>
          </cell>
          <cell r="AL314" t="str">
            <v/>
          </cell>
          <cell r="AM314">
            <v>0</v>
          </cell>
          <cell r="AN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</row>
        <row r="315">
          <cell r="C315" t="str">
            <v>DWG</v>
          </cell>
          <cell r="H315" t="str">
            <v>10-XX-IND-IN-0039</v>
          </cell>
          <cell r="I315" t="str">
            <v>Instrument Installation Typical Dwg.</v>
          </cell>
          <cell r="N315">
            <v>2.1499999999999998E-2</v>
          </cell>
          <cell r="P315">
            <v>1.3035879999999998E-3</v>
          </cell>
          <cell r="Q315" t="str">
            <v>I</v>
          </cell>
          <cell r="R315">
            <v>1.1999999999999999E-3</v>
          </cell>
          <cell r="T315">
            <v>39437</v>
          </cell>
          <cell r="U315" t="str">
            <v>*</v>
          </cell>
          <cell r="V315" t="str">
            <v>2007-12</v>
          </cell>
          <cell r="AH315" t="str">
            <v/>
          </cell>
          <cell r="AJ315" t="str">
            <v/>
          </cell>
          <cell r="AL315" t="str">
            <v/>
          </cell>
          <cell r="AM315">
            <v>0</v>
          </cell>
          <cell r="AN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</row>
        <row r="316">
          <cell r="C316" t="str">
            <v>lis</v>
          </cell>
          <cell r="H316" t="str">
            <v>10-XX-SCH-IN-0040</v>
          </cell>
          <cell r="I316" t="str">
            <v>Cable List and Schedule</v>
          </cell>
          <cell r="N316">
            <v>3.44E-2</v>
          </cell>
          <cell r="P316">
            <v>2.0857407999999998E-3</v>
          </cell>
          <cell r="Q316" t="str">
            <v>L</v>
          </cell>
          <cell r="R316">
            <v>1.9E-3</v>
          </cell>
          <cell r="T316">
            <v>39458</v>
          </cell>
          <cell r="V316" t="str">
            <v>2008-01</v>
          </cell>
          <cell r="AH316" t="str">
            <v/>
          </cell>
          <cell r="AJ316" t="str">
            <v/>
          </cell>
          <cell r="AL316" t="str">
            <v/>
          </cell>
          <cell r="AM316">
            <v>0</v>
          </cell>
          <cell r="AN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</row>
        <row r="317">
          <cell r="C317" t="str">
            <v>MTO</v>
          </cell>
          <cell r="H317" t="str">
            <v>10-XX-MTO-IN-0044</v>
          </cell>
          <cell r="I317" t="str">
            <v>MTO for Field Instrument (Bulk)</v>
          </cell>
          <cell r="N317">
            <v>0.02</v>
          </cell>
          <cell r="P317">
            <v>1.2126400000000001E-3</v>
          </cell>
          <cell r="Q317" t="str">
            <v>V</v>
          </cell>
          <cell r="R317">
            <v>1.4E-3</v>
          </cell>
          <cell r="T317">
            <v>39443</v>
          </cell>
          <cell r="U317" t="str">
            <v>*</v>
          </cell>
          <cell r="V317" t="str">
            <v>2007-12</v>
          </cell>
          <cell r="AH317" t="str">
            <v/>
          </cell>
          <cell r="AJ317" t="str">
            <v/>
          </cell>
          <cell r="AL317" t="str">
            <v/>
          </cell>
          <cell r="AM317">
            <v>0</v>
          </cell>
          <cell r="AN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</row>
        <row r="318">
          <cell r="C318" t="str">
            <v>MTO</v>
          </cell>
          <cell r="H318" t="str">
            <v>10-XX-MTO-IN-0045</v>
          </cell>
          <cell r="I318" t="str">
            <v xml:space="preserve">MTO for  Instrument Hook up Material </v>
          </cell>
          <cell r="N318">
            <v>1.29E-2</v>
          </cell>
          <cell r="P318">
            <v>7.8215279999999999E-4</v>
          </cell>
          <cell r="Q318" t="str">
            <v>V</v>
          </cell>
          <cell r="R318">
            <v>8.0000000000000004E-4</v>
          </cell>
          <cell r="T318">
            <v>39443</v>
          </cell>
          <cell r="U318" t="str">
            <v>*</v>
          </cell>
          <cell r="V318" t="str">
            <v>2007-12</v>
          </cell>
          <cell r="AH318" t="str">
            <v/>
          </cell>
          <cell r="AJ318" t="str">
            <v/>
          </cell>
          <cell r="AL318" t="str">
            <v/>
          </cell>
          <cell r="AM318">
            <v>0</v>
          </cell>
          <cell r="AN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</row>
        <row r="319">
          <cell r="C319" t="str">
            <v>MTO</v>
          </cell>
          <cell r="H319" t="str">
            <v>10-XX-MTO-IN-0046</v>
          </cell>
          <cell r="I319" t="str">
            <v>MTO for F&amp;G</v>
          </cell>
          <cell r="N319">
            <v>1.0800000000000001E-2</v>
          </cell>
          <cell r="P319">
            <v>6.5482560000000003E-4</v>
          </cell>
          <cell r="Q319" t="str">
            <v>V</v>
          </cell>
          <cell r="R319">
            <v>6.9999999999999999E-4</v>
          </cell>
          <cell r="T319">
            <v>39443</v>
          </cell>
          <cell r="U319" t="str">
            <v>*</v>
          </cell>
          <cell r="V319" t="str">
            <v>2007-12</v>
          </cell>
          <cell r="AH319" t="str">
            <v/>
          </cell>
          <cell r="AJ319" t="str">
            <v/>
          </cell>
          <cell r="AL319" t="str">
            <v/>
          </cell>
          <cell r="AM319">
            <v>0</v>
          </cell>
          <cell r="AN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</row>
        <row r="320">
          <cell r="C320" t="str">
            <v>MTO</v>
          </cell>
          <cell r="H320" t="str">
            <v>10-XX-MTO-IN-0050</v>
          </cell>
          <cell r="I320" t="str">
            <v>MTO for Junction Box</v>
          </cell>
          <cell r="N320">
            <v>1.0800000000000001E-2</v>
          </cell>
          <cell r="P320">
            <v>6.5482560000000003E-4</v>
          </cell>
          <cell r="Q320" t="str">
            <v>V</v>
          </cell>
          <cell r="R320">
            <v>6.9999999999999999E-4</v>
          </cell>
          <cell r="S320" t="str">
            <v>Edite</v>
          </cell>
          <cell r="T320">
            <v>39443</v>
          </cell>
          <cell r="U320" t="str">
            <v>*</v>
          </cell>
          <cell r="V320" t="str">
            <v>2007-12</v>
          </cell>
          <cell r="AH320" t="str">
            <v/>
          </cell>
          <cell r="AJ320" t="str">
            <v/>
          </cell>
          <cell r="AL320" t="str">
            <v/>
          </cell>
          <cell r="AM320">
            <v>0</v>
          </cell>
          <cell r="AN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</row>
        <row r="321">
          <cell r="C321" t="str">
            <v>MTO</v>
          </cell>
          <cell r="H321" t="str">
            <v>10-XX-MTO-IN-0051</v>
          </cell>
          <cell r="I321" t="str">
            <v>MTO for Instrument Cable</v>
          </cell>
          <cell r="N321">
            <v>1.0800000000000001E-2</v>
          </cell>
          <cell r="P321">
            <v>6.5482560000000003E-4</v>
          </cell>
          <cell r="Q321" t="str">
            <v>V</v>
          </cell>
          <cell r="R321">
            <v>6.9999999999999999E-4</v>
          </cell>
          <cell r="S321" t="str">
            <v>Edite</v>
          </cell>
          <cell r="T321">
            <v>39443</v>
          </cell>
          <cell r="U321" t="str">
            <v>*</v>
          </cell>
          <cell r="V321" t="str">
            <v>2007-12</v>
          </cell>
          <cell r="AH321" t="str">
            <v/>
          </cell>
          <cell r="AJ321" t="str">
            <v/>
          </cell>
          <cell r="AL321" t="str">
            <v/>
          </cell>
          <cell r="AM321">
            <v>0</v>
          </cell>
          <cell r="AN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</row>
        <row r="322">
          <cell r="C322" t="str">
            <v>MTO</v>
          </cell>
          <cell r="H322" t="str">
            <v>10-XX-MTO-IN-0052</v>
          </cell>
          <cell r="I322" t="str">
            <v>MTO for Instrument Cable Tray,Ladder,Conduit</v>
          </cell>
          <cell r="N322">
            <v>1.0800000000000001E-2</v>
          </cell>
          <cell r="P322">
            <v>6.5482560000000003E-4</v>
          </cell>
          <cell r="Q322" t="str">
            <v>V</v>
          </cell>
          <cell r="R322">
            <v>6.9999999999999999E-4</v>
          </cell>
          <cell r="S322" t="str">
            <v>Edite</v>
          </cell>
          <cell r="T322">
            <v>39443</v>
          </cell>
          <cell r="U322" t="str">
            <v>*</v>
          </cell>
          <cell r="V322" t="str">
            <v>2007-12</v>
          </cell>
          <cell r="AH322" t="str">
            <v/>
          </cell>
          <cell r="AJ322" t="str">
            <v/>
          </cell>
          <cell r="AL322" t="str">
            <v/>
          </cell>
          <cell r="AM322">
            <v>0</v>
          </cell>
          <cell r="AN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</row>
        <row r="323">
          <cell r="C323" t="str">
            <v>MR</v>
          </cell>
          <cell r="H323" t="str">
            <v>10-REQ-IN-401</v>
          </cell>
          <cell r="I323" t="str">
            <v>MR for Field Instrument</v>
          </cell>
          <cell r="N323">
            <v>0</v>
          </cell>
          <cell r="P323">
            <v>0</v>
          </cell>
          <cell r="Q323" t="str">
            <v>V</v>
          </cell>
          <cell r="R323">
            <v>1E-4</v>
          </cell>
          <cell r="S323" t="str">
            <v>Edite</v>
          </cell>
          <cell r="T323">
            <v>39431</v>
          </cell>
          <cell r="U323" t="str">
            <v>*</v>
          </cell>
          <cell r="V323" t="str">
            <v>2007-12</v>
          </cell>
          <cell r="AH323" t="str">
            <v/>
          </cell>
          <cell r="AJ323" t="str">
            <v/>
          </cell>
          <cell r="AL323" t="str">
            <v/>
          </cell>
          <cell r="AM323">
            <v>0</v>
          </cell>
          <cell r="AN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</row>
        <row r="324">
          <cell r="C324" t="str">
            <v>MR</v>
          </cell>
          <cell r="H324" t="str">
            <v>10-REQ-IN-402</v>
          </cell>
          <cell r="I324" t="str">
            <v xml:space="preserve">MR for  Instrument Hook up Material </v>
          </cell>
          <cell r="N324">
            <v>6.4999999999999997E-3</v>
          </cell>
          <cell r="P324">
            <v>3.9410799999999995E-4</v>
          </cell>
          <cell r="Q324" t="str">
            <v>V</v>
          </cell>
          <cell r="R324">
            <v>4.4000000000000002E-4</v>
          </cell>
          <cell r="S324" t="str">
            <v>Edite</v>
          </cell>
          <cell r="T324">
            <v>39445</v>
          </cell>
          <cell r="U324" t="str">
            <v>*</v>
          </cell>
          <cell r="V324" t="str">
            <v>2007-12</v>
          </cell>
          <cell r="AH324" t="str">
            <v/>
          </cell>
          <cell r="AJ324" t="str">
            <v/>
          </cell>
          <cell r="AL324" t="str">
            <v/>
          </cell>
          <cell r="AM324">
            <v>0</v>
          </cell>
          <cell r="AN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</row>
        <row r="325">
          <cell r="C325" t="str">
            <v>MR</v>
          </cell>
          <cell r="H325" t="str">
            <v>10-REQ-IN-403</v>
          </cell>
          <cell r="I325" t="str">
            <v>MR for F&amp;G</v>
          </cell>
          <cell r="N325">
            <v>6.4999999999999997E-3</v>
          </cell>
          <cell r="P325">
            <v>3.9410799999999995E-4</v>
          </cell>
          <cell r="Q325" t="str">
            <v>V</v>
          </cell>
          <cell r="R325">
            <v>4.4000000000000002E-4</v>
          </cell>
          <cell r="S325" t="str">
            <v>Edite</v>
          </cell>
          <cell r="T325">
            <v>39428</v>
          </cell>
          <cell r="U325" t="str">
            <v>*</v>
          </cell>
          <cell r="V325" t="str">
            <v>2007-12</v>
          </cell>
          <cell r="AH325" t="str">
            <v/>
          </cell>
          <cell r="AJ325" t="str">
            <v/>
          </cell>
          <cell r="AL325" t="str">
            <v/>
          </cell>
          <cell r="AM325">
            <v>0</v>
          </cell>
          <cell r="AN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</row>
        <row r="326">
          <cell r="C326" t="str">
            <v>MR</v>
          </cell>
          <cell r="H326" t="str">
            <v>10-REQ-IN-404</v>
          </cell>
          <cell r="I326" t="str">
            <v>MR for ESD</v>
          </cell>
          <cell r="N326">
            <v>6.4999999999999997E-3</v>
          </cell>
          <cell r="P326">
            <v>3.9410799999999995E-4</v>
          </cell>
          <cell r="Q326" t="str">
            <v>V</v>
          </cell>
          <cell r="R326">
            <v>4.4000000000000002E-4</v>
          </cell>
          <cell r="S326" t="str">
            <v>Edite</v>
          </cell>
          <cell r="T326">
            <v>39428</v>
          </cell>
          <cell r="U326" t="str">
            <v>*</v>
          </cell>
          <cell r="V326" t="str">
            <v>2007-12</v>
          </cell>
          <cell r="AH326" t="str">
            <v/>
          </cell>
          <cell r="AJ326" t="str">
            <v/>
          </cell>
          <cell r="AL326" t="str">
            <v/>
          </cell>
          <cell r="AM326">
            <v>0</v>
          </cell>
          <cell r="AN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</row>
        <row r="327">
          <cell r="C327" t="str">
            <v>MR</v>
          </cell>
          <cell r="H327" t="str">
            <v>10-REQ-IN-405</v>
          </cell>
          <cell r="I327" t="str">
            <v>MR for DCS</v>
          </cell>
          <cell r="N327">
            <v>1.0800000000000001E-2</v>
          </cell>
          <cell r="P327">
            <v>6.5482560000000003E-4</v>
          </cell>
          <cell r="Q327" t="str">
            <v>V</v>
          </cell>
          <cell r="R327">
            <v>6.9999999999999999E-4</v>
          </cell>
          <cell r="S327" t="str">
            <v>Edite</v>
          </cell>
          <cell r="T327">
            <v>39428</v>
          </cell>
          <cell r="U327" t="str">
            <v>*</v>
          </cell>
          <cell r="V327" t="str">
            <v>2007-12</v>
          </cell>
          <cell r="AH327" t="str">
            <v/>
          </cell>
          <cell r="AJ327" t="str">
            <v/>
          </cell>
          <cell r="AL327" t="str">
            <v/>
          </cell>
          <cell r="AM327">
            <v>0</v>
          </cell>
          <cell r="AN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</row>
        <row r="328">
          <cell r="C328" t="str">
            <v>MR</v>
          </cell>
          <cell r="H328" t="str">
            <v>10-REQ-IN-406</v>
          </cell>
          <cell r="I328" t="str">
            <v>MR for Instrument Valve</v>
          </cell>
          <cell r="N328">
            <v>6.4999999999999997E-3</v>
          </cell>
          <cell r="P328">
            <v>3.9410799999999995E-4</v>
          </cell>
          <cell r="Q328" t="str">
            <v>V</v>
          </cell>
          <cell r="R328">
            <v>4.4000000000000002E-4</v>
          </cell>
          <cell r="S328" t="str">
            <v>Edite</v>
          </cell>
          <cell r="T328">
            <v>39431</v>
          </cell>
          <cell r="U328" t="str">
            <v>*</v>
          </cell>
          <cell r="V328" t="str">
            <v>2007-12</v>
          </cell>
          <cell r="AH328" t="str">
            <v/>
          </cell>
          <cell r="AJ328" t="str">
            <v/>
          </cell>
          <cell r="AL328" t="str">
            <v/>
          </cell>
          <cell r="AM328">
            <v>0</v>
          </cell>
          <cell r="AN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C329" t="str">
            <v>MR</v>
          </cell>
          <cell r="H329" t="str">
            <v>10-REQ-IN-407</v>
          </cell>
          <cell r="I329" t="str">
            <v>MR for Junction Box</v>
          </cell>
          <cell r="N329">
            <v>6.4999999999999997E-3</v>
          </cell>
          <cell r="P329">
            <v>3.9410799999999995E-4</v>
          </cell>
          <cell r="Q329" t="str">
            <v>V</v>
          </cell>
          <cell r="R329">
            <v>4.4000000000000002E-4</v>
          </cell>
          <cell r="S329" t="str">
            <v>Edite</v>
          </cell>
          <cell r="T329">
            <v>39445</v>
          </cell>
          <cell r="U329" t="str">
            <v>*</v>
          </cell>
          <cell r="V329" t="str">
            <v>2007-12</v>
          </cell>
          <cell r="AH329" t="str">
            <v/>
          </cell>
          <cell r="AJ329" t="str">
            <v/>
          </cell>
          <cell r="AL329" t="str">
            <v/>
          </cell>
          <cell r="AM329">
            <v>0</v>
          </cell>
          <cell r="AN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</row>
        <row r="330">
          <cell r="C330" t="str">
            <v>MR</v>
          </cell>
          <cell r="H330" t="str">
            <v>10-REQ-IN-408</v>
          </cell>
          <cell r="I330" t="str">
            <v>MR for Instrument Cable</v>
          </cell>
          <cell r="N330">
            <v>6.4999999999999997E-3</v>
          </cell>
          <cell r="P330">
            <v>3.9410799999999995E-4</v>
          </cell>
          <cell r="Q330" t="str">
            <v>V</v>
          </cell>
          <cell r="R330">
            <v>4.4000000000000002E-4</v>
          </cell>
          <cell r="S330" t="str">
            <v>Edite</v>
          </cell>
          <cell r="T330">
            <v>39445</v>
          </cell>
          <cell r="U330" t="str">
            <v>*</v>
          </cell>
          <cell r="V330" t="str">
            <v>2007-12</v>
          </cell>
          <cell r="AH330" t="str">
            <v/>
          </cell>
          <cell r="AJ330" t="str">
            <v/>
          </cell>
          <cell r="AL330" t="str">
            <v/>
          </cell>
          <cell r="AM330">
            <v>0</v>
          </cell>
          <cell r="AN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</row>
        <row r="331">
          <cell r="C331" t="str">
            <v>MR</v>
          </cell>
          <cell r="H331" t="str">
            <v>10-REQ-IN-409</v>
          </cell>
          <cell r="I331" t="str">
            <v>MR for Instrument Cable Tray,Ladder,Conduit</v>
          </cell>
          <cell r="N331">
            <v>6.4999999999999997E-3</v>
          </cell>
          <cell r="P331">
            <v>3.9410799999999995E-4</v>
          </cell>
          <cell r="Q331" t="str">
            <v>V</v>
          </cell>
          <cell r="R331">
            <v>4.4000000000000002E-4</v>
          </cell>
          <cell r="S331" t="str">
            <v>Edite</v>
          </cell>
          <cell r="T331">
            <v>39445</v>
          </cell>
          <cell r="U331" t="str">
            <v>*</v>
          </cell>
          <cell r="V331" t="str">
            <v>2007-12</v>
          </cell>
          <cell r="AH331" t="str">
            <v/>
          </cell>
          <cell r="AJ331" t="str">
            <v/>
          </cell>
          <cell r="AL331" t="str">
            <v/>
          </cell>
          <cell r="AM331">
            <v>0</v>
          </cell>
          <cell r="AN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</row>
        <row r="332">
          <cell r="C332" t="str">
            <v>MR</v>
          </cell>
          <cell r="H332" t="str">
            <v>10-TBA-IN-406</v>
          </cell>
          <cell r="I332" t="str">
            <v>TBA for Instrument valve</v>
          </cell>
          <cell r="N332">
            <v>3.44E-2</v>
          </cell>
          <cell r="P332">
            <v>2.0857407999999998E-3</v>
          </cell>
          <cell r="Q332" t="str">
            <v>L</v>
          </cell>
          <cell r="R332">
            <v>8.0000000000000004E-4</v>
          </cell>
          <cell r="S332" t="str">
            <v>Edite</v>
          </cell>
          <cell r="T332">
            <v>39487</v>
          </cell>
          <cell r="V332" t="str">
            <v>2008-02</v>
          </cell>
          <cell r="AM332">
            <v>0</v>
          </cell>
          <cell r="AN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</row>
        <row r="333">
          <cell r="C333" t="str">
            <v>MR</v>
          </cell>
          <cell r="H333" t="str">
            <v>10-TBA-IN-407</v>
          </cell>
          <cell r="I333" t="str">
            <v>TBA for Junction Boxes</v>
          </cell>
          <cell r="N333">
            <v>3.44E-2</v>
          </cell>
          <cell r="P333">
            <v>2.0857407999999998E-3</v>
          </cell>
          <cell r="Q333" t="str">
            <v>L</v>
          </cell>
          <cell r="R333">
            <v>5.0000000000000001E-4</v>
          </cell>
          <cell r="S333" t="str">
            <v>Edite</v>
          </cell>
          <cell r="T333">
            <v>39487</v>
          </cell>
          <cell r="V333" t="str">
            <v>2008-02</v>
          </cell>
          <cell r="AM333">
            <v>0</v>
          </cell>
          <cell r="AN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</row>
        <row r="334">
          <cell r="C334" t="str">
            <v>MR</v>
          </cell>
          <cell r="H334" t="str">
            <v>10-TBA-IN-408</v>
          </cell>
          <cell r="I334" t="str">
            <v>TBA for Instrument Cable</v>
          </cell>
          <cell r="N334">
            <v>3.44E-2</v>
          </cell>
          <cell r="P334">
            <v>2.0857407999999998E-3</v>
          </cell>
          <cell r="Q334" t="str">
            <v>L</v>
          </cell>
          <cell r="R334">
            <v>5.0000000000000001E-4</v>
          </cell>
          <cell r="S334" t="str">
            <v>Edite</v>
          </cell>
          <cell r="T334">
            <v>39487</v>
          </cell>
          <cell r="V334" t="str">
            <v>2008-02</v>
          </cell>
          <cell r="AM334">
            <v>0</v>
          </cell>
          <cell r="AN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</row>
        <row r="335">
          <cell r="C335" t="str">
            <v>MR</v>
          </cell>
          <cell r="H335" t="str">
            <v>10-TBA-IN-409</v>
          </cell>
          <cell r="I335" t="str">
            <v>TBA for Instrument Cable Tray Ladder Conduit</v>
          </cell>
          <cell r="N335">
            <v>3.44E-2</v>
          </cell>
          <cell r="P335">
            <v>2.0857407999999998E-3</v>
          </cell>
          <cell r="Q335" t="str">
            <v>L</v>
          </cell>
          <cell r="R335">
            <v>5.0000000000000001E-4</v>
          </cell>
          <cell r="S335" t="str">
            <v>Edite</v>
          </cell>
          <cell r="T335">
            <v>39487</v>
          </cell>
          <cell r="V335" t="str">
            <v>2008-02</v>
          </cell>
          <cell r="AM335">
            <v>0</v>
          </cell>
          <cell r="AN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</row>
        <row r="336">
          <cell r="C336" t="str">
            <v>MR</v>
          </cell>
          <cell r="H336" t="str">
            <v>10-TBA-IN-405</v>
          </cell>
          <cell r="I336" t="str">
            <v>TBA for DCS</v>
          </cell>
          <cell r="N336">
            <v>2.58E-2</v>
          </cell>
          <cell r="P336">
            <v>1.5643056E-3</v>
          </cell>
          <cell r="Q336" t="str">
            <v>L</v>
          </cell>
          <cell r="R336">
            <v>1.4E-3</v>
          </cell>
          <cell r="S336" t="str">
            <v>Edite</v>
          </cell>
          <cell r="T336">
            <v>39487</v>
          </cell>
          <cell r="V336" t="str">
            <v>2008-02</v>
          </cell>
          <cell r="AH336" t="str">
            <v/>
          </cell>
          <cell r="AJ336" t="str">
            <v/>
          </cell>
          <cell r="AL336" t="str">
            <v/>
          </cell>
          <cell r="AM336">
            <v>0</v>
          </cell>
          <cell r="AN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</row>
        <row r="337">
          <cell r="C337" t="str">
            <v>MR</v>
          </cell>
          <cell r="H337" t="str">
            <v>10-TBA-IN-404</v>
          </cell>
          <cell r="I337" t="str">
            <v>TBA for ESD</v>
          </cell>
          <cell r="N337">
            <v>2.1499999999999998E-2</v>
          </cell>
          <cell r="P337">
            <v>1.3035879999999998E-3</v>
          </cell>
          <cell r="Q337" t="str">
            <v>L</v>
          </cell>
          <cell r="R337">
            <v>1.1999999999999999E-3</v>
          </cell>
          <cell r="S337" t="str">
            <v>Edite</v>
          </cell>
          <cell r="T337">
            <v>39487</v>
          </cell>
          <cell r="V337" t="str">
            <v>2008-02</v>
          </cell>
          <cell r="AH337" t="str">
            <v/>
          </cell>
          <cell r="AJ337" t="str">
            <v/>
          </cell>
          <cell r="AL337" t="str">
            <v/>
          </cell>
          <cell r="AM337">
            <v>0</v>
          </cell>
          <cell r="AN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</row>
        <row r="338">
          <cell r="C338" t="str">
            <v>TBA</v>
          </cell>
          <cell r="H338" t="str">
            <v>10-TBA-IN-403</v>
          </cell>
          <cell r="I338" t="str">
            <v>TBA for F&amp;G</v>
          </cell>
          <cell r="N338">
            <v>1.7100000000000001E-2</v>
          </cell>
          <cell r="P338">
            <v>1.0368072000000001E-3</v>
          </cell>
          <cell r="Q338" t="str">
            <v>L</v>
          </cell>
          <cell r="R338">
            <v>8.0000000000000004E-4</v>
          </cell>
          <cell r="S338" t="str">
            <v>Edite</v>
          </cell>
          <cell r="T338">
            <v>39487</v>
          </cell>
          <cell r="V338" t="str">
            <v>2008-02</v>
          </cell>
          <cell r="AH338" t="str">
            <v/>
          </cell>
          <cell r="AJ338" t="str">
            <v/>
          </cell>
          <cell r="AL338" t="str">
            <v/>
          </cell>
          <cell r="AM338">
            <v>0</v>
          </cell>
          <cell r="AN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</row>
        <row r="339">
          <cell r="C339" t="str">
            <v>TBA</v>
          </cell>
          <cell r="H339" t="str">
            <v>10-TBA-IN-402</v>
          </cell>
          <cell r="I339" t="str">
            <v>TBA for Instrument Hook up Material</v>
          </cell>
          <cell r="N339">
            <v>3.44E-2</v>
          </cell>
          <cell r="P339">
            <v>2.0857407999999998E-3</v>
          </cell>
          <cell r="Q339" t="str">
            <v>L</v>
          </cell>
          <cell r="R339">
            <v>5.0000000000000001E-4</v>
          </cell>
          <cell r="S339" t="str">
            <v>Edite</v>
          </cell>
          <cell r="T339">
            <v>39487</v>
          </cell>
          <cell r="V339" t="str">
            <v>2008-02</v>
          </cell>
          <cell r="AM339">
            <v>0</v>
          </cell>
          <cell r="AN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</row>
        <row r="340">
          <cell r="C340" t="str">
            <v>TBA</v>
          </cell>
          <cell r="H340" t="str">
            <v>10-TBA-IN-401</v>
          </cell>
          <cell r="I340" t="str">
            <v>TBA for Field Instrument /Analyzer</v>
          </cell>
          <cell r="N340">
            <v>8.6E-3</v>
          </cell>
          <cell r="P340">
            <v>5.2143519999999996E-4</v>
          </cell>
          <cell r="Q340" t="str">
            <v>L</v>
          </cell>
          <cell r="R340">
            <v>6.9999999999999999E-4</v>
          </cell>
          <cell r="S340" t="str">
            <v>Edite</v>
          </cell>
          <cell r="T340">
            <v>39487</v>
          </cell>
          <cell r="V340" t="str">
            <v>2008-02</v>
          </cell>
          <cell r="AH340" t="str">
            <v/>
          </cell>
          <cell r="AJ340" t="str">
            <v/>
          </cell>
          <cell r="AL340" t="str">
            <v/>
          </cell>
          <cell r="AM340">
            <v>0</v>
          </cell>
          <cell r="AN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</row>
        <row r="341">
          <cell r="C341" t="str">
            <v>VDT</v>
          </cell>
          <cell r="H341" t="str">
            <v>10-XX-VDT-IN-0064</v>
          </cell>
          <cell r="I341" t="str">
            <v>Vendor  Technical Dwg.,Catalouge,Documents Including Operation, Configuration ,Programming and Maintenance  Manual</v>
          </cell>
          <cell r="N341">
            <v>2.1499999999999998E-2</v>
          </cell>
          <cell r="P341">
            <v>1.3035879999999998E-3</v>
          </cell>
          <cell r="Q341" t="str">
            <v>L</v>
          </cell>
          <cell r="R341">
            <v>3.8999999999999998E-3</v>
          </cell>
          <cell r="S341" t="str">
            <v>Edite</v>
          </cell>
          <cell r="T341">
            <v>39487</v>
          </cell>
          <cell r="V341" t="str">
            <v>2008-02</v>
          </cell>
          <cell r="AH341" t="str">
            <v/>
          </cell>
          <cell r="AJ341" t="str">
            <v/>
          </cell>
          <cell r="AL341" t="str">
            <v/>
          </cell>
          <cell r="AM341">
            <v>0</v>
          </cell>
          <cell r="AN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</row>
        <row r="342">
          <cell r="G342" t="str">
            <v>Inside Package Units</v>
          </cell>
          <cell r="M342">
            <v>0.311</v>
          </cell>
          <cell r="N342">
            <v>1.0004</v>
          </cell>
          <cell r="P342">
            <v>2.7368E-2</v>
          </cell>
          <cell r="R342">
            <v>3.311999999999999E-2</v>
          </cell>
          <cell r="T342" t="str">
            <v>.</v>
          </cell>
          <cell r="U342" t="str">
            <v>.</v>
          </cell>
          <cell r="V342" t="str">
            <v>.</v>
          </cell>
          <cell r="AG342" t="str">
            <v>.</v>
          </cell>
          <cell r="AM342">
            <v>0</v>
          </cell>
          <cell r="AN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</row>
        <row r="343">
          <cell r="C343" t="str">
            <v>LIS</v>
          </cell>
          <cell r="H343" t="str">
            <v>10-XX-LST-IN-0070</v>
          </cell>
          <cell r="I343" t="str">
            <v>I/O List for Control / Protection System</v>
          </cell>
          <cell r="N343">
            <v>3.5000000000000003E-2</v>
          </cell>
          <cell r="P343">
            <v>9.5788000000000004E-4</v>
          </cell>
          <cell r="Q343" t="str">
            <v>L</v>
          </cell>
          <cell r="R343">
            <v>1.2999999999999999E-3</v>
          </cell>
          <cell r="T343">
            <v>39467</v>
          </cell>
          <cell r="V343" t="str">
            <v>2008-01</v>
          </cell>
          <cell r="AH343" t="str">
            <v/>
          </cell>
          <cell r="AJ343" t="str">
            <v/>
          </cell>
          <cell r="AL343" t="str">
            <v/>
          </cell>
          <cell r="AM343">
            <v>0</v>
          </cell>
          <cell r="AN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</row>
        <row r="344">
          <cell r="C344" t="str">
            <v>LIS</v>
          </cell>
          <cell r="H344" t="str">
            <v>10-XX-LST-IN-0071</v>
          </cell>
          <cell r="I344" t="str">
            <v>Alarm &amp; Set  Point List</v>
          </cell>
          <cell r="N344">
            <v>3.5000000000000003E-2</v>
          </cell>
          <cell r="P344">
            <v>9.5788000000000004E-4</v>
          </cell>
          <cell r="Q344" t="str">
            <v>L</v>
          </cell>
          <cell r="R344">
            <v>1.2999999999999999E-3</v>
          </cell>
          <cell r="T344">
            <v>39467</v>
          </cell>
          <cell r="V344" t="str">
            <v>2008-01</v>
          </cell>
          <cell r="AH344" t="str">
            <v/>
          </cell>
          <cell r="AJ344" t="str">
            <v/>
          </cell>
          <cell r="AL344" t="str">
            <v/>
          </cell>
          <cell r="AM344">
            <v>0</v>
          </cell>
          <cell r="AN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</row>
        <row r="345">
          <cell r="C345" t="str">
            <v>DWG</v>
          </cell>
          <cell r="H345" t="str">
            <v>10-XX-A3-IN-0009</v>
          </cell>
          <cell r="I345" t="str">
            <v>Cause &amp; Effect for Control / Protection System</v>
          </cell>
          <cell r="N345">
            <v>3.5000000000000003E-2</v>
          </cell>
          <cell r="P345">
            <v>9.5788000000000004E-4</v>
          </cell>
          <cell r="Q345" t="str">
            <v>L</v>
          </cell>
          <cell r="R345">
            <v>1.2999999999999999E-3</v>
          </cell>
          <cell r="T345">
            <v>39467</v>
          </cell>
          <cell r="V345" t="str">
            <v>2008-01</v>
          </cell>
          <cell r="AH345" t="str">
            <v/>
          </cell>
          <cell r="AJ345" t="str">
            <v/>
          </cell>
          <cell r="AL345" t="str">
            <v/>
          </cell>
          <cell r="AM345">
            <v>0</v>
          </cell>
          <cell r="AN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</row>
        <row r="346">
          <cell r="C346" t="str">
            <v>lis</v>
          </cell>
          <cell r="H346" t="str">
            <v>10-XX-LST-IN-0072</v>
          </cell>
          <cell r="I346" t="str">
            <v>Instrument List</v>
          </cell>
          <cell r="N346">
            <v>3.5000000000000003E-2</v>
          </cell>
          <cell r="P346">
            <v>9.5788000000000004E-4</v>
          </cell>
          <cell r="Q346" t="str">
            <v>L</v>
          </cell>
          <cell r="R346">
            <v>1.2999999999999999E-3</v>
          </cell>
          <cell r="T346">
            <v>39479</v>
          </cell>
          <cell r="V346" t="str">
            <v>2008-02</v>
          </cell>
          <cell r="AH346" t="str">
            <v/>
          </cell>
          <cell r="AJ346" t="str">
            <v/>
          </cell>
          <cell r="AL346" t="str">
            <v/>
          </cell>
          <cell r="AM346">
            <v>0</v>
          </cell>
          <cell r="AN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</row>
        <row r="347">
          <cell r="C347" t="str">
            <v>DSH</v>
          </cell>
          <cell r="H347" t="str">
            <v>10-XX-DSH-IN-0073</v>
          </cell>
          <cell r="I347" t="str">
            <v>Data Sheet for Analyzer</v>
          </cell>
          <cell r="N347">
            <v>2.86E-2</v>
          </cell>
          <cell r="P347">
            <v>7.827248E-4</v>
          </cell>
          <cell r="Q347" t="str">
            <v>L</v>
          </cell>
          <cell r="R347">
            <v>8.0000000000000004E-4</v>
          </cell>
          <cell r="T347">
            <v>39479</v>
          </cell>
          <cell r="V347" t="str">
            <v>2008-02</v>
          </cell>
          <cell r="AH347" t="str">
            <v/>
          </cell>
          <cell r="AJ347" t="str">
            <v/>
          </cell>
          <cell r="AL347" t="str">
            <v/>
          </cell>
          <cell r="AM347">
            <v>0</v>
          </cell>
          <cell r="AN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</row>
        <row r="348">
          <cell r="C348" t="str">
            <v>DSH</v>
          </cell>
          <cell r="H348" t="str">
            <v>10-XX-DSH-IN-0074</v>
          </cell>
          <cell r="I348" t="str">
            <v>Data Sheet for Control Valve</v>
          </cell>
          <cell r="N348">
            <v>2.86E-2</v>
          </cell>
          <cell r="P348">
            <v>7.827248E-4</v>
          </cell>
          <cell r="Q348" t="str">
            <v>L</v>
          </cell>
          <cell r="R348">
            <v>8.0000000000000004E-4</v>
          </cell>
          <cell r="T348">
            <v>39479</v>
          </cell>
          <cell r="V348" t="str">
            <v>2008-02</v>
          </cell>
          <cell r="AH348" t="str">
            <v/>
          </cell>
          <cell r="AJ348" t="str">
            <v/>
          </cell>
          <cell r="AL348" t="str">
            <v/>
          </cell>
          <cell r="AM348">
            <v>0</v>
          </cell>
          <cell r="AN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</row>
        <row r="349">
          <cell r="C349" t="str">
            <v>DSH</v>
          </cell>
          <cell r="H349" t="str">
            <v>10-XX-DSH-IN-0075</v>
          </cell>
          <cell r="I349" t="str">
            <v>Data Sheet for Flow Instrument</v>
          </cell>
          <cell r="N349">
            <v>2.86E-2</v>
          </cell>
          <cell r="P349">
            <v>7.827248E-4</v>
          </cell>
          <cell r="Q349" t="str">
            <v>L</v>
          </cell>
          <cell r="R349">
            <v>8.0000000000000004E-4</v>
          </cell>
          <cell r="T349">
            <v>39479</v>
          </cell>
          <cell r="V349" t="str">
            <v>2008-02</v>
          </cell>
          <cell r="AH349" t="str">
            <v/>
          </cell>
          <cell r="AJ349" t="str">
            <v/>
          </cell>
          <cell r="AL349" t="str">
            <v/>
          </cell>
          <cell r="AM349">
            <v>0</v>
          </cell>
          <cell r="AN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</row>
        <row r="350">
          <cell r="C350" t="str">
            <v>DSH</v>
          </cell>
          <cell r="H350" t="str">
            <v>10-XX-DSH-IN-0076</v>
          </cell>
          <cell r="I350" t="str">
            <v>Data Sheet for Level Instrument</v>
          </cell>
          <cell r="N350">
            <v>2.86E-2</v>
          </cell>
          <cell r="P350">
            <v>7.827248E-4</v>
          </cell>
          <cell r="Q350" t="str">
            <v>L</v>
          </cell>
          <cell r="R350">
            <v>8.0000000000000004E-4</v>
          </cell>
          <cell r="T350">
            <v>39479</v>
          </cell>
          <cell r="V350" t="str">
            <v>2008-02</v>
          </cell>
          <cell r="AH350" t="str">
            <v/>
          </cell>
          <cell r="AJ350" t="str">
            <v/>
          </cell>
          <cell r="AL350" t="str">
            <v/>
          </cell>
          <cell r="AM350">
            <v>0</v>
          </cell>
          <cell r="AN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</row>
        <row r="351">
          <cell r="C351" t="str">
            <v>DSH</v>
          </cell>
          <cell r="H351" t="str">
            <v>10-XX-DSH-IN-0077</v>
          </cell>
          <cell r="I351" t="str">
            <v>Data Sheet for Temperature Instrument</v>
          </cell>
          <cell r="N351">
            <v>2.86E-2</v>
          </cell>
          <cell r="P351">
            <v>7.827248E-4</v>
          </cell>
          <cell r="Q351" t="str">
            <v>L</v>
          </cell>
          <cell r="R351">
            <v>8.0000000000000004E-4</v>
          </cell>
          <cell r="T351">
            <v>39479</v>
          </cell>
          <cell r="V351" t="str">
            <v>2008-02</v>
          </cell>
          <cell r="AH351" t="str">
            <v/>
          </cell>
          <cell r="AJ351" t="str">
            <v/>
          </cell>
          <cell r="AL351" t="str">
            <v/>
          </cell>
          <cell r="AM351">
            <v>0</v>
          </cell>
          <cell r="AN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</row>
        <row r="352">
          <cell r="C352" t="str">
            <v>DSH</v>
          </cell>
          <cell r="H352" t="str">
            <v>10-XX-DSH-IN-0078</v>
          </cell>
          <cell r="I352" t="str">
            <v>Data Sheet for Pressure Instrument</v>
          </cell>
          <cell r="N352">
            <v>2.86E-2</v>
          </cell>
          <cell r="P352">
            <v>7.827248E-4</v>
          </cell>
          <cell r="Q352" t="str">
            <v>L</v>
          </cell>
          <cell r="R352">
            <v>8.0000000000000004E-4</v>
          </cell>
          <cell r="T352">
            <v>39479</v>
          </cell>
          <cell r="V352" t="str">
            <v>2008-02</v>
          </cell>
          <cell r="AH352" t="str">
            <v/>
          </cell>
          <cell r="AJ352" t="str">
            <v/>
          </cell>
          <cell r="AL352" t="str">
            <v/>
          </cell>
          <cell r="AM352">
            <v>0</v>
          </cell>
          <cell r="AN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</row>
        <row r="353">
          <cell r="C353" t="str">
            <v>DSH</v>
          </cell>
          <cell r="H353" t="str">
            <v>10-XX-DSH-IN-0079</v>
          </cell>
          <cell r="I353" t="str">
            <v xml:space="preserve">Data Sheet for ON/OFF Valve </v>
          </cell>
          <cell r="N353">
            <v>2.86E-2</v>
          </cell>
          <cell r="P353">
            <v>7.827248E-4</v>
          </cell>
          <cell r="Q353" t="str">
            <v>L</v>
          </cell>
          <cell r="R353">
            <v>8.0000000000000004E-4</v>
          </cell>
          <cell r="T353">
            <v>39479</v>
          </cell>
          <cell r="V353" t="str">
            <v>2008-02</v>
          </cell>
          <cell r="AH353" t="str">
            <v/>
          </cell>
          <cell r="AJ353" t="str">
            <v/>
          </cell>
          <cell r="AL353" t="str">
            <v/>
          </cell>
          <cell r="AM353">
            <v>0</v>
          </cell>
          <cell r="AN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</row>
        <row r="354">
          <cell r="C354" t="str">
            <v>DSH</v>
          </cell>
          <cell r="H354" t="str">
            <v>10-XX-DSH-IN-0080</v>
          </cell>
          <cell r="I354" t="str">
            <v xml:space="preserve">Data Sheet for MOV </v>
          </cell>
          <cell r="N354">
            <v>2.86E-2</v>
          </cell>
          <cell r="P354">
            <v>7.827248E-4</v>
          </cell>
          <cell r="Q354" t="str">
            <v>L</v>
          </cell>
          <cell r="R354">
            <v>8.0000000000000004E-4</v>
          </cell>
          <cell r="T354">
            <v>39479</v>
          </cell>
          <cell r="V354" t="str">
            <v>2008-02</v>
          </cell>
          <cell r="AH354" t="str">
            <v/>
          </cell>
          <cell r="AJ354" t="str">
            <v/>
          </cell>
          <cell r="AL354" t="str">
            <v/>
          </cell>
          <cell r="AM354">
            <v>0</v>
          </cell>
          <cell r="AN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</row>
        <row r="355">
          <cell r="C355" t="str">
            <v>DSH</v>
          </cell>
          <cell r="H355" t="str">
            <v>10-XX-DSH-IN-0081</v>
          </cell>
          <cell r="I355" t="str">
            <v>Data Sheet for Regulator</v>
          </cell>
          <cell r="N355">
            <v>2.86E-2</v>
          </cell>
          <cell r="P355">
            <v>7.827248E-4</v>
          </cell>
          <cell r="Q355" t="str">
            <v>L</v>
          </cell>
          <cell r="R355">
            <v>8.0000000000000004E-4</v>
          </cell>
          <cell r="T355">
            <v>39479</v>
          </cell>
          <cell r="V355" t="str">
            <v>2008-02</v>
          </cell>
          <cell r="AH355" t="str">
            <v/>
          </cell>
          <cell r="AJ355" t="str">
            <v/>
          </cell>
          <cell r="AL355" t="str">
            <v/>
          </cell>
          <cell r="AM355">
            <v>0</v>
          </cell>
          <cell r="AN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</row>
        <row r="356">
          <cell r="C356" t="str">
            <v>DSH</v>
          </cell>
          <cell r="H356" t="str">
            <v>10-XX-DSH-IN-0082</v>
          </cell>
          <cell r="I356" t="str">
            <v>Data Sheet for Safety Valve</v>
          </cell>
          <cell r="N356">
            <v>2.86E-2</v>
          </cell>
          <cell r="P356">
            <v>7.827248E-4</v>
          </cell>
          <cell r="Q356" t="str">
            <v>L</v>
          </cell>
          <cell r="R356">
            <v>8.0000000000000004E-4</v>
          </cell>
          <cell r="T356">
            <v>39479</v>
          </cell>
          <cell r="V356" t="str">
            <v>2008-02</v>
          </cell>
          <cell r="AH356" t="str">
            <v/>
          </cell>
          <cell r="AJ356" t="str">
            <v/>
          </cell>
          <cell r="AL356" t="str">
            <v/>
          </cell>
          <cell r="AM356">
            <v>0</v>
          </cell>
          <cell r="AN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</row>
        <row r="357">
          <cell r="C357" t="str">
            <v>dwg</v>
          </cell>
          <cell r="H357" t="str">
            <v>10-XX-A2-IN-0010</v>
          </cell>
          <cell r="I357" t="str">
            <v>Instrument Location  Layout</v>
          </cell>
          <cell r="N357">
            <v>5.7099999999999998E-2</v>
          </cell>
          <cell r="P357">
            <v>1.5627128E-3</v>
          </cell>
          <cell r="Q357" t="str">
            <v>L</v>
          </cell>
          <cell r="R357">
            <v>1.4E-3</v>
          </cell>
          <cell r="T357">
            <v>39488</v>
          </cell>
          <cell r="V357" t="str">
            <v>2008-02</v>
          </cell>
          <cell r="AH357" t="str">
            <v/>
          </cell>
          <cell r="AJ357" t="str">
            <v/>
          </cell>
          <cell r="AL357" t="str">
            <v/>
          </cell>
          <cell r="AM357">
            <v>0</v>
          </cell>
          <cell r="AN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</row>
        <row r="358">
          <cell r="C358" t="str">
            <v>dwg</v>
          </cell>
          <cell r="H358" t="str">
            <v>10-XX-A2-IN-0011</v>
          </cell>
          <cell r="I358" t="str">
            <v>Instrument Cable Route Layout</v>
          </cell>
          <cell r="N358">
            <v>5.7099999999999998E-2</v>
          </cell>
          <cell r="P358">
            <v>1.5627128E-3</v>
          </cell>
          <cell r="Q358" t="str">
            <v>L</v>
          </cell>
          <cell r="R358">
            <v>1.4E-3</v>
          </cell>
          <cell r="T358">
            <v>39488</v>
          </cell>
          <cell r="V358" t="str">
            <v>2008-02</v>
          </cell>
          <cell r="AH358" t="str">
            <v/>
          </cell>
          <cell r="AJ358" t="str">
            <v/>
          </cell>
          <cell r="AL358" t="str">
            <v/>
          </cell>
          <cell r="AM358">
            <v>0</v>
          </cell>
          <cell r="AN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</row>
        <row r="359">
          <cell r="C359" t="str">
            <v>dwg</v>
          </cell>
          <cell r="H359" t="str">
            <v>10-XX-A2-IN-0012</v>
          </cell>
          <cell r="I359" t="str">
            <v>Instrument Junction Box / Local Panel Connection Dwg.</v>
          </cell>
          <cell r="N359">
            <v>5.5100000000000003E-2</v>
          </cell>
          <cell r="P359">
            <v>1.5079768000000001E-3</v>
          </cell>
          <cell r="Q359" t="str">
            <v>L</v>
          </cell>
          <cell r="R359">
            <v>1.4E-3</v>
          </cell>
          <cell r="T359">
            <v>39484</v>
          </cell>
          <cell r="V359" t="str">
            <v>2008-02</v>
          </cell>
          <cell r="AH359" t="str">
            <v/>
          </cell>
          <cell r="AJ359" t="str">
            <v/>
          </cell>
          <cell r="AL359" t="str">
            <v/>
          </cell>
          <cell r="AM359">
            <v>0</v>
          </cell>
          <cell r="AN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</row>
        <row r="360">
          <cell r="C360" t="str">
            <v>dwg</v>
          </cell>
          <cell r="H360" t="str">
            <v>10-XX-SDG-IN-0013</v>
          </cell>
          <cell r="I360" t="str">
            <v>Instrument Process  Hook up  Dwg.</v>
          </cell>
          <cell r="N360">
            <v>0.04</v>
          </cell>
          <cell r="P360">
            <v>1.09472E-3</v>
          </cell>
          <cell r="Q360" t="str">
            <v>L</v>
          </cell>
          <cell r="R360">
            <v>1.4E-3</v>
          </cell>
          <cell r="T360">
            <v>39486</v>
          </cell>
          <cell r="V360" t="str">
            <v>2008-02</v>
          </cell>
          <cell r="AH360" t="str">
            <v/>
          </cell>
          <cell r="AJ360" t="str">
            <v/>
          </cell>
          <cell r="AL360" t="str">
            <v/>
          </cell>
          <cell r="AM360">
            <v>0</v>
          </cell>
          <cell r="AN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</row>
        <row r="361">
          <cell r="C361" t="str">
            <v>dwg</v>
          </cell>
          <cell r="H361" t="str">
            <v>10-XX-SDG-IN-0014</v>
          </cell>
          <cell r="I361" t="str">
            <v>Instrument Air Hook up Dwg.</v>
          </cell>
          <cell r="N361">
            <v>5.7099999999999998E-2</v>
          </cell>
          <cell r="P361">
            <v>1.5627128E-3</v>
          </cell>
          <cell r="Q361" t="str">
            <v>L</v>
          </cell>
          <cell r="R361">
            <v>1.4E-3</v>
          </cell>
          <cell r="T361">
            <v>39486</v>
          </cell>
          <cell r="V361" t="str">
            <v>2008-02</v>
          </cell>
          <cell r="AH361" t="str">
            <v/>
          </cell>
          <cell r="AJ361" t="str">
            <v/>
          </cell>
          <cell r="AL361" t="str">
            <v/>
          </cell>
          <cell r="AM361">
            <v>0</v>
          </cell>
          <cell r="AN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</row>
        <row r="362">
          <cell r="C362" t="str">
            <v>dwg</v>
          </cell>
          <cell r="H362" t="str">
            <v>10-XX-IND-IN-0083</v>
          </cell>
          <cell r="I362" t="str">
            <v>Instrument Installation  Dwg.</v>
          </cell>
          <cell r="N362">
            <v>2.86E-2</v>
          </cell>
          <cell r="P362">
            <v>7.827248E-4</v>
          </cell>
          <cell r="Q362" t="str">
            <v>L</v>
          </cell>
          <cell r="R362">
            <v>8.0000000000000004E-4</v>
          </cell>
          <cell r="T362">
            <v>39486</v>
          </cell>
          <cell r="V362" t="str">
            <v>2008-02</v>
          </cell>
          <cell r="AH362" t="str">
            <v/>
          </cell>
          <cell r="AJ362" t="str">
            <v/>
          </cell>
          <cell r="AL362" t="str">
            <v/>
          </cell>
          <cell r="AM362">
            <v>0</v>
          </cell>
          <cell r="AN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</row>
        <row r="363">
          <cell r="C363" t="str">
            <v>lis</v>
          </cell>
          <cell r="H363" t="str">
            <v>10-XX-SCH-IN-0084</v>
          </cell>
          <cell r="I363" t="str">
            <v>Cable List and Schedule</v>
          </cell>
          <cell r="N363">
            <v>2.86E-2</v>
          </cell>
          <cell r="P363">
            <v>7.827248E-4</v>
          </cell>
          <cell r="Q363" t="str">
            <v>L</v>
          </cell>
          <cell r="R363">
            <v>8.0000000000000004E-4</v>
          </cell>
          <cell r="T363">
            <v>39486</v>
          </cell>
          <cell r="V363" t="str">
            <v>2008-02</v>
          </cell>
          <cell r="AH363" t="str">
            <v/>
          </cell>
          <cell r="AJ363" t="str">
            <v/>
          </cell>
          <cell r="AL363" t="str">
            <v/>
          </cell>
          <cell r="AM363">
            <v>0</v>
          </cell>
          <cell r="AN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</row>
        <row r="364">
          <cell r="C364" t="str">
            <v>CLS</v>
          </cell>
          <cell r="H364" t="str">
            <v>10-XX-CSH-IN-0085</v>
          </cell>
          <cell r="I364" t="str">
            <v>Control Valve and Regulator Calculation Sheet</v>
          </cell>
          <cell r="N364">
            <v>2.86E-2</v>
          </cell>
          <cell r="P364">
            <v>7.827248E-4</v>
          </cell>
          <cell r="Q364" t="str">
            <v>L</v>
          </cell>
          <cell r="R364">
            <v>8.0000000000000004E-4</v>
          </cell>
          <cell r="T364">
            <v>39488</v>
          </cell>
          <cell r="V364" t="str">
            <v>2008-02</v>
          </cell>
          <cell r="AH364" t="str">
            <v/>
          </cell>
          <cell r="AJ364" t="str">
            <v/>
          </cell>
          <cell r="AL364" t="str">
            <v/>
          </cell>
          <cell r="AM364">
            <v>0</v>
          </cell>
          <cell r="AN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</row>
        <row r="365">
          <cell r="C365" t="str">
            <v>CLS</v>
          </cell>
          <cell r="H365" t="str">
            <v>10-XX-CSH-IN-0086</v>
          </cell>
          <cell r="I365" t="str">
            <v>Safety Valve Calculation Sheet</v>
          </cell>
          <cell r="N365">
            <v>2.86E-2</v>
          </cell>
          <cell r="P365">
            <v>7.827248E-4</v>
          </cell>
          <cell r="Q365" t="str">
            <v>L</v>
          </cell>
          <cell r="R365">
            <v>8.0000000000000004E-4</v>
          </cell>
          <cell r="T365">
            <v>39488</v>
          </cell>
          <cell r="V365" t="str">
            <v>2008-02</v>
          </cell>
          <cell r="AH365" t="str">
            <v/>
          </cell>
          <cell r="AJ365" t="str">
            <v/>
          </cell>
          <cell r="AL365" t="str">
            <v/>
          </cell>
          <cell r="AM365">
            <v>0</v>
          </cell>
          <cell r="AN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</row>
        <row r="366">
          <cell r="C366" t="str">
            <v>CLS</v>
          </cell>
          <cell r="H366" t="str">
            <v>10-XX-CSH-IN-0087</v>
          </cell>
          <cell r="I366" t="str">
            <v>Orifice Plate /Restriction Orifice Calculation Sheet</v>
          </cell>
          <cell r="N366">
            <v>2.86E-2</v>
          </cell>
          <cell r="P366">
            <v>7.827248E-4</v>
          </cell>
          <cell r="Q366" t="str">
            <v>L</v>
          </cell>
          <cell r="R366">
            <v>8.0000000000000004E-4</v>
          </cell>
          <cell r="T366">
            <v>39488</v>
          </cell>
          <cell r="V366" t="str">
            <v>2008-02</v>
          </cell>
          <cell r="AH366" t="str">
            <v/>
          </cell>
          <cell r="AJ366" t="str">
            <v/>
          </cell>
          <cell r="AL366" t="str">
            <v/>
          </cell>
          <cell r="AM366">
            <v>0</v>
          </cell>
          <cell r="AN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</row>
        <row r="367">
          <cell r="C367" t="str">
            <v>LIS</v>
          </cell>
          <cell r="H367" t="str">
            <v>10-XX-LST-IN-0001</v>
          </cell>
          <cell r="I367" t="str">
            <v>Interface Single list</v>
          </cell>
          <cell r="N367">
            <v>2.9000000000000001E-2</v>
          </cell>
          <cell r="P367">
            <v>7.9367200000000004E-4</v>
          </cell>
          <cell r="Q367" t="str">
            <v>L</v>
          </cell>
          <cell r="R367">
            <v>5.0000000000000001E-4</v>
          </cell>
          <cell r="T367">
            <v>39498</v>
          </cell>
          <cell r="V367" t="str">
            <v>2008-02</v>
          </cell>
          <cell r="AM367">
            <v>0</v>
          </cell>
          <cell r="AN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</row>
        <row r="368">
          <cell r="C368" t="str">
            <v>DIG</v>
          </cell>
          <cell r="H368" t="str">
            <v>10-XX-DIG-IN-0025</v>
          </cell>
          <cell r="I368" t="str">
            <v>Loop Diagram for PLC</v>
          </cell>
          <cell r="N368">
            <v>2.9000000000000001E-2</v>
          </cell>
          <cell r="P368">
            <v>7.9367200000000004E-4</v>
          </cell>
          <cell r="Q368" t="str">
            <v>L</v>
          </cell>
          <cell r="R368">
            <v>1.4E-3</v>
          </cell>
          <cell r="T368">
            <v>39488</v>
          </cell>
          <cell r="V368" t="str">
            <v>2008-02</v>
          </cell>
          <cell r="AM368">
            <v>0</v>
          </cell>
          <cell r="AN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</row>
        <row r="369">
          <cell r="C369" t="str">
            <v>DIG</v>
          </cell>
          <cell r="H369" t="str">
            <v>10-XX-DIG-IN-0027</v>
          </cell>
          <cell r="I369" t="str">
            <v>Logic Diagram for PLC</v>
          </cell>
          <cell r="N369">
            <v>2.9000000000000001E-2</v>
          </cell>
          <cell r="P369">
            <v>7.9367200000000004E-4</v>
          </cell>
          <cell r="Q369" t="str">
            <v>L</v>
          </cell>
          <cell r="R369">
            <v>1.4E-3</v>
          </cell>
          <cell r="T369">
            <v>39488</v>
          </cell>
          <cell r="V369" t="str">
            <v>2008-02</v>
          </cell>
          <cell r="AM369">
            <v>0</v>
          </cell>
          <cell r="AN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</row>
        <row r="370">
          <cell r="C370" t="str">
            <v>VDT</v>
          </cell>
          <cell r="H370" t="str">
            <v>10-XX-VDT-IN-0088</v>
          </cell>
          <cell r="I370" t="str">
            <v>Vendor  Technical Dwg.,Catalouge,Documents Including Operation, Configuration ,Programming and Maintenance  Manual</v>
          </cell>
          <cell r="N370">
            <v>6.7000000000000004E-2</v>
          </cell>
          <cell r="P370">
            <v>1.8336560000000001E-3</v>
          </cell>
          <cell r="Q370" t="str">
            <v>L</v>
          </cell>
          <cell r="R370">
            <v>1.2199999999999999E-3</v>
          </cell>
          <cell r="T370">
            <v>39498</v>
          </cell>
          <cell r="V370" t="str">
            <v>2008-02</v>
          </cell>
          <cell r="AH370" t="str">
            <v/>
          </cell>
          <cell r="AJ370" t="str">
            <v/>
          </cell>
          <cell r="AL370" t="str">
            <v/>
          </cell>
          <cell r="AM370">
            <v>0</v>
          </cell>
          <cell r="AN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</row>
        <row r="371">
          <cell r="C371" t="str">
            <v>MIS</v>
          </cell>
          <cell r="I371" t="str">
            <v>Miscellaneous</v>
          </cell>
          <cell r="N371">
            <v>1.0999999999999999E-2</v>
          </cell>
          <cell r="P371">
            <v>3.0104799999999999E-4</v>
          </cell>
          <cell r="R371">
            <v>4.4000000000000003E-3</v>
          </cell>
          <cell r="T371" t="str">
            <v>.</v>
          </cell>
          <cell r="AM371">
            <v>0</v>
          </cell>
          <cell r="AN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</row>
        <row r="372">
          <cell r="F372" t="str">
            <v>Piping</v>
          </cell>
          <cell r="L372">
            <v>0.22</v>
          </cell>
          <cell r="M372">
            <v>0.64460000000000028</v>
          </cell>
          <cell r="P372">
            <v>0.17600000000000002</v>
          </cell>
          <cell r="R372">
            <v>0.1760000000000001</v>
          </cell>
          <cell r="T372" t="str">
            <v>.</v>
          </cell>
          <cell r="U372" t="str">
            <v>.</v>
          </cell>
          <cell r="V372" t="str">
            <v>.</v>
          </cell>
          <cell r="W372" t="str">
            <v>.</v>
          </cell>
          <cell r="X372" t="str">
            <v>.</v>
          </cell>
          <cell r="Y372" t="str">
            <v>.</v>
          </cell>
          <cell r="Z372" t="str">
            <v>.</v>
          </cell>
          <cell r="AA372" t="str">
            <v>.</v>
          </cell>
          <cell r="AG372" t="str">
            <v>.</v>
          </cell>
          <cell r="AH372" t="str">
            <v>.</v>
          </cell>
          <cell r="AI372" t="str">
            <v>.</v>
          </cell>
          <cell r="AJ372" t="str">
            <v>.</v>
          </cell>
          <cell r="AK372" t="str">
            <v>.</v>
          </cell>
          <cell r="AL372" t="str">
            <v>.</v>
          </cell>
          <cell r="AM372">
            <v>0.11735795454545456</v>
          </cell>
          <cell r="AN372">
            <v>2.0655000000000003E-2</v>
          </cell>
          <cell r="AO372" t="str">
            <v>.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</row>
        <row r="373">
          <cell r="C373" t="str">
            <v>dwg</v>
          </cell>
          <cell r="H373" t="str">
            <v>10-XX-A0-PI-0002</v>
          </cell>
          <cell r="I373" t="str">
            <v>Key Plan for Above ground Piping Plan Layout</v>
          </cell>
          <cell r="M373">
            <v>9.6000000000000002E-2</v>
          </cell>
          <cell r="P373">
            <v>1.6896000000000001E-2</v>
          </cell>
          <cell r="Q373" t="str">
            <v>C</v>
          </cell>
          <cell r="R373">
            <v>7.45E-3</v>
          </cell>
          <cell r="T373">
            <v>39444</v>
          </cell>
          <cell r="U373" t="str">
            <v>*</v>
          </cell>
          <cell r="V373" t="str">
            <v>2007-12</v>
          </cell>
          <cell r="AH373" t="str">
            <v/>
          </cell>
          <cell r="AJ373" t="str">
            <v/>
          </cell>
          <cell r="AL373" t="str">
            <v/>
          </cell>
          <cell r="AM373">
            <v>0</v>
          </cell>
          <cell r="AN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</row>
        <row r="374">
          <cell r="H374" t="str">
            <v>10-XX-A0-PI-0004</v>
          </cell>
          <cell r="I374" t="str">
            <v>Key Plan for Under ground Piping Plan Layout</v>
          </cell>
          <cell r="Q374" t="str">
            <v>C</v>
          </cell>
          <cell r="R374">
            <v>7.45E-3</v>
          </cell>
          <cell r="S374" t="str">
            <v>Add</v>
          </cell>
          <cell r="T374">
            <v>39444</v>
          </cell>
          <cell r="U374" t="str">
            <v>*</v>
          </cell>
          <cell r="V374" t="str">
            <v>2007-12</v>
          </cell>
          <cell r="AM374">
            <v>0</v>
          </cell>
          <cell r="AN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</row>
        <row r="375">
          <cell r="H375" t="str">
            <v>10-AA-A1-PI-0001</v>
          </cell>
          <cell r="I375" t="str">
            <v>Above ground Piping Layout for Flare</v>
          </cell>
          <cell r="Q375" t="str">
            <v>L</v>
          </cell>
          <cell r="R375">
            <v>1.4499999999999999E-3</v>
          </cell>
          <cell r="T375">
            <v>39445</v>
          </cell>
          <cell r="U375" t="str">
            <v>*</v>
          </cell>
          <cell r="V375" t="str">
            <v>2007-12</v>
          </cell>
          <cell r="AM375">
            <v>0</v>
          </cell>
          <cell r="AN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</row>
        <row r="376">
          <cell r="H376" t="str">
            <v>10-BB-A1-PI-0001</v>
          </cell>
          <cell r="I376" t="str">
            <v>Above ground Piping Layout for Fire Fighting Tank</v>
          </cell>
          <cell r="Q376" t="str">
            <v>L</v>
          </cell>
          <cell r="R376">
            <v>1.4499999999999999E-3</v>
          </cell>
          <cell r="S376" t="str">
            <v>Add</v>
          </cell>
          <cell r="T376">
            <v>39457</v>
          </cell>
          <cell r="V376" t="str">
            <v>2008-01</v>
          </cell>
          <cell r="AM376">
            <v>0</v>
          </cell>
          <cell r="AN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</row>
        <row r="377">
          <cell r="H377" t="str">
            <v>10-CC-A1-PI-0001</v>
          </cell>
          <cell r="I377" t="str">
            <v>Above ground Piping Layout for Cooling Tower and Fire Fighting Pump</v>
          </cell>
          <cell r="Q377" t="str">
            <v>L</v>
          </cell>
          <cell r="R377">
            <v>1.4499999999999999E-3</v>
          </cell>
          <cell r="S377" t="str">
            <v>Add</v>
          </cell>
          <cell r="T377">
            <v>39457</v>
          </cell>
          <cell r="V377" t="str">
            <v>2008-01</v>
          </cell>
          <cell r="AM377">
            <v>0</v>
          </cell>
          <cell r="AN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</row>
        <row r="378">
          <cell r="H378" t="str">
            <v>10-DD-A1-PI-0001</v>
          </cell>
          <cell r="I378" t="str">
            <v>Above ground Piping Layout for Water Treatment</v>
          </cell>
          <cell r="Q378" t="str">
            <v>L</v>
          </cell>
          <cell r="R378">
            <v>1.4499999999999999E-3</v>
          </cell>
          <cell r="S378" t="str">
            <v>Add</v>
          </cell>
          <cell r="T378">
            <v>39459</v>
          </cell>
          <cell r="V378" t="str">
            <v>2008-01</v>
          </cell>
          <cell r="AM378">
            <v>0</v>
          </cell>
          <cell r="AN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</row>
        <row r="379">
          <cell r="H379" t="str">
            <v>10-EE-A1-PI-0001</v>
          </cell>
          <cell r="I379" t="str">
            <v>Above ground Piping Layout for Steam Generation and Fuel Oil Sys.</v>
          </cell>
          <cell r="Q379" t="str">
            <v>L</v>
          </cell>
          <cell r="R379">
            <v>1.4499999999999999E-3</v>
          </cell>
          <cell r="S379" t="str">
            <v>Add</v>
          </cell>
          <cell r="T379">
            <v>39459</v>
          </cell>
          <cell r="V379" t="str">
            <v>2008-01</v>
          </cell>
          <cell r="AM379">
            <v>0</v>
          </cell>
          <cell r="AN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</row>
        <row r="380">
          <cell r="H380" t="str">
            <v>10-FF-A1-PI-0001</v>
          </cell>
          <cell r="I380" t="str">
            <v xml:space="preserve">Above ground Piping Layout for Nitrogen Generation and Plant Air </v>
          </cell>
          <cell r="Q380" t="str">
            <v>L</v>
          </cell>
          <cell r="R380">
            <v>1.4499999999999999E-3</v>
          </cell>
          <cell r="S380" t="str">
            <v>Add</v>
          </cell>
          <cell r="T380">
            <v>39463</v>
          </cell>
          <cell r="V380" t="str">
            <v>2008-01</v>
          </cell>
          <cell r="AM380">
            <v>0</v>
          </cell>
          <cell r="AN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</row>
        <row r="381">
          <cell r="H381" t="str">
            <v>10-GG-A1-PI-0001</v>
          </cell>
          <cell r="I381" t="str">
            <v>Above ground Piping Layout for Control Building ,MCC Control Room</v>
          </cell>
          <cell r="Q381" t="str">
            <v>L</v>
          </cell>
          <cell r="R381">
            <v>1.4499999999999999E-3</v>
          </cell>
          <cell r="S381" t="str">
            <v>Add</v>
          </cell>
          <cell r="T381">
            <v>39463</v>
          </cell>
          <cell r="V381" t="str">
            <v>2008-01</v>
          </cell>
          <cell r="AM381">
            <v>0</v>
          </cell>
          <cell r="AN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</row>
        <row r="382">
          <cell r="H382" t="str">
            <v>10-HH-A1-PI-0001</v>
          </cell>
          <cell r="I382" t="str">
            <v xml:space="preserve">Above ground Piping Layout for Hydrogen Generation </v>
          </cell>
          <cell r="Q382" t="str">
            <v>L</v>
          </cell>
          <cell r="R382">
            <v>1.4499999999999999E-3</v>
          </cell>
          <cell r="S382" t="str">
            <v>Add</v>
          </cell>
          <cell r="T382">
            <v>39465</v>
          </cell>
          <cell r="V382" t="str">
            <v>2008-01</v>
          </cell>
          <cell r="AM382">
            <v>0</v>
          </cell>
          <cell r="AN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</row>
        <row r="383">
          <cell r="H383" t="str">
            <v>10-II-A1-PI-0001</v>
          </cell>
          <cell r="I383" t="str">
            <v xml:space="preserve">Above ground Piping Layout for Ethylen Line/Propylen/Buten </v>
          </cell>
          <cell r="Q383" t="str">
            <v>L</v>
          </cell>
          <cell r="R383">
            <v>1.4499999999999999E-3</v>
          </cell>
          <cell r="S383" t="str">
            <v>Add</v>
          </cell>
          <cell r="T383">
            <v>39465</v>
          </cell>
          <cell r="V383" t="str">
            <v>2008-01</v>
          </cell>
          <cell r="AM383">
            <v>0</v>
          </cell>
          <cell r="AN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</row>
        <row r="384">
          <cell r="H384" t="str">
            <v>10-JJ-A1-PI-0001</v>
          </cell>
          <cell r="I384" t="str">
            <v xml:space="preserve">Above ground Piping Layout for Flare KO Drum </v>
          </cell>
          <cell r="Q384" t="str">
            <v>L</v>
          </cell>
          <cell r="R384">
            <v>1.4499999999999999E-3</v>
          </cell>
          <cell r="S384" t="str">
            <v>Add</v>
          </cell>
          <cell r="T384">
            <v>39469</v>
          </cell>
          <cell r="V384" t="str">
            <v>2008-01</v>
          </cell>
          <cell r="AM384">
            <v>0</v>
          </cell>
          <cell r="AN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</row>
        <row r="385">
          <cell r="H385" t="str">
            <v>10-KK-A1-PI-0001</v>
          </cell>
          <cell r="I385" t="str">
            <v xml:space="preserve">Above ground Piping Layout for Main Pipe Rack </v>
          </cell>
          <cell r="Q385" t="str">
            <v>L</v>
          </cell>
          <cell r="R385">
            <v>1.4499999999999999E-3</v>
          </cell>
          <cell r="S385" t="str">
            <v>Add</v>
          </cell>
          <cell r="T385">
            <v>39471</v>
          </cell>
          <cell r="V385" t="str">
            <v>2008-01</v>
          </cell>
          <cell r="AM385">
            <v>0</v>
          </cell>
          <cell r="AN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</row>
        <row r="386">
          <cell r="H386" t="str">
            <v>10-MM-A1-PI-0001</v>
          </cell>
          <cell r="I386" t="str">
            <v xml:space="preserve">Above ground Piping Layout for Fire Fighting Station </v>
          </cell>
          <cell r="Q386" t="str">
            <v>L</v>
          </cell>
          <cell r="R386">
            <v>1.4499999999999999E-3</v>
          </cell>
          <cell r="S386" t="str">
            <v>Add</v>
          </cell>
          <cell r="T386">
            <v>39473</v>
          </cell>
          <cell r="V386" t="str">
            <v>2008-01</v>
          </cell>
          <cell r="AM386">
            <v>0</v>
          </cell>
          <cell r="AN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</row>
        <row r="387">
          <cell r="H387" t="str">
            <v>10-NN-A1-PI-0001</v>
          </cell>
          <cell r="I387" t="str">
            <v>Above ground Piping Layout for Waste Water Traetment</v>
          </cell>
          <cell r="Q387" t="str">
            <v>L</v>
          </cell>
          <cell r="R387">
            <v>1.4499999999999999E-3</v>
          </cell>
          <cell r="S387" t="str">
            <v>Add</v>
          </cell>
          <cell r="T387">
            <v>39475</v>
          </cell>
          <cell r="V387" t="str">
            <v>2008-01</v>
          </cell>
          <cell r="AM387">
            <v>0</v>
          </cell>
          <cell r="AN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</row>
        <row r="388">
          <cell r="H388" t="str">
            <v>10-BB-A1-PI-0002</v>
          </cell>
          <cell r="I388" t="str">
            <v>Under Ground Piping Layout for Fire Fighting Tank</v>
          </cell>
          <cell r="Q388" t="str">
            <v>L</v>
          </cell>
          <cell r="R388">
            <v>1E-3</v>
          </cell>
          <cell r="S388" t="str">
            <v>Add</v>
          </cell>
          <cell r="T388">
            <v>39467</v>
          </cell>
          <cell r="V388" t="str">
            <v>2008-01</v>
          </cell>
          <cell r="AM388">
            <v>0</v>
          </cell>
          <cell r="AN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</row>
        <row r="389">
          <cell r="H389" t="str">
            <v>10-CC-A1-PI-0002</v>
          </cell>
          <cell r="I389" t="str">
            <v>Under Ground Piping Layout for Cooling Tower and Fire Fighting Pump</v>
          </cell>
          <cell r="Q389" t="str">
            <v>L</v>
          </cell>
          <cell r="R389">
            <v>1E-3</v>
          </cell>
          <cell r="S389" t="str">
            <v>Add</v>
          </cell>
          <cell r="T389">
            <v>39464</v>
          </cell>
          <cell r="V389" t="str">
            <v>2008-01</v>
          </cell>
          <cell r="AM389">
            <v>0</v>
          </cell>
          <cell r="AN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</row>
        <row r="390">
          <cell r="H390" t="str">
            <v>10-DD-A1-PI-0002</v>
          </cell>
          <cell r="I390" t="str">
            <v>Under Ground Piping Layout for Water Treatment</v>
          </cell>
          <cell r="Q390" t="str">
            <v>L</v>
          </cell>
          <cell r="R390">
            <v>1E-3</v>
          </cell>
          <cell r="S390" t="str">
            <v>Add</v>
          </cell>
          <cell r="T390">
            <v>39457</v>
          </cell>
          <cell r="V390" t="str">
            <v>2008-01</v>
          </cell>
          <cell r="AM390">
            <v>0</v>
          </cell>
          <cell r="AN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</row>
        <row r="391">
          <cell r="H391" t="str">
            <v>10-EE-A1-PI-0002</v>
          </cell>
          <cell r="I391" t="str">
            <v>Under Ground Piping Layout for Steam Generation and Fuel Oil Sys.</v>
          </cell>
          <cell r="Q391" t="str">
            <v>L</v>
          </cell>
          <cell r="R391">
            <v>1E-3</v>
          </cell>
          <cell r="S391" t="str">
            <v>Add</v>
          </cell>
          <cell r="T391">
            <v>39457</v>
          </cell>
          <cell r="V391" t="str">
            <v>2008-01</v>
          </cell>
          <cell r="AM391">
            <v>0</v>
          </cell>
          <cell r="AN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</row>
        <row r="392">
          <cell r="H392" t="str">
            <v>10-FF-A1-PI-0002</v>
          </cell>
          <cell r="I392" t="str">
            <v xml:space="preserve">Under Ground Piping Layout for Nitrogen Generation and Plant Air </v>
          </cell>
          <cell r="Q392" t="str">
            <v>L</v>
          </cell>
          <cell r="R392">
            <v>1E-3</v>
          </cell>
          <cell r="S392" t="str">
            <v>Add</v>
          </cell>
          <cell r="T392">
            <v>39459</v>
          </cell>
          <cell r="V392" t="str">
            <v>2008-01</v>
          </cell>
          <cell r="AM392">
            <v>0</v>
          </cell>
          <cell r="AN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</row>
        <row r="393">
          <cell r="H393" t="str">
            <v>10-GG-A1-PI-0002</v>
          </cell>
          <cell r="I393" t="str">
            <v>Under Ground Piping Layout for Control Building ,MCC Control Room</v>
          </cell>
          <cell r="Q393" t="str">
            <v>L</v>
          </cell>
          <cell r="R393">
            <v>1E-3</v>
          </cell>
          <cell r="S393" t="str">
            <v>Add</v>
          </cell>
          <cell r="T393">
            <v>39459</v>
          </cell>
          <cell r="V393" t="str">
            <v>2008-01</v>
          </cell>
          <cell r="AM393">
            <v>0</v>
          </cell>
          <cell r="AN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</row>
        <row r="394">
          <cell r="H394" t="str">
            <v>10-HH-A1-PI-0002</v>
          </cell>
          <cell r="I394" t="str">
            <v xml:space="preserve">Under Ground Piping Layout for Hydrogen Generation </v>
          </cell>
          <cell r="Q394" t="str">
            <v>L</v>
          </cell>
          <cell r="R394">
            <v>1E-3</v>
          </cell>
          <cell r="S394" t="str">
            <v>Add</v>
          </cell>
          <cell r="T394">
            <v>39462</v>
          </cell>
          <cell r="V394" t="str">
            <v>2008-01</v>
          </cell>
          <cell r="AM394">
            <v>0</v>
          </cell>
          <cell r="AN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</row>
        <row r="395">
          <cell r="H395" t="str">
            <v>10-II-A1-PI-0002</v>
          </cell>
          <cell r="I395" t="str">
            <v xml:space="preserve">Under Ground Piping Layout for Ethylen Line/Propylen/Buten </v>
          </cell>
          <cell r="Q395" t="str">
            <v>L</v>
          </cell>
          <cell r="R395">
            <v>1E-3</v>
          </cell>
          <cell r="S395" t="str">
            <v>Add</v>
          </cell>
          <cell r="T395">
            <v>39462</v>
          </cell>
          <cell r="V395" t="str">
            <v>2008-01</v>
          </cell>
          <cell r="AM395">
            <v>0</v>
          </cell>
          <cell r="AN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</row>
        <row r="396">
          <cell r="H396" t="str">
            <v>10-JJ-A1-PI-0002</v>
          </cell>
          <cell r="I396" t="str">
            <v xml:space="preserve">Under Ground Piping Layout for Flare KO Drum </v>
          </cell>
          <cell r="Q396" t="str">
            <v>L</v>
          </cell>
          <cell r="R396">
            <v>1E-3</v>
          </cell>
          <cell r="S396" t="str">
            <v>Add</v>
          </cell>
          <cell r="T396">
            <v>39465</v>
          </cell>
          <cell r="V396" t="str">
            <v>2008-01</v>
          </cell>
          <cell r="AM396">
            <v>0</v>
          </cell>
          <cell r="AN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</row>
        <row r="397">
          <cell r="H397" t="str">
            <v>10-KK-A1-PI-0002</v>
          </cell>
          <cell r="I397" t="str">
            <v xml:space="preserve">Under Ground Piping Layout for Main Pipe Rack </v>
          </cell>
          <cell r="Q397" t="str">
            <v>L</v>
          </cell>
          <cell r="R397">
            <v>1E-3</v>
          </cell>
          <cell r="S397" t="str">
            <v>Add</v>
          </cell>
          <cell r="T397">
            <v>39465</v>
          </cell>
          <cell r="V397" t="str">
            <v>2008-01</v>
          </cell>
          <cell r="AM397">
            <v>0</v>
          </cell>
          <cell r="AN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</row>
        <row r="398">
          <cell r="H398" t="str">
            <v>10-MM-A1-PI-0002</v>
          </cell>
          <cell r="I398" t="str">
            <v xml:space="preserve">Under Ground Piping Layout for Fire Fighting Station </v>
          </cell>
          <cell r="Q398" t="str">
            <v>L</v>
          </cell>
          <cell r="R398">
            <v>1E-3</v>
          </cell>
          <cell r="S398" t="str">
            <v>Add</v>
          </cell>
          <cell r="T398">
            <v>39467</v>
          </cell>
          <cell r="V398" t="str">
            <v>2008-01</v>
          </cell>
          <cell r="AM398">
            <v>0</v>
          </cell>
          <cell r="AN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</row>
        <row r="399">
          <cell r="H399" t="str">
            <v>10-NN-A1-PI-0002</v>
          </cell>
          <cell r="I399" t="str">
            <v>Under Ground Piping Layout for Waste Water Traetment</v>
          </cell>
          <cell r="Q399" t="str">
            <v>L</v>
          </cell>
          <cell r="R399">
            <v>1E-3</v>
          </cell>
          <cell r="S399" t="str">
            <v>Add</v>
          </cell>
          <cell r="T399">
            <v>39467</v>
          </cell>
          <cell r="V399" t="str">
            <v>2008-01</v>
          </cell>
          <cell r="AM399">
            <v>0</v>
          </cell>
          <cell r="AN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</row>
        <row r="400">
          <cell r="C400" t="str">
            <v>dwg</v>
          </cell>
          <cell r="H400" t="str">
            <v>10-XX-A4-PI-0005</v>
          </cell>
          <cell r="I400" t="str">
            <v>Piping Assembly and Standard Drawings</v>
          </cell>
          <cell r="M400">
            <v>1.3299999999999999E-2</v>
          </cell>
          <cell r="P400">
            <v>2.3408000000000001E-3</v>
          </cell>
          <cell r="Q400" t="str">
            <v>L</v>
          </cell>
          <cell r="R400">
            <v>2E-3</v>
          </cell>
          <cell r="T400">
            <v>39448</v>
          </cell>
          <cell r="V400" t="str">
            <v>2008-01</v>
          </cell>
          <cell r="AH400" t="str">
            <v/>
          </cell>
          <cell r="AJ400" t="str">
            <v/>
          </cell>
          <cell r="AL400" t="str">
            <v/>
          </cell>
          <cell r="AM400">
            <v>0</v>
          </cell>
          <cell r="AN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</row>
        <row r="401">
          <cell r="C401" t="str">
            <v>dwg</v>
          </cell>
          <cell r="H401" t="str">
            <v>10-XX-A4-PI-0006</v>
          </cell>
          <cell r="I401" t="str">
            <v>Standard Support Drawings</v>
          </cell>
          <cell r="M401">
            <v>1.3299999999999999E-2</v>
          </cell>
          <cell r="P401">
            <v>2.3408000000000001E-3</v>
          </cell>
          <cell r="R401">
            <v>1.9E-3</v>
          </cell>
          <cell r="V401" t="str">
            <v>ارسال شده</v>
          </cell>
          <cell r="W401">
            <v>0</v>
          </cell>
          <cell r="X401">
            <v>410</v>
          </cell>
          <cell r="Y401" t="str">
            <v>09-12-07</v>
          </cell>
          <cell r="AG401" t="str">
            <v>KRPC</v>
          </cell>
          <cell r="AH401" t="str">
            <v>x</v>
          </cell>
          <cell r="AJ401" t="str">
            <v/>
          </cell>
          <cell r="AL401" t="str">
            <v/>
          </cell>
          <cell r="AM401">
            <v>0.45</v>
          </cell>
          <cell r="AN401">
            <v>8.5499999999999997E-4</v>
          </cell>
          <cell r="AQ401">
            <v>1.0533600000000001E-3</v>
          </cell>
          <cell r="AR401">
            <v>8.5499999999999997E-4</v>
          </cell>
          <cell r="AS401">
            <v>45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45</v>
          </cell>
        </row>
        <row r="402">
          <cell r="H402" t="str">
            <v>10-AA-A3-PI-0001</v>
          </cell>
          <cell r="I402" t="str">
            <v>Isometric Drawings for Flare</v>
          </cell>
          <cell r="Q402" t="str">
            <v>L</v>
          </cell>
          <cell r="R402">
            <v>8.0000000000000004E-4</v>
          </cell>
          <cell r="T402">
            <v>39480</v>
          </cell>
          <cell r="V402" t="str">
            <v>2008-02</v>
          </cell>
          <cell r="AM402">
            <v>0</v>
          </cell>
          <cell r="AN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</row>
        <row r="403">
          <cell r="H403" t="str">
            <v>10-BB-A3-PI-0001</v>
          </cell>
          <cell r="I403" t="str">
            <v>Isometric Drawings for Fire Fighting Tank</v>
          </cell>
          <cell r="Q403" t="str">
            <v>L</v>
          </cell>
          <cell r="R403">
            <v>8.0000000000000004E-4</v>
          </cell>
          <cell r="S403" t="str">
            <v>Add</v>
          </cell>
          <cell r="T403">
            <v>39480</v>
          </cell>
          <cell r="V403" t="str">
            <v>2008-02</v>
          </cell>
          <cell r="AM403">
            <v>0</v>
          </cell>
          <cell r="AN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</row>
        <row r="404">
          <cell r="H404" t="str">
            <v>10-CC-A3-PI-0001</v>
          </cell>
          <cell r="I404" t="str">
            <v>Isometric Drawings for Cooling Tower and Fire Fighting Pump</v>
          </cell>
          <cell r="Q404" t="str">
            <v>L</v>
          </cell>
          <cell r="R404">
            <v>8.0000000000000004E-4</v>
          </cell>
          <cell r="S404" t="str">
            <v>Add</v>
          </cell>
          <cell r="T404">
            <v>39482</v>
          </cell>
          <cell r="V404" t="str">
            <v>2008-02</v>
          </cell>
          <cell r="AM404">
            <v>0</v>
          </cell>
          <cell r="AN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</row>
        <row r="405">
          <cell r="H405" t="str">
            <v>10-DD-A3-PI-0001</v>
          </cell>
          <cell r="I405" t="str">
            <v>Isometric Drawings for Water Treatment</v>
          </cell>
          <cell r="Q405" t="str">
            <v>L</v>
          </cell>
          <cell r="R405">
            <v>8.0000000000000004E-4</v>
          </cell>
          <cell r="S405" t="str">
            <v>Add</v>
          </cell>
          <cell r="T405">
            <v>39482</v>
          </cell>
          <cell r="V405" t="str">
            <v>2008-02</v>
          </cell>
          <cell r="AM405">
            <v>0</v>
          </cell>
          <cell r="AN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</row>
        <row r="406">
          <cell r="H406" t="str">
            <v>10-EE-A3-PI-0001</v>
          </cell>
          <cell r="I406" t="str">
            <v>Isometric Drawings for Steam Generation and Fuel Oil Sys.</v>
          </cell>
          <cell r="Q406" t="str">
            <v>L</v>
          </cell>
          <cell r="R406">
            <v>8.0000000000000004E-4</v>
          </cell>
          <cell r="S406" t="str">
            <v>Add</v>
          </cell>
          <cell r="T406">
            <v>39484</v>
          </cell>
          <cell r="V406" t="str">
            <v>2008-02</v>
          </cell>
          <cell r="AM406">
            <v>0</v>
          </cell>
          <cell r="AN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</row>
        <row r="407">
          <cell r="H407" t="str">
            <v>10-FF-A3-PI-0001</v>
          </cell>
          <cell r="I407" t="str">
            <v xml:space="preserve">Isometric Drawings for Nitrogen Generation and Plant Air </v>
          </cell>
          <cell r="Q407" t="str">
            <v>L</v>
          </cell>
          <cell r="R407">
            <v>8.0000000000000004E-4</v>
          </cell>
          <cell r="S407" t="str">
            <v>Add</v>
          </cell>
          <cell r="T407">
            <v>39484</v>
          </cell>
          <cell r="V407" t="str">
            <v>2008-02</v>
          </cell>
          <cell r="AM407">
            <v>0</v>
          </cell>
          <cell r="AN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</row>
        <row r="408">
          <cell r="H408" t="str">
            <v>10-GG-A3-PI-0001</v>
          </cell>
          <cell r="I408" t="str">
            <v>Isometric Drawings for Control Building ,MCC Control Room</v>
          </cell>
          <cell r="Q408" t="str">
            <v>L</v>
          </cell>
          <cell r="R408">
            <v>8.0000000000000004E-4</v>
          </cell>
          <cell r="S408" t="str">
            <v>Add</v>
          </cell>
          <cell r="T408">
            <v>39486</v>
          </cell>
          <cell r="V408" t="str">
            <v>2008-02</v>
          </cell>
          <cell r="AM408">
            <v>0</v>
          </cell>
          <cell r="AN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</row>
        <row r="409">
          <cell r="H409" t="str">
            <v>10-HH-A3-PI-0001</v>
          </cell>
          <cell r="I409" t="str">
            <v xml:space="preserve">Isometric Drawings for Hydrogen Generation </v>
          </cell>
          <cell r="Q409" t="str">
            <v>L</v>
          </cell>
          <cell r="R409">
            <v>8.0000000000000004E-4</v>
          </cell>
          <cell r="S409" t="str">
            <v>Add</v>
          </cell>
          <cell r="T409">
            <v>39486</v>
          </cell>
          <cell r="V409" t="str">
            <v>2008-02</v>
          </cell>
          <cell r="AM409">
            <v>0</v>
          </cell>
          <cell r="AN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</row>
        <row r="410">
          <cell r="H410" t="str">
            <v>10-II-A3-PI-0001</v>
          </cell>
          <cell r="I410" t="str">
            <v xml:space="preserve">Isometric Drawings for Ethylen Line/Propylen/Buten </v>
          </cell>
          <cell r="Q410" t="str">
            <v>L</v>
          </cell>
          <cell r="R410">
            <v>8.0000000000000004E-4</v>
          </cell>
          <cell r="S410" t="str">
            <v>Add</v>
          </cell>
          <cell r="T410">
            <v>39488</v>
          </cell>
          <cell r="V410" t="str">
            <v>2008-02</v>
          </cell>
          <cell r="AM410">
            <v>0</v>
          </cell>
          <cell r="AN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</row>
        <row r="411">
          <cell r="H411" t="str">
            <v>10-JJ-A3-PI-0001</v>
          </cell>
          <cell r="I411" t="str">
            <v xml:space="preserve">Isometric Drawings for Flare KO Drum </v>
          </cell>
          <cell r="Q411" t="str">
            <v>L</v>
          </cell>
          <cell r="R411">
            <v>8.0000000000000004E-4</v>
          </cell>
          <cell r="S411" t="str">
            <v>Add</v>
          </cell>
          <cell r="T411">
            <v>39488</v>
          </cell>
          <cell r="V411" t="str">
            <v>2008-02</v>
          </cell>
          <cell r="AM411">
            <v>0</v>
          </cell>
          <cell r="AN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</row>
        <row r="412">
          <cell r="H412" t="str">
            <v>10-KK-A3-PI-0001</v>
          </cell>
          <cell r="I412" t="str">
            <v xml:space="preserve">Isometric Drawings for Main Pipe Rack </v>
          </cell>
          <cell r="Q412" t="str">
            <v>L</v>
          </cell>
          <cell r="R412">
            <v>8.0000000000000004E-4</v>
          </cell>
          <cell r="S412" t="str">
            <v>Add</v>
          </cell>
          <cell r="T412">
            <v>39490</v>
          </cell>
          <cell r="V412" t="str">
            <v>2008-02</v>
          </cell>
          <cell r="AM412">
            <v>0</v>
          </cell>
          <cell r="AN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</row>
        <row r="413">
          <cell r="H413" t="str">
            <v>10-MM-A3-PI-0001</v>
          </cell>
          <cell r="I413" t="str">
            <v xml:space="preserve">Isometric Drawings for Fire Fighting Station </v>
          </cell>
          <cell r="Q413" t="str">
            <v>L</v>
          </cell>
          <cell r="R413">
            <v>8.0000000000000004E-4</v>
          </cell>
          <cell r="S413" t="str">
            <v>Add</v>
          </cell>
          <cell r="T413">
            <v>39490</v>
          </cell>
          <cell r="V413" t="str">
            <v>2008-02</v>
          </cell>
          <cell r="AM413">
            <v>0</v>
          </cell>
          <cell r="AN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</row>
        <row r="414">
          <cell r="H414" t="str">
            <v>10-NN-A3-PI-0001</v>
          </cell>
          <cell r="I414" t="str">
            <v>Isometric Drawings for Waste Water Traetment</v>
          </cell>
          <cell r="Q414" t="str">
            <v>L</v>
          </cell>
          <cell r="R414">
            <v>8.0000000000000004E-4</v>
          </cell>
          <cell r="S414" t="str">
            <v>Add</v>
          </cell>
          <cell r="T414">
            <v>39490</v>
          </cell>
          <cell r="V414" t="str">
            <v>2008-02</v>
          </cell>
          <cell r="AM414">
            <v>0</v>
          </cell>
          <cell r="AN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</row>
        <row r="415">
          <cell r="H415" t="str">
            <v>10-AA-A4-PI-0001</v>
          </cell>
          <cell r="I415" t="str">
            <v>Piping Support List for Flare</v>
          </cell>
          <cell r="Q415" t="str">
            <v>L</v>
          </cell>
          <cell r="R415">
            <v>5.0000000000000001E-4</v>
          </cell>
          <cell r="S415" t="str">
            <v>Add</v>
          </cell>
          <cell r="T415">
            <v>39501</v>
          </cell>
          <cell r="V415" t="str">
            <v>2008-02</v>
          </cell>
          <cell r="AM415">
            <v>0</v>
          </cell>
          <cell r="AN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</row>
        <row r="416">
          <cell r="H416" t="str">
            <v>10-BB-A4-PI-0001</v>
          </cell>
          <cell r="I416" t="str">
            <v>Piping Support List for Fire Fighting Tank</v>
          </cell>
          <cell r="Q416" t="str">
            <v>L</v>
          </cell>
          <cell r="R416">
            <v>5.0000000000000001E-4</v>
          </cell>
          <cell r="S416" t="str">
            <v>Add</v>
          </cell>
          <cell r="T416">
            <v>39488</v>
          </cell>
          <cell r="V416" t="str">
            <v>2008-02</v>
          </cell>
          <cell r="AM416">
            <v>0</v>
          </cell>
          <cell r="AN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</row>
        <row r="417">
          <cell r="H417" t="str">
            <v>10-CC-A4-PI-0001</v>
          </cell>
          <cell r="I417" t="str">
            <v>Piping Support List for Cooling Tower and Fire Fighting Pump</v>
          </cell>
          <cell r="Q417" t="str">
            <v>L</v>
          </cell>
          <cell r="R417">
            <v>5.0000000000000001E-4</v>
          </cell>
          <cell r="S417" t="str">
            <v>Add</v>
          </cell>
          <cell r="T417">
            <v>39489</v>
          </cell>
          <cell r="V417" t="str">
            <v>2008-02</v>
          </cell>
          <cell r="AM417">
            <v>0</v>
          </cell>
          <cell r="AN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</row>
        <row r="418">
          <cell r="H418" t="str">
            <v>10-DD-A4-PI-0001</v>
          </cell>
          <cell r="I418" t="str">
            <v>Piping Support List for Water Treatment</v>
          </cell>
          <cell r="Q418" t="str">
            <v>L</v>
          </cell>
          <cell r="R418">
            <v>5.0000000000000001E-4</v>
          </cell>
          <cell r="S418" t="str">
            <v>Add</v>
          </cell>
          <cell r="T418">
            <v>39490</v>
          </cell>
          <cell r="V418" t="str">
            <v>2008-02</v>
          </cell>
          <cell r="AM418">
            <v>0</v>
          </cell>
          <cell r="AN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</row>
        <row r="419">
          <cell r="H419" t="str">
            <v>10-EE-A4-PI-0001</v>
          </cell>
          <cell r="I419" t="str">
            <v>Piping Support List for Steam Generation and Fuel Oil Sys.</v>
          </cell>
          <cell r="Q419" t="str">
            <v>L</v>
          </cell>
          <cell r="R419">
            <v>5.0000000000000001E-4</v>
          </cell>
          <cell r="S419" t="str">
            <v>Add</v>
          </cell>
          <cell r="T419">
            <v>39490</v>
          </cell>
          <cell r="V419" t="str">
            <v>2008-02</v>
          </cell>
          <cell r="AM419">
            <v>0</v>
          </cell>
          <cell r="AN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</row>
        <row r="420">
          <cell r="H420" t="str">
            <v>10-FF-A4-PI-0001</v>
          </cell>
          <cell r="I420" t="str">
            <v xml:space="preserve">Piping Support List for Nitrogen Generation and Plant Air </v>
          </cell>
          <cell r="Q420" t="str">
            <v>L</v>
          </cell>
          <cell r="R420">
            <v>5.0000000000000001E-4</v>
          </cell>
          <cell r="S420" t="str">
            <v>Add</v>
          </cell>
          <cell r="T420">
            <v>39494</v>
          </cell>
          <cell r="V420" t="str">
            <v>2008-02</v>
          </cell>
          <cell r="AM420">
            <v>0</v>
          </cell>
          <cell r="AN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</row>
        <row r="421">
          <cell r="H421" t="str">
            <v>10-GG-A4-PI-0001</v>
          </cell>
          <cell r="I421" t="str">
            <v>Piping Support List for Control Building ,MCC Control Room</v>
          </cell>
          <cell r="Q421" t="str">
            <v>L</v>
          </cell>
          <cell r="R421">
            <v>5.0000000000000001E-4</v>
          </cell>
          <cell r="S421" t="str">
            <v>Add</v>
          </cell>
          <cell r="T421">
            <v>39494</v>
          </cell>
          <cell r="V421" t="str">
            <v>2008-02</v>
          </cell>
          <cell r="AM421">
            <v>0</v>
          </cell>
          <cell r="AN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</row>
        <row r="422">
          <cell r="H422" t="str">
            <v>10-HH-A4-PI-0001</v>
          </cell>
          <cell r="I422" t="str">
            <v xml:space="preserve">Piping Support List for Hydrogen Generation </v>
          </cell>
          <cell r="Q422" t="str">
            <v>L</v>
          </cell>
          <cell r="R422">
            <v>5.0000000000000001E-4</v>
          </cell>
          <cell r="S422" t="str">
            <v>Add</v>
          </cell>
          <cell r="T422">
            <v>39496</v>
          </cell>
          <cell r="V422" t="str">
            <v>2008-02</v>
          </cell>
          <cell r="AM422">
            <v>0</v>
          </cell>
          <cell r="AN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</row>
        <row r="423">
          <cell r="H423" t="str">
            <v>10-II-A4-PI-0001</v>
          </cell>
          <cell r="I423" t="str">
            <v xml:space="preserve">Piping Support List for Ethylen Line/Propylen/Buten </v>
          </cell>
          <cell r="Q423" t="str">
            <v>L</v>
          </cell>
          <cell r="R423">
            <v>5.0000000000000001E-4</v>
          </cell>
          <cell r="S423" t="str">
            <v>Add</v>
          </cell>
          <cell r="T423">
            <v>39496</v>
          </cell>
          <cell r="V423" t="str">
            <v>2008-02</v>
          </cell>
          <cell r="AM423">
            <v>0</v>
          </cell>
          <cell r="AN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</row>
        <row r="424">
          <cell r="H424" t="str">
            <v>10-JJ-A4-PI-0001</v>
          </cell>
          <cell r="I424" t="str">
            <v xml:space="preserve">Piping Support List for Flare KO Drum </v>
          </cell>
          <cell r="Q424" t="str">
            <v>L</v>
          </cell>
          <cell r="R424">
            <v>5.0000000000000001E-4</v>
          </cell>
          <cell r="S424" t="str">
            <v>Add</v>
          </cell>
          <cell r="T424">
            <v>39498</v>
          </cell>
          <cell r="V424" t="str">
            <v>2008-02</v>
          </cell>
          <cell r="AM424">
            <v>0</v>
          </cell>
          <cell r="AN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</row>
        <row r="425">
          <cell r="H425" t="str">
            <v>10-KK-A4-PI-0001</v>
          </cell>
          <cell r="I425" t="str">
            <v xml:space="preserve">Piping Support List for Main Pipe Rack </v>
          </cell>
          <cell r="Q425" t="str">
            <v>L</v>
          </cell>
          <cell r="R425">
            <v>5.0000000000000001E-4</v>
          </cell>
          <cell r="S425" t="str">
            <v>Add</v>
          </cell>
          <cell r="T425">
            <v>39498</v>
          </cell>
          <cell r="V425" t="str">
            <v>2008-02</v>
          </cell>
          <cell r="AM425">
            <v>0</v>
          </cell>
          <cell r="AN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</row>
        <row r="426">
          <cell r="H426" t="str">
            <v>10-MM-A4-PI-0001</v>
          </cell>
          <cell r="I426" t="str">
            <v xml:space="preserve">Piping Support List for Fire Fighting Station </v>
          </cell>
          <cell r="Q426" t="str">
            <v>L</v>
          </cell>
          <cell r="R426">
            <v>5.0000000000000001E-4</v>
          </cell>
          <cell r="S426" t="str">
            <v>Add</v>
          </cell>
          <cell r="T426">
            <v>39501</v>
          </cell>
          <cell r="V426" t="str">
            <v>2008-02</v>
          </cell>
          <cell r="AM426">
            <v>0</v>
          </cell>
          <cell r="AN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</row>
        <row r="427">
          <cell r="H427" t="str">
            <v>10-NN-A4-PI-0001</v>
          </cell>
          <cell r="I427" t="str">
            <v>Piping Support List for Waste Water Traetment</v>
          </cell>
          <cell r="Q427" t="str">
            <v>L</v>
          </cell>
          <cell r="R427">
            <v>5.0000000000000001E-4</v>
          </cell>
          <cell r="S427" t="str">
            <v>Add</v>
          </cell>
          <cell r="T427">
            <v>39501</v>
          </cell>
          <cell r="V427" t="str">
            <v>2008-02</v>
          </cell>
          <cell r="AM427">
            <v>0</v>
          </cell>
          <cell r="AN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</row>
        <row r="428">
          <cell r="C428" t="str">
            <v>ANS</v>
          </cell>
          <cell r="H428" t="str">
            <v>10-XX-ANS-PI-0011</v>
          </cell>
          <cell r="I428" t="str">
            <v>Piping Stress Analysis Calculation&amp; Report</v>
          </cell>
          <cell r="M428">
            <v>0.04</v>
          </cell>
          <cell r="P428">
            <v>7.0400000000000011E-3</v>
          </cell>
          <cell r="Q428" t="str">
            <v>L</v>
          </cell>
          <cell r="R428">
            <v>1.115E-2</v>
          </cell>
          <cell r="T428">
            <v>39498</v>
          </cell>
          <cell r="V428" t="str">
            <v>2008-02</v>
          </cell>
          <cell r="AH428" t="str">
            <v/>
          </cell>
          <cell r="AJ428" t="str">
            <v/>
          </cell>
          <cell r="AL428" t="str">
            <v/>
          </cell>
          <cell r="AM428">
            <v>0</v>
          </cell>
          <cell r="AN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</row>
        <row r="429">
          <cell r="C429" t="str">
            <v>lis</v>
          </cell>
          <cell r="H429" t="str">
            <v>10-XX-LST-PI-0012</v>
          </cell>
          <cell r="I429" t="str">
            <v>Tie-in List</v>
          </cell>
          <cell r="M429">
            <v>5.4999999999999997E-3</v>
          </cell>
          <cell r="P429">
            <v>9.68E-4</v>
          </cell>
          <cell r="Q429" t="str">
            <v>L</v>
          </cell>
          <cell r="R429">
            <v>1.4499999999999999E-3</v>
          </cell>
          <cell r="T429">
            <v>39431</v>
          </cell>
          <cell r="U429" t="str">
            <v>*</v>
          </cell>
          <cell r="V429" t="str">
            <v>2007-12</v>
          </cell>
          <cell r="AH429" t="str">
            <v/>
          </cell>
          <cell r="AJ429" t="str">
            <v/>
          </cell>
          <cell r="AL429" t="str">
            <v/>
          </cell>
          <cell r="AM429">
            <v>0</v>
          </cell>
          <cell r="AN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</row>
        <row r="430">
          <cell r="H430" t="str">
            <v>10-XX-A0-PI-0003</v>
          </cell>
          <cell r="I430" t="str">
            <v>Overall Plot Plan</v>
          </cell>
          <cell r="Q430" t="str">
            <v>I</v>
          </cell>
          <cell r="R430">
            <v>5.0000000000000001E-3</v>
          </cell>
          <cell r="S430" t="str">
            <v>Add</v>
          </cell>
          <cell r="T430">
            <v>39438</v>
          </cell>
          <cell r="U430" t="str">
            <v>*</v>
          </cell>
          <cell r="V430" t="str">
            <v>2007-12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</row>
        <row r="431">
          <cell r="H431" t="str">
            <v>10-10-A0-PI-0001</v>
          </cell>
          <cell r="I431" t="str">
            <v>Steam Generation Unit Plot Plan</v>
          </cell>
          <cell r="Q431" t="str">
            <v>V</v>
          </cell>
          <cell r="R431">
            <v>1E-3</v>
          </cell>
          <cell r="S431" t="str">
            <v>Add</v>
          </cell>
          <cell r="T431">
            <v>39430</v>
          </cell>
          <cell r="U431" t="str">
            <v>*</v>
          </cell>
          <cell r="V431" t="str">
            <v>2007-12</v>
          </cell>
          <cell r="AM431">
            <v>0</v>
          </cell>
          <cell r="AN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</row>
        <row r="432">
          <cell r="H432" t="str">
            <v>10-20-A0-PI-0001</v>
          </cell>
          <cell r="I432" t="str">
            <v>Hydrogen Generation Unit Plot Plan</v>
          </cell>
          <cell r="Q432" t="str">
            <v>V</v>
          </cell>
          <cell r="R432">
            <v>1E-3</v>
          </cell>
          <cell r="S432" t="str">
            <v>Add</v>
          </cell>
          <cell r="T432">
            <v>39432</v>
          </cell>
          <cell r="U432" t="str">
            <v>*</v>
          </cell>
          <cell r="V432" t="str">
            <v>2007-12</v>
          </cell>
          <cell r="AM432">
            <v>0</v>
          </cell>
          <cell r="AN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</row>
        <row r="433">
          <cell r="H433" t="str">
            <v>10-30-A0-PI-0001</v>
          </cell>
          <cell r="I433" t="str">
            <v>Nitrogen Generation Unit Plot Plan</v>
          </cell>
          <cell r="Q433" t="str">
            <v>V</v>
          </cell>
          <cell r="R433">
            <v>1E-3</v>
          </cell>
          <cell r="S433" t="str">
            <v>Add</v>
          </cell>
          <cell r="T433">
            <v>39418</v>
          </cell>
          <cell r="U433" t="str">
            <v>*</v>
          </cell>
          <cell r="V433" t="str">
            <v>2007-12</v>
          </cell>
          <cell r="AM433">
            <v>0</v>
          </cell>
          <cell r="AN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</row>
        <row r="434">
          <cell r="H434" t="str">
            <v>10-50-A0-PI-0001</v>
          </cell>
          <cell r="I434" t="str">
            <v>Water Treatment Generation Unit Plot Plan</v>
          </cell>
          <cell r="R434">
            <v>1E-3</v>
          </cell>
          <cell r="S434" t="str">
            <v>Add</v>
          </cell>
          <cell r="T434">
            <v>39434</v>
          </cell>
          <cell r="U434" t="str">
            <v>*</v>
          </cell>
          <cell r="V434" t="str">
            <v>2007-12</v>
          </cell>
          <cell r="AM434">
            <v>0</v>
          </cell>
          <cell r="AN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</row>
        <row r="435">
          <cell r="H435" t="str">
            <v>10-60-A0-PI-0001</v>
          </cell>
          <cell r="I435" t="str">
            <v>Waste Water Treatment Generation Unit Plot Plan</v>
          </cell>
          <cell r="Q435" t="str">
            <v>V</v>
          </cell>
          <cell r="R435">
            <v>1E-3</v>
          </cell>
          <cell r="S435" t="str">
            <v>Add</v>
          </cell>
          <cell r="T435">
            <v>39436</v>
          </cell>
          <cell r="U435" t="str">
            <v>*</v>
          </cell>
          <cell r="V435" t="str">
            <v>2007-12</v>
          </cell>
          <cell r="AM435">
            <v>0</v>
          </cell>
          <cell r="AN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</row>
        <row r="436">
          <cell r="H436" t="str">
            <v>10-70-A0-PI-0001</v>
          </cell>
          <cell r="I436" t="str">
            <v>Cooling Water  Unit Plot Plan</v>
          </cell>
          <cell r="Q436" t="str">
            <v>V</v>
          </cell>
          <cell r="R436">
            <v>1E-3</v>
          </cell>
          <cell r="S436" t="str">
            <v>Add</v>
          </cell>
          <cell r="T436">
            <v>39424</v>
          </cell>
          <cell r="U436" t="str">
            <v>*</v>
          </cell>
          <cell r="V436" t="str">
            <v>2007-12</v>
          </cell>
          <cell r="AM436">
            <v>0</v>
          </cell>
          <cell r="AN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</row>
        <row r="437">
          <cell r="H437" t="str">
            <v>10-80-A0-PI-0001</v>
          </cell>
          <cell r="I437" t="str">
            <v>Fire  Water  Unit Plot Plan</v>
          </cell>
          <cell r="Q437" t="str">
            <v>V</v>
          </cell>
          <cell r="R437">
            <v>1E-3</v>
          </cell>
          <cell r="S437" t="str">
            <v>Add</v>
          </cell>
          <cell r="T437">
            <v>39422</v>
          </cell>
          <cell r="U437" t="str">
            <v>*</v>
          </cell>
          <cell r="V437" t="str">
            <v>2007-12</v>
          </cell>
          <cell r="AM437">
            <v>0</v>
          </cell>
          <cell r="AN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</row>
        <row r="438">
          <cell r="H438" t="str">
            <v>10-90-A1-PI-0001</v>
          </cell>
          <cell r="I438" t="str">
            <v>Flare Unit Plot Plan</v>
          </cell>
          <cell r="R438">
            <v>1E-3</v>
          </cell>
          <cell r="S438" t="str">
            <v>Add</v>
          </cell>
          <cell r="V438" t="str">
            <v>ارسال شده</v>
          </cell>
          <cell r="W438">
            <v>0</v>
          </cell>
          <cell r="X438">
            <v>402</v>
          </cell>
          <cell r="Y438" t="str">
            <v>03-12-07</v>
          </cell>
          <cell r="Z438" t="str">
            <v>F-0506</v>
          </cell>
          <cell r="AA438" t="str">
            <v>11-12-07</v>
          </cell>
          <cell r="AG438" t="str">
            <v>GBT</v>
          </cell>
          <cell r="AH438" t="str">
            <v>x</v>
          </cell>
          <cell r="AM438">
            <v>0.45</v>
          </cell>
          <cell r="AN438">
            <v>4.5000000000000004E-4</v>
          </cell>
          <cell r="AO438" t="str">
            <v>x</v>
          </cell>
          <cell r="AQ438">
            <v>0</v>
          </cell>
          <cell r="AR438">
            <v>4.5000000000000004E-4</v>
          </cell>
          <cell r="AS438">
            <v>45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45</v>
          </cell>
        </row>
        <row r="439">
          <cell r="H439" t="str">
            <v>10-40-A0-PI-0001</v>
          </cell>
          <cell r="I439" t="str">
            <v>Instrument Air &amp; Plant Air Plot Plan</v>
          </cell>
          <cell r="Q439" t="str">
            <v>V</v>
          </cell>
          <cell r="R439">
            <v>1E-3</v>
          </cell>
          <cell r="S439" t="str">
            <v>Add</v>
          </cell>
          <cell r="T439">
            <v>39418</v>
          </cell>
          <cell r="U439" t="str">
            <v>*</v>
          </cell>
          <cell r="V439" t="str">
            <v>2007-12</v>
          </cell>
          <cell r="AM439">
            <v>0</v>
          </cell>
          <cell r="AN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</row>
        <row r="440">
          <cell r="H440" t="str">
            <v>10-97-A0-PI-0001</v>
          </cell>
          <cell r="I440" t="str">
            <v>Propylen/1- Buten/ Ethylen Line Plot Plan</v>
          </cell>
          <cell r="Q440" t="str">
            <v>C</v>
          </cell>
          <cell r="R440">
            <v>1E-3</v>
          </cell>
          <cell r="S440" t="str">
            <v>Add</v>
          </cell>
          <cell r="T440">
            <v>39420</v>
          </cell>
          <cell r="U440" t="str">
            <v>*</v>
          </cell>
          <cell r="V440" t="str">
            <v>2007-12</v>
          </cell>
          <cell r="AM440">
            <v>0</v>
          </cell>
          <cell r="AN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</row>
        <row r="441">
          <cell r="H441" t="str">
            <v>10-96-A0-PI-0001</v>
          </cell>
          <cell r="I441" t="str">
            <v>Fuel Oil System  Plot Plan</v>
          </cell>
          <cell r="Q441" t="str">
            <v>V</v>
          </cell>
          <cell r="R441">
            <v>1E-3</v>
          </cell>
          <cell r="S441" t="str">
            <v>Add</v>
          </cell>
          <cell r="T441">
            <v>39426</v>
          </cell>
          <cell r="U441" t="str">
            <v>*</v>
          </cell>
          <cell r="V441" t="str">
            <v>2007-12</v>
          </cell>
          <cell r="AM441">
            <v>0</v>
          </cell>
          <cell r="AN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</row>
        <row r="442">
          <cell r="H442" t="str">
            <v>10-95-A0-PI-0001</v>
          </cell>
          <cell r="I442" t="str">
            <v>Fuel Gas System  Plot Plan</v>
          </cell>
          <cell r="Q442" t="str">
            <v>V</v>
          </cell>
          <cell r="R442">
            <v>1E-3</v>
          </cell>
          <cell r="S442" t="str">
            <v>Add</v>
          </cell>
          <cell r="T442">
            <v>39428</v>
          </cell>
          <cell r="U442" t="str">
            <v>*</v>
          </cell>
          <cell r="V442" t="str">
            <v>2007-12</v>
          </cell>
          <cell r="AM442">
            <v>0</v>
          </cell>
          <cell r="AN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</row>
        <row r="443">
          <cell r="C443" t="str">
            <v>MTO</v>
          </cell>
          <cell r="H443" t="str">
            <v>10-XX-MTO-PI-0013</v>
          </cell>
          <cell r="I443" t="str">
            <v>Final MTO for Manual Valves</v>
          </cell>
          <cell r="M443">
            <v>0.02</v>
          </cell>
          <cell r="P443">
            <v>3.5200000000000006E-3</v>
          </cell>
          <cell r="Q443" t="str">
            <v>L</v>
          </cell>
          <cell r="R443">
            <v>2.0500000000000002E-3</v>
          </cell>
          <cell r="T443">
            <v>39498</v>
          </cell>
          <cell r="V443" t="str">
            <v>2008-02</v>
          </cell>
          <cell r="AH443" t="str">
            <v/>
          </cell>
          <cell r="AJ443" t="str">
            <v/>
          </cell>
          <cell r="AL443" t="str">
            <v/>
          </cell>
          <cell r="AM443">
            <v>0</v>
          </cell>
          <cell r="AN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</row>
        <row r="444">
          <cell r="C444" t="str">
            <v>MTO</v>
          </cell>
          <cell r="H444" t="str">
            <v>10-XX-MTO-PI-0014</v>
          </cell>
          <cell r="I444" t="str">
            <v>MTO for Painting and Coating</v>
          </cell>
          <cell r="M444">
            <v>1.55E-2</v>
          </cell>
          <cell r="P444">
            <v>2.728E-3</v>
          </cell>
          <cell r="Q444" t="str">
            <v>L</v>
          </cell>
          <cell r="R444">
            <v>4.0000000000000002E-4</v>
          </cell>
          <cell r="T444">
            <v>39498</v>
          </cell>
          <cell r="V444" t="str">
            <v>2008-02</v>
          </cell>
          <cell r="AH444" t="str">
            <v/>
          </cell>
          <cell r="AJ444" t="str">
            <v/>
          </cell>
          <cell r="AL444" t="str">
            <v/>
          </cell>
          <cell r="AM444">
            <v>0</v>
          </cell>
          <cell r="AN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</row>
        <row r="445">
          <cell r="C445" t="str">
            <v>MTO</v>
          </cell>
          <cell r="H445" t="str">
            <v>10-XX-MTO-PI-0016</v>
          </cell>
          <cell r="I445" t="str">
            <v>Final MTO for Pipe&amp; Piping Components</v>
          </cell>
          <cell r="M445">
            <v>0.05</v>
          </cell>
          <cell r="P445">
            <v>8.8000000000000005E-3</v>
          </cell>
          <cell r="Q445" t="str">
            <v>L</v>
          </cell>
          <cell r="R445">
            <v>1.8E-3</v>
          </cell>
          <cell r="T445">
            <v>39498</v>
          </cell>
          <cell r="V445" t="str">
            <v>2008-02</v>
          </cell>
          <cell r="AH445" t="str">
            <v/>
          </cell>
          <cell r="AJ445" t="str">
            <v/>
          </cell>
          <cell r="AL445" t="str">
            <v/>
          </cell>
          <cell r="AM445">
            <v>0</v>
          </cell>
          <cell r="AN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</row>
        <row r="446">
          <cell r="C446" t="str">
            <v>VDT</v>
          </cell>
          <cell r="H446" t="str">
            <v>10-XX-VDT-PI-0001</v>
          </cell>
          <cell r="I446" t="str">
            <v>Vendor Data Book for Pipes</v>
          </cell>
          <cell r="M446">
            <v>8.0000000000000002E-3</v>
          </cell>
          <cell r="P446">
            <v>1.4080000000000002E-3</v>
          </cell>
          <cell r="Q446" t="str">
            <v>L</v>
          </cell>
          <cell r="R446">
            <v>1E-4</v>
          </cell>
          <cell r="T446">
            <v>39501</v>
          </cell>
          <cell r="V446" t="str">
            <v>2008-02</v>
          </cell>
          <cell r="AM446">
            <v>0</v>
          </cell>
          <cell r="AN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</row>
        <row r="447">
          <cell r="C447" t="str">
            <v>VDT</v>
          </cell>
          <cell r="H447" t="str">
            <v>10-XX-VDT-PI-0002</v>
          </cell>
          <cell r="I447" t="str">
            <v>Vendor Data Book for Manual valve</v>
          </cell>
          <cell r="M447">
            <v>8.0000000000000002E-3</v>
          </cell>
          <cell r="P447">
            <v>1.4080000000000002E-3</v>
          </cell>
          <cell r="Q447" t="str">
            <v>L</v>
          </cell>
          <cell r="R447">
            <v>1E-4</v>
          </cell>
          <cell r="T447">
            <v>39501</v>
          </cell>
          <cell r="V447" t="str">
            <v>2008-02</v>
          </cell>
          <cell r="AM447">
            <v>0</v>
          </cell>
          <cell r="AN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</row>
        <row r="448">
          <cell r="C448" t="str">
            <v>VDT</v>
          </cell>
          <cell r="H448" t="str">
            <v>10-XX-VDT-PI-0003</v>
          </cell>
          <cell r="I448" t="str">
            <v>Vendor Data Book for Flange</v>
          </cell>
          <cell r="M448">
            <v>8.0000000000000002E-3</v>
          </cell>
          <cell r="P448">
            <v>1.4080000000000002E-3</v>
          </cell>
          <cell r="Q448" t="str">
            <v>L</v>
          </cell>
          <cell r="R448">
            <v>1E-4</v>
          </cell>
          <cell r="T448">
            <v>39501</v>
          </cell>
          <cell r="V448" t="str">
            <v>2008-02</v>
          </cell>
          <cell r="AM448">
            <v>0</v>
          </cell>
          <cell r="AN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</row>
        <row r="449">
          <cell r="C449" t="str">
            <v>VDT</v>
          </cell>
          <cell r="H449" t="str">
            <v>10-XX-VDT-PI-0004</v>
          </cell>
          <cell r="I449" t="str">
            <v>Vendor Data Book for Gasket</v>
          </cell>
          <cell r="M449">
            <v>8.0000000000000002E-3</v>
          </cell>
          <cell r="P449">
            <v>1.4080000000000002E-3</v>
          </cell>
          <cell r="Q449" t="str">
            <v>L</v>
          </cell>
          <cell r="R449">
            <v>1E-4</v>
          </cell>
          <cell r="T449">
            <v>39501</v>
          </cell>
          <cell r="V449" t="str">
            <v>2008-02</v>
          </cell>
          <cell r="AM449">
            <v>0</v>
          </cell>
          <cell r="AN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</row>
        <row r="450">
          <cell r="C450" t="str">
            <v>VDT</v>
          </cell>
          <cell r="H450" t="str">
            <v>10-XX-VDT-PI-0005</v>
          </cell>
          <cell r="I450" t="str">
            <v>Vendor Data Book for Fitting</v>
          </cell>
          <cell r="M450">
            <v>8.0000000000000002E-3</v>
          </cell>
          <cell r="P450">
            <v>1.4080000000000002E-3</v>
          </cell>
          <cell r="Q450" t="str">
            <v>L</v>
          </cell>
          <cell r="R450">
            <v>1E-4</v>
          </cell>
          <cell r="T450">
            <v>39501</v>
          </cell>
          <cell r="V450" t="str">
            <v>2008-02</v>
          </cell>
          <cell r="AM450">
            <v>0</v>
          </cell>
          <cell r="AN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</row>
        <row r="451">
          <cell r="C451" t="str">
            <v>VDT</v>
          </cell>
          <cell r="H451" t="str">
            <v>10-XX-VDT-PI-0006</v>
          </cell>
          <cell r="I451" t="str">
            <v>Vendor Data Book for Bults &amp; Nuts</v>
          </cell>
          <cell r="M451">
            <v>8.0000000000000002E-3</v>
          </cell>
          <cell r="P451">
            <v>1.4080000000000002E-3</v>
          </cell>
          <cell r="Q451" t="str">
            <v>L</v>
          </cell>
          <cell r="R451">
            <v>1E-4</v>
          </cell>
          <cell r="T451">
            <v>39501</v>
          </cell>
          <cell r="V451" t="str">
            <v>2008-02</v>
          </cell>
          <cell r="AM451">
            <v>0</v>
          </cell>
          <cell r="AN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</row>
        <row r="452">
          <cell r="C452" t="str">
            <v>VDT</v>
          </cell>
          <cell r="H452" t="str">
            <v>10-XX-VDT-PI-0007</v>
          </cell>
          <cell r="I452" t="str">
            <v>Vendor Data Book for Coat &amp; Wrap</v>
          </cell>
          <cell r="M452">
            <v>8.0000000000000002E-3</v>
          </cell>
          <cell r="P452">
            <v>1.4080000000000002E-3</v>
          </cell>
          <cell r="Q452" t="str">
            <v>L</v>
          </cell>
          <cell r="R452">
            <v>1E-4</v>
          </cell>
          <cell r="T452">
            <v>39501</v>
          </cell>
          <cell r="V452" t="str">
            <v>2008-02</v>
          </cell>
          <cell r="AM452">
            <v>0</v>
          </cell>
          <cell r="AN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</row>
        <row r="453">
          <cell r="C453" t="str">
            <v>VDT</v>
          </cell>
          <cell r="H453" t="str">
            <v>10-XX-VDT-PI-0008</v>
          </cell>
          <cell r="I453" t="str">
            <v>Vendor Data Book for Paint</v>
          </cell>
          <cell r="M453">
            <v>8.0000000000000002E-3</v>
          </cell>
          <cell r="P453">
            <v>1.4080000000000002E-3</v>
          </cell>
          <cell r="Q453" t="str">
            <v>L</v>
          </cell>
          <cell r="R453">
            <v>1E-4</v>
          </cell>
          <cell r="T453">
            <v>39501</v>
          </cell>
          <cell r="V453" t="str">
            <v>2008-02</v>
          </cell>
          <cell r="AM453">
            <v>0</v>
          </cell>
          <cell r="AN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</row>
        <row r="454">
          <cell r="C454" t="str">
            <v>VDT</v>
          </cell>
          <cell r="H454" t="str">
            <v>10-XX-VDT-PI-0009</v>
          </cell>
          <cell r="I454" t="str">
            <v>Vendor Data Book for Insulation</v>
          </cell>
          <cell r="M454">
            <v>8.0000000000000002E-3</v>
          </cell>
          <cell r="P454">
            <v>1.4080000000000002E-3</v>
          </cell>
          <cell r="Q454" t="str">
            <v>L</v>
          </cell>
          <cell r="R454">
            <v>1E-4</v>
          </cell>
          <cell r="T454">
            <v>39501</v>
          </cell>
          <cell r="V454" t="str">
            <v>2008-02</v>
          </cell>
          <cell r="AM454">
            <v>0</v>
          </cell>
          <cell r="AN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</row>
        <row r="455">
          <cell r="C455" t="str">
            <v>MR</v>
          </cell>
          <cell r="H455" t="str">
            <v>10-REQ-PI-301</v>
          </cell>
          <cell r="I455" t="str">
            <v>MR for Pipes</v>
          </cell>
          <cell r="M455">
            <v>1.0999999999999999E-2</v>
          </cell>
          <cell r="P455">
            <v>1.936E-3</v>
          </cell>
          <cell r="Q455" t="str">
            <v>L</v>
          </cell>
          <cell r="R455">
            <v>1.6000000000000001E-3</v>
          </cell>
          <cell r="T455">
            <v>39483</v>
          </cell>
          <cell r="V455" t="str">
            <v>2008-02</v>
          </cell>
          <cell r="AH455" t="str">
            <v/>
          </cell>
          <cell r="AJ455" t="str">
            <v/>
          </cell>
          <cell r="AL455" t="str">
            <v/>
          </cell>
          <cell r="AM455">
            <v>0</v>
          </cell>
          <cell r="AN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</row>
        <row r="456">
          <cell r="C456" t="str">
            <v>TBA</v>
          </cell>
          <cell r="H456" t="str">
            <v>10-TBA-PI-301</v>
          </cell>
          <cell r="I456" t="str">
            <v>TBA for Pipes</v>
          </cell>
          <cell r="M456">
            <v>1.4999999999999999E-2</v>
          </cell>
          <cell r="P456">
            <v>2.64E-3</v>
          </cell>
          <cell r="Q456" t="str">
            <v>L</v>
          </cell>
          <cell r="R456">
            <v>1E-4</v>
          </cell>
          <cell r="T456">
            <v>39498</v>
          </cell>
          <cell r="V456" t="str">
            <v>2008-02</v>
          </cell>
          <cell r="AM456">
            <v>0</v>
          </cell>
          <cell r="AN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</row>
        <row r="457">
          <cell r="C457" t="str">
            <v>MR</v>
          </cell>
          <cell r="H457" t="str">
            <v>10-REQ-PI-302</v>
          </cell>
          <cell r="I457" t="str">
            <v>MR for Manual Valve</v>
          </cell>
          <cell r="M457">
            <v>1.0999999999999999E-2</v>
          </cell>
          <cell r="P457">
            <v>1.936E-3</v>
          </cell>
          <cell r="Q457" t="str">
            <v>L</v>
          </cell>
          <cell r="R457">
            <v>1.5499999999999999E-3</v>
          </cell>
          <cell r="T457">
            <v>39486</v>
          </cell>
          <cell r="V457" t="str">
            <v>2008-02</v>
          </cell>
          <cell r="AH457" t="str">
            <v/>
          </cell>
          <cell r="AJ457" t="str">
            <v/>
          </cell>
          <cell r="AL457" t="str">
            <v/>
          </cell>
          <cell r="AM457">
            <v>0</v>
          </cell>
          <cell r="AN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</row>
        <row r="458">
          <cell r="C458" t="str">
            <v>TBA</v>
          </cell>
          <cell r="H458" t="str">
            <v>10-TBA-PI-302</v>
          </cell>
          <cell r="I458" t="str">
            <v>TBA for Manual Valve</v>
          </cell>
          <cell r="M458">
            <v>0.01</v>
          </cell>
          <cell r="P458">
            <v>1.7600000000000003E-3</v>
          </cell>
          <cell r="Q458" t="str">
            <v>L</v>
          </cell>
          <cell r="R458">
            <v>1E-4</v>
          </cell>
          <cell r="T458">
            <v>39496</v>
          </cell>
          <cell r="V458" t="str">
            <v>2008-02</v>
          </cell>
          <cell r="AM458">
            <v>0</v>
          </cell>
          <cell r="AN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</row>
        <row r="459">
          <cell r="C459" t="str">
            <v>MR</v>
          </cell>
          <cell r="H459" t="str">
            <v>10-REQ-PI-303</v>
          </cell>
          <cell r="I459" t="str">
            <v>MR for Flange</v>
          </cell>
          <cell r="M459">
            <v>1.0999999999999999E-2</v>
          </cell>
          <cell r="P459">
            <v>1.936E-3</v>
          </cell>
          <cell r="Q459" t="str">
            <v>L</v>
          </cell>
          <cell r="R459">
            <v>1.5499999999999999E-3</v>
          </cell>
          <cell r="T459">
            <v>39488</v>
          </cell>
          <cell r="V459" t="str">
            <v>2008-02</v>
          </cell>
          <cell r="AH459" t="str">
            <v/>
          </cell>
          <cell r="AJ459" t="str">
            <v/>
          </cell>
          <cell r="AL459" t="str">
            <v/>
          </cell>
          <cell r="AM459">
            <v>0</v>
          </cell>
          <cell r="AN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</row>
        <row r="460">
          <cell r="C460" t="str">
            <v>TBA</v>
          </cell>
          <cell r="H460" t="str">
            <v>10-TBA-PI-303</v>
          </cell>
          <cell r="I460" t="str">
            <v>TBA for Flange</v>
          </cell>
          <cell r="M460">
            <v>0.01</v>
          </cell>
          <cell r="P460">
            <v>1.7600000000000003E-3</v>
          </cell>
          <cell r="Q460" t="str">
            <v>L</v>
          </cell>
          <cell r="R460">
            <v>1E-4</v>
          </cell>
          <cell r="T460">
            <v>39500</v>
          </cell>
          <cell r="V460" t="str">
            <v>2008-02</v>
          </cell>
          <cell r="AM460">
            <v>0</v>
          </cell>
          <cell r="AN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</row>
        <row r="461">
          <cell r="C461" t="str">
            <v>MR</v>
          </cell>
          <cell r="H461" t="str">
            <v>10-REQ-PI-304</v>
          </cell>
          <cell r="I461" t="str">
            <v>MR for Gasket</v>
          </cell>
          <cell r="M461">
            <v>1.0999999999999999E-2</v>
          </cell>
          <cell r="P461">
            <v>1.936E-3</v>
          </cell>
          <cell r="Q461" t="str">
            <v>L</v>
          </cell>
          <cell r="R461">
            <v>1.5499999999999999E-3</v>
          </cell>
          <cell r="T461">
            <v>39488</v>
          </cell>
          <cell r="V461" t="str">
            <v>2008-02</v>
          </cell>
          <cell r="AH461" t="str">
            <v/>
          </cell>
          <cell r="AJ461" t="str">
            <v/>
          </cell>
          <cell r="AL461" t="str">
            <v/>
          </cell>
          <cell r="AM461">
            <v>0</v>
          </cell>
          <cell r="AN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</row>
        <row r="462">
          <cell r="C462" t="str">
            <v>TBA</v>
          </cell>
          <cell r="H462" t="str">
            <v>10-TBA-PI-304</v>
          </cell>
          <cell r="I462" t="str">
            <v>TBA for Gasket</v>
          </cell>
          <cell r="M462">
            <v>0.01</v>
          </cell>
          <cell r="P462">
            <v>1.7600000000000003E-3</v>
          </cell>
          <cell r="Q462" t="str">
            <v>L</v>
          </cell>
          <cell r="R462">
            <v>1E-4</v>
          </cell>
          <cell r="T462">
            <v>39499</v>
          </cell>
          <cell r="V462" t="str">
            <v>2008-02</v>
          </cell>
          <cell r="AM462">
            <v>0</v>
          </cell>
          <cell r="AN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</row>
        <row r="463">
          <cell r="C463" t="str">
            <v>MR</v>
          </cell>
          <cell r="H463" t="str">
            <v>10-REQ-PI-305</v>
          </cell>
          <cell r="I463" t="str">
            <v>MR for Fitting</v>
          </cell>
          <cell r="M463">
            <v>1.0999999999999999E-2</v>
          </cell>
          <cell r="P463">
            <v>1.936E-3</v>
          </cell>
          <cell r="Q463" t="str">
            <v>L</v>
          </cell>
          <cell r="R463">
            <v>1.5499999999999999E-3</v>
          </cell>
          <cell r="T463">
            <v>39488</v>
          </cell>
          <cell r="V463" t="str">
            <v>2008-02</v>
          </cell>
          <cell r="AH463" t="str">
            <v/>
          </cell>
          <cell r="AJ463" t="str">
            <v/>
          </cell>
          <cell r="AL463" t="str">
            <v/>
          </cell>
          <cell r="AM463">
            <v>0</v>
          </cell>
          <cell r="AN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</row>
        <row r="464">
          <cell r="C464" t="str">
            <v>TBA</v>
          </cell>
          <cell r="H464" t="str">
            <v>10-TBA-PI-305</v>
          </cell>
          <cell r="I464" t="str">
            <v>TBA for Fitting</v>
          </cell>
          <cell r="M464">
            <v>1.4999999999999999E-2</v>
          </cell>
          <cell r="P464">
            <v>2.64E-3</v>
          </cell>
          <cell r="Q464" t="str">
            <v>L</v>
          </cell>
          <cell r="R464">
            <v>1E-4</v>
          </cell>
          <cell r="T464">
            <v>39501</v>
          </cell>
          <cell r="V464" t="str">
            <v>2008-02</v>
          </cell>
          <cell r="AM464">
            <v>0</v>
          </cell>
          <cell r="AN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</row>
        <row r="465">
          <cell r="C465" t="str">
            <v>MR</v>
          </cell>
          <cell r="H465" t="str">
            <v>10-REQ-PI-306</v>
          </cell>
          <cell r="I465" t="str">
            <v>MR for Bults &amp; Nuts</v>
          </cell>
          <cell r="M465">
            <v>1.0999999999999999E-2</v>
          </cell>
          <cell r="P465">
            <v>1.936E-3</v>
          </cell>
          <cell r="Q465" t="str">
            <v>L</v>
          </cell>
          <cell r="R465">
            <v>1.5499999999999999E-3</v>
          </cell>
          <cell r="T465">
            <v>39488</v>
          </cell>
          <cell r="V465" t="str">
            <v>2008-02</v>
          </cell>
          <cell r="AH465" t="str">
            <v/>
          </cell>
          <cell r="AJ465" t="str">
            <v/>
          </cell>
          <cell r="AL465" t="str">
            <v/>
          </cell>
          <cell r="AM465">
            <v>0</v>
          </cell>
          <cell r="AN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</row>
        <row r="466">
          <cell r="C466" t="str">
            <v>TBA</v>
          </cell>
          <cell r="H466" t="str">
            <v>10-TBA-PI-306</v>
          </cell>
          <cell r="I466" t="str">
            <v>TBA for Bults &amp; Nuts</v>
          </cell>
          <cell r="M466">
            <v>1.4999999999999999E-2</v>
          </cell>
          <cell r="P466">
            <v>2.64E-3</v>
          </cell>
          <cell r="Q466" t="str">
            <v>L</v>
          </cell>
          <cell r="R466">
            <v>1E-4</v>
          </cell>
          <cell r="T466">
            <v>39501</v>
          </cell>
          <cell r="V466" t="str">
            <v>2008-02</v>
          </cell>
          <cell r="AM466">
            <v>0</v>
          </cell>
          <cell r="AN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</row>
        <row r="467">
          <cell r="C467" t="str">
            <v>MR</v>
          </cell>
          <cell r="H467" t="str">
            <v>10-REQ-PI-307</v>
          </cell>
          <cell r="I467" t="str">
            <v>MR for Paint</v>
          </cell>
          <cell r="M467">
            <v>1.0999999999999999E-2</v>
          </cell>
          <cell r="P467">
            <v>1.936E-3</v>
          </cell>
          <cell r="Q467" t="str">
            <v>L</v>
          </cell>
          <cell r="R467">
            <v>1.5499999999999999E-3</v>
          </cell>
          <cell r="T467">
            <v>39488</v>
          </cell>
          <cell r="V467" t="str">
            <v>2008-02</v>
          </cell>
          <cell r="AH467" t="str">
            <v/>
          </cell>
          <cell r="AJ467" t="str">
            <v/>
          </cell>
          <cell r="AL467" t="str">
            <v/>
          </cell>
          <cell r="AM467">
            <v>0</v>
          </cell>
          <cell r="AN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</row>
        <row r="468">
          <cell r="C468" t="str">
            <v>TBA</v>
          </cell>
          <cell r="H468" t="str">
            <v>10-TBA-PI-307</v>
          </cell>
          <cell r="I468" t="str">
            <v>TBA for Paint</v>
          </cell>
          <cell r="M468">
            <v>1.4999999999999999E-2</v>
          </cell>
          <cell r="P468">
            <v>2.64E-3</v>
          </cell>
          <cell r="Q468" t="str">
            <v>L</v>
          </cell>
          <cell r="R468">
            <v>1E-4</v>
          </cell>
          <cell r="T468">
            <v>39496</v>
          </cell>
          <cell r="V468" t="str">
            <v>2008-02</v>
          </cell>
          <cell r="AM468">
            <v>0</v>
          </cell>
          <cell r="AN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</row>
        <row r="469">
          <cell r="C469" t="str">
            <v>MR</v>
          </cell>
          <cell r="H469" t="str">
            <v>10-REQ-PI-308</v>
          </cell>
          <cell r="I469" t="str">
            <v>MR for Coat and Wrap</v>
          </cell>
          <cell r="M469">
            <v>1.0999999999999999E-2</v>
          </cell>
          <cell r="P469">
            <v>1.936E-3</v>
          </cell>
          <cell r="Q469" t="str">
            <v>L</v>
          </cell>
          <cell r="R469">
            <v>1.5499999999999999E-3</v>
          </cell>
          <cell r="T469">
            <v>39488</v>
          </cell>
          <cell r="V469" t="str">
            <v>2008-02</v>
          </cell>
          <cell r="AH469" t="str">
            <v/>
          </cell>
          <cell r="AJ469" t="str">
            <v/>
          </cell>
          <cell r="AL469" t="str">
            <v/>
          </cell>
          <cell r="AM469">
            <v>0</v>
          </cell>
          <cell r="AN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</row>
        <row r="470">
          <cell r="C470" t="str">
            <v>TBA</v>
          </cell>
          <cell r="H470" t="str">
            <v>10-TBA-PI-308</v>
          </cell>
          <cell r="I470" t="str">
            <v>TBA for Coat and Wrap</v>
          </cell>
          <cell r="M470">
            <v>8.0000000000000002E-3</v>
          </cell>
          <cell r="P470">
            <v>1.4080000000000002E-3</v>
          </cell>
          <cell r="Q470" t="str">
            <v>L</v>
          </cell>
          <cell r="R470">
            <v>1E-4</v>
          </cell>
          <cell r="T470">
            <v>39501</v>
          </cell>
          <cell r="V470" t="str">
            <v>2008-02</v>
          </cell>
          <cell r="AM470">
            <v>0</v>
          </cell>
          <cell r="AN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</row>
        <row r="471">
          <cell r="C471" t="str">
            <v>MR</v>
          </cell>
          <cell r="H471" t="str">
            <v>10-REQ-PI-309</v>
          </cell>
          <cell r="I471" t="str">
            <v>MR for Instalation</v>
          </cell>
          <cell r="M471">
            <v>1.0999999999999999E-2</v>
          </cell>
          <cell r="P471">
            <v>1.936E-3</v>
          </cell>
          <cell r="Q471" t="str">
            <v>L</v>
          </cell>
          <cell r="R471">
            <v>1.6000000000000001E-3</v>
          </cell>
          <cell r="T471">
            <v>39488</v>
          </cell>
          <cell r="V471" t="str">
            <v>2008-02</v>
          </cell>
          <cell r="AH471" t="str">
            <v/>
          </cell>
          <cell r="AJ471" t="str">
            <v/>
          </cell>
          <cell r="AL471" t="str">
            <v/>
          </cell>
          <cell r="AM471">
            <v>0</v>
          </cell>
          <cell r="AN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</row>
        <row r="472">
          <cell r="C472" t="str">
            <v>MR</v>
          </cell>
          <cell r="H472" t="str">
            <v>10-TBA-PI-309</v>
          </cell>
          <cell r="I472" t="str">
            <v>TBA for Instalation</v>
          </cell>
          <cell r="M472">
            <v>8.0000000000000002E-3</v>
          </cell>
          <cell r="P472">
            <v>1.4080000000000002E-3</v>
          </cell>
          <cell r="Q472" t="str">
            <v>L</v>
          </cell>
          <cell r="R472">
            <v>1E-4</v>
          </cell>
          <cell r="T472">
            <v>39499</v>
          </cell>
          <cell r="V472" t="str">
            <v>2008-02</v>
          </cell>
          <cell r="AM472">
            <v>0</v>
          </cell>
          <cell r="AN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</row>
        <row r="473">
          <cell r="C473" t="str">
            <v>SPC</v>
          </cell>
          <cell r="H473" t="str">
            <v>10-XX-ESS-PI-0010</v>
          </cell>
          <cell r="I473" t="str">
            <v>Specification for Pipes</v>
          </cell>
          <cell r="M473">
            <v>8.0000000000000002E-3</v>
          </cell>
          <cell r="P473">
            <v>1.4080000000000002E-3</v>
          </cell>
          <cell r="R473">
            <v>1.6000000000000001E-3</v>
          </cell>
          <cell r="V473" t="str">
            <v>ارسال شده</v>
          </cell>
          <cell r="W473">
            <v>0</v>
          </cell>
          <cell r="X473">
            <v>400</v>
          </cell>
          <cell r="Y473" t="str">
            <v>03-12-07</v>
          </cell>
          <cell r="Z473" t="str">
            <v>F-0541</v>
          </cell>
          <cell r="AA473" t="str">
            <v>19-12-07</v>
          </cell>
          <cell r="AG473" t="str">
            <v>GBT</v>
          </cell>
          <cell r="AH473" t="str">
            <v>x</v>
          </cell>
          <cell r="AM473">
            <v>0.45</v>
          </cell>
          <cell r="AN473">
            <v>7.2000000000000005E-4</v>
          </cell>
          <cell r="AQ473">
            <v>6.3360000000000011E-4</v>
          </cell>
          <cell r="AR473">
            <v>7.2000000000000005E-4</v>
          </cell>
          <cell r="AS473">
            <v>45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45</v>
          </cell>
        </row>
        <row r="474">
          <cell r="C474" t="str">
            <v>SPC</v>
          </cell>
          <cell r="H474" t="str">
            <v>10-XX-ESS-PI-0011</v>
          </cell>
          <cell r="I474" t="str">
            <v>Specification for Valves</v>
          </cell>
          <cell r="M474">
            <v>8.0000000000000002E-3</v>
          </cell>
          <cell r="P474">
            <v>1.4080000000000002E-3</v>
          </cell>
          <cell r="R474">
            <v>1.6000000000000001E-3</v>
          </cell>
          <cell r="V474" t="str">
            <v>ارسال شده</v>
          </cell>
          <cell r="W474">
            <v>0</v>
          </cell>
          <cell r="X474">
            <v>399</v>
          </cell>
          <cell r="Y474" t="str">
            <v>03-12-07</v>
          </cell>
          <cell r="Z474" t="str">
            <v>F-0518</v>
          </cell>
          <cell r="AA474" t="str">
            <v>12-12-07</v>
          </cell>
          <cell r="AG474" t="str">
            <v>GBT</v>
          </cell>
          <cell r="AH474" t="str">
            <v>x</v>
          </cell>
          <cell r="AM474">
            <v>0.45</v>
          </cell>
          <cell r="AN474">
            <v>7.2000000000000005E-4</v>
          </cell>
          <cell r="AQ474">
            <v>6.3360000000000011E-4</v>
          </cell>
          <cell r="AR474">
            <v>7.2000000000000005E-4</v>
          </cell>
          <cell r="AS474">
            <v>45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45</v>
          </cell>
        </row>
        <row r="475">
          <cell r="C475" t="str">
            <v>SPC</v>
          </cell>
          <cell r="H475" t="str">
            <v>10-XX-ESS-PI-0012</v>
          </cell>
          <cell r="I475" t="str">
            <v>Specification for Fitting</v>
          </cell>
          <cell r="M475">
            <v>8.0000000000000002E-3</v>
          </cell>
          <cell r="P475">
            <v>1.4080000000000002E-3</v>
          </cell>
          <cell r="R475">
            <v>1.6000000000000001E-3</v>
          </cell>
          <cell r="V475" t="str">
            <v>ارسال شده</v>
          </cell>
          <cell r="W475">
            <v>0</v>
          </cell>
          <cell r="X475">
            <v>397</v>
          </cell>
          <cell r="Y475" t="str">
            <v>03-12-07</v>
          </cell>
          <cell r="Z475" t="str">
            <v>F-0541</v>
          </cell>
          <cell r="AA475" t="str">
            <v>19-12-07</v>
          </cell>
          <cell r="AG475" t="str">
            <v>GBT</v>
          </cell>
          <cell r="AH475" t="str">
            <v>x</v>
          </cell>
          <cell r="AM475">
            <v>0.45</v>
          </cell>
          <cell r="AN475">
            <v>7.2000000000000005E-4</v>
          </cell>
          <cell r="AQ475">
            <v>6.3360000000000011E-4</v>
          </cell>
          <cell r="AR475">
            <v>7.2000000000000005E-4</v>
          </cell>
          <cell r="AS475">
            <v>45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45</v>
          </cell>
        </row>
        <row r="476">
          <cell r="C476" t="str">
            <v>SPC</v>
          </cell>
          <cell r="H476" t="str">
            <v>10-XX-ESS-PI-0013</v>
          </cell>
          <cell r="I476" t="str">
            <v>Specification for Flange</v>
          </cell>
          <cell r="M476">
            <v>8.0000000000000002E-3</v>
          </cell>
          <cell r="P476">
            <v>1.4080000000000002E-3</v>
          </cell>
          <cell r="R476">
            <v>1.6000000000000001E-3</v>
          </cell>
          <cell r="V476" t="str">
            <v>ارسال شده</v>
          </cell>
          <cell r="W476">
            <v>0</v>
          </cell>
          <cell r="X476">
            <v>401</v>
          </cell>
          <cell r="Y476" t="str">
            <v>03-12-07</v>
          </cell>
          <cell r="Z476" t="str">
            <v>F-0541</v>
          </cell>
          <cell r="AA476" t="str">
            <v>19-12-07</v>
          </cell>
          <cell r="AG476" t="str">
            <v>GBT</v>
          </cell>
          <cell r="AH476" t="str">
            <v>x</v>
          </cell>
          <cell r="AM476">
            <v>0.45</v>
          </cell>
          <cell r="AN476">
            <v>7.2000000000000005E-4</v>
          </cell>
          <cell r="AQ476">
            <v>6.3360000000000011E-4</v>
          </cell>
          <cell r="AR476">
            <v>7.2000000000000005E-4</v>
          </cell>
          <cell r="AS476">
            <v>45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45</v>
          </cell>
        </row>
        <row r="477">
          <cell r="C477" t="str">
            <v>SPC</v>
          </cell>
          <cell r="H477" t="str">
            <v>10-XX-ESS-PI-0014</v>
          </cell>
          <cell r="I477" t="str">
            <v>Specification for Packing &amp; Package</v>
          </cell>
          <cell r="M477">
            <v>8.0000000000000002E-3</v>
          </cell>
          <cell r="P477">
            <v>1.4080000000000002E-3</v>
          </cell>
          <cell r="R477">
            <v>1.6000000000000001E-3</v>
          </cell>
          <cell r="V477" t="str">
            <v>ارسال شده</v>
          </cell>
          <cell r="W477">
            <v>0</v>
          </cell>
          <cell r="X477">
            <v>398</v>
          </cell>
          <cell r="Y477" t="str">
            <v>03-12-07</v>
          </cell>
          <cell r="Z477" t="str">
            <v>F-0515</v>
          </cell>
          <cell r="AA477" t="str">
            <v>12-12-07</v>
          </cell>
          <cell r="AG477" t="str">
            <v>GBT</v>
          </cell>
          <cell r="AH477" t="str">
            <v>x</v>
          </cell>
          <cell r="AM477">
            <v>0.45</v>
          </cell>
          <cell r="AN477">
            <v>7.2000000000000005E-4</v>
          </cell>
          <cell r="AQ477">
            <v>6.3360000000000011E-4</v>
          </cell>
          <cell r="AR477">
            <v>7.2000000000000005E-4</v>
          </cell>
          <cell r="AS477">
            <v>45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45</v>
          </cell>
        </row>
        <row r="478">
          <cell r="C478" t="str">
            <v>SPC</v>
          </cell>
          <cell r="H478" t="str">
            <v>10-XX-ESS-PI-0015</v>
          </cell>
          <cell r="I478" t="str">
            <v>Specification for Layout &amp; Spacing</v>
          </cell>
          <cell r="M478">
            <v>8.0000000000000002E-3</v>
          </cell>
          <cell r="P478">
            <v>1.4080000000000002E-3</v>
          </cell>
          <cell r="R478">
            <v>1.6000000000000001E-3</v>
          </cell>
          <cell r="V478" t="str">
            <v>ارسال شده</v>
          </cell>
          <cell r="W478">
            <v>0</v>
          </cell>
          <cell r="X478">
            <v>475</v>
          </cell>
          <cell r="Y478" t="str">
            <v>13-12-07</v>
          </cell>
          <cell r="AG478" t="str">
            <v>KRPC</v>
          </cell>
          <cell r="AH478" t="str">
            <v>x</v>
          </cell>
          <cell r="AM478">
            <v>0.45</v>
          </cell>
          <cell r="AN478">
            <v>7.2000000000000005E-4</v>
          </cell>
          <cell r="AQ478">
            <v>6.3360000000000011E-4</v>
          </cell>
          <cell r="AR478">
            <v>7.2000000000000005E-4</v>
          </cell>
          <cell r="AS478">
            <v>45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45</v>
          </cell>
        </row>
        <row r="479">
          <cell r="C479" t="str">
            <v>SPC</v>
          </cell>
          <cell r="H479" t="str">
            <v>10-XX-ESS-PI-0016</v>
          </cell>
          <cell r="I479" t="str">
            <v>Specification for Pipe Support</v>
          </cell>
          <cell r="M479">
            <v>8.0000000000000002E-3</v>
          </cell>
          <cell r="P479">
            <v>1.4080000000000002E-3</v>
          </cell>
          <cell r="R479">
            <v>1.6000000000000001E-3</v>
          </cell>
          <cell r="V479" t="str">
            <v>ارسال شده</v>
          </cell>
          <cell r="W479">
            <v>0</v>
          </cell>
          <cell r="X479">
            <v>412</v>
          </cell>
          <cell r="Y479" t="str">
            <v>09-12-07</v>
          </cell>
          <cell r="AG479" t="str">
            <v>KRPC</v>
          </cell>
          <cell r="AH479" t="str">
            <v>x</v>
          </cell>
          <cell r="AM479">
            <v>0.45</v>
          </cell>
          <cell r="AN479">
            <v>7.2000000000000005E-4</v>
          </cell>
          <cell r="AQ479">
            <v>6.3360000000000011E-4</v>
          </cell>
          <cell r="AR479">
            <v>7.2000000000000005E-4</v>
          </cell>
          <cell r="AS479">
            <v>45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45</v>
          </cell>
        </row>
        <row r="480">
          <cell r="H480" t="str">
            <v>10-XX-ESS-PI-0017</v>
          </cell>
          <cell r="I480" t="str">
            <v>Specification for Steam  Trap</v>
          </cell>
          <cell r="R480">
            <v>1.6000000000000001E-3</v>
          </cell>
          <cell r="V480" t="str">
            <v>ارسال شده</v>
          </cell>
          <cell r="W480">
            <v>0</v>
          </cell>
          <cell r="X480">
            <v>459</v>
          </cell>
          <cell r="Y480" t="str">
            <v>11-12-07</v>
          </cell>
          <cell r="Z480" t="str">
            <v>F-0546</v>
          </cell>
          <cell r="AA480" t="str">
            <v>23-12-07</v>
          </cell>
          <cell r="AG480" t="str">
            <v>GBT</v>
          </cell>
          <cell r="AH480" t="str">
            <v>x</v>
          </cell>
          <cell r="AM480">
            <v>0.45</v>
          </cell>
          <cell r="AN480">
            <v>7.2000000000000005E-4</v>
          </cell>
          <cell r="AQ480">
            <v>0</v>
          </cell>
          <cell r="AR480">
            <v>7.2000000000000005E-4</v>
          </cell>
          <cell r="AS480">
            <v>45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45</v>
          </cell>
        </row>
        <row r="481">
          <cell r="H481" t="str">
            <v>10-XX-ESS-PI-0018</v>
          </cell>
          <cell r="I481" t="str">
            <v>Specification for Stariner</v>
          </cell>
          <cell r="R481">
            <v>1.6000000000000001E-3</v>
          </cell>
          <cell r="V481" t="str">
            <v>ارسال شده</v>
          </cell>
          <cell r="W481">
            <v>0</v>
          </cell>
          <cell r="X481">
            <v>458</v>
          </cell>
          <cell r="Y481" t="str">
            <v>11-12-07</v>
          </cell>
          <cell r="Z481" t="str">
            <v>F-0545</v>
          </cell>
          <cell r="AA481" t="str">
            <v>23-12-07</v>
          </cell>
          <cell r="AG481" t="str">
            <v>GBT</v>
          </cell>
          <cell r="AH481" t="str">
            <v>x</v>
          </cell>
          <cell r="AM481">
            <v>0.45</v>
          </cell>
          <cell r="AN481">
            <v>7.2000000000000005E-4</v>
          </cell>
          <cell r="AQ481">
            <v>0</v>
          </cell>
          <cell r="AR481">
            <v>7.2000000000000005E-4</v>
          </cell>
          <cell r="AS481">
            <v>45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45</v>
          </cell>
        </row>
        <row r="482">
          <cell r="H482" t="str">
            <v>10-XX-DSH-PI-0001</v>
          </cell>
          <cell r="I482" t="str">
            <v>Data Sheet for Steam  Trap</v>
          </cell>
          <cell r="Q482" t="str">
            <v>V</v>
          </cell>
          <cell r="R482">
            <v>1.4E-3</v>
          </cell>
          <cell r="S482" t="str">
            <v>Add</v>
          </cell>
          <cell r="T482">
            <v>39418</v>
          </cell>
          <cell r="U482" t="str">
            <v>*</v>
          </cell>
          <cell r="V482" t="str">
            <v>2007-12</v>
          </cell>
          <cell r="AM482">
            <v>0</v>
          </cell>
          <cell r="AN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</row>
        <row r="483">
          <cell r="C483" t="str">
            <v>dwg</v>
          </cell>
          <cell r="H483" t="str">
            <v>10-XX-PCJ-PI-0001</v>
          </cell>
          <cell r="I483" t="str">
            <v>WPS for Piping</v>
          </cell>
          <cell r="M483">
            <v>8.0000000000000002E-3</v>
          </cell>
          <cell r="P483">
            <v>1.4080000000000002E-3</v>
          </cell>
          <cell r="Q483" t="str">
            <v>V</v>
          </cell>
          <cell r="R483">
            <v>2.8E-3</v>
          </cell>
          <cell r="T483">
            <v>39421</v>
          </cell>
          <cell r="U483" t="str">
            <v>*</v>
          </cell>
          <cell r="V483" t="str">
            <v>2007-12</v>
          </cell>
          <cell r="AM483">
            <v>0</v>
          </cell>
          <cell r="AN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</row>
        <row r="484">
          <cell r="C484" t="str">
            <v>LIS</v>
          </cell>
          <cell r="H484" t="str">
            <v>10-XX-LST-PI-0013</v>
          </cell>
          <cell r="I484" t="str">
            <v>Process Valve List</v>
          </cell>
          <cell r="M484">
            <v>8.0000000000000002E-3</v>
          </cell>
          <cell r="P484">
            <v>1.4080000000000002E-3</v>
          </cell>
          <cell r="Q484" t="str">
            <v>V</v>
          </cell>
          <cell r="R484">
            <v>1.9E-3</v>
          </cell>
          <cell r="T484">
            <v>39431</v>
          </cell>
          <cell r="U484" t="str">
            <v>*</v>
          </cell>
          <cell r="V484" t="str">
            <v>2007-12</v>
          </cell>
          <cell r="AM484">
            <v>0</v>
          </cell>
          <cell r="AN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</row>
        <row r="485">
          <cell r="C485" t="str">
            <v>dwg</v>
          </cell>
          <cell r="H485" t="str">
            <v>10-XX-A1-PI-0005</v>
          </cell>
          <cell r="I485" t="str">
            <v>Under Ground Pipe Route</v>
          </cell>
          <cell r="M485">
            <v>8.0000000000000002E-3</v>
          </cell>
          <cell r="P485">
            <v>1.4080000000000002E-3</v>
          </cell>
          <cell r="R485">
            <v>1.43E-2</v>
          </cell>
          <cell r="V485" t="str">
            <v>ارسال شده</v>
          </cell>
          <cell r="W485">
            <v>0</v>
          </cell>
          <cell r="X485">
            <v>209</v>
          </cell>
          <cell r="Y485" t="str">
            <v>28-10-07</v>
          </cell>
          <cell r="Z485" t="str">
            <v>F-0264</v>
          </cell>
          <cell r="AA485" t="str">
            <v>03-11-07</v>
          </cell>
          <cell r="AB485" t="str">
            <v>G-0264</v>
          </cell>
          <cell r="AC485" t="str">
            <v>06-12-07</v>
          </cell>
          <cell r="AD485" t="str">
            <v>FF-0473</v>
          </cell>
          <cell r="AG485" t="str">
            <v>GBT</v>
          </cell>
          <cell r="AH485" t="str">
            <v>x</v>
          </cell>
          <cell r="AM485">
            <v>0.45</v>
          </cell>
          <cell r="AN485">
            <v>6.4350000000000006E-3</v>
          </cell>
          <cell r="AQ485">
            <v>6.3360000000000011E-4</v>
          </cell>
          <cell r="AR485">
            <v>6.4350000000000006E-3</v>
          </cell>
          <cell r="AS485">
            <v>45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45</v>
          </cell>
        </row>
        <row r="486">
          <cell r="C486" t="str">
            <v>DWG</v>
          </cell>
          <cell r="H486" t="str">
            <v>10-XX-A1-PI-0006</v>
          </cell>
          <cell r="I486" t="str">
            <v>Above Ground Pipe Route</v>
          </cell>
          <cell r="M486">
            <v>8.0000000000000002E-3</v>
          </cell>
          <cell r="P486">
            <v>1.4080000000000002E-3</v>
          </cell>
          <cell r="R486">
            <v>1.43E-2</v>
          </cell>
          <cell r="V486" t="str">
            <v>ارسال شده</v>
          </cell>
          <cell r="W486">
            <v>0</v>
          </cell>
          <cell r="X486">
            <v>185</v>
          </cell>
          <cell r="Y486" t="str">
            <v>25-10-07</v>
          </cell>
          <cell r="Z486" t="str">
            <v>F-0283</v>
          </cell>
          <cell r="AA486" t="str">
            <v>10-11-07</v>
          </cell>
          <cell r="AB486" t="str">
            <v>G-0265</v>
          </cell>
          <cell r="AC486" t="str">
            <v>06-12-07</v>
          </cell>
          <cell r="AD486" t="str">
            <v>FF-0473</v>
          </cell>
          <cell r="AG486" t="str">
            <v>GBT</v>
          </cell>
          <cell r="AH486" t="str">
            <v>x</v>
          </cell>
          <cell r="AM486">
            <v>0.45</v>
          </cell>
          <cell r="AN486">
            <v>6.4350000000000006E-3</v>
          </cell>
          <cell r="AQ486">
            <v>6.3360000000000011E-4</v>
          </cell>
          <cell r="AR486">
            <v>6.4350000000000006E-3</v>
          </cell>
          <cell r="AS486">
            <v>45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45</v>
          </cell>
        </row>
        <row r="487">
          <cell r="C487" t="str">
            <v>CLS</v>
          </cell>
          <cell r="H487" t="str">
            <v>10-XX-CAL-PI-0001</v>
          </cell>
          <cell r="I487" t="str">
            <v>Piping Strength Calculation</v>
          </cell>
          <cell r="M487">
            <v>8.0000000000000002E-3</v>
          </cell>
          <cell r="P487">
            <v>1.4080000000000002E-3</v>
          </cell>
          <cell r="Q487" t="str">
            <v>V</v>
          </cell>
          <cell r="R487">
            <v>1.75E-3</v>
          </cell>
          <cell r="T487">
            <v>39426</v>
          </cell>
          <cell r="U487" t="str">
            <v>*</v>
          </cell>
          <cell r="V487" t="str">
            <v>2007-12</v>
          </cell>
          <cell r="AM487">
            <v>0</v>
          </cell>
          <cell r="AN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</row>
        <row r="488">
          <cell r="C488" t="str">
            <v>RPT</v>
          </cell>
          <cell r="H488" t="str">
            <v>10-XX-RPT-PI-0001</v>
          </cell>
          <cell r="I488" t="str">
            <v>PQR Report for Piping</v>
          </cell>
          <cell r="M488">
            <v>8.0000000000000002E-3</v>
          </cell>
          <cell r="P488">
            <v>1.4080000000000002E-3</v>
          </cell>
          <cell r="Q488" t="str">
            <v>L</v>
          </cell>
          <cell r="R488">
            <v>1E-4</v>
          </cell>
          <cell r="T488">
            <v>39501</v>
          </cell>
          <cell r="V488" t="str">
            <v>2008-02</v>
          </cell>
          <cell r="AM488">
            <v>0</v>
          </cell>
          <cell r="AN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</row>
        <row r="489">
          <cell r="C489" t="str">
            <v>MIS</v>
          </cell>
          <cell r="I489" t="str">
            <v>Miscellaneous</v>
          </cell>
          <cell r="M489">
            <v>0.01</v>
          </cell>
          <cell r="P489">
            <v>1.7600000000000003E-3</v>
          </cell>
          <cell r="R489">
            <v>8.8000000000000005E-3</v>
          </cell>
          <cell r="T489" t="str">
            <v>.</v>
          </cell>
          <cell r="AM489">
            <v>0</v>
          </cell>
          <cell r="AN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</row>
        <row r="490">
          <cell r="F490" t="str">
            <v>HVAC</v>
          </cell>
          <cell r="L490">
            <v>0.02</v>
          </cell>
          <cell r="M490">
            <v>0.99980000000000013</v>
          </cell>
          <cell r="P490">
            <v>1.6E-2</v>
          </cell>
          <cell r="R490">
            <v>1.5999999999999986E-2</v>
          </cell>
          <cell r="T490" t="str">
            <v>.</v>
          </cell>
          <cell r="U490" t="str">
            <v>.</v>
          </cell>
          <cell r="V490" t="str">
            <v>.</v>
          </cell>
          <cell r="W490" t="str">
            <v>.</v>
          </cell>
          <cell r="X490" t="str">
            <v>.</v>
          </cell>
          <cell r="Y490" t="str">
            <v>.</v>
          </cell>
          <cell r="Z490" t="str">
            <v>.</v>
          </cell>
          <cell r="AA490" t="str">
            <v>.</v>
          </cell>
          <cell r="AG490" t="str">
            <v>.</v>
          </cell>
          <cell r="AH490" t="str">
            <v>.</v>
          </cell>
          <cell r="AI490" t="str">
            <v>.</v>
          </cell>
          <cell r="AJ490" t="str">
            <v>.</v>
          </cell>
          <cell r="AK490" t="str">
            <v>.</v>
          </cell>
          <cell r="AL490" t="str">
            <v>.</v>
          </cell>
          <cell r="AM490">
            <v>0</v>
          </cell>
          <cell r="AN490">
            <v>0</v>
          </cell>
          <cell r="AO490" t="str">
            <v>.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</row>
        <row r="491">
          <cell r="C491" t="str">
            <v>CLS</v>
          </cell>
          <cell r="H491" t="str">
            <v>10-XX-CSH-HV-0001</v>
          </cell>
          <cell r="I491" t="str">
            <v xml:space="preserve">HVAC &amp; Plumbing &amp;Sewage Calculation Book for Central Control Building &amp; Substation </v>
          </cell>
          <cell r="M491">
            <v>4.4999999999999998E-2</v>
          </cell>
          <cell r="P491">
            <v>7.2000000000000005E-4</v>
          </cell>
          <cell r="Q491" t="str">
            <v>D(CI)</v>
          </cell>
          <cell r="R491">
            <v>7.7238345973440524E-4</v>
          </cell>
          <cell r="T491">
            <v>39430</v>
          </cell>
          <cell r="U491" t="str">
            <v>*</v>
          </cell>
          <cell r="V491" t="str">
            <v>2007-12</v>
          </cell>
          <cell r="AH491" t="str">
            <v/>
          </cell>
          <cell r="AJ491" t="str">
            <v/>
          </cell>
          <cell r="AL491" t="str">
            <v/>
          </cell>
          <cell r="AM491">
            <v>0</v>
          </cell>
          <cell r="AN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</row>
        <row r="492">
          <cell r="C492" t="str">
            <v>CLS</v>
          </cell>
          <cell r="H492" t="str">
            <v>10-XX-CSH-HV-0002</v>
          </cell>
          <cell r="I492" t="str">
            <v>HVAC &amp; Plumbing &amp;Sewage Calculation Book for LV Switchgear</v>
          </cell>
          <cell r="M492">
            <v>4.4999999999999998E-2</v>
          </cell>
          <cell r="P492">
            <v>7.2000000000000005E-4</v>
          </cell>
          <cell r="Q492" t="str">
            <v>D(CI)</v>
          </cell>
          <cell r="R492">
            <v>7.7238345973440524E-4</v>
          </cell>
          <cell r="T492">
            <v>39443</v>
          </cell>
          <cell r="U492" t="str">
            <v>*</v>
          </cell>
          <cell r="V492" t="str">
            <v>2007-12</v>
          </cell>
          <cell r="AH492" t="str">
            <v/>
          </cell>
          <cell r="AJ492" t="str">
            <v/>
          </cell>
          <cell r="AL492" t="str">
            <v/>
          </cell>
          <cell r="AM492">
            <v>0</v>
          </cell>
          <cell r="AN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</row>
        <row r="493">
          <cell r="C493" t="str">
            <v>CLS</v>
          </cell>
          <cell r="H493" t="str">
            <v>10-XX-CSH-HV-0003</v>
          </cell>
          <cell r="I493" t="str">
            <v>HVAC &amp; Plumbing &amp;Sewage Calculation Book for Laboratory Building</v>
          </cell>
          <cell r="M493">
            <v>4.4999999999999998E-2</v>
          </cell>
          <cell r="P493">
            <v>7.2000000000000005E-4</v>
          </cell>
          <cell r="Q493" t="str">
            <v>D(CI)</v>
          </cell>
          <cell r="R493">
            <v>7.7238345973440524E-4</v>
          </cell>
          <cell r="T493">
            <v>39441</v>
          </cell>
          <cell r="U493" t="str">
            <v>*</v>
          </cell>
          <cell r="V493" t="str">
            <v>2007-12</v>
          </cell>
          <cell r="AH493" t="str">
            <v/>
          </cell>
          <cell r="AJ493" t="str">
            <v/>
          </cell>
          <cell r="AL493" t="str">
            <v/>
          </cell>
          <cell r="AM493">
            <v>0</v>
          </cell>
          <cell r="AN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</row>
        <row r="494">
          <cell r="C494" t="str">
            <v>CLS</v>
          </cell>
          <cell r="H494" t="str">
            <v>10-XX-CSH-HV-0004</v>
          </cell>
          <cell r="I494" t="str">
            <v>HVAC &amp; Plumbing &amp;Sewage Calculation Book for PreTreat Building</v>
          </cell>
          <cell r="M494">
            <v>4.4999999999999998E-2</v>
          </cell>
          <cell r="P494">
            <v>7.2000000000000005E-4</v>
          </cell>
          <cell r="Q494" t="str">
            <v>D(CI)</v>
          </cell>
          <cell r="R494">
            <v>7.7238345973440524E-4</v>
          </cell>
          <cell r="T494">
            <v>39446</v>
          </cell>
          <cell r="U494" t="str">
            <v>*</v>
          </cell>
          <cell r="V494" t="str">
            <v>2007-12</v>
          </cell>
          <cell r="AH494" t="str">
            <v/>
          </cell>
          <cell r="AJ494" t="str">
            <v/>
          </cell>
          <cell r="AL494" t="str">
            <v/>
          </cell>
          <cell r="AM494">
            <v>0</v>
          </cell>
          <cell r="AN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</row>
        <row r="495">
          <cell r="C495" t="str">
            <v>CLS</v>
          </cell>
          <cell r="H495" t="str">
            <v>10-XX-CSH-HV-0005</v>
          </cell>
          <cell r="I495" t="str">
            <v>HVAC &amp; Plumbing &amp;Sewage Calculation Book for Post Treat Building</v>
          </cell>
          <cell r="M495">
            <v>4.4999999999999998E-2</v>
          </cell>
          <cell r="P495">
            <v>7.2000000000000005E-4</v>
          </cell>
          <cell r="Q495" t="str">
            <v>L</v>
          </cell>
          <cell r="R495">
            <v>7.7238345973440524E-4</v>
          </cell>
          <cell r="T495">
            <v>39450</v>
          </cell>
          <cell r="V495" t="str">
            <v>2008-01</v>
          </cell>
          <cell r="AH495" t="str">
            <v/>
          </cell>
          <cell r="AJ495" t="str">
            <v/>
          </cell>
          <cell r="AL495" t="str">
            <v/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</row>
        <row r="496">
          <cell r="C496" t="str">
            <v>CLS</v>
          </cell>
          <cell r="H496" t="str">
            <v>10-XX-CSH-HV-0006</v>
          </cell>
          <cell r="I496" t="str">
            <v>HVAC &amp; Plumbing &amp;Sewage Calculation Book for Fired Boiler Room</v>
          </cell>
          <cell r="M496">
            <v>4.4999999999999998E-2</v>
          </cell>
          <cell r="P496">
            <v>7.2000000000000005E-4</v>
          </cell>
          <cell r="Q496" t="str">
            <v>L</v>
          </cell>
          <cell r="R496">
            <v>7.7238345973440524E-4</v>
          </cell>
          <cell r="T496">
            <v>39454</v>
          </cell>
          <cell r="V496" t="str">
            <v>2008-01</v>
          </cell>
          <cell r="AH496" t="str">
            <v/>
          </cell>
          <cell r="AJ496" t="str">
            <v/>
          </cell>
          <cell r="AL496" t="str">
            <v/>
          </cell>
          <cell r="AM496">
            <v>0</v>
          </cell>
          <cell r="AN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</row>
        <row r="497">
          <cell r="C497" t="str">
            <v>LIS</v>
          </cell>
          <cell r="H497" t="str">
            <v>10-XX-CSH-HV-0007</v>
          </cell>
          <cell r="I497" t="str">
            <v>HVAC &amp; Plumbing &amp;Sewage Calculation Book for Fire Fighting Pump House &amp; Cooling Tower Pump House</v>
          </cell>
          <cell r="M497">
            <v>6.7599999999999993E-2</v>
          </cell>
          <cell r="P497">
            <v>1.0816000000000001E-3</v>
          </cell>
          <cell r="Q497" t="str">
            <v>L</v>
          </cell>
          <cell r="R497">
            <v>7.7238345973440524E-4</v>
          </cell>
          <cell r="T497">
            <v>39457</v>
          </cell>
          <cell r="V497" t="str">
            <v>2008-01</v>
          </cell>
          <cell r="AH497" t="str">
            <v/>
          </cell>
          <cell r="AJ497" t="str">
            <v/>
          </cell>
          <cell r="AL497" t="str">
            <v/>
          </cell>
          <cell r="AM497">
            <v>0</v>
          </cell>
          <cell r="AN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</row>
        <row r="498">
          <cell r="C498" t="str">
            <v>MTO</v>
          </cell>
          <cell r="H498" t="str">
            <v>10-XX-CSH-HV-0008</v>
          </cell>
          <cell r="I498" t="str">
            <v>HVAC &amp; Plumbing &amp;Sewage Calculation Book for Waste Water Treatment Building</v>
          </cell>
          <cell r="M498">
            <v>0.06</v>
          </cell>
          <cell r="P498">
            <v>9.5999999999999992E-4</v>
          </cell>
          <cell r="Q498" t="str">
            <v>L</v>
          </cell>
          <cell r="R498">
            <v>7.7238345973440524E-4</v>
          </cell>
          <cell r="T498">
            <v>39452</v>
          </cell>
          <cell r="V498" t="str">
            <v>2008-01</v>
          </cell>
          <cell r="AH498" t="str">
            <v/>
          </cell>
          <cell r="AJ498" t="str">
            <v/>
          </cell>
          <cell r="AL498" t="str">
            <v/>
          </cell>
          <cell r="AM498">
            <v>0</v>
          </cell>
          <cell r="AN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</row>
        <row r="499">
          <cell r="C499" t="str">
            <v>MTO</v>
          </cell>
          <cell r="H499" t="str">
            <v>10-XX-CSH-HV-0009</v>
          </cell>
          <cell r="I499" t="str">
            <v>HVAC &amp; Plumbing &amp;Sewage Calculation Book for Fire Station</v>
          </cell>
          <cell r="M499">
            <v>7.0000000000000007E-2</v>
          </cell>
          <cell r="P499">
            <v>1.1200000000000001E-3</v>
          </cell>
          <cell r="Q499" t="str">
            <v>D(CI)</v>
          </cell>
          <cell r="R499">
            <v>7.7238345973440524E-4</v>
          </cell>
          <cell r="T499">
            <v>39434</v>
          </cell>
          <cell r="U499" t="str">
            <v>*</v>
          </cell>
          <cell r="V499" t="str">
            <v>2007-12</v>
          </cell>
          <cell r="AH499" t="str">
            <v/>
          </cell>
          <cell r="AJ499" t="str">
            <v/>
          </cell>
          <cell r="AL499" t="str">
            <v/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</row>
        <row r="500">
          <cell r="C500" t="str">
            <v>DWG</v>
          </cell>
          <cell r="H500" t="str">
            <v>10-XX-CSH-HV-0010</v>
          </cell>
          <cell r="I500" t="str">
            <v>HVAC &amp; Plumbing &amp;Sewage Calculation Book for Gas &amp; Oil Pump House</v>
          </cell>
          <cell r="M500">
            <v>0.03</v>
          </cell>
          <cell r="P500">
            <v>4.7999999999999996E-4</v>
          </cell>
          <cell r="Q500" t="str">
            <v>L</v>
          </cell>
          <cell r="R500">
            <v>7.7238345973440524E-4</v>
          </cell>
          <cell r="T500">
            <v>39463</v>
          </cell>
          <cell r="V500" t="str">
            <v>2008-01</v>
          </cell>
          <cell r="AH500" t="str">
            <v/>
          </cell>
          <cell r="AJ500" t="str">
            <v/>
          </cell>
          <cell r="AL500" t="str">
            <v/>
          </cell>
          <cell r="AM500">
            <v>0</v>
          </cell>
          <cell r="AN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</row>
        <row r="501">
          <cell r="C501" t="str">
            <v>DWG</v>
          </cell>
          <cell r="H501" t="str">
            <v>10-XX-A1-HV-0001</v>
          </cell>
          <cell r="I501" t="str">
            <v xml:space="preserve">HVAC  &amp; Plumbing Drawing   for Central Control Building &amp; Substation </v>
          </cell>
          <cell r="M501">
            <v>0.03</v>
          </cell>
          <cell r="P501">
            <v>4.7999999999999996E-4</v>
          </cell>
          <cell r="Q501" t="str">
            <v>D(CI)</v>
          </cell>
          <cell r="R501">
            <v>7.7238345973440524E-4</v>
          </cell>
          <cell r="T501">
            <v>39445</v>
          </cell>
          <cell r="U501" t="str">
            <v>*</v>
          </cell>
          <cell r="V501" t="str">
            <v>2007-12</v>
          </cell>
          <cell r="AH501" t="str">
            <v/>
          </cell>
          <cell r="AJ501" t="str">
            <v/>
          </cell>
          <cell r="AL501" t="str">
            <v/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</row>
        <row r="502">
          <cell r="C502" t="str">
            <v>DWG</v>
          </cell>
          <cell r="H502" t="str">
            <v>10-XX-A1-HV-0002</v>
          </cell>
          <cell r="I502" t="str">
            <v>HVAC  &amp; Plumbing Drawing  for LV Switchgear</v>
          </cell>
          <cell r="M502">
            <v>0.03</v>
          </cell>
          <cell r="P502">
            <v>4.7999999999999996E-4</v>
          </cell>
          <cell r="Q502" t="str">
            <v>L</v>
          </cell>
          <cell r="R502">
            <v>3.7032677722953223E-4</v>
          </cell>
          <cell r="T502">
            <v>39450</v>
          </cell>
          <cell r="V502" t="str">
            <v>2008-01</v>
          </cell>
          <cell r="AH502" t="str">
            <v/>
          </cell>
          <cell r="AJ502" t="str">
            <v/>
          </cell>
          <cell r="AL502" t="str">
            <v/>
          </cell>
          <cell r="AM502">
            <v>0</v>
          </cell>
          <cell r="AN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</row>
        <row r="503">
          <cell r="C503" t="str">
            <v>DWG</v>
          </cell>
          <cell r="H503" t="str">
            <v>10-XX-A1-HV-0003</v>
          </cell>
          <cell r="I503" t="str">
            <v>HVAC  &amp; Plumbing Drawing  for Laboratory Building</v>
          </cell>
          <cell r="M503">
            <v>0.03</v>
          </cell>
          <cell r="P503">
            <v>4.7999999999999996E-4</v>
          </cell>
          <cell r="Q503" t="str">
            <v>L</v>
          </cell>
          <cell r="R503">
            <v>3.7032677722953223E-4</v>
          </cell>
          <cell r="T503">
            <v>39454</v>
          </cell>
          <cell r="V503" t="str">
            <v>2008-01</v>
          </cell>
          <cell r="AH503" t="str">
            <v/>
          </cell>
          <cell r="AJ503" t="str">
            <v/>
          </cell>
          <cell r="AL503" t="str">
            <v/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</row>
        <row r="504">
          <cell r="C504" t="str">
            <v>DWG</v>
          </cell>
          <cell r="H504" t="str">
            <v>10-XX-A1-HV-0004</v>
          </cell>
          <cell r="I504" t="str">
            <v>HVAC  &amp; Plumbing Drawing   for PreTreat Building</v>
          </cell>
          <cell r="M504">
            <v>0.03</v>
          </cell>
          <cell r="P504">
            <v>4.7999999999999996E-4</v>
          </cell>
          <cell r="Q504" t="str">
            <v>L</v>
          </cell>
          <cell r="R504">
            <v>3.7032677722953228E-4</v>
          </cell>
          <cell r="T504">
            <v>39448</v>
          </cell>
          <cell r="V504" t="str">
            <v>2008-01</v>
          </cell>
          <cell r="AH504" t="str">
            <v/>
          </cell>
          <cell r="AJ504" t="str">
            <v/>
          </cell>
          <cell r="AL504" t="str">
            <v/>
          </cell>
          <cell r="AM504">
            <v>0</v>
          </cell>
          <cell r="AN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</row>
        <row r="505">
          <cell r="C505" t="str">
            <v>DWG</v>
          </cell>
          <cell r="H505" t="str">
            <v>10-XX-A1-HV-0005</v>
          </cell>
          <cell r="I505" t="str">
            <v>HVAC  &amp; Plumbing Drawing   for Post Treat Building</v>
          </cell>
          <cell r="M505">
            <v>0.03</v>
          </cell>
          <cell r="P505">
            <v>4.7999999999999996E-4</v>
          </cell>
          <cell r="Q505" t="str">
            <v>L</v>
          </cell>
          <cell r="R505">
            <v>3.7238345973440528E-4</v>
          </cell>
          <cell r="T505">
            <v>39462</v>
          </cell>
          <cell r="V505" t="str">
            <v>2008-01</v>
          </cell>
          <cell r="AH505" t="str">
            <v/>
          </cell>
          <cell r="AJ505" t="str">
            <v/>
          </cell>
          <cell r="AL505" t="str">
            <v/>
          </cell>
          <cell r="AM505">
            <v>0</v>
          </cell>
          <cell r="AN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</row>
        <row r="506">
          <cell r="C506" t="str">
            <v>DWG</v>
          </cell>
          <cell r="H506" t="str">
            <v>10-XX-A1-HV-0006</v>
          </cell>
          <cell r="I506" t="str">
            <v>HVAC  &amp; Plumbing Drawing   for Fired Boiler Room</v>
          </cell>
          <cell r="M506">
            <v>0.03</v>
          </cell>
          <cell r="P506">
            <v>4.7999999999999996E-4</v>
          </cell>
          <cell r="Q506" t="str">
            <v>L</v>
          </cell>
          <cell r="R506">
            <v>3.7032677722953228E-4</v>
          </cell>
          <cell r="T506">
            <v>39466</v>
          </cell>
          <cell r="V506" t="str">
            <v>2008-01</v>
          </cell>
          <cell r="AH506" t="str">
            <v/>
          </cell>
          <cell r="AJ506" t="str">
            <v/>
          </cell>
          <cell r="AL506" t="str">
            <v/>
          </cell>
          <cell r="AM506">
            <v>0</v>
          </cell>
          <cell r="AN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</row>
        <row r="507">
          <cell r="C507" t="str">
            <v>DWG</v>
          </cell>
          <cell r="H507" t="str">
            <v>10-XX-A1-HV-0007</v>
          </cell>
          <cell r="I507" t="str">
            <v>HVAC  &amp; Plumbing Drawing  for Fire Fighting Pump House &amp; Cooling Tower Pump House</v>
          </cell>
          <cell r="M507">
            <v>0.03</v>
          </cell>
          <cell r="P507">
            <v>4.7999999999999996E-4</v>
          </cell>
          <cell r="Q507" t="str">
            <v>L</v>
          </cell>
          <cell r="R507">
            <v>3.7032677722953228E-4</v>
          </cell>
          <cell r="T507">
            <v>39471</v>
          </cell>
          <cell r="V507" t="str">
            <v>2008-01</v>
          </cell>
          <cell r="AH507" t="str">
            <v/>
          </cell>
          <cell r="AJ507" t="str">
            <v/>
          </cell>
          <cell r="AL507" t="str">
            <v/>
          </cell>
          <cell r="AM507">
            <v>0</v>
          </cell>
          <cell r="AN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</row>
        <row r="508">
          <cell r="C508" t="str">
            <v>DWG</v>
          </cell>
          <cell r="H508" t="str">
            <v>10-XX-A1-HV-0008</v>
          </cell>
          <cell r="I508" t="str">
            <v>HVAC  &amp; Plumbing Drawing  for Waste Water Treatment Building</v>
          </cell>
          <cell r="M508">
            <v>2.52E-2</v>
          </cell>
          <cell r="P508">
            <v>4.0320000000000004E-4</v>
          </cell>
          <cell r="Q508" t="str">
            <v>L</v>
          </cell>
          <cell r="R508">
            <v>3.7032677722953228E-4</v>
          </cell>
          <cell r="T508">
            <v>39474</v>
          </cell>
          <cell r="V508" t="str">
            <v>2008-01</v>
          </cell>
          <cell r="AH508" t="str">
            <v/>
          </cell>
          <cell r="AJ508" t="str">
            <v/>
          </cell>
          <cell r="AL508" t="str">
            <v/>
          </cell>
          <cell r="AM508">
            <v>0</v>
          </cell>
          <cell r="AN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</row>
        <row r="509">
          <cell r="C509" t="str">
            <v>DWG</v>
          </cell>
          <cell r="H509" t="str">
            <v>10-XX-A1-HV-0009</v>
          </cell>
          <cell r="I509" t="str">
            <v>HVAC  &amp; Plumbing Drawing  for Fire Station</v>
          </cell>
          <cell r="M509">
            <v>2.52E-2</v>
          </cell>
          <cell r="P509">
            <v>4.0320000000000004E-4</v>
          </cell>
          <cell r="Q509" t="str">
            <v>D(CI)</v>
          </cell>
          <cell r="R509">
            <v>3.7032677722953228E-4</v>
          </cell>
          <cell r="T509">
            <v>39441</v>
          </cell>
          <cell r="U509" t="str">
            <v>*</v>
          </cell>
          <cell r="V509" t="str">
            <v>2007-12</v>
          </cell>
          <cell r="AH509" t="str">
            <v/>
          </cell>
          <cell r="AJ509" t="str">
            <v/>
          </cell>
          <cell r="AL509" t="str">
            <v/>
          </cell>
          <cell r="AM509">
            <v>0</v>
          </cell>
          <cell r="AN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</row>
        <row r="510">
          <cell r="C510" t="str">
            <v>DWG</v>
          </cell>
          <cell r="H510" t="str">
            <v>10-XX-A1-HV-0010</v>
          </cell>
          <cell r="I510" t="str">
            <v>HVAC  &amp; Plumbing Drawing  for Gas &amp; Oil Pump House</v>
          </cell>
          <cell r="M510">
            <v>2.52E-2</v>
          </cell>
          <cell r="P510">
            <v>4.0320000000000004E-4</v>
          </cell>
          <cell r="Q510" t="str">
            <v>L</v>
          </cell>
          <cell r="R510">
            <v>3.7032677722953228E-4</v>
          </cell>
          <cell r="T510">
            <v>39476</v>
          </cell>
          <cell r="V510" t="str">
            <v>2008-01</v>
          </cell>
          <cell r="AH510" t="str">
            <v/>
          </cell>
          <cell r="AJ510" t="str">
            <v/>
          </cell>
          <cell r="AL510" t="str">
            <v/>
          </cell>
          <cell r="AM510">
            <v>0</v>
          </cell>
          <cell r="AN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</row>
        <row r="511">
          <cell r="C511" t="str">
            <v>LIS</v>
          </cell>
          <cell r="H511" t="str">
            <v>10-XX-EQL-HV-0011</v>
          </cell>
          <cell r="I511" t="str">
            <v>HVAC Equipment List of Buildings</v>
          </cell>
          <cell r="M511">
            <v>2.52E-2</v>
          </cell>
          <cell r="P511">
            <v>4.0320000000000004E-4</v>
          </cell>
          <cell r="Q511" t="str">
            <v>L</v>
          </cell>
          <cell r="R511">
            <v>4.7238345973440527E-4</v>
          </cell>
          <cell r="T511">
            <v>39481</v>
          </cell>
          <cell r="V511" t="str">
            <v>2008-02</v>
          </cell>
          <cell r="AH511" t="str">
            <v/>
          </cell>
          <cell r="AJ511" t="str">
            <v/>
          </cell>
          <cell r="AL511" t="str">
            <v/>
          </cell>
          <cell r="AM511">
            <v>0</v>
          </cell>
          <cell r="AN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</row>
        <row r="512">
          <cell r="C512" t="str">
            <v>MTO</v>
          </cell>
          <cell r="H512" t="str">
            <v>10-XX-MTO-HV-0012</v>
          </cell>
          <cell r="I512" t="str">
            <v>HVAC  MTO of Buildings</v>
          </cell>
          <cell r="M512">
            <v>2.52E-2</v>
          </cell>
          <cell r="P512">
            <v>4.0320000000000004E-4</v>
          </cell>
          <cell r="Q512" t="str">
            <v>L</v>
          </cell>
          <cell r="R512">
            <v>4.7238345973440527E-4</v>
          </cell>
          <cell r="T512">
            <v>39484</v>
          </cell>
          <cell r="V512" t="str">
            <v>2008-02</v>
          </cell>
          <cell r="AH512" t="str">
            <v/>
          </cell>
          <cell r="AJ512" t="str">
            <v/>
          </cell>
          <cell r="AL512" t="str">
            <v/>
          </cell>
          <cell r="AM512">
            <v>0</v>
          </cell>
          <cell r="AN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</row>
        <row r="513">
          <cell r="C513" t="str">
            <v>MTO</v>
          </cell>
          <cell r="H513" t="str">
            <v>10-XX-MTO-HV-0013</v>
          </cell>
          <cell r="I513" t="str">
            <v>Plumbing &amp;Sewage &amp; Waste MTO of Buildings</v>
          </cell>
          <cell r="M513">
            <v>2.52E-2</v>
          </cell>
          <cell r="P513">
            <v>4.0320000000000004E-4</v>
          </cell>
          <cell r="Q513" t="str">
            <v>L</v>
          </cell>
          <cell r="R513">
            <v>5.7238345973440515E-4</v>
          </cell>
          <cell r="T513">
            <v>39485</v>
          </cell>
          <cell r="V513" t="str">
            <v>2008-02</v>
          </cell>
          <cell r="AH513" t="str">
            <v/>
          </cell>
          <cell r="AJ513" t="str">
            <v/>
          </cell>
          <cell r="AL513" t="str">
            <v/>
          </cell>
          <cell r="AM513">
            <v>0</v>
          </cell>
          <cell r="AN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</row>
        <row r="514">
          <cell r="C514" t="str">
            <v>DWG</v>
          </cell>
          <cell r="H514" t="str">
            <v>10-XX-A1-HV-0032</v>
          </cell>
          <cell r="I514" t="str">
            <v xml:space="preserve">Site Plumbing Network  Drawing </v>
          </cell>
          <cell r="M514">
            <v>2.52E-2</v>
          </cell>
          <cell r="P514">
            <v>4.0320000000000004E-4</v>
          </cell>
          <cell r="Q514" t="str">
            <v>L</v>
          </cell>
          <cell r="R514">
            <v>3.7032677722953223E-4</v>
          </cell>
          <cell r="T514">
            <v>39489</v>
          </cell>
          <cell r="V514" t="str">
            <v>2008-02</v>
          </cell>
          <cell r="AH514" t="str">
            <v/>
          </cell>
          <cell r="AJ514" t="str">
            <v/>
          </cell>
          <cell r="AL514" t="str">
            <v/>
          </cell>
          <cell r="AM514">
            <v>0</v>
          </cell>
          <cell r="AN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</row>
        <row r="515">
          <cell r="C515" t="str">
            <v>DWG</v>
          </cell>
          <cell r="H515" t="str">
            <v>10-XX-A1-HV-0033</v>
          </cell>
          <cell r="I515" t="str">
            <v xml:space="preserve">Site Sewage Network  Drawing </v>
          </cell>
          <cell r="M515">
            <v>2.52E-2</v>
          </cell>
          <cell r="P515">
            <v>4.0320000000000004E-4</v>
          </cell>
          <cell r="Q515" t="str">
            <v>L</v>
          </cell>
          <cell r="R515">
            <v>3.7032677722953223E-4</v>
          </cell>
          <cell r="T515">
            <v>39493</v>
          </cell>
          <cell r="V515" t="str">
            <v>2008-02</v>
          </cell>
          <cell r="AH515" t="str">
            <v/>
          </cell>
          <cell r="AJ515" t="str">
            <v/>
          </cell>
          <cell r="AL515" t="str">
            <v/>
          </cell>
          <cell r="AM515">
            <v>0</v>
          </cell>
          <cell r="AN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</row>
        <row r="516">
          <cell r="C516" t="str">
            <v>DWG</v>
          </cell>
          <cell r="H516" t="str">
            <v>10-XX-A1-HV-0034</v>
          </cell>
          <cell r="I516" t="str">
            <v>Typical Installation Details for HVAC Equipment</v>
          </cell>
          <cell r="M516">
            <v>2.52E-2</v>
          </cell>
          <cell r="P516">
            <v>4.0320000000000004E-4</v>
          </cell>
          <cell r="Q516" t="str">
            <v>I</v>
          </cell>
          <cell r="R516">
            <v>3.7032677722953223E-4</v>
          </cell>
          <cell r="T516">
            <v>39445</v>
          </cell>
          <cell r="U516" t="str">
            <v>*</v>
          </cell>
          <cell r="V516" t="str">
            <v>2007-12</v>
          </cell>
          <cell r="AH516" t="str">
            <v/>
          </cell>
          <cell r="AJ516" t="str">
            <v/>
          </cell>
          <cell r="AL516" t="str">
            <v/>
          </cell>
          <cell r="AM516">
            <v>0</v>
          </cell>
          <cell r="AN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</row>
        <row r="517">
          <cell r="C517" t="str">
            <v>DWG</v>
          </cell>
          <cell r="H517" t="str">
            <v>10-XX-A1-HV-0035</v>
          </cell>
          <cell r="I517" t="str">
            <v>Typical Installation Details for Sanitary Equipment</v>
          </cell>
          <cell r="M517">
            <v>2.52E-2</v>
          </cell>
          <cell r="P517">
            <v>4.0320000000000004E-4</v>
          </cell>
          <cell r="Q517" t="str">
            <v>I</v>
          </cell>
          <cell r="R517">
            <v>3.7032677722953223E-4</v>
          </cell>
          <cell r="T517">
            <v>39441</v>
          </cell>
          <cell r="U517" t="str">
            <v>*</v>
          </cell>
          <cell r="V517" t="str">
            <v>2007-12</v>
          </cell>
          <cell r="AH517" t="str">
            <v/>
          </cell>
          <cell r="AJ517" t="str">
            <v/>
          </cell>
          <cell r="AL517" t="str">
            <v/>
          </cell>
          <cell r="AM517">
            <v>0</v>
          </cell>
          <cell r="AN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</row>
        <row r="518">
          <cell r="C518" t="str">
            <v>DWG</v>
          </cell>
          <cell r="H518" t="str">
            <v>10-XX-A1-HV-0036</v>
          </cell>
          <cell r="I518" t="str">
            <v>Typical Installation Details for Waste Equipment</v>
          </cell>
          <cell r="M518">
            <v>2.52E-2</v>
          </cell>
          <cell r="P518">
            <v>4.0320000000000004E-4</v>
          </cell>
          <cell r="Q518" t="str">
            <v>I</v>
          </cell>
          <cell r="R518">
            <v>3.7032677722953223E-4</v>
          </cell>
          <cell r="T518">
            <v>39442</v>
          </cell>
          <cell r="U518" t="str">
            <v>*</v>
          </cell>
          <cell r="V518" t="str">
            <v>2007-12</v>
          </cell>
          <cell r="AH518" t="str">
            <v/>
          </cell>
          <cell r="AJ518" t="str">
            <v/>
          </cell>
          <cell r="AL518" t="str">
            <v/>
          </cell>
          <cell r="AM518">
            <v>0</v>
          </cell>
          <cell r="AN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</row>
        <row r="519">
          <cell r="C519" t="str">
            <v>MIS</v>
          </cell>
          <cell r="I519" t="str">
            <v>Miscellaneous</v>
          </cell>
          <cell r="M519">
            <v>1.4999999999999999E-2</v>
          </cell>
          <cell r="P519">
            <v>2.3999999999999998E-4</v>
          </cell>
          <cell r="R519">
            <v>8.0000000000000004E-4</v>
          </cell>
          <cell r="T519" t="str">
            <v>.</v>
          </cell>
          <cell r="AH519" t="str">
            <v/>
          </cell>
          <cell r="AJ519" t="str">
            <v/>
          </cell>
          <cell r="AL519" t="str">
            <v/>
          </cell>
          <cell r="AM519">
            <v>0</v>
          </cell>
          <cell r="AN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</row>
        <row r="520">
          <cell r="F520" t="str">
            <v>Electrical</v>
          </cell>
          <cell r="L520">
            <v>0.1</v>
          </cell>
          <cell r="M520">
            <v>1.0001</v>
          </cell>
          <cell r="P520">
            <v>8.0000000000000016E-2</v>
          </cell>
          <cell r="R520">
            <v>8.4000000000000019E-2</v>
          </cell>
          <cell r="T520" t="str">
            <v>.</v>
          </cell>
          <cell r="U520" t="str">
            <v>.</v>
          </cell>
          <cell r="V520" t="str">
            <v>.</v>
          </cell>
          <cell r="W520" t="str">
            <v>.</v>
          </cell>
          <cell r="X520" t="str">
            <v>.</v>
          </cell>
          <cell r="Y520" t="str">
            <v>.</v>
          </cell>
          <cell r="Z520" t="str">
            <v>.</v>
          </cell>
          <cell r="AA520" t="str">
            <v>.</v>
          </cell>
          <cell r="AG520" t="str">
            <v>.</v>
          </cell>
          <cell r="AH520" t="str">
            <v>.</v>
          </cell>
          <cell r="AI520" t="str">
            <v>.</v>
          </cell>
          <cell r="AJ520" t="str">
            <v>.</v>
          </cell>
          <cell r="AK520" t="str">
            <v>.</v>
          </cell>
          <cell r="AL520" t="str">
            <v>.</v>
          </cell>
          <cell r="AM520">
            <v>1.7437499999999995E-2</v>
          </cell>
          <cell r="AN520">
            <v>1.395E-3</v>
          </cell>
          <cell r="AO520" t="str">
            <v>.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</row>
        <row r="521">
          <cell r="G521" t="str">
            <v xml:space="preserve"> Typical Detail</v>
          </cell>
          <cell r="M521">
            <v>5.0000000000000001E-3</v>
          </cell>
          <cell r="N521">
            <v>1</v>
          </cell>
          <cell r="P521">
            <v>4.0000000000000002E-4</v>
          </cell>
          <cell r="R521">
            <v>8.0000000000000004E-4</v>
          </cell>
          <cell r="T521" t="str">
            <v>.</v>
          </cell>
          <cell r="U521" t="str">
            <v>.</v>
          </cell>
          <cell r="V521" t="str">
            <v>.</v>
          </cell>
          <cell r="AG521" t="str">
            <v>.</v>
          </cell>
          <cell r="AM521">
            <v>0.9</v>
          </cell>
          <cell r="AN521">
            <v>3.6000000000000002E-4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</row>
        <row r="522">
          <cell r="C522" t="str">
            <v>DWG</v>
          </cell>
          <cell r="H522" t="str">
            <v>10-XX-A3-EL-0002</v>
          </cell>
          <cell r="I522" t="str">
            <v>Cabling system installation standards</v>
          </cell>
          <cell r="N522">
            <v>0.34</v>
          </cell>
          <cell r="P522">
            <v>1.3600000000000003E-4</v>
          </cell>
          <cell r="R522">
            <v>2.0000000000000001E-4</v>
          </cell>
          <cell r="V522" t="str">
            <v>ارسال شده</v>
          </cell>
          <cell r="W522">
            <v>0</v>
          </cell>
          <cell r="X522">
            <v>111</v>
          </cell>
          <cell r="Y522" t="str">
            <v>08-09-07</v>
          </cell>
          <cell r="Z522" t="str">
            <v>F-0201</v>
          </cell>
          <cell r="AA522" t="str">
            <v>16-09-07</v>
          </cell>
          <cell r="AG522" t="str">
            <v>GBT</v>
          </cell>
          <cell r="AH522" t="str">
            <v>x</v>
          </cell>
          <cell r="AJ522" t="str">
            <v/>
          </cell>
          <cell r="AL522" t="str">
            <v/>
          </cell>
          <cell r="AM522">
            <v>0.45</v>
          </cell>
          <cell r="AN522">
            <v>9.0000000000000006E-5</v>
          </cell>
          <cell r="AQ522">
            <v>6.120000000000001E-5</v>
          </cell>
          <cell r="AR522">
            <v>9.0000000000000006E-5</v>
          </cell>
          <cell r="AS522">
            <v>45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45</v>
          </cell>
        </row>
        <row r="523">
          <cell r="C523" t="str">
            <v>DWG</v>
          </cell>
          <cell r="H523" t="str">
            <v>10-XX-A3-EL-0003</v>
          </cell>
          <cell r="I523" t="str">
            <v>Typical Installation Details for lighting System</v>
          </cell>
          <cell r="N523">
            <v>0.33</v>
          </cell>
          <cell r="P523">
            <v>1.3200000000000001E-4</v>
          </cell>
          <cell r="R523">
            <v>2.0000000000000001E-4</v>
          </cell>
          <cell r="V523" t="str">
            <v>ارسال شده</v>
          </cell>
          <cell r="W523">
            <v>0</v>
          </cell>
          <cell r="X523">
            <v>89</v>
          </cell>
          <cell r="Y523" t="str">
            <v>18-08-07</v>
          </cell>
          <cell r="Z523" t="str">
            <v>F-0166</v>
          </cell>
          <cell r="AA523" t="str">
            <v>20-08-07</v>
          </cell>
          <cell r="AB523" t="str">
            <v>G-0233</v>
          </cell>
          <cell r="AC523" t="str">
            <v>17-11-07</v>
          </cell>
          <cell r="AG523" t="str">
            <v>GBT</v>
          </cell>
          <cell r="AH523" t="str">
            <v>x</v>
          </cell>
          <cell r="AJ523" t="str">
            <v/>
          </cell>
          <cell r="AL523" t="str">
            <v/>
          </cell>
          <cell r="AM523">
            <v>0.45</v>
          </cell>
          <cell r="AN523">
            <v>9.0000000000000006E-5</v>
          </cell>
          <cell r="AQ523">
            <v>5.9400000000000007E-5</v>
          </cell>
          <cell r="AR523">
            <v>9.0000000000000006E-5</v>
          </cell>
          <cell r="AS523">
            <v>45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45</v>
          </cell>
        </row>
        <row r="524">
          <cell r="H524" t="str">
            <v>10-XX-A3-EL-0005</v>
          </cell>
          <cell r="I524" t="str">
            <v xml:space="preserve">Earthing &amp; Lighting Protection System Direction </v>
          </cell>
          <cell r="R524">
            <v>2.0000000000000001E-4</v>
          </cell>
          <cell r="S524" t="str">
            <v>Add</v>
          </cell>
          <cell r="V524" t="str">
            <v>ارسال شده</v>
          </cell>
          <cell r="W524">
            <v>0</v>
          </cell>
          <cell r="X524">
            <v>258</v>
          </cell>
          <cell r="Y524" t="str">
            <v>03-11-07</v>
          </cell>
          <cell r="Z524" t="str">
            <v>F-0321</v>
          </cell>
          <cell r="AA524" t="str">
            <v>16-11-07</v>
          </cell>
          <cell r="AG524" t="str">
            <v>GBT</v>
          </cell>
          <cell r="AH524" t="str">
            <v>x</v>
          </cell>
          <cell r="AM524">
            <v>0.45</v>
          </cell>
          <cell r="AN524">
            <v>9.0000000000000006E-5</v>
          </cell>
          <cell r="AQ524">
            <v>0</v>
          </cell>
          <cell r="AR524">
            <v>9.0000000000000006E-5</v>
          </cell>
          <cell r="AS524">
            <v>45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45</v>
          </cell>
        </row>
        <row r="525">
          <cell r="C525" t="str">
            <v>DWG</v>
          </cell>
          <cell r="H525" t="str">
            <v>10-XX-A3-EL-0004</v>
          </cell>
          <cell r="I525" t="str">
            <v>Earthing System installation standards</v>
          </cell>
          <cell r="N525">
            <v>0.33</v>
          </cell>
          <cell r="P525">
            <v>1.3200000000000001E-4</v>
          </cell>
          <cell r="R525">
            <v>2.0000000000000001E-4</v>
          </cell>
          <cell r="V525" t="str">
            <v>ارسال شده</v>
          </cell>
          <cell r="W525">
            <v>0</v>
          </cell>
          <cell r="X525">
            <v>110</v>
          </cell>
          <cell r="Y525" t="str">
            <v>08-09-07</v>
          </cell>
          <cell r="Z525" t="str">
            <v>F-0198 &amp;F-0200</v>
          </cell>
          <cell r="AA525" t="str">
            <v>10-09-07 &amp;16-10-07</v>
          </cell>
          <cell r="AG525" t="str">
            <v>GBT</v>
          </cell>
          <cell r="AH525" t="str">
            <v>x</v>
          </cell>
          <cell r="AJ525" t="str">
            <v/>
          </cell>
          <cell r="AL525" t="str">
            <v/>
          </cell>
          <cell r="AM525">
            <v>0.45</v>
          </cell>
          <cell r="AN525">
            <v>9.0000000000000006E-5</v>
          </cell>
          <cell r="AQ525">
            <v>5.9400000000000007E-5</v>
          </cell>
          <cell r="AR525">
            <v>9.0000000000000006E-5</v>
          </cell>
          <cell r="AS525">
            <v>45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45</v>
          </cell>
        </row>
        <row r="526">
          <cell r="G526" t="str">
            <v>Calculation Sheet</v>
          </cell>
          <cell r="M526">
            <v>2.4199999999999999E-2</v>
          </cell>
          <cell r="N526">
            <v>0.99999999999999989</v>
          </cell>
          <cell r="P526">
            <v>1.9360000000000002E-3</v>
          </cell>
          <cell r="R526">
            <v>2.6999999999999997E-3</v>
          </cell>
          <cell r="T526" t="str">
            <v>.</v>
          </cell>
          <cell r="U526" t="str">
            <v>.</v>
          </cell>
          <cell r="V526" t="str">
            <v>.</v>
          </cell>
          <cell r="AG526" t="str">
            <v>.</v>
          </cell>
          <cell r="AM526">
            <v>0.13946280991735535</v>
          </cell>
          <cell r="AN526">
            <v>2.7E-4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</row>
        <row r="527">
          <cell r="C527" t="str">
            <v>CLS</v>
          </cell>
          <cell r="H527" t="str">
            <v>10-XX-CSH-EL-0001</v>
          </cell>
          <cell r="I527" t="str">
            <v>Calculation for lighting system</v>
          </cell>
          <cell r="N527">
            <v>0.12</v>
          </cell>
          <cell r="P527">
            <v>2.3232000000000003E-4</v>
          </cell>
          <cell r="R527">
            <v>2.9999999999999997E-4</v>
          </cell>
          <cell r="V527" t="str">
            <v>ارسال شده</v>
          </cell>
          <cell r="W527">
            <v>0</v>
          </cell>
          <cell r="X527">
            <v>220</v>
          </cell>
          <cell r="Y527" t="str">
            <v>29-10-07</v>
          </cell>
          <cell r="Z527" t="str">
            <v>F-0279</v>
          </cell>
          <cell r="AA527" t="str">
            <v>08-11-07</v>
          </cell>
          <cell r="AB527" t="str">
            <v>G-0255</v>
          </cell>
          <cell r="AC527" t="str">
            <v>04-12-07</v>
          </cell>
          <cell r="AD527" t="str">
            <v>FF-0469</v>
          </cell>
          <cell r="AG527" t="str">
            <v>GBT</v>
          </cell>
          <cell r="AH527" t="str">
            <v>x</v>
          </cell>
          <cell r="AJ527" t="str">
            <v/>
          </cell>
          <cell r="AL527" t="str">
            <v/>
          </cell>
          <cell r="AM527">
            <v>0.45</v>
          </cell>
          <cell r="AN527">
            <v>1.35E-4</v>
          </cell>
          <cell r="AQ527">
            <v>1.0454400000000001E-4</v>
          </cell>
          <cell r="AR527">
            <v>1.35E-4</v>
          </cell>
          <cell r="AS527">
            <v>45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45</v>
          </cell>
        </row>
        <row r="528">
          <cell r="C528" t="str">
            <v>CLS</v>
          </cell>
          <cell r="H528" t="str">
            <v>10-XX-CSH-EL-0002</v>
          </cell>
          <cell r="I528" t="str">
            <v>Calculation for earthing system</v>
          </cell>
          <cell r="N528">
            <v>0.11</v>
          </cell>
          <cell r="P528">
            <v>2.1296000000000002E-4</v>
          </cell>
          <cell r="R528">
            <v>2.9999999999999997E-4</v>
          </cell>
          <cell r="V528" t="str">
            <v>ارسال شده</v>
          </cell>
          <cell r="W528">
            <v>0</v>
          </cell>
          <cell r="X528">
            <v>259</v>
          </cell>
          <cell r="Y528" t="str">
            <v>03-11-07</v>
          </cell>
          <cell r="Z528" t="str">
            <v>F-0301</v>
          </cell>
          <cell r="AA528" t="str">
            <v>13-11-07</v>
          </cell>
          <cell r="AG528" t="str">
            <v>GBT</v>
          </cell>
          <cell r="AH528" t="str">
            <v>x</v>
          </cell>
          <cell r="AJ528" t="str">
            <v/>
          </cell>
          <cell r="AL528" t="str">
            <v/>
          </cell>
          <cell r="AM528">
            <v>0.45</v>
          </cell>
          <cell r="AN528">
            <v>1.35E-4</v>
          </cell>
          <cell r="AQ528">
            <v>9.5832000000000014E-5</v>
          </cell>
          <cell r="AR528">
            <v>1.35E-4</v>
          </cell>
          <cell r="AS528">
            <v>45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45</v>
          </cell>
        </row>
        <row r="529">
          <cell r="C529" t="str">
            <v>CLS</v>
          </cell>
          <cell r="H529" t="str">
            <v>10-XX-CSH-EL-0003</v>
          </cell>
          <cell r="I529" t="str">
            <v>Calculation for cabling</v>
          </cell>
          <cell r="N529">
            <v>0.11</v>
          </cell>
          <cell r="P529">
            <v>2.1296000000000002E-4</v>
          </cell>
          <cell r="Q529" t="str">
            <v>I</v>
          </cell>
          <cell r="R529">
            <v>2.9999999999999997E-4</v>
          </cell>
          <cell r="T529">
            <v>39420</v>
          </cell>
          <cell r="U529" t="str">
            <v>*</v>
          </cell>
          <cell r="V529" t="str">
            <v>2007-12</v>
          </cell>
          <cell r="AH529" t="str">
            <v/>
          </cell>
          <cell r="AJ529" t="str">
            <v/>
          </cell>
          <cell r="AL529" t="str">
            <v/>
          </cell>
          <cell r="AM529">
            <v>0</v>
          </cell>
          <cell r="AN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</row>
        <row r="530">
          <cell r="C530" t="str">
            <v>CLS</v>
          </cell>
          <cell r="H530" t="str">
            <v>10-XX-CSH-EL-0004</v>
          </cell>
          <cell r="I530" t="str">
            <v>Calculation for short circuit</v>
          </cell>
          <cell r="N530">
            <v>0.11</v>
          </cell>
          <cell r="P530">
            <v>2.1296000000000002E-4</v>
          </cell>
          <cell r="Q530" t="str">
            <v>I</v>
          </cell>
          <cell r="R530">
            <v>2.9999999999999997E-4</v>
          </cell>
          <cell r="T530">
            <v>39426</v>
          </cell>
          <cell r="U530" t="str">
            <v>*</v>
          </cell>
          <cell r="V530" t="str">
            <v>2007-12</v>
          </cell>
          <cell r="AH530" t="str">
            <v/>
          </cell>
          <cell r="AJ530" t="str">
            <v/>
          </cell>
          <cell r="AL530" t="str">
            <v/>
          </cell>
          <cell r="AM530">
            <v>0</v>
          </cell>
          <cell r="AN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</row>
        <row r="531">
          <cell r="C531" t="str">
            <v>CLS</v>
          </cell>
          <cell r="H531" t="str">
            <v>10-XX-CSH-EL-0005</v>
          </cell>
          <cell r="I531" t="str">
            <v>Calculation for load flow</v>
          </cell>
          <cell r="N531">
            <v>0.11</v>
          </cell>
          <cell r="P531">
            <v>2.1296000000000002E-4</v>
          </cell>
          <cell r="Q531" t="str">
            <v>I</v>
          </cell>
          <cell r="R531">
            <v>2.9999999999999997E-4</v>
          </cell>
          <cell r="T531">
            <v>39431</v>
          </cell>
          <cell r="U531" t="str">
            <v>*</v>
          </cell>
          <cell r="V531" t="str">
            <v>2007-12</v>
          </cell>
          <cell r="AH531" t="str">
            <v/>
          </cell>
          <cell r="AJ531" t="str">
            <v/>
          </cell>
          <cell r="AL531" t="str">
            <v/>
          </cell>
          <cell r="AM531">
            <v>0</v>
          </cell>
          <cell r="AN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</row>
        <row r="532">
          <cell r="C532" t="str">
            <v>CLS</v>
          </cell>
          <cell r="H532" t="str">
            <v>10-XX-CSH-EL-0006</v>
          </cell>
          <cell r="I532" t="str">
            <v>Calculation for motor starting</v>
          </cell>
          <cell r="N532">
            <v>0.11</v>
          </cell>
          <cell r="P532">
            <v>2.1296000000000002E-4</v>
          </cell>
          <cell r="Q532" t="str">
            <v>V</v>
          </cell>
          <cell r="R532">
            <v>2.9999999999999997E-4</v>
          </cell>
          <cell r="T532">
            <v>39441</v>
          </cell>
          <cell r="U532" t="str">
            <v>*</v>
          </cell>
          <cell r="V532" t="str">
            <v>2007-12</v>
          </cell>
          <cell r="AH532" t="str">
            <v/>
          </cell>
          <cell r="AJ532" t="str">
            <v/>
          </cell>
          <cell r="AL532" t="str">
            <v/>
          </cell>
          <cell r="AM532">
            <v>0</v>
          </cell>
          <cell r="AN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</row>
        <row r="533">
          <cell r="C533" t="str">
            <v>CLS</v>
          </cell>
          <cell r="H533" t="str">
            <v>10-XX-CSH-EL-0007</v>
          </cell>
          <cell r="I533" t="str">
            <v>Calculation for DC ups and batteries</v>
          </cell>
          <cell r="N533">
            <v>0.11</v>
          </cell>
          <cell r="P533">
            <v>2.1296000000000002E-4</v>
          </cell>
          <cell r="Q533" t="str">
            <v>I</v>
          </cell>
          <cell r="R533">
            <v>2.9999999999999997E-4</v>
          </cell>
          <cell r="T533">
            <v>39436</v>
          </cell>
          <cell r="U533" t="str">
            <v>*</v>
          </cell>
          <cell r="V533" t="str">
            <v>2007-12</v>
          </cell>
          <cell r="AH533" t="str">
            <v/>
          </cell>
          <cell r="AJ533" t="str">
            <v/>
          </cell>
          <cell r="AL533" t="str">
            <v/>
          </cell>
          <cell r="AM533">
            <v>0</v>
          </cell>
          <cell r="AN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</row>
        <row r="534">
          <cell r="C534" t="str">
            <v>CLS</v>
          </cell>
          <cell r="H534" t="str">
            <v>10-XX-CSH-EL-0008</v>
          </cell>
          <cell r="I534" t="str">
            <v>Calculation for AC ups and batteries</v>
          </cell>
          <cell r="N534">
            <v>0.11</v>
          </cell>
          <cell r="P534">
            <v>2.1296000000000002E-4</v>
          </cell>
          <cell r="Q534" t="str">
            <v>L</v>
          </cell>
          <cell r="R534">
            <v>2.9999999999999997E-4</v>
          </cell>
          <cell r="T534">
            <v>39448</v>
          </cell>
          <cell r="V534" t="str">
            <v>2008-01</v>
          </cell>
          <cell r="AH534" t="str">
            <v/>
          </cell>
          <cell r="AJ534" t="str">
            <v/>
          </cell>
          <cell r="AL534" t="str">
            <v/>
          </cell>
          <cell r="AM534">
            <v>0</v>
          </cell>
          <cell r="AN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</row>
        <row r="535">
          <cell r="C535" t="str">
            <v>CLS</v>
          </cell>
          <cell r="H535" t="str">
            <v>10-XX-CSH-EL-0009</v>
          </cell>
          <cell r="I535" t="str">
            <v>Calculation for Capacitor Banks</v>
          </cell>
          <cell r="N535">
            <v>0.11</v>
          </cell>
          <cell r="P535">
            <v>2.1296000000000002E-4</v>
          </cell>
          <cell r="Q535" t="str">
            <v>L</v>
          </cell>
          <cell r="R535">
            <v>2.9999999999999997E-4</v>
          </cell>
          <cell r="T535">
            <v>39452</v>
          </cell>
          <cell r="V535" t="str">
            <v>2008-01</v>
          </cell>
          <cell r="AM535">
            <v>0</v>
          </cell>
          <cell r="AN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</row>
        <row r="536">
          <cell r="C536" t="str">
            <v>EL</v>
          </cell>
          <cell r="G536" t="str">
            <v>Single Line Drawing</v>
          </cell>
          <cell r="M536">
            <v>8.4199999999999997E-2</v>
          </cell>
          <cell r="N536">
            <v>1</v>
          </cell>
          <cell r="P536">
            <v>6.7360000000000007E-3</v>
          </cell>
          <cell r="R536">
            <v>1.0200000000000001E-2</v>
          </cell>
          <cell r="T536" t="str">
            <v>.</v>
          </cell>
          <cell r="U536" t="str">
            <v>.</v>
          </cell>
          <cell r="V536" t="str">
            <v>.</v>
          </cell>
          <cell r="AG536" t="str">
            <v>.</v>
          </cell>
          <cell r="AM536">
            <v>2.6722090261282659E-2</v>
          </cell>
          <cell r="AN536">
            <v>1.8000000000000001E-4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</row>
        <row r="537">
          <cell r="H537" t="str">
            <v>Main Subtation</v>
          </cell>
          <cell r="N537">
            <v>0.3</v>
          </cell>
          <cell r="O537" t="e">
            <v>#REF!</v>
          </cell>
          <cell r="P537">
            <v>2.0208000000000001E-3</v>
          </cell>
          <cell r="R537">
            <v>4.2000000000000006E-3</v>
          </cell>
          <cell r="T537" t="str">
            <v>.</v>
          </cell>
          <cell r="U537" t="str">
            <v>.</v>
          </cell>
          <cell r="V537" t="str">
            <v>.</v>
          </cell>
          <cell r="AM537">
            <v>0</v>
          </cell>
          <cell r="AN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</row>
        <row r="538">
          <cell r="C538" t="str">
            <v>DIG</v>
          </cell>
          <cell r="H538" t="str">
            <v>10-GG-A3-EL-0301</v>
          </cell>
          <cell r="I538" t="str">
            <v>Single line Diagram for lighting/distribution panel for Main Substation</v>
          </cell>
          <cell r="O538">
            <v>0.15</v>
          </cell>
          <cell r="P538">
            <v>3.0311999999999998E-4</v>
          </cell>
          <cell r="Q538" t="str">
            <v>D(CI)</v>
          </cell>
          <cell r="R538">
            <v>2.0000000000000001E-4</v>
          </cell>
          <cell r="T538">
            <v>39423</v>
          </cell>
          <cell r="U538" t="str">
            <v>*</v>
          </cell>
          <cell r="V538" t="str">
            <v>2007-12</v>
          </cell>
          <cell r="AH538" t="str">
            <v/>
          </cell>
          <cell r="AJ538" t="str">
            <v/>
          </cell>
          <cell r="AL538" t="str">
            <v/>
          </cell>
          <cell r="AM538">
            <v>0</v>
          </cell>
          <cell r="AN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</row>
        <row r="539">
          <cell r="C539" t="str">
            <v>DIG</v>
          </cell>
          <cell r="H539" t="str">
            <v>10-DD-A3-EL-0002</v>
          </cell>
          <cell r="I539" t="str">
            <v>Single line Diagram for Laboratory Building for Main Substation</v>
          </cell>
          <cell r="O539">
            <v>0.2</v>
          </cell>
          <cell r="P539">
            <v>4.0416000000000003E-4</v>
          </cell>
          <cell r="Q539" t="str">
            <v>L</v>
          </cell>
          <cell r="R539">
            <v>2.0000000000000001E-4</v>
          </cell>
          <cell r="T539">
            <v>39452</v>
          </cell>
          <cell r="V539" t="str">
            <v>2008-01</v>
          </cell>
          <cell r="AH539" t="str">
            <v/>
          </cell>
          <cell r="AJ539" t="str">
            <v/>
          </cell>
          <cell r="AL539" t="str">
            <v/>
          </cell>
          <cell r="AM539">
            <v>0</v>
          </cell>
          <cell r="AN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</row>
        <row r="540">
          <cell r="H540" t="str">
            <v>10-XX-A3-EL-0012</v>
          </cell>
          <cell r="I540" t="str">
            <v>Single line Diagram for AC UPS for Main Substation</v>
          </cell>
          <cell r="Q540" t="str">
            <v>V</v>
          </cell>
          <cell r="R540">
            <v>2.0000000000000001E-4</v>
          </cell>
          <cell r="T540">
            <v>39439</v>
          </cell>
          <cell r="U540" t="str">
            <v>*</v>
          </cell>
          <cell r="V540" t="str">
            <v>2007-12</v>
          </cell>
          <cell r="AM540">
            <v>0</v>
          </cell>
          <cell r="AN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</row>
        <row r="541">
          <cell r="H541" t="str">
            <v>10-XX-A3-EL-0006</v>
          </cell>
          <cell r="I541" t="str">
            <v>Single line Diagram for DC UPS for Main Substation</v>
          </cell>
          <cell r="Q541" t="str">
            <v>I</v>
          </cell>
          <cell r="R541">
            <v>2.0000000000000001E-4</v>
          </cell>
          <cell r="T541">
            <v>39446</v>
          </cell>
          <cell r="U541" t="str">
            <v>*</v>
          </cell>
          <cell r="V541" t="str">
            <v>2007-12</v>
          </cell>
          <cell r="AM541">
            <v>0</v>
          </cell>
          <cell r="AN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</row>
        <row r="542">
          <cell r="H542" t="str">
            <v>10-XX-A3-EL-0001</v>
          </cell>
          <cell r="I542" t="str">
            <v>Single line Diagram for MV switchgear EE-SWG-101,102,103</v>
          </cell>
          <cell r="Q542" t="str">
            <v>I</v>
          </cell>
          <cell r="R542">
            <v>2.0000000000000001E-4</v>
          </cell>
          <cell r="T542">
            <v>39408</v>
          </cell>
          <cell r="U542" t="str">
            <v>*</v>
          </cell>
          <cell r="V542" t="str">
            <v>2007-11</v>
          </cell>
          <cell r="AM542">
            <v>0</v>
          </cell>
          <cell r="AN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</row>
        <row r="543">
          <cell r="H543" t="str">
            <v>10-XX-A3-EL-0010</v>
          </cell>
          <cell r="I543" t="str">
            <v>Single line Diagram for MV switchgear EE-SWG-104,105,106</v>
          </cell>
          <cell r="Q543" t="str">
            <v>I</v>
          </cell>
          <cell r="R543">
            <v>2.0000000000000001E-4</v>
          </cell>
          <cell r="T543">
            <v>39411</v>
          </cell>
          <cell r="U543" t="str">
            <v>*</v>
          </cell>
          <cell r="V543" t="str">
            <v>2007-11</v>
          </cell>
          <cell r="AM543">
            <v>0</v>
          </cell>
          <cell r="AN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</row>
        <row r="544">
          <cell r="H544" t="str">
            <v>10-XX-A3-EL-0011</v>
          </cell>
          <cell r="I544" t="str">
            <v>Single line Diagram for LV switchgear EE-SWG-111,112,113</v>
          </cell>
          <cell r="Q544" t="str">
            <v>V</v>
          </cell>
          <cell r="R544">
            <v>2.0000000000000001E-4</v>
          </cell>
          <cell r="T544">
            <v>39431</v>
          </cell>
          <cell r="U544" t="str">
            <v>*</v>
          </cell>
          <cell r="V544" t="str">
            <v>2007-12</v>
          </cell>
          <cell r="AM544">
            <v>0</v>
          </cell>
          <cell r="AN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</row>
        <row r="545">
          <cell r="H545" t="str">
            <v>10-97-A3-EL-0001</v>
          </cell>
          <cell r="I545" t="str">
            <v>Single line Diagram for LV switchgear EE-SWG-114 (TANKAGE AREA)</v>
          </cell>
          <cell r="Q545" t="str">
            <v>V</v>
          </cell>
          <cell r="R545">
            <v>2.0000000000000001E-4</v>
          </cell>
          <cell r="T545">
            <v>39417</v>
          </cell>
          <cell r="U545" t="str">
            <v>*</v>
          </cell>
          <cell r="V545" t="str">
            <v>2007-12</v>
          </cell>
          <cell r="AM545">
            <v>0</v>
          </cell>
          <cell r="AN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</row>
        <row r="546">
          <cell r="H546" t="str">
            <v>10-30-A3-EL-0001</v>
          </cell>
          <cell r="I546" t="str">
            <v>Single line Diagram for LV switchgear EE-SWG-117 for Nitrogen Generation Unit</v>
          </cell>
          <cell r="Q546" t="str">
            <v>V</v>
          </cell>
          <cell r="R546">
            <v>2.0000000000000001E-4</v>
          </cell>
          <cell r="T546">
            <v>39424</v>
          </cell>
          <cell r="U546" t="str">
            <v>*</v>
          </cell>
          <cell r="V546" t="str">
            <v>2007-12</v>
          </cell>
          <cell r="AM546">
            <v>0</v>
          </cell>
          <cell r="AN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</row>
        <row r="547">
          <cell r="H547" t="str">
            <v>10-95-A3-EL-0001</v>
          </cell>
          <cell r="I547" t="str">
            <v>Single line Diagram for LV switchgear EE-SWG-115 for Boiler and Fuel</v>
          </cell>
          <cell r="Q547" t="str">
            <v>V</v>
          </cell>
          <cell r="R547">
            <v>2.0000000000000001E-4</v>
          </cell>
          <cell r="T547">
            <v>39419</v>
          </cell>
          <cell r="U547" t="str">
            <v>*</v>
          </cell>
          <cell r="V547" t="str">
            <v>2007-12</v>
          </cell>
          <cell r="AM547">
            <v>0</v>
          </cell>
          <cell r="AN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</row>
        <row r="548">
          <cell r="H548" t="str">
            <v>10-20-A3-EL-0001</v>
          </cell>
          <cell r="I548" t="str">
            <v>Single line Diagram for LV switchgear EE-SWG-116 for Hydrogen Generation Unit</v>
          </cell>
          <cell r="Q548" t="str">
            <v>V</v>
          </cell>
          <cell r="R548">
            <v>2.0000000000000001E-4</v>
          </cell>
          <cell r="T548">
            <v>39421</v>
          </cell>
          <cell r="U548" t="str">
            <v>*</v>
          </cell>
          <cell r="V548" t="str">
            <v>2007-12</v>
          </cell>
          <cell r="AM548">
            <v>0</v>
          </cell>
          <cell r="AN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</row>
        <row r="549">
          <cell r="H549" t="str">
            <v>10-EE-A3-EL-0301</v>
          </cell>
          <cell r="I549" t="str">
            <v>Single line Diagram for  Normal Lighting Panel :EE-LP-EE-01 for Fired Boiler Room</v>
          </cell>
          <cell r="Q549" t="str">
            <v>L</v>
          </cell>
          <cell r="R549">
            <v>2.0000000000000001E-4</v>
          </cell>
          <cell r="T549">
            <v>39465</v>
          </cell>
          <cell r="V549" t="str">
            <v>2008-01</v>
          </cell>
          <cell r="AM549">
            <v>0</v>
          </cell>
          <cell r="AN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</row>
        <row r="550">
          <cell r="H550" t="str">
            <v>10-EE-A3-EL-0302</v>
          </cell>
          <cell r="I550" t="str">
            <v>Single line Diagram for  Emergency  Lighting Panel :EE-ELP-EE-01 for Fired Boiler Room</v>
          </cell>
          <cell r="Q550" t="str">
            <v>L</v>
          </cell>
          <cell r="R550">
            <v>2.0000000000000001E-4</v>
          </cell>
          <cell r="T550">
            <v>39465</v>
          </cell>
          <cell r="V550" t="str">
            <v>2008-01</v>
          </cell>
          <cell r="AM550">
            <v>0</v>
          </cell>
          <cell r="AN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</row>
        <row r="551">
          <cell r="H551" t="str">
            <v>10-EE-A3-EL-0303</v>
          </cell>
          <cell r="I551" t="str">
            <v>Single line Diagram for  Normal Lighting Panel :EE-LP-EE-02 for Fuel system</v>
          </cell>
          <cell r="Q551" t="str">
            <v>L</v>
          </cell>
          <cell r="R551">
            <v>2.0000000000000001E-4</v>
          </cell>
          <cell r="T551">
            <v>39465</v>
          </cell>
          <cell r="V551" t="str">
            <v>2008-01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</row>
        <row r="552">
          <cell r="H552" t="str">
            <v>10-EE-A3-EL-0304</v>
          </cell>
          <cell r="I552" t="str">
            <v>Single line Diagram for  Emergency  Lighting Panel  :EE-ELP-EE-02 for Fuel system</v>
          </cell>
          <cell r="Q552" t="str">
            <v>L</v>
          </cell>
          <cell r="R552">
            <v>2.0000000000000001E-4</v>
          </cell>
          <cell r="T552">
            <v>39465</v>
          </cell>
          <cell r="V552" t="str">
            <v>2008-01</v>
          </cell>
          <cell r="AM552">
            <v>0</v>
          </cell>
          <cell r="AN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</row>
        <row r="553">
          <cell r="H553" t="str">
            <v>10-FF-A3-EL-0303</v>
          </cell>
          <cell r="I553" t="str">
            <v>Single line Diagram for  Normal Lighting Panel :EE-LP-FF-02 for Nitrogen Generation  &amp; Instrument Air and Plant Air Unit</v>
          </cell>
          <cell r="Q553" t="str">
            <v>V</v>
          </cell>
          <cell r="R553">
            <v>2.0000000000000001E-4</v>
          </cell>
          <cell r="T553">
            <v>39433</v>
          </cell>
          <cell r="U553" t="str">
            <v>*</v>
          </cell>
          <cell r="V553" t="str">
            <v>2007-12</v>
          </cell>
          <cell r="AM553">
            <v>0</v>
          </cell>
          <cell r="AN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</row>
        <row r="554">
          <cell r="H554" t="str">
            <v>10-FF-A3-EL-0304</v>
          </cell>
          <cell r="I554" t="str">
            <v>Single line Diagram for  Emergency  Lighting Panel :EE-ELP-FF-02 for Area</v>
          </cell>
          <cell r="Q554" t="str">
            <v>V</v>
          </cell>
          <cell r="R554">
            <v>2.0000000000000001E-4</v>
          </cell>
          <cell r="T554">
            <v>39433</v>
          </cell>
          <cell r="U554" t="str">
            <v>*</v>
          </cell>
          <cell r="V554" t="str">
            <v>2007-12</v>
          </cell>
          <cell r="AM554">
            <v>0</v>
          </cell>
          <cell r="AN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</row>
        <row r="555">
          <cell r="H555" t="str">
            <v>10-GG-A3-EL-0302</v>
          </cell>
          <cell r="I555" t="str">
            <v>Single line Diagram for  Normal  Lighting Panel :EE-LP-GG-01 for Central Control Building</v>
          </cell>
          <cell r="Q555" t="str">
            <v>D(CI)</v>
          </cell>
          <cell r="R555">
            <v>2.0000000000000001E-4</v>
          </cell>
          <cell r="T555">
            <v>39446</v>
          </cell>
          <cell r="U555" t="str">
            <v>*</v>
          </cell>
          <cell r="V555" t="str">
            <v>2007-12</v>
          </cell>
          <cell r="AM555">
            <v>0</v>
          </cell>
          <cell r="AN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</row>
        <row r="556">
          <cell r="H556" t="str">
            <v>10-GG-A3-EL-0303</v>
          </cell>
          <cell r="I556" t="str">
            <v>Single line Diagram for  Emergency  Lighting Panel :EE-ELP-GG-01for Central Control Building</v>
          </cell>
          <cell r="Q556" t="str">
            <v>D(CI)</v>
          </cell>
          <cell r="R556">
            <v>2.0000000000000001E-4</v>
          </cell>
          <cell r="T556">
            <v>39446</v>
          </cell>
          <cell r="U556" t="str">
            <v>*</v>
          </cell>
          <cell r="V556" t="str">
            <v>2007-12</v>
          </cell>
          <cell r="AM556">
            <v>0</v>
          </cell>
          <cell r="AN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</row>
        <row r="557">
          <cell r="H557" t="str">
            <v>10-MM-A3-EL-0301</v>
          </cell>
          <cell r="I557" t="str">
            <v>Single line Diagram for Normal Lighting Panel :EE-LP-MM-01 for Fire station</v>
          </cell>
          <cell r="J557" t="str">
            <v>Electrical</v>
          </cell>
          <cell r="L557" t="str">
            <v>Single line Diagram for Normal Lighting Panel :EE-LP-MM-01 for Fire station</v>
          </cell>
          <cell r="Q557" t="str">
            <v>I</v>
          </cell>
          <cell r="R557">
            <v>2.0000000000000001E-4</v>
          </cell>
          <cell r="AM557">
            <v>0</v>
          </cell>
          <cell r="AN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</row>
        <row r="558">
          <cell r="H558" t="str">
            <v>10-MM-A3-EL-0302</v>
          </cell>
          <cell r="I558" t="str">
            <v>Single line Diagram for  Emergency Lighting Panel :EE-ELP-MM-01 for Fire station</v>
          </cell>
          <cell r="J558" t="str">
            <v>Electrical</v>
          </cell>
          <cell r="L558" t="str">
            <v>Single line Diagram for  Emergency Lighting Panel :EE-ELP-MM-01 for Fire station</v>
          </cell>
          <cell r="Q558" t="str">
            <v>I</v>
          </cell>
          <cell r="R558">
            <v>2.0000000000000001E-4</v>
          </cell>
          <cell r="AM558">
            <v>0</v>
          </cell>
          <cell r="AN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</row>
        <row r="559">
          <cell r="H559" t="str">
            <v>Water Treatment</v>
          </cell>
          <cell r="N559">
            <v>0.2</v>
          </cell>
          <cell r="O559" t="e">
            <v>#REF!</v>
          </cell>
          <cell r="P559">
            <v>1.3472000000000002E-3</v>
          </cell>
          <cell r="R559">
            <v>4.2000000000000006E-3</v>
          </cell>
          <cell r="T559" t="str">
            <v>.</v>
          </cell>
          <cell r="U559" t="str">
            <v>.</v>
          </cell>
          <cell r="V559" t="str">
            <v>.</v>
          </cell>
          <cell r="AM559">
            <v>0</v>
          </cell>
          <cell r="AN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</row>
        <row r="560">
          <cell r="C560" t="str">
            <v>DIG</v>
          </cell>
          <cell r="H560" t="str">
            <v>10-70-A3-EL-0001</v>
          </cell>
          <cell r="I560" t="str">
            <v>Single line Diagram for LV Switchgear EE-SWG-214 for Cooling Water</v>
          </cell>
          <cell r="O560">
            <v>0.34</v>
          </cell>
          <cell r="P560">
            <v>4.5804800000000012E-4</v>
          </cell>
          <cell r="Q560" t="str">
            <v>D(CI)</v>
          </cell>
          <cell r="R560">
            <v>2.0000000000000001E-4</v>
          </cell>
          <cell r="T560">
            <v>39425</v>
          </cell>
          <cell r="U560" t="str">
            <v>*</v>
          </cell>
          <cell r="V560" t="str">
            <v>2007-12</v>
          </cell>
          <cell r="AM560">
            <v>0</v>
          </cell>
          <cell r="AN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</row>
        <row r="561">
          <cell r="H561" t="str">
            <v>10-90-A3-EL-0001</v>
          </cell>
          <cell r="I561" t="str">
            <v>Single line Diagram for LV Switchgear EE-SWG-215 for Flare and Fire Water</v>
          </cell>
          <cell r="Q561" t="str">
            <v>L</v>
          </cell>
          <cell r="R561">
            <v>2.0000000000000001E-4</v>
          </cell>
          <cell r="T561">
            <v>39427</v>
          </cell>
          <cell r="U561" t="str">
            <v>*</v>
          </cell>
          <cell r="V561" t="str">
            <v>2007-12</v>
          </cell>
          <cell r="AM561">
            <v>0</v>
          </cell>
          <cell r="AN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</row>
        <row r="562">
          <cell r="H562" t="str">
            <v>10-50-A3-EL-0001</v>
          </cell>
          <cell r="I562" t="str">
            <v xml:space="preserve">Single line Diagram for LV Switchgear EE-SWG-216 for Water Treatment </v>
          </cell>
          <cell r="Q562" t="str">
            <v>V</v>
          </cell>
          <cell r="R562">
            <v>2.0000000000000001E-4</v>
          </cell>
          <cell r="T562">
            <v>39433</v>
          </cell>
          <cell r="U562" t="str">
            <v>*</v>
          </cell>
          <cell r="V562" t="str">
            <v>2007-12</v>
          </cell>
          <cell r="AM562">
            <v>0</v>
          </cell>
          <cell r="AN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</row>
        <row r="563">
          <cell r="H563" t="str">
            <v>10-70-A3-EL-0002</v>
          </cell>
          <cell r="I563" t="str">
            <v>Single line Diagram for LV Switchgear EE-SWG-217,218 for Cooling Tower</v>
          </cell>
          <cell r="Q563" t="str">
            <v>I</v>
          </cell>
          <cell r="R563">
            <v>2.0000000000000001E-4</v>
          </cell>
          <cell r="T563">
            <v>39438</v>
          </cell>
          <cell r="U563" t="str">
            <v>*</v>
          </cell>
          <cell r="V563" t="str">
            <v>2007-12</v>
          </cell>
          <cell r="AM563">
            <v>0</v>
          </cell>
          <cell r="AN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</row>
        <row r="564">
          <cell r="H564" t="str">
            <v>10-XX-A3-EL-0007</v>
          </cell>
          <cell r="I564" t="str">
            <v>Single line Diagram for LV Switchgear EE-SWG-211,212,213</v>
          </cell>
          <cell r="Q564" t="str">
            <v>I</v>
          </cell>
          <cell r="R564">
            <v>2.0000000000000001E-4</v>
          </cell>
          <cell r="T564">
            <v>39446</v>
          </cell>
          <cell r="U564" t="str">
            <v>*</v>
          </cell>
          <cell r="V564" t="str">
            <v>2007-12</v>
          </cell>
          <cell r="AM564">
            <v>0</v>
          </cell>
          <cell r="AN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</row>
        <row r="565">
          <cell r="H565" t="str">
            <v>10-GG-A3-EL-0304</v>
          </cell>
          <cell r="I565" t="str">
            <v>Single line Diagram for lighting/distribution panel for Water Treatment</v>
          </cell>
          <cell r="Q565" t="str">
            <v>I</v>
          </cell>
          <cell r="R565">
            <v>2.0000000000000001E-4</v>
          </cell>
          <cell r="T565">
            <v>39421</v>
          </cell>
          <cell r="U565" t="str">
            <v>*</v>
          </cell>
          <cell r="V565" t="str">
            <v>2007-12</v>
          </cell>
          <cell r="AM565">
            <v>0</v>
          </cell>
          <cell r="AN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</row>
        <row r="566">
          <cell r="H566" t="str">
            <v>10-XX-A3-EL-0008</v>
          </cell>
          <cell r="I566" t="str">
            <v>Single line Diagram for DC UPS for  Water Treatment</v>
          </cell>
          <cell r="Q566" t="str">
            <v>V</v>
          </cell>
          <cell r="R566">
            <v>2.0000000000000001E-4</v>
          </cell>
          <cell r="T566">
            <v>39421</v>
          </cell>
          <cell r="U566" t="str">
            <v>*</v>
          </cell>
          <cell r="V566" t="str">
            <v>2007-12</v>
          </cell>
          <cell r="AM566">
            <v>0</v>
          </cell>
          <cell r="AN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</row>
        <row r="567">
          <cell r="H567" t="str">
            <v>10-XX-A3-EL-0301</v>
          </cell>
          <cell r="I567" t="str">
            <v>Single line Diagram for Area Lighting Panel 1 :EE-LP-XX-01</v>
          </cell>
          <cell r="Q567" t="str">
            <v>V</v>
          </cell>
          <cell r="R567">
            <v>2.0000000000000001E-4</v>
          </cell>
          <cell r="T567">
            <v>39446</v>
          </cell>
          <cell r="U567" t="str">
            <v>*</v>
          </cell>
          <cell r="V567" t="str">
            <v>2007-12</v>
          </cell>
          <cell r="AM567">
            <v>0</v>
          </cell>
          <cell r="AN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</row>
        <row r="568">
          <cell r="H568" t="str">
            <v>10-XX-A3-EL-0302</v>
          </cell>
          <cell r="I568" t="str">
            <v>Single line Diagram for Area Lighting Panel 2 :EE-LP-XX-02</v>
          </cell>
          <cell r="Q568" t="str">
            <v>V</v>
          </cell>
          <cell r="R568">
            <v>2.0000000000000001E-4</v>
          </cell>
          <cell r="T568">
            <v>39446</v>
          </cell>
          <cell r="U568" t="str">
            <v>*</v>
          </cell>
          <cell r="V568" t="str">
            <v>2007-12</v>
          </cell>
          <cell r="AM568">
            <v>0</v>
          </cell>
          <cell r="AN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</row>
        <row r="569">
          <cell r="H569" t="str">
            <v>10-CC-A3-EL-0301</v>
          </cell>
          <cell r="I569" t="str">
            <v>Single line Diagram for  Normal  Lighting Panel :EE-LP-CC-01 for Fire Fighting</v>
          </cell>
          <cell r="Q569" t="str">
            <v>V</v>
          </cell>
          <cell r="R569">
            <v>2.0000000000000001E-4</v>
          </cell>
          <cell r="T569">
            <v>39406</v>
          </cell>
          <cell r="U569" t="str">
            <v>*</v>
          </cell>
          <cell r="V569" t="str">
            <v>2007-11</v>
          </cell>
          <cell r="AM569">
            <v>0</v>
          </cell>
          <cell r="AN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</row>
        <row r="570">
          <cell r="H570" t="str">
            <v>10-CC-A3-EL-0302</v>
          </cell>
          <cell r="I570" t="str">
            <v>Single line Diagram for  Emergency  Lighting Panel :EE-ELP-CC-01 for Fire Fighting</v>
          </cell>
          <cell r="Q570" t="str">
            <v>V</v>
          </cell>
          <cell r="R570">
            <v>2.0000000000000001E-4</v>
          </cell>
          <cell r="T570">
            <v>39406</v>
          </cell>
          <cell r="U570" t="str">
            <v>*</v>
          </cell>
          <cell r="V570" t="str">
            <v>2007-11</v>
          </cell>
          <cell r="AM570">
            <v>0</v>
          </cell>
          <cell r="AN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</row>
        <row r="571">
          <cell r="H571" t="str">
            <v>10-CC-A3-EL-0303</v>
          </cell>
          <cell r="I571" t="str">
            <v>Single line Diagram for  Normal Lighting Panel :EE-ELP-CC-02 for Cooling Water</v>
          </cell>
          <cell r="Q571" t="str">
            <v>L</v>
          </cell>
          <cell r="R571">
            <v>2.0000000000000001E-4</v>
          </cell>
          <cell r="T571">
            <v>39406</v>
          </cell>
          <cell r="U571" t="str">
            <v>*</v>
          </cell>
          <cell r="V571" t="str">
            <v>2007-11</v>
          </cell>
          <cell r="AM571">
            <v>0</v>
          </cell>
          <cell r="AN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</row>
        <row r="572">
          <cell r="H572" t="str">
            <v>10-CC-A3-EL-0304</v>
          </cell>
          <cell r="I572" t="str">
            <v>Single line Diagram for  Emergency  Lighting Panel :EE-ELP-CC-02 for Cooling Water</v>
          </cell>
          <cell r="Q572" t="str">
            <v>L</v>
          </cell>
          <cell r="R572">
            <v>2.0000000000000001E-4</v>
          </cell>
          <cell r="T572">
            <v>39406</v>
          </cell>
          <cell r="U572" t="str">
            <v>*</v>
          </cell>
          <cell r="V572" t="str">
            <v>2007-11</v>
          </cell>
          <cell r="AM572">
            <v>0</v>
          </cell>
          <cell r="AN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</row>
        <row r="573">
          <cell r="H573" t="str">
            <v>10-DD-A3-EL-0301</v>
          </cell>
          <cell r="I573" t="str">
            <v>Single line Diagram for  Normal Lighting Panel :E-LP-DD-01 for LV Commen Switchgear</v>
          </cell>
          <cell r="Q573" t="str">
            <v>L</v>
          </cell>
          <cell r="R573">
            <v>2.0000000000000001E-4</v>
          </cell>
          <cell r="T573">
            <v>39472</v>
          </cell>
          <cell r="V573" t="str">
            <v>2008-01</v>
          </cell>
          <cell r="AM573">
            <v>0</v>
          </cell>
          <cell r="AN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</row>
        <row r="574">
          <cell r="H574" t="str">
            <v>10-DD-A3-EL-0302</v>
          </cell>
          <cell r="I574" t="str">
            <v>Single line Diagram for  Emergency  Lighting Panel :EE-ELP-DD-01 for LV Commen Switchgear</v>
          </cell>
          <cell r="Q574" t="str">
            <v>L</v>
          </cell>
          <cell r="R574">
            <v>2.0000000000000001E-4</v>
          </cell>
          <cell r="T574">
            <v>39472</v>
          </cell>
          <cell r="V574" t="str">
            <v>2008-01</v>
          </cell>
          <cell r="AM574">
            <v>0</v>
          </cell>
          <cell r="AN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</row>
        <row r="575">
          <cell r="H575" t="str">
            <v>10-DD-A3-EL-0303</v>
          </cell>
          <cell r="I575" t="str">
            <v>Single line Diagram for  Normal Lighting Panel :EE-LP-DD-02 for PreTreatment</v>
          </cell>
          <cell r="Q575" t="str">
            <v>V</v>
          </cell>
          <cell r="R575">
            <v>2.0000000000000001E-4</v>
          </cell>
          <cell r="T575">
            <v>39472</v>
          </cell>
          <cell r="V575" t="str">
            <v>2008-01</v>
          </cell>
          <cell r="AM575">
            <v>0</v>
          </cell>
          <cell r="AN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</row>
        <row r="576">
          <cell r="H576" t="str">
            <v>10-DD-A3-EL-0304</v>
          </cell>
          <cell r="I576" t="str">
            <v>Single line Diagram for  Emergency  Lighting Panel :EE-ELP-DD-02 for PreTreatment</v>
          </cell>
          <cell r="Q576" t="str">
            <v>V</v>
          </cell>
          <cell r="R576">
            <v>2.0000000000000001E-4</v>
          </cell>
          <cell r="T576">
            <v>39472</v>
          </cell>
          <cell r="V576" t="str">
            <v>2008-01</v>
          </cell>
          <cell r="AM576">
            <v>0</v>
          </cell>
          <cell r="AN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</row>
        <row r="577">
          <cell r="H577" t="str">
            <v>10-DD-A3-EL-0305</v>
          </cell>
          <cell r="I577" t="str">
            <v>Single line Diagram for  Normal Lighting Panel :EE-LP-DD-03 for Post Treatment</v>
          </cell>
          <cell r="Q577" t="str">
            <v>D(CI)</v>
          </cell>
          <cell r="R577">
            <v>2.0000000000000001E-4</v>
          </cell>
          <cell r="T577">
            <v>39472</v>
          </cell>
          <cell r="V577" t="str">
            <v>2008-01</v>
          </cell>
          <cell r="AM577">
            <v>0</v>
          </cell>
          <cell r="AN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</row>
        <row r="578">
          <cell r="H578" t="str">
            <v>10-DD-A3-EL-0306</v>
          </cell>
          <cell r="I578" t="str">
            <v>Single line Diagram for  Emergency  Lighting Panel :EE-ELP-DD-03 for Post Treatment</v>
          </cell>
          <cell r="Q578" t="str">
            <v>D(CI)</v>
          </cell>
          <cell r="R578">
            <v>2.0000000000000001E-4</v>
          </cell>
          <cell r="T578">
            <v>39472</v>
          </cell>
          <cell r="V578" t="str">
            <v>2008-01</v>
          </cell>
          <cell r="AM578">
            <v>0</v>
          </cell>
          <cell r="AN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</row>
        <row r="579">
          <cell r="H579" t="str">
            <v>10-FF-A3-EL-0301</v>
          </cell>
          <cell r="I579" t="str">
            <v>Single line Diagram for  Normal  Lighting Panel :EE-LP-FF-01 for Laboratary Building</v>
          </cell>
          <cell r="Q579" t="str">
            <v>I</v>
          </cell>
          <cell r="R579">
            <v>2.0000000000000001E-4</v>
          </cell>
          <cell r="T579">
            <v>39436</v>
          </cell>
          <cell r="U579" t="str">
            <v>*</v>
          </cell>
          <cell r="V579" t="str">
            <v>2007-12</v>
          </cell>
          <cell r="AM579">
            <v>0</v>
          </cell>
          <cell r="AN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</row>
        <row r="580">
          <cell r="H580" t="str">
            <v>10-FF-A3-EL-0302</v>
          </cell>
          <cell r="I580" t="str">
            <v>Single line Diagram for  Emergency  Lighting Panel :EE-ELP-FF-01 for Laboratary Building</v>
          </cell>
          <cell r="Q580" t="str">
            <v>I</v>
          </cell>
          <cell r="R580">
            <v>2.0000000000000001E-4</v>
          </cell>
          <cell r="T580">
            <v>39436</v>
          </cell>
          <cell r="U580" t="str">
            <v>*</v>
          </cell>
          <cell r="V580" t="str">
            <v>2007-12</v>
          </cell>
          <cell r="AM580">
            <v>0</v>
          </cell>
          <cell r="AN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</row>
        <row r="581">
          <cell r="H581" t="str">
            <v>Waste Water Treatment Unit</v>
          </cell>
          <cell r="N581">
            <v>0.35</v>
          </cell>
          <cell r="O581" t="e">
            <v>#REF!</v>
          </cell>
          <cell r="P581">
            <v>2.3576000000000001E-3</v>
          </cell>
          <cell r="R581">
            <v>1.2000000000000001E-3</v>
          </cell>
          <cell r="T581" t="str">
            <v>.</v>
          </cell>
          <cell r="U581" t="str">
            <v>.</v>
          </cell>
          <cell r="V581" t="str">
            <v>.</v>
          </cell>
          <cell r="AM581">
            <v>0</v>
          </cell>
          <cell r="AN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</row>
        <row r="582">
          <cell r="C582" t="str">
            <v>DIG</v>
          </cell>
          <cell r="H582" t="str">
            <v>10-GG-A3-EL-0305</v>
          </cell>
          <cell r="I582" t="str">
            <v>Single line Diagram for lighting/distribution panel for Waste Water Treatment</v>
          </cell>
          <cell r="O582">
            <v>0.34</v>
          </cell>
          <cell r="P582">
            <v>8.0158400000000004E-4</v>
          </cell>
          <cell r="Q582" t="str">
            <v>V</v>
          </cell>
          <cell r="R582">
            <v>2.0000000000000001E-4</v>
          </cell>
          <cell r="T582">
            <v>39423</v>
          </cell>
          <cell r="U582" t="str">
            <v>*</v>
          </cell>
          <cell r="V582" t="str">
            <v>2007-12</v>
          </cell>
          <cell r="AM582">
            <v>0</v>
          </cell>
          <cell r="AN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</row>
        <row r="583">
          <cell r="H583" t="str">
            <v>10-XX-A3-EL-0009</v>
          </cell>
          <cell r="I583" t="str">
            <v>Single line Diagram for DC UPS for Waste Water Treatment</v>
          </cell>
          <cell r="Q583" t="str">
            <v>I</v>
          </cell>
          <cell r="R583">
            <v>2.0000000000000001E-4</v>
          </cell>
          <cell r="T583">
            <v>39421</v>
          </cell>
          <cell r="U583" t="str">
            <v>*</v>
          </cell>
          <cell r="V583" t="str">
            <v>2007-12</v>
          </cell>
          <cell r="AM583">
            <v>0</v>
          </cell>
          <cell r="AN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</row>
        <row r="584">
          <cell r="H584" t="str">
            <v>10-60-A3-EL-0020</v>
          </cell>
          <cell r="I584" t="str">
            <v>Single line Diagram for LV switchgear EE-SWG-311,312</v>
          </cell>
          <cell r="Q584" t="str">
            <v>L</v>
          </cell>
          <cell r="R584">
            <v>2.0000000000000001E-4</v>
          </cell>
          <cell r="T584">
            <v>39452</v>
          </cell>
          <cell r="V584" t="str">
            <v>2008-01</v>
          </cell>
          <cell r="AM584">
            <v>0</v>
          </cell>
          <cell r="AN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</row>
        <row r="585">
          <cell r="H585" t="str">
            <v>10-MM-A3-EL-0301</v>
          </cell>
          <cell r="I585" t="str">
            <v>Single line Diagram for Area Lighting Panel  :EE-LP-NN-01 for Waste Water Treatment</v>
          </cell>
          <cell r="Q585" t="str">
            <v>L</v>
          </cell>
          <cell r="R585">
            <v>2.0000000000000001E-4</v>
          </cell>
          <cell r="U585" t="str">
            <v>*</v>
          </cell>
          <cell r="V585" t="str">
            <v>2007-12</v>
          </cell>
          <cell r="AM585">
            <v>0</v>
          </cell>
          <cell r="AN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</row>
        <row r="586">
          <cell r="H586" t="str">
            <v>10-MM-A3-EL-0302</v>
          </cell>
          <cell r="I586" t="str">
            <v>Single line Diagram for  Normal  Lighting Panel :EE-LP-NN-02 for Waste Water Treatment</v>
          </cell>
          <cell r="Q586" t="str">
            <v>L</v>
          </cell>
          <cell r="R586">
            <v>2.0000000000000001E-4</v>
          </cell>
          <cell r="U586" t="str">
            <v>*</v>
          </cell>
          <cell r="V586" t="str">
            <v>2007-12</v>
          </cell>
          <cell r="AM586">
            <v>0</v>
          </cell>
          <cell r="AN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</row>
        <row r="587">
          <cell r="H587" t="str">
            <v>10-NN-A3-EL-0303</v>
          </cell>
          <cell r="I587" t="str">
            <v>Single line Diagram for  Emergency  Lighting Panel :EE-ELP-NN-02 for Waste Water Treatment</v>
          </cell>
          <cell r="Q587" t="str">
            <v>L</v>
          </cell>
          <cell r="R587">
            <v>2.0000000000000001E-4</v>
          </cell>
          <cell r="T587">
            <v>39467</v>
          </cell>
          <cell r="V587" t="str">
            <v>2008-01</v>
          </cell>
          <cell r="AM587">
            <v>0</v>
          </cell>
          <cell r="AN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</row>
        <row r="588">
          <cell r="H588" t="str">
            <v>Typical Details</v>
          </cell>
          <cell r="N588">
            <v>0.15</v>
          </cell>
          <cell r="O588">
            <v>1</v>
          </cell>
          <cell r="P588">
            <v>1.0104000000000001E-3</v>
          </cell>
          <cell r="R588">
            <v>6.0000000000000006E-4</v>
          </cell>
          <cell r="T588" t="str">
            <v>.</v>
          </cell>
          <cell r="U588" t="str">
            <v>.</v>
          </cell>
          <cell r="V588" t="str">
            <v>.</v>
          </cell>
          <cell r="AM588">
            <v>0.17814726840855108</v>
          </cell>
          <cell r="AN588">
            <v>1.8000000000000001E-4</v>
          </cell>
          <cell r="AQ588">
            <v>1.8000000000000001E-4</v>
          </cell>
          <cell r="AR588">
            <v>1.0688836104513065E-4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</row>
        <row r="589">
          <cell r="C589" t="str">
            <v>DIG</v>
          </cell>
          <cell r="H589" t="str">
            <v>10-XX-A3-EL-0016</v>
          </cell>
          <cell r="I589" t="str">
            <v>Logic Diagram</v>
          </cell>
          <cell r="O589">
            <v>0.34</v>
          </cell>
          <cell r="P589">
            <v>3.4353600000000003E-4</v>
          </cell>
          <cell r="Q589" t="str">
            <v>C</v>
          </cell>
          <cell r="R589">
            <v>2.0000000000000001E-4</v>
          </cell>
          <cell r="T589">
            <v>39400</v>
          </cell>
          <cell r="U589" t="str">
            <v>*</v>
          </cell>
          <cell r="V589" t="str">
            <v>2007-11</v>
          </cell>
          <cell r="AM589">
            <v>0</v>
          </cell>
          <cell r="AN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</row>
        <row r="590">
          <cell r="C590" t="str">
            <v>DIG</v>
          </cell>
          <cell r="H590" t="str">
            <v>10-XX-A3-EL-0017</v>
          </cell>
          <cell r="I590" t="str">
            <v>MV Metering ,Protection and Control Typical Diagram</v>
          </cell>
          <cell r="O590">
            <v>0.33</v>
          </cell>
          <cell r="P590">
            <v>3.3343200000000004E-4</v>
          </cell>
          <cell r="R590">
            <v>2.0000000000000001E-4</v>
          </cell>
          <cell r="V590" t="str">
            <v>ارسال شده</v>
          </cell>
          <cell r="W590">
            <v>0</v>
          </cell>
          <cell r="X590">
            <v>488</v>
          </cell>
          <cell r="Y590" t="str">
            <v>17-12-07</v>
          </cell>
          <cell r="AG590" t="str">
            <v>KRPC</v>
          </cell>
          <cell r="AH590" t="str">
            <v>x</v>
          </cell>
          <cell r="AM590">
            <v>0.45</v>
          </cell>
          <cell r="AN590">
            <v>9.0000000000000006E-5</v>
          </cell>
          <cell r="AQ590">
            <v>1.5004440000000003E-4</v>
          </cell>
          <cell r="AR590">
            <v>9.0000000000000006E-5</v>
          </cell>
          <cell r="AS590">
            <v>45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45</v>
          </cell>
        </row>
        <row r="591">
          <cell r="C591" t="str">
            <v>DIG</v>
          </cell>
          <cell r="H591" t="str">
            <v>10-XX-A3-EL-0018</v>
          </cell>
          <cell r="I591" t="str">
            <v>LV Metering ,Protection and Control Typical Diagram</v>
          </cell>
          <cell r="O591">
            <v>0.33</v>
          </cell>
          <cell r="P591">
            <v>3.3343200000000004E-4</v>
          </cell>
          <cell r="R591">
            <v>2.0000000000000001E-4</v>
          </cell>
          <cell r="V591" t="str">
            <v>ارسال شده</v>
          </cell>
          <cell r="W591">
            <v>0</v>
          </cell>
          <cell r="X591">
            <v>392</v>
          </cell>
          <cell r="Y591" t="str">
            <v>03-12-07</v>
          </cell>
          <cell r="Z591" t="str">
            <v>F-0528</v>
          </cell>
          <cell r="AA591" t="str">
            <v>16-12-07</v>
          </cell>
          <cell r="AG591" t="str">
            <v>GBT</v>
          </cell>
          <cell r="AH591" t="str">
            <v>x</v>
          </cell>
          <cell r="AM591">
            <v>0.45</v>
          </cell>
          <cell r="AN591">
            <v>9.0000000000000006E-5</v>
          </cell>
          <cell r="AQ591">
            <v>1.5004440000000003E-4</v>
          </cell>
          <cell r="AR591">
            <v>9.0000000000000006E-5</v>
          </cell>
          <cell r="AS591">
            <v>45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45</v>
          </cell>
        </row>
        <row r="592">
          <cell r="G592" t="str">
            <v>LAYOUTS</v>
          </cell>
          <cell r="M592">
            <v>9.2999999999999999E-2</v>
          </cell>
          <cell r="N592" t="e">
            <v>#REF!</v>
          </cell>
          <cell r="P592">
            <v>7.4400000000000013E-3</v>
          </cell>
          <cell r="R592">
            <v>3.1399999999999997E-2</v>
          </cell>
          <cell r="T592" t="str">
            <v>.</v>
          </cell>
          <cell r="U592" t="str">
            <v>.</v>
          </cell>
          <cell r="V592" t="str">
            <v>.</v>
          </cell>
          <cell r="AG592" t="str">
            <v>.</v>
          </cell>
          <cell r="AM592">
            <v>7.2580645161290314E-2</v>
          </cell>
          <cell r="AN592">
            <v>5.4000000000000001E-4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</row>
        <row r="593">
          <cell r="H593" t="str">
            <v>OVERALL</v>
          </cell>
          <cell r="N593">
            <v>0.09</v>
          </cell>
          <cell r="O593">
            <v>1</v>
          </cell>
          <cell r="P593">
            <v>6.6960000000000012E-4</v>
          </cell>
          <cell r="R593">
            <v>1.8E-3</v>
          </cell>
          <cell r="T593" t="str">
            <v>.</v>
          </cell>
          <cell r="U593" t="str">
            <v>.</v>
          </cell>
          <cell r="V593" t="str">
            <v>.</v>
          </cell>
          <cell r="AM593">
            <v>0.80645161290322565</v>
          </cell>
          <cell r="AN593">
            <v>5.4000000000000001E-4</v>
          </cell>
          <cell r="AQ593">
            <v>5.4000000000000001E-4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</row>
        <row r="594">
          <cell r="C594" t="str">
            <v>DWG</v>
          </cell>
          <cell r="H594" t="str">
            <v>10-XX-A0-EL-0010</v>
          </cell>
          <cell r="I594" t="str">
            <v>Overall Cable Routee</v>
          </cell>
          <cell r="O594">
            <v>0.33</v>
          </cell>
          <cell r="P594">
            <v>2.2096800000000004E-4</v>
          </cell>
          <cell r="Q594" t="str">
            <v>I</v>
          </cell>
          <cell r="R594">
            <v>5.9999999999999995E-4</v>
          </cell>
          <cell r="T594">
            <v>39398</v>
          </cell>
          <cell r="U594" t="str">
            <v>*</v>
          </cell>
          <cell r="V594" t="str">
            <v>2007-11</v>
          </cell>
          <cell r="AM594">
            <v>0</v>
          </cell>
          <cell r="AN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</row>
        <row r="595">
          <cell r="C595" t="str">
            <v>DWG</v>
          </cell>
          <cell r="H595" t="str">
            <v>10-XX-A0-EL-0011</v>
          </cell>
          <cell r="I595" t="str">
            <v>Overall earthing Layout</v>
          </cell>
          <cell r="O595">
            <v>0.33</v>
          </cell>
          <cell r="P595">
            <v>2.2096800000000004E-4</v>
          </cell>
          <cell r="R595">
            <v>5.9999999999999995E-4</v>
          </cell>
          <cell r="V595" t="str">
            <v>ارسال شده</v>
          </cell>
          <cell r="W595">
            <v>0</v>
          </cell>
          <cell r="X595">
            <v>380</v>
          </cell>
          <cell r="Y595" t="str">
            <v>26-11-07</v>
          </cell>
          <cell r="Z595" t="str">
            <v>F-0466</v>
          </cell>
          <cell r="AA595" t="str">
            <v>06-12-07</v>
          </cell>
          <cell r="AG595" t="str">
            <v>GBT</v>
          </cell>
          <cell r="AH595" t="str">
            <v>x</v>
          </cell>
          <cell r="AM595">
            <v>0.45</v>
          </cell>
          <cell r="AN595">
            <v>2.7E-4</v>
          </cell>
          <cell r="AQ595">
            <v>9.9435600000000028E-5</v>
          </cell>
          <cell r="AR595">
            <v>2.7E-4</v>
          </cell>
          <cell r="AS595">
            <v>45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45</v>
          </cell>
        </row>
        <row r="596">
          <cell r="C596" t="str">
            <v>DWG</v>
          </cell>
          <cell r="H596" t="str">
            <v>10-XX-A0-EL-0012</v>
          </cell>
          <cell r="I596" t="str">
            <v>Overall Street lighting Layout</v>
          </cell>
          <cell r="O596">
            <v>0.34</v>
          </cell>
          <cell r="P596">
            <v>2.2766400000000006E-4</v>
          </cell>
          <cell r="R596">
            <v>5.9999999999999995E-4</v>
          </cell>
          <cell r="V596" t="str">
            <v>ارسال شده</v>
          </cell>
          <cell r="W596">
            <v>0</v>
          </cell>
          <cell r="X596">
            <v>260</v>
          </cell>
          <cell r="Y596" t="str">
            <v>03-11-07</v>
          </cell>
          <cell r="Z596" t="str">
            <v>F-0276</v>
          </cell>
          <cell r="AA596" t="str">
            <v>07-11-07</v>
          </cell>
          <cell r="AB596" t="str">
            <v>G-0250</v>
          </cell>
          <cell r="AC596" t="str">
            <v>04-12-07</v>
          </cell>
          <cell r="AD596" t="str">
            <v>FF-0468</v>
          </cell>
          <cell r="AG596" t="str">
            <v>GBT</v>
          </cell>
          <cell r="AH596" t="str">
            <v>x</v>
          </cell>
          <cell r="AM596">
            <v>0.45</v>
          </cell>
          <cell r="AN596">
            <v>2.7E-4</v>
          </cell>
          <cell r="AQ596">
            <v>1.0244880000000003E-4</v>
          </cell>
          <cell r="AR596">
            <v>2.7E-4</v>
          </cell>
          <cell r="AS596">
            <v>45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45</v>
          </cell>
        </row>
        <row r="597">
          <cell r="H597" t="str">
            <v>Main Electrical &amp; Control Building</v>
          </cell>
          <cell r="N597">
            <v>0.09</v>
          </cell>
          <cell r="O597" t="e">
            <v>#REF!</v>
          </cell>
          <cell r="P597">
            <v>6.6960000000000012E-4</v>
          </cell>
          <cell r="R597">
            <v>5.3999999999999994E-3</v>
          </cell>
          <cell r="T597" t="str">
            <v>.</v>
          </cell>
          <cell r="U597" t="str">
            <v>.</v>
          </cell>
          <cell r="V597" t="str">
            <v>.</v>
          </cell>
          <cell r="AG597" t="str">
            <v>.</v>
          </cell>
          <cell r="AM597">
            <v>0</v>
          </cell>
          <cell r="AN597">
            <v>0</v>
          </cell>
          <cell r="AQ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</row>
        <row r="598">
          <cell r="C598" t="str">
            <v>DWG</v>
          </cell>
          <cell r="H598" t="str">
            <v>10-GG-A1-EL-0100</v>
          </cell>
          <cell r="I598" t="str">
            <v>Cable Route Layout for Central Control building</v>
          </cell>
          <cell r="O598">
            <v>0.16600000000000001</v>
          </cell>
          <cell r="P598">
            <v>1.1115360000000003E-4</v>
          </cell>
          <cell r="Q598" t="str">
            <v>V,D(CI)</v>
          </cell>
          <cell r="R598">
            <v>4.4999999999999999E-4</v>
          </cell>
          <cell r="T598">
            <v>39441</v>
          </cell>
          <cell r="U598" t="str">
            <v>*</v>
          </cell>
          <cell r="V598" t="str">
            <v>2007-12</v>
          </cell>
          <cell r="AM598">
            <v>0</v>
          </cell>
          <cell r="AN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</row>
        <row r="599">
          <cell r="H599" t="str">
            <v>10-DD-A1-EL-0101</v>
          </cell>
          <cell r="I599" t="str">
            <v>Cable Route Layout for Water Treatment</v>
          </cell>
          <cell r="Q599" t="str">
            <v>L</v>
          </cell>
          <cell r="R599">
            <v>4.4999999999999999E-4</v>
          </cell>
          <cell r="T599">
            <v>39454</v>
          </cell>
          <cell r="V599" t="str">
            <v>2008-01</v>
          </cell>
          <cell r="AM599">
            <v>0</v>
          </cell>
          <cell r="AN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</row>
        <row r="600">
          <cell r="H600" t="str">
            <v>10-NN-A1-EL-0102</v>
          </cell>
          <cell r="I600" t="str">
            <v>Cable Route Layout for Wate Water Treatment</v>
          </cell>
          <cell r="Q600" t="str">
            <v>L</v>
          </cell>
          <cell r="R600">
            <v>4.4999999999999999E-4</v>
          </cell>
          <cell r="T600">
            <v>39456</v>
          </cell>
          <cell r="V600" t="str">
            <v>2008-01</v>
          </cell>
          <cell r="AM600">
            <v>0</v>
          </cell>
          <cell r="AN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</row>
        <row r="601">
          <cell r="H601" t="str">
            <v>10-GG-A1-EL-0200</v>
          </cell>
          <cell r="I601" t="str">
            <v>Earthing Layout for Control Building</v>
          </cell>
          <cell r="Q601" t="str">
            <v>V,D(CI)</v>
          </cell>
          <cell r="R601">
            <v>4.4999999999999999E-4</v>
          </cell>
          <cell r="T601">
            <v>39441</v>
          </cell>
          <cell r="U601" t="str">
            <v>*</v>
          </cell>
          <cell r="V601" t="str">
            <v>2007-12</v>
          </cell>
          <cell r="AM601">
            <v>0</v>
          </cell>
          <cell r="AN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</row>
        <row r="602">
          <cell r="H602" t="str">
            <v>10-DD-A1-EL-0201</v>
          </cell>
          <cell r="I602" t="str">
            <v>Earthing Layout for Water Treatment</v>
          </cell>
          <cell r="Q602" t="str">
            <v>L</v>
          </cell>
          <cell r="R602">
            <v>4.4999999999999999E-4</v>
          </cell>
          <cell r="T602">
            <v>39454</v>
          </cell>
          <cell r="V602" t="str">
            <v>2008-01</v>
          </cell>
          <cell r="AM602">
            <v>0</v>
          </cell>
          <cell r="AN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</row>
        <row r="603">
          <cell r="H603" t="str">
            <v>10-NN-A1-EL-0202</v>
          </cell>
          <cell r="I603" t="str">
            <v>Earthing Layout  for Wate Water Treatment</v>
          </cell>
          <cell r="Q603" t="str">
            <v>L</v>
          </cell>
          <cell r="R603">
            <v>4.4999999999999999E-4</v>
          </cell>
          <cell r="T603">
            <v>39456</v>
          </cell>
          <cell r="V603" t="str">
            <v>2008-01</v>
          </cell>
          <cell r="AM603">
            <v>0</v>
          </cell>
          <cell r="AN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</row>
        <row r="604">
          <cell r="H604" t="str">
            <v>10-GG-A1-EL-0300</v>
          </cell>
          <cell r="I604" t="str">
            <v>Lighting &amp; Small Power Layout for Control Building</v>
          </cell>
          <cell r="Q604" t="str">
            <v>D(CI)</v>
          </cell>
          <cell r="R604">
            <v>4.4999999999999999E-4</v>
          </cell>
          <cell r="T604">
            <v>39441</v>
          </cell>
          <cell r="U604" t="str">
            <v>*</v>
          </cell>
          <cell r="V604" t="str">
            <v>2007-12</v>
          </cell>
          <cell r="AM604">
            <v>0</v>
          </cell>
          <cell r="AN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</row>
        <row r="605">
          <cell r="H605" t="str">
            <v>10-DD-A1-EL-0301</v>
          </cell>
          <cell r="I605" t="str">
            <v>Lighting Layout for Water Treatment</v>
          </cell>
          <cell r="Q605" t="str">
            <v>L</v>
          </cell>
          <cell r="R605">
            <v>4.4999999999999999E-4</v>
          </cell>
          <cell r="T605">
            <v>39454</v>
          </cell>
          <cell r="V605" t="str">
            <v>2008-01</v>
          </cell>
          <cell r="AM605">
            <v>0</v>
          </cell>
          <cell r="AN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</row>
        <row r="606">
          <cell r="H606" t="str">
            <v>10-NN-A1-EL-0302</v>
          </cell>
          <cell r="I606" t="str">
            <v>Lighting Layout  for Wate Water Treatment</v>
          </cell>
          <cell r="Q606" t="str">
            <v>L</v>
          </cell>
          <cell r="R606">
            <v>4.4999999999999999E-4</v>
          </cell>
          <cell r="T606">
            <v>39456</v>
          </cell>
          <cell r="V606" t="str">
            <v>2008-01</v>
          </cell>
          <cell r="AM606">
            <v>0</v>
          </cell>
          <cell r="AN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</row>
        <row r="607">
          <cell r="H607" t="str">
            <v>10-GG-A1-EL-0400</v>
          </cell>
          <cell r="I607" t="str">
            <v>Panel arrangement for Central Control Building</v>
          </cell>
          <cell r="Q607" t="str">
            <v>V,D(CI)</v>
          </cell>
          <cell r="R607">
            <v>4.4999999999999999E-4</v>
          </cell>
          <cell r="T607">
            <v>39436</v>
          </cell>
          <cell r="U607" t="str">
            <v>*</v>
          </cell>
          <cell r="V607" t="str">
            <v>2007-12</v>
          </cell>
          <cell r="AM607">
            <v>0</v>
          </cell>
          <cell r="AN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</row>
        <row r="608">
          <cell r="H608" t="str">
            <v>10-DD-A1-EL-0401</v>
          </cell>
          <cell r="I608" t="str">
            <v>Panel arrangement for Water Treatment</v>
          </cell>
          <cell r="Q608" t="str">
            <v>L</v>
          </cell>
          <cell r="R608">
            <v>4.4999999999999999E-4</v>
          </cell>
          <cell r="T608">
            <v>39449</v>
          </cell>
          <cell r="V608" t="str">
            <v>2008-01</v>
          </cell>
          <cell r="AM608">
            <v>0</v>
          </cell>
          <cell r="AN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</row>
        <row r="609">
          <cell r="C609" t="str">
            <v>DWG</v>
          </cell>
          <cell r="H609" t="str">
            <v>10-NN-A1-EL-0402</v>
          </cell>
          <cell r="I609" t="str">
            <v>Panel arrangement  for Wate Water Treatment</v>
          </cell>
          <cell r="O609">
            <v>0.16700000000000001</v>
          </cell>
          <cell r="P609">
            <v>1.1182320000000003E-4</v>
          </cell>
          <cell r="Q609" t="str">
            <v>L</v>
          </cell>
          <cell r="R609">
            <v>4.4999999999999999E-4</v>
          </cell>
          <cell r="T609">
            <v>39454</v>
          </cell>
          <cell r="V609" t="str">
            <v>2008-01</v>
          </cell>
          <cell r="AM609">
            <v>0</v>
          </cell>
          <cell r="AN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</row>
        <row r="610">
          <cell r="H610" t="str">
            <v>Steam Plant Fuel system (Natural Gas/Gas Oil) Unit</v>
          </cell>
          <cell r="N610">
            <v>0.09</v>
          </cell>
          <cell r="O610">
            <v>0.99999999999999989</v>
          </cell>
          <cell r="P610">
            <v>6.6960000000000012E-4</v>
          </cell>
          <cell r="R610">
            <v>4.0499999999999998E-3</v>
          </cell>
          <cell r="T610" t="str">
            <v>.</v>
          </cell>
          <cell r="U610" t="str">
            <v>.</v>
          </cell>
          <cell r="V610" t="str">
            <v>.</v>
          </cell>
          <cell r="AG610" t="str">
            <v>.</v>
          </cell>
          <cell r="AM610">
            <v>0</v>
          </cell>
          <cell r="AN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</row>
        <row r="611">
          <cell r="C611" t="str">
            <v>DWG</v>
          </cell>
          <cell r="H611" t="str">
            <v>10-EE-A0-EL-0101</v>
          </cell>
          <cell r="I611" t="str">
            <v xml:space="preserve">Cable Route Layout Steam Plant and  Fuel system (Natural Gas/Gas Oil) </v>
          </cell>
          <cell r="O611">
            <v>0.12</v>
          </cell>
          <cell r="P611">
            <v>8.0352000000000006E-5</v>
          </cell>
          <cell r="Q611" t="str">
            <v>V</v>
          </cell>
          <cell r="R611">
            <v>5.9999999999999995E-4</v>
          </cell>
          <cell r="T611">
            <v>39440</v>
          </cell>
          <cell r="U611" t="str">
            <v>*</v>
          </cell>
          <cell r="V611" t="str">
            <v>2007-12</v>
          </cell>
          <cell r="AM611">
            <v>0</v>
          </cell>
          <cell r="AN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</row>
        <row r="612">
          <cell r="C612" t="str">
            <v>DWG</v>
          </cell>
          <cell r="H612" t="str">
            <v>10-EE-A1-EL-0102</v>
          </cell>
          <cell r="I612" t="str">
            <v>Cable Route Layout  for Boiler Pump House</v>
          </cell>
          <cell r="O612">
            <v>0.11</v>
          </cell>
          <cell r="P612">
            <v>7.3656000000000014E-5</v>
          </cell>
          <cell r="Q612" t="str">
            <v>V</v>
          </cell>
          <cell r="R612">
            <v>4.4999999999999999E-4</v>
          </cell>
          <cell r="T612">
            <v>39443</v>
          </cell>
          <cell r="U612" t="str">
            <v>*</v>
          </cell>
          <cell r="V612" t="str">
            <v>2007-12</v>
          </cell>
          <cell r="AM612">
            <v>0</v>
          </cell>
          <cell r="AN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</row>
        <row r="613">
          <cell r="C613" t="str">
            <v>DWG</v>
          </cell>
          <cell r="H613" t="str">
            <v>10-EE-A2-EL-0103</v>
          </cell>
          <cell r="I613" t="str">
            <v>Cable Route Layout  for Gas Oil Pump House</v>
          </cell>
          <cell r="O613">
            <v>0.11</v>
          </cell>
          <cell r="P613">
            <v>7.3656000000000014E-5</v>
          </cell>
          <cell r="Q613" t="str">
            <v>L</v>
          </cell>
          <cell r="R613">
            <v>2.9999999999999997E-4</v>
          </cell>
          <cell r="T613">
            <v>39457</v>
          </cell>
          <cell r="V613" t="str">
            <v>2008-01</v>
          </cell>
          <cell r="AM613">
            <v>0</v>
          </cell>
          <cell r="AN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</row>
        <row r="614">
          <cell r="C614" t="str">
            <v>DWG</v>
          </cell>
          <cell r="H614" t="str">
            <v>10-EE-A0-EL-0201</v>
          </cell>
          <cell r="I614" t="str">
            <v xml:space="preserve">Earthing Layout Steam Plant and Fuel system (Natural Gas/Gas Oil) </v>
          </cell>
          <cell r="O614">
            <v>0.11</v>
          </cell>
          <cell r="P614">
            <v>7.3656000000000014E-5</v>
          </cell>
          <cell r="Q614" t="str">
            <v>V</v>
          </cell>
          <cell r="R614">
            <v>5.9999999999999995E-4</v>
          </cell>
          <cell r="T614">
            <v>39440</v>
          </cell>
          <cell r="U614" t="str">
            <v>*</v>
          </cell>
          <cell r="V614" t="str">
            <v>2007-12</v>
          </cell>
          <cell r="AM614">
            <v>0</v>
          </cell>
          <cell r="AN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</row>
        <row r="615">
          <cell r="C615" t="str">
            <v>DWG</v>
          </cell>
          <cell r="H615" t="str">
            <v>10-EE-A1-EL-0202</v>
          </cell>
          <cell r="I615" t="str">
            <v>Earthing Layout for Boiler Pump House</v>
          </cell>
          <cell r="O615">
            <v>0.11</v>
          </cell>
          <cell r="P615">
            <v>7.3656000000000014E-5</v>
          </cell>
          <cell r="Q615" t="str">
            <v>V</v>
          </cell>
          <cell r="R615">
            <v>4.4999999999999999E-4</v>
          </cell>
          <cell r="T615">
            <v>39443</v>
          </cell>
          <cell r="U615" t="str">
            <v>*</v>
          </cell>
          <cell r="V615" t="str">
            <v>2007-12</v>
          </cell>
          <cell r="AM615">
            <v>0</v>
          </cell>
          <cell r="AN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</row>
        <row r="616">
          <cell r="C616" t="str">
            <v>DWG</v>
          </cell>
          <cell r="H616" t="str">
            <v>10-EE-A2-EL-0203</v>
          </cell>
          <cell r="I616" t="str">
            <v>Earthing Layout for Gas Oil Pump House</v>
          </cell>
          <cell r="O616">
            <v>0.11</v>
          </cell>
          <cell r="P616">
            <v>7.3656000000000014E-5</v>
          </cell>
          <cell r="Q616" t="str">
            <v>L</v>
          </cell>
          <cell r="R616">
            <v>2.9999999999999997E-4</v>
          </cell>
          <cell r="T616">
            <v>39457</v>
          </cell>
          <cell r="V616" t="str">
            <v>2008-01</v>
          </cell>
          <cell r="AM616">
            <v>0</v>
          </cell>
          <cell r="AN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</row>
        <row r="617">
          <cell r="C617" t="str">
            <v>DWG</v>
          </cell>
          <cell r="H617" t="str">
            <v>10-EE-A0-EL-0301</v>
          </cell>
          <cell r="I617" t="str">
            <v xml:space="preserve">Lighting Layout Steam Plant and Fuel system (Natural Gas/Gas Oil) </v>
          </cell>
          <cell r="O617">
            <v>0.11</v>
          </cell>
          <cell r="P617">
            <v>7.3656000000000014E-5</v>
          </cell>
          <cell r="Q617" t="str">
            <v>V</v>
          </cell>
          <cell r="R617">
            <v>5.9999999999999995E-4</v>
          </cell>
          <cell r="T617">
            <v>39440</v>
          </cell>
          <cell r="U617" t="str">
            <v>*</v>
          </cell>
          <cell r="V617" t="str">
            <v>2007-12</v>
          </cell>
          <cell r="AM617">
            <v>0</v>
          </cell>
          <cell r="AN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</row>
        <row r="618">
          <cell r="C618" t="str">
            <v>DWG</v>
          </cell>
          <cell r="H618" t="str">
            <v>10-EE-A1-EL-0302</v>
          </cell>
          <cell r="I618" t="str">
            <v xml:space="preserve"> Lighting Layout for Boiler Pump House</v>
          </cell>
          <cell r="O618">
            <v>0.11</v>
          </cell>
          <cell r="P618">
            <v>7.3656000000000014E-5</v>
          </cell>
          <cell r="Q618" t="str">
            <v>V</v>
          </cell>
          <cell r="R618">
            <v>4.4999999999999999E-4</v>
          </cell>
          <cell r="T618">
            <v>39443</v>
          </cell>
          <cell r="U618" t="str">
            <v>*</v>
          </cell>
          <cell r="V618" t="str">
            <v>2007-12</v>
          </cell>
          <cell r="AM618">
            <v>0</v>
          </cell>
          <cell r="AN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</row>
        <row r="619">
          <cell r="C619" t="str">
            <v>DWG</v>
          </cell>
          <cell r="H619" t="str">
            <v>10-EE-A2-EL-0303</v>
          </cell>
          <cell r="I619" t="str">
            <v xml:space="preserve"> Lighting Layout for Gas Oil Pump House</v>
          </cell>
          <cell r="O619">
            <v>0.11</v>
          </cell>
          <cell r="P619">
            <v>7.3656000000000014E-5</v>
          </cell>
          <cell r="Q619" t="str">
            <v>L</v>
          </cell>
          <cell r="R619">
            <v>2.9999999999999997E-4</v>
          </cell>
          <cell r="T619">
            <v>39457</v>
          </cell>
          <cell r="V619" t="str">
            <v>2008-01</v>
          </cell>
          <cell r="AM619">
            <v>0</v>
          </cell>
          <cell r="AN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</row>
        <row r="620">
          <cell r="H620" t="str">
            <v>Hydrogen Generation Unit</v>
          </cell>
          <cell r="N620">
            <v>0.09</v>
          </cell>
          <cell r="O620">
            <v>1</v>
          </cell>
          <cell r="P620">
            <v>6.6960000000000012E-4</v>
          </cell>
          <cell r="R620">
            <v>1.3500000000000001E-3</v>
          </cell>
          <cell r="T620" t="str">
            <v>.</v>
          </cell>
          <cell r="U620" t="str">
            <v>.</v>
          </cell>
          <cell r="V620" t="str">
            <v>.</v>
          </cell>
          <cell r="AG620" t="str">
            <v>.</v>
          </cell>
          <cell r="AM620">
            <v>0</v>
          </cell>
          <cell r="AN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</row>
        <row r="621">
          <cell r="C621" t="str">
            <v>DWG</v>
          </cell>
          <cell r="H621" t="str">
            <v>10-HH-A1-EL-0101</v>
          </cell>
          <cell r="I621" t="str">
            <v>Cable Route Layout for Hydrogen Generation</v>
          </cell>
          <cell r="O621">
            <v>0.33300000000000002</v>
          </cell>
          <cell r="P621">
            <v>2.2297680000000006E-4</v>
          </cell>
          <cell r="Q621" t="str">
            <v>V</v>
          </cell>
          <cell r="R621">
            <v>4.4999999999999999E-4</v>
          </cell>
          <cell r="T621">
            <v>39442</v>
          </cell>
          <cell r="U621" t="str">
            <v>*</v>
          </cell>
          <cell r="V621" t="str">
            <v>2007-12</v>
          </cell>
          <cell r="AM621">
            <v>0</v>
          </cell>
          <cell r="AN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</row>
        <row r="622">
          <cell r="C622" t="str">
            <v>DWG</v>
          </cell>
          <cell r="H622" t="str">
            <v>10-HH-A1-EL-0201</v>
          </cell>
          <cell r="I622" t="str">
            <v xml:space="preserve">Earthing Layout for Hydrogen Generation </v>
          </cell>
          <cell r="O622">
            <v>0.33300000000000002</v>
          </cell>
          <cell r="P622">
            <v>2.2297680000000006E-4</v>
          </cell>
          <cell r="Q622" t="str">
            <v>V</v>
          </cell>
          <cell r="R622">
            <v>4.4999999999999999E-4</v>
          </cell>
          <cell r="T622">
            <v>39442</v>
          </cell>
          <cell r="U622" t="str">
            <v>*</v>
          </cell>
          <cell r="V622" t="str">
            <v>2007-12</v>
          </cell>
          <cell r="AM622">
            <v>0</v>
          </cell>
          <cell r="AN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</row>
        <row r="623">
          <cell r="C623" t="str">
            <v>DWG</v>
          </cell>
          <cell r="H623" t="str">
            <v>10-HH-A1-EL-0301</v>
          </cell>
          <cell r="I623" t="str">
            <v xml:space="preserve">Lighting Layout for Hydrogen Generation </v>
          </cell>
          <cell r="O623">
            <v>0.33400000000000002</v>
          </cell>
          <cell r="P623">
            <v>2.2364640000000006E-4</v>
          </cell>
          <cell r="Q623" t="str">
            <v>V</v>
          </cell>
          <cell r="R623">
            <v>4.4999999999999999E-4</v>
          </cell>
          <cell r="T623">
            <v>39442</v>
          </cell>
          <cell r="U623" t="str">
            <v>*</v>
          </cell>
          <cell r="V623" t="str">
            <v>2007-12</v>
          </cell>
          <cell r="AM623">
            <v>0</v>
          </cell>
          <cell r="AN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</row>
        <row r="624">
          <cell r="H624" t="str">
            <v>Nitrogen Generation Instrument Air and Plant Air Unit</v>
          </cell>
          <cell r="N624">
            <v>0.09</v>
          </cell>
          <cell r="O624">
            <v>1</v>
          </cell>
          <cell r="P624">
            <v>6.6960000000000012E-4</v>
          </cell>
          <cell r="R624">
            <v>3.1499999999999996E-3</v>
          </cell>
          <cell r="T624" t="str">
            <v>.</v>
          </cell>
          <cell r="U624" t="str">
            <v>.</v>
          </cell>
          <cell r="V624" t="str">
            <v>.</v>
          </cell>
          <cell r="AG624" t="str">
            <v>.</v>
          </cell>
          <cell r="AM624">
            <v>0</v>
          </cell>
          <cell r="AN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</row>
        <row r="625">
          <cell r="C625" t="str">
            <v>DWG</v>
          </cell>
          <cell r="H625" t="str">
            <v>10-FF-A0-EL-0101</v>
          </cell>
          <cell r="I625" t="str">
            <v xml:space="preserve">Cable Route Layout Nitrogen Generation and Instrument Air and Plant Air  and Water Treatment </v>
          </cell>
          <cell r="O625">
            <v>0.16700000000000001</v>
          </cell>
          <cell r="P625">
            <v>1.1182320000000003E-4</v>
          </cell>
          <cell r="Q625" t="str">
            <v>V</v>
          </cell>
          <cell r="R625">
            <v>5.9999999999999995E-4</v>
          </cell>
          <cell r="T625">
            <v>39428</v>
          </cell>
          <cell r="U625" t="str">
            <v>*</v>
          </cell>
          <cell r="V625" t="str">
            <v>2007-12</v>
          </cell>
          <cell r="AM625">
            <v>0</v>
          </cell>
          <cell r="AN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</row>
        <row r="626">
          <cell r="C626" t="str">
            <v>DWG</v>
          </cell>
          <cell r="H626" t="str">
            <v>10-FF-A1-EL-0102</v>
          </cell>
          <cell r="I626" t="str">
            <v>Cable Route Layout  for Laboratory Building for Nitrogen Generation</v>
          </cell>
          <cell r="O626">
            <v>0.16600000000000001</v>
          </cell>
          <cell r="P626">
            <v>1.1115360000000003E-4</v>
          </cell>
          <cell r="Q626" t="str">
            <v>V</v>
          </cell>
          <cell r="R626">
            <v>4.4999999999999999E-4</v>
          </cell>
          <cell r="T626">
            <v>39443</v>
          </cell>
          <cell r="U626" t="str">
            <v>*</v>
          </cell>
          <cell r="V626" t="str">
            <v>2007-12</v>
          </cell>
          <cell r="AM626">
            <v>0</v>
          </cell>
          <cell r="AN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</row>
        <row r="627">
          <cell r="C627" t="str">
            <v>DWG</v>
          </cell>
          <cell r="H627" t="str">
            <v>10-FF-A0-EL-0201</v>
          </cell>
          <cell r="I627" t="str">
            <v xml:space="preserve">Earthing Layout Nitrogen Generation and Instrument Air and Plant Air and Water Treatment </v>
          </cell>
          <cell r="O627">
            <v>0.16600000000000001</v>
          </cell>
          <cell r="P627">
            <v>1.1115360000000003E-4</v>
          </cell>
          <cell r="Q627" t="str">
            <v>V</v>
          </cell>
          <cell r="R627">
            <v>5.9999999999999995E-4</v>
          </cell>
          <cell r="T627">
            <v>39428</v>
          </cell>
          <cell r="U627" t="str">
            <v>*</v>
          </cell>
          <cell r="V627" t="str">
            <v>2007-12</v>
          </cell>
          <cell r="AM627">
            <v>0</v>
          </cell>
          <cell r="AN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</row>
        <row r="628">
          <cell r="C628" t="str">
            <v>DWG</v>
          </cell>
          <cell r="H628" t="str">
            <v>10-FF-A1-EL-0202</v>
          </cell>
          <cell r="I628" t="str">
            <v>Earthing Layout for Laboratory Building for Nitrogen Generation</v>
          </cell>
          <cell r="O628">
            <v>0.16600000000000001</v>
          </cell>
          <cell r="P628">
            <v>1.1115360000000003E-4</v>
          </cell>
          <cell r="Q628" t="str">
            <v>V</v>
          </cell>
          <cell r="R628">
            <v>4.4999999999999999E-4</v>
          </cell>
          <cell r="T628">
            <v>39443</v>
          </cell>
          <cell r="U628" t="str">
            <v>*</v>
          </cell>
          <cell r="V628" t="str">
            <v>2007-12</v>
          </cell>
          <cell r="AM628">
            <v>0</v>
          </cell>
          <cell r="AN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</row>
        <row r="629">
          <cell r="C629" t="str">
            <v>DWG</v>
          </cell>
          <cell r="H629" t="str">
            <v>10-FF-A0-EL-0301</v>
          </cell>
          <cell r="I629" t="str">
            <v>Lighting Layout Nitrogen Generation and Instrument Air and Plant Air and Water Treatment</v>
          </cell>
          <cell r="O629">
            <v>0.16600000000000001</v>
          </cell>
          <cell r="P629">
            <v>1.1115360000000003E-4</v>
          </cell>
          <cell r="Q629" t="str">
            <v>V</v>
          </cell>
          <cell r="R629">
            <v>5.9999999999999995E-4</v>
          </cell>
          <cell r="T629">
            <v>39428</v>
          </cell>
          <cell r="U629" t="str">
            <v>*</v>
          </cell>
          <cell r="V629" t="str">
            <v>2007-12</v>
          </cell>
          <cell r="AM629">
            <v>0</v>
          </cell>
          <cell r="AN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</row>
        <row r="630">
          <cell r="C630" t="str">
            <v>DWG</v>
          </cell>
          <cell r="H630" t="str">
            <v>10-FF-A1-EL-0302</v>
          </cell>
          <cell r="I630" t="str">
            <v xml:space="preserve"> Lighting Layout for Laboratory Building for Nitrogen Generation</v>
          </cell>
          <cell r="O630">
            <v>0.16900000000000001</v>
          </cell>
          <cell r="P630">
            <v>1.1316240000000003E-4</v>
          </cell>
          <cell r="Q630" t="str">
            <v>V</v>
          </cell>
          <cell r="R630">
            <v>4.4999999999999999E-4</v>
          </cell>
          <cell r="T630">
            <v>39443</v>
          </cell>
          <cell r="U630" t="str">
            <v>*</v>
          </cell>
          <cell r="V630" t="str">
            <v>2007-12</v>
          </cell>
          <cell r="AM630">
            <v>0</v>
          </cell>
          <cell r="AN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</row>
        <row r="631">
          <cell r="H631" t="str">
            <v xml:space="preserve">Water Treatment </v>
          </cell>
          <cell r="N631">
            <v>0.09</v>
          </cell>
          <cell r="O631" t="e">
            <v>#REF!</v>
          </cell>
          <cell r="P631">
            <v>6.6960000000000012E-4</v>
          </cell>
          <cell r="R631">
            <v>5.8499999999999993E-3</v>
          </cell>
          <cell r="T631" t="str">
            <v>.</v>
          </cell>
          <cell r="U631" t="str">
            <v>.</v>
          </cell>
          <cell r="V631" t="str">
            <v>.</v>
          </cell>
          <cell r="AG631" t="str">
            <v>.</v>
          </cell>
          <cell r="AM631">
            <v>0</v>
          </cell>
          <cell r="AN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</row>
        <row r="632">
          <cell r="H632" t="str">
            <v>10-DD-A0-EL-0103</v>
          </cell>
          <cell r="I632" t="str">
            <v xml:space="preserve">Cable Route Layout Water Treatment </v>
          </cell>
          <cell r="Q632" t="str">
            <v>V,D(CI)</v>
          </cell>
          <cell r="R632">
            <v>5.9999999999999995E-4</v>
          </cell>
          <cell r="T632">
            <v>39446</v>
          </cell>
          <cell r="U632" t="str">
            <v>*</v>
          </cell>
          <cell r="V632" t="str">
            <v>2007-12</v>
          </cell>
          <cell r="AM632">
            <v>0</v>
          </cell>
          <cell r="AN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</row>
        <row r="633">
          <cell r="H633" t="str">
            <v>10-DD-A1-EL-0104</v>
          </cell>
          <cell r="I633" t="str">
            <v>Cable Route Layout  for  Treatment Electrical Substation Building</v>
          </cell>
          <cell r="Q633" t="str">
            <v>V</v>
          </cell>
          <cell r="R633">
            <v>4.4999999999999999E-4</v>
          </cell>
          <cell r="T633">
            <v>39452</v>
          </cell>
          <cell r="V633" t="str">
            <v>2008-01</v>
          </cell>
          <cell r="AM633">
            <v>0</v>
          </cell>
          <cell r="AN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</row>
        <row r="634">
          <cell r="H634" t="str">
            <v>10-DD-A1-EL-0105</v>
          </cell>
          <cell r="I634" t="str">
            <v>Cable Route Layout  for   PreTreatment  Building</v>
          </cell>
          <cell r="Q634" t="str">
            <v>L</v>
          </cell>
          <cell r="R634">
            <v>4.4999999999999999E-4</v>
          </cell>
          <cell r="T634">
            <v>39462</v>
          </cell>
          <cell r="V634" t="str">
            <v>2008-01</v>
          </cell>
          <cell r="AM634">
            <v>0</v>
          </cell>
          <cell r="AN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</row>
        <row r="635">
          <cell r="H635" t="str">
            <v>10-DD-A1-EL-0106</v>
          </cell>
          <cell r="I635" t="str">
            <v>Cable Route Layout  for PostTreatment Building</v>
          </cell>
          <cell r="Q635" t="str">
            <v>L</v>
          </cell>
          <cell r="R635">
            <v>4.4999999999999999E-4</v>
          </cell>
          <cell r="AM635">
            <v>0</v>
          </cell>
          <cell r="AN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</row>
        <row r="636">
          <cell r="H636" t="str">
            <v>10-DD-A0-EL-0203</v>
          </cell>
          <cell r="I636" t="str">
            <v>Earthing Layout  WaterTreatment Unit</v>
          </cell>
          <cell r="Q636" t="str">
            <v>V</v>
          </cell>
          <cell r="R636">
            <v>5.9999999999999995E-4</v>
          </cell>
          <cell r="T636">
            <v>39446</v>
          </cell>
          <cell r="U636" t="str">
            <v>*</v>
          </cell>
          <cell r="V636" t="str">
            <v>2007-12</v>
          </cell>
          <cell r="AM636">
            <v>0</v>
          </cell>
          <cell r="AN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</row>
        <row r="637">
          <cell r="H637" t="str">
            <v>10-DD-A1-EL-0204</v>
          </cell>
          <cell r="I637" t="str">
            <v>Earthing Layout for  Treatment Electrical Substation Building</v>
          </cell>
          <cell r="Q637" t="str">
            <v>V</v>
          </cell>
          <cell r="R637">
            <v>4.4999999999999999E-4</v>
          </cell>
          <cell r="T637">
            <v>39452</v>
          </cell>
          <cell r="V637" t="str">
            <v>2008-01</v>
          </cell>
          <cell r="AM637">
            <v>0</v>
          </cell>
          <cell r="AN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</row>
        <row r="638">
          <cell r="H638" t="str">
            <v>10-DD-A1-EL-0205</v>
          </cell>
          <cell r="I638" t="str">
            <v>Earthing Layout for  PreTreatment  Building</v>
          </cell>
          <cell r="Q638" t="str">
            <v>L</v>
          </cell>
          <cell r="R638">
            <v>4.4999999999999999E-4</v>
          </cell>
          <cell r="T638">
            <v>39462</v>
          </cell>
          <cell r="V638" t="str">
            <v>2008-01</v>
          </cell>
          <cell r="AM638">
            <v>0</v>
          </cell>
          <cell r="AN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</row>
        <row r="639">
          <cell r="H639" t="str">
            <v>10-DD-A1-EL-0206</v>
          </cell>
          <cell r="I639" t="str">
            <v>Earthing Layout for  PostTreatment Building</v>
          </cell>
          <cell r="Q639" t="str">
            <v>L</v>
          </cell>
          <cell r="R639">
            <v>4.4999999999999999E-4</v>
          </cell>
          <cell r="AM639">
            <v>0</v>
          </cell>
          <cell r="AN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</row>
        <row r="640">
          <cell r="H640" t="str">
            <v>10-DD-A0-EL-0303</v>
          </cell>
          <cell r="I640" t="str">
            <v>Lighting Layout Water Treatment  Unit</v>
          </cell>
          <cell r="Q640" t="str">
            <v>V</v>
          </cell>
          <cell r="R640">
            <v>5.9999999999999995E-4</v>
          </cell>
          <cell r="T640">
            <v>39446</v>
          </cell>
          <cell r="U640" t="str">
            <v>*</v>
          </cell>
          <cell r="V640" t="str">
            <v>2007-12</v>
          </cell>
          <cell r="AM640">
            <v>0</v>
          </cell>
          <cell r="AN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</row>
        <row r="641">
          <cell r="H641" t="str">
            <v>10-DD-A1-EL-0304</v>
          </cell>
          <cell r="I641" t="str">
            <v xml:space="preserve"> Lighting Layout for  Treatment Electrical Substation Building</v>
          </cell>
          <cell r="Q641" t="str">
            <v>V</v>
          </cell>
          <cell r="R641">
            <v>4.4999999999999999E-4</v>
          </cell>
          <cell r="T641">
            <v>39452</v>
          </cell>
          <cell r="V641" t="str">
            <v>2008-01</v>
          </cell>
          <cell r="AM641">
            <v>0</v>
          </cell>
          <cell r="AN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</row>
        <row r="642">
          <cell r="H642" t="str">
            <v>10-DD-A1-EL-0305</v>
          </cell>
          <cell r="I642" t="str">
            <v xml:space="preserve"> Lighting Layout for  PreTreatment  Building</v>
          </cell>
          <cell r="Q642" t="str">
            <v>L</v>
          </cell>
          <cell r="R642">
            <v>4.4999999999999999E-4</v>
          </cell>
          <cell r="T642">
            <v>39462</v>
          </cell>
          <cell r="V642" t="str">
            <v>2008-01</v>
          </cell>
          <cell r="AM642">
            <v>0</v>
          </cell>
          <cell r="AN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</row>
        <row r="643">
          <cell r="H643" t="str">
            <v>10-DD-A1-EL-0306</v>
          </cell>
          <cell r="I643" t="str">
            <v xml:space="preserve"> Lighting Layout for Post Treatment Building</v>
          </cell>
          <cell r="Q643" t="str">
            <v>L</v>
          </cell>
          <cell r="R643">
            <v>4.4999999999999999E-4</v>
          </cell>
          <cell r="AM643">
            <v>0</v>
          </cell>
          <cell r="AN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</row>
        <row r="644">
          <cell r="H644" t="str">
            <v>Waste Water Treatment Unit</v>
          </cell>
          <cell r="N644">
            <v>0.09</v>
          </cell>
          <cell r="O644">
            <v>1</v>
          </cell>
          <cell r="P644">
            <v>6.6960000000000012E-4</v>
          </cell>
          <cell r="R644">
            <v>3.5999999999999995E-3</v>
          </cell>
          <cell r="U644" t="str">
            <v>.</v>
          </cell>
          <cell r="V644" t="str">
            <v>.</v>
          </cell>
          <cell r="AG644" t="str">
            <v>.</v>
          </cell>
          <cell r="AM644">
            <v>0</v>
          </cell>
          <cell r="AN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</row>
        <row r="645">
          <cell r="C645" t="str">
            <v>DWG</v>
          </cell>
          <cell r="H645" t="str">
            <v>10-NN-A1-EL-0403</v>
          </cell>
          <cell r="I645" t="str">
            <v>Panel Arrangment for Waste Water Treatment MCC/Control Building</v>
          </cell>
          <cell r="O645">
            <v>0.14499999999999999</v>
          </cell>
          <cell r="P645">
            <v>9.7092000000000012E-5</v>
          </cell>
          <cell r="Q645" t="str">
            <v>V,D(CI)</v>
          </cell>
          <cell r="R645">
            <v>4.4999999999999999E-4</v>
          </cell>
          <cell r="T645">
            <v>39435</v>
          </cell>
          <cell r="U645" t="str">
            <v>*</v>
          </cell>
          <cell r="V645" t="str">
            <v>2007-12</v>
          </cell>
          <cell r="AM645">
            <v>0</v>
          </cell>
          <cell r="AN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</row>
        <row r="646">
          <cell r="C646" t="str">
            <v>DWG</v>
          </cell>
          <cell r="H646" t="str">
            <v>10-NN-A0-EL-0101</v>
          </cell>
          <cell r="I646" t="str">
            <v>Cable Route Layout Waste Water Treatment Unit</v>
          </cell>
          <cell r="O646">
            <v>0.14499999999999999</v>
          </cell>
          <cell r="P646">
            <v>9.7092000000000012E-5</v>
          </cell>
          <cell r="Q646" t="str">
            <v>V</v>
          </cell>
          <cell r="R646">
            <v>5.9999999999999995E-4</v>
          </cell>
          <cell r="T646">
            <v>39446</v>
          </cell>
          <cell r="U646" t="str">
            <v>*</v>
          </cell>
          <cell r="V646" t="str">
            <v>2007-12</v>
          </cell>
          <cell r="AM646">
            <v>0</v>
          </cell>
          <cell r="AN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</row>
        <row r="647">
          <cell r="C647" t="str">
            <v>DWG</v>
          </cell>
          <cell r="H647" t="str">
            <v>10-NN-A1-EL-0103</v>
          </cell>
          <cell r="I647" t="str">
            <v>Cable Route Layout  for Waste Water Treatment MCC/Control Building</v>
          </cell>
          <cell r="O647">
            <v>0.14499999999999999</v>
          </cell>
          <cell r="P647">
            <v>9.7092000000000012E-5</v>
          </cell>
          <cell r="Q647" t="str">
            <v>L</v>
          </cell>
          <cell r="R647">
            <v>4.4999999999999999E-4</v>
          </cell>
          <cell r="T647">
            <v>39462</v>
          </cell>
          <cell r="V647" t="str">
            <v>2008-01</v>
          </cell>
          <cell r="AM647">
            <v>0</v>
          </cell>
          <cell r="AN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</row>
        <row r="648">
          <cell r="C648" t="str">
            <v>DWG</v>
          </cell>
          <cell r="H648" t="str">
            <v>10-NN-A0-EL-0201</v>
          </cell>
          <cell r="I648" t="str">
            <v xml:space="preserve">Earthing Layout Waste Water Treatment Unit </v>
          </cell>
          <cell r="O648">
            <v>0.14499999999999999</v>
          </cell>
          <cell r="P648">
            <v>9.7092000000000012E-5</v>
          </cell>
          <cell r="Q648" t="str">
            <v>V</v>
          </cell>
          <cell r="R648">
            <v>5.9999999999999995E-4</v>
          </cell>
          <cell r="T648">
            <v>39446</v>
          </cell>
          <cell r="U648" t="str">
            <v>*</v>
          </cell>
          <cell r="V648" t="str">
            <v>2007-12</v>
          </cell>
          <cell r="AM648">
            <v>0</v>
          </cell>
          <cell r="AN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</row>
        <row r="649">
          <cell r="C649" t="str">
            <v>DWG</v>
          </cell>
          <cell r="H649" t="str">
            <v>10-NN-A1-EL-0203</v>
          </cell>
          <cell r="I649" t="str">
            <v>Earthing Layout for Waste Water Treatment MCC/Control Building</v>
          </cell>
          <cell r="O649">
            <v>0.14000000000000001</v>
          </cell>
          <cell r="P649">
            <v>9.3744000000000029E-5</v>
          </cell>
          <cell r="Q649" t="str">
            <v>L</v>
          </cell>
          <cell r="R649">
            <v>4.4999999999999999E-4</v>
          </cell>
          <cell r="T649">
            <v>39462</v>
          </cell>
          <cell r="V649" t="str">
            <v>2008-01</v>
          </cell>
          <cell r="AM649">
            <v>0</v>
          </cell>
          <cell r="AN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</row>
        <row r="650">
          <cell r="C650" t="str">
            <v>DWG</v>
          </cell>
          <cell r="H650" t="str">
            <v>10-NN-A0-EL-0301</v>
          </cell>
          <cell r="I650" t="str">
            <v>Lighting Layout Waste Water Treatment Unit</v>
          </cell>
          <cell r="O650">
            <v>0.14000000000000001</v>
          </cell>
          <cell r="P650">
            <v>9.3744000000000029E-5</v>
          </cell>
          <cell r="Q650" t="str">
            <v>V</v>
          </cell>
          <cell r="R650">
            <v>5.9999999999999995E-4</v>
          </cell>
          <cell r="T650">
            <v>39446</v>
          </cell>
          <cell r="U650" t="str">
            <v>*</v>
          </cell>
          <cell r="V650" t="str">
            <v>2007-12</v>
          </cell>
          <cell r="AM650">
            <v>0</v>
          </cell>
          <cell r="AN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</row>
        <row r="651">
          <cell r="C651" t="str">
            <v>DWG</v>
          </cell>
          <cell r="H651" t="str">
            <v>10-NN-A1-EL-0303</v>
          </cell>
          <cell r="I651" t="str">
            <v xml:space="preserve"> Lighting Layout for Waste Water Treatment MCC/Control Building</v>
          </cell>
          <cell r="O651">
            <v>0.14000000000000001</v>
          </cell>
          <cell r="P651">
            <v>9.3744000000000029E-5</v>
          </cell>
          <cell r="Q651" t="str">
            <v>L</v>
          </cell>
          <cell r="R651">
            <v>4.4999999999999999E-4</v>
          </cell>
          <cell r="T651">
            <v>39462</v>
          </cell>
          <cell r="V651" t="str">
            <v>2008-01</v>
          </cell>
          <cell r="AM651">
            <v>0</v>
          </cell>
          <cell r="AN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</row>
        <row r="652">
          <cell r="H652" t="str">
            <v>Cooling Water &amp; Fire Fighting Unit</v>
          </cell>
          <cell r="N652">
            <v>0.09</v>
          </cell>
          <cell r="O652">
            <v>1</v>
          </cell>
          <cell r="P652">
            <v>6.6960000000000012E-4</v>
          </cell>
          <cell r="R652">
            <v>3.4999999999999996E-3</v>
          </cell>
          <cell r="U652" t="str">
            <v>.</v>
          </cell>
          <cell r="V652" t="str">
            <v>.</v>
          </cell>
          <cell r="AG652" t="str">
            <v>.</v>
          </cell>
          <cell r="AM652">
            <v>0</v>
          </cell>
          <cell r="AN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</row>
        <row r="653">
          <cell r="C653" t="str">
            <v>DWG</v>
          </cell>
          <cell r="H653" t="str">
            <v>10-CC-A0-EL-0101</v>
          </cell>
          <cell r="I653" t="str">
            <v xml:space="preserve">Cable Route Layout Cooling Water &amp;  Fire Fighting </v>
          </cell>
          <cell r="O653">
            <v>0.17</v>
          </cell>
          <cell r="P653">
            <v>1.1383200000000003E-4</v>
          </cell>
          <cell r="Q653" t="str">
            <v>V</v>
          </cell>
          <cell r="R653">
            <v>5.9999999999999995E-4</v>
          </cell>
          <cell r="T653">
            <v>39434</v>
          </cell>
          <cell r="U653" t="str">
            <v>*</v>
          </cell>
          <cell r="V653" t="str">
            <v>2007-12</v>
          </cell>
          <cell r="AM653">
            <v>0</v>
          </cell>
          <cell r="AN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</row>
        <row r="654">
          <cell r="C654" t="str">
            <v>DWG</v>
          </cell>
          <cell r="H654" t="str">
            <v>10-CC-A1-EL-0102</v>
          </cell>
          <cell r="I654" t="str">
            <v>Cable Route Layout  for Fire Fighting Pump House</v>
          </cell>
          <cell r="O654">
            <v>0.17</v>
          </cell>
          <cell r="P654">
            <v>1.1383200000000003E-4</v>
          </cell>
          <cell r="Q654" t="str">
            <v>L</v>
          </cell>
          <cell r="R654">
            <v>4.0000000000000002E-4</v>
          </cell>
          <cell r="T654">
            <v>39501</v>
          </cell>
          <cell r="V654" t="str">
            <v>2008-02</v>
          </cell>
          <cell r="AM654">
            <v>0</v>
          </cell>
          <cell r="AN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</row>
        <row r="655">
          <cell r="C655" t="str">
            <v>DWG</v>
          </cell>
          <cell r="H655" t="str">
            <v>10-CC-A0-EL-0201</v>
          </cell>
          <cell r="I655" t="str">
            <v xml:space="preserve">Earthing Layout Cooling Water and Fire Fighting </v>
          </cell>
          <cell r="O655">
            <v>0.16500000000000001</v>
          </cell>
          <cell r="P655">
            <v>1.1048400000000002E-4</v>
          </cell>
          <cell r="Q655" t="str">
            <v>V</v>
          </cell>
          <cell r="R655">
            <v>5.9999999999999995E-4</v>
          </cell>
          <cell r="T655">
            <v>39434</v>
          </cell>
          <cell r="U655" t="str">
            <v>*</v>
          </cell>
          <cell r="V655" t="str">
            <v>2007-12</v>
          </cell>
          <cell r="AM655">
            <v>0</v>
          </cell>
          <cell r="AN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</row>
        <row r="656">
          <cell r="C656" t="str">
            <v>DWG</v>
          </cell>
          <cell r="H656" t="str">
            <v>10-CC-A1-EL-0202</v>
          </cell>
          <cell r="I656" t="str">
            <v>Earthing Layout for Fire Fighting Pump House</v>
          </cell>
          <cell r="O656">
            <v>0.16500000000000001</v>
          </cell>
          <cell r="P656">
            <v>1.1048400000000002E-4</v>
          </cell>
          <cell r="Q656" t="str">
            <v>L</v>
          </cell>
          <cell r="R656">
            <v>4.0000000000000002E-4</v>
          </cell>
          <cell r="T656">
            <v>39501</v>
          </cell>
          <cell r="V656" t="str">
            <v>2008-02</v>
          </cell>
          <cell r="AM656">
            <v>0</v>
          </cell>
          <cell r="AN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</row>
        <row r="657">
          <cell r="C657" t="str">
            <v>DWG</v>
          </cell>
          <cell r="H657" t="str">
            <v>10-CC-A0-EL-0301</v>
          </cell>
          <cell r="I657" t="str">
            <v xml:space="preserve">Lighting Layout Cooling Water and Fire Fighting  </v>
          </cell>
          <cell r="O657">
            <v>0.16500000000000001</v>
          </cell>
          <cell r="P657">
            <v>1.1048400000000002E-4</v>
          </cell>
          <cell r="Q657" t="str">
            <v>V</v>
          </cell>
          <cell r="R657">
            <v>5.9999999999999995E-4</v>
          </cell>
          <cell r="T657">
            <v>39434</v>
          </cell>
          <cell r="U657" t="str">
            <v>*</v>
          </cell>
          <cell r="V657" t="str">
            <v>2007-12</v>
          </cell>
          <cell r="AM657">
            <v>0</v>
          </cell>
          <cell r="AN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</row>
        <row r="658">
          <cell r="C658" t="str">
            <v>DWG</v>
          </cell>
          <cell r="H658" t="str">
            <v>10-CC-A1-EL-0302</v>
          </cell>
          <cell r="I658" t="str">
            <v xml:space="preserve"> Lighting Layout for Fire Fighting Pump House</v>
          </cell>
          <cell r="O658">
            <v>0.16500000000000001</v>
          </cell>
          <cell r="P658">
            <v>1.1048400000000002E-4</v>
          </cell>
          <cell r="Q658" t="str">
            <v>L</v>
          </cell>
          <cell r="R658">
            <v>4.4999999999999999E-4</v>
          </cell>
          <cell r="T658">
            <v>39501</v>
          </cell>
          <cell r="V658" t="str">
            <v>2008-02</v>
          </cell>
          <cell r="AM658">
            <v>0</v>
          </cell>
          <cell r="AN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</row>
        <row r="659">
          <cell r="H659" t="str">
            <v>10-CC-A1-EL-0303</v>
          </cell>
          <cell r="I659" t="str">
            <v xml:space="preserve"> Lighting Layout for Fire Fighting Storage Tank</v>
          </cell>
          <cell r="Q659" t="str">
            <v>V</v>
          </cell>
          <cell r="R659">
            <v>4.4999999999999999E-4</v>
          </cell>
          <cell r="T659">
            <v>39384</v>
          </cell>
          <cell r="U659" t="str">
            <v>*</v>
          </cell>
          <cell r="V659" t="str">
            <v>2007-10</v>
          </cell>
          <cell r="AM659">
            <v>0</v>
          </cell>
          <cell r="AN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</row>
        <row r="660">
          <cell r="H660" t="str">
            <v>Flare Unit</v>
          </cell>
          <cell r="N660">
            <v>0.09</v>
          </cell>
          <cell r="O660">
            <v>1</v>
          </cell>
          <cell r="P660">
            <v>6.6960000000000012E-4</v>
          </cell>
          <cell r="R660">
            <v>1.3500000000000001E-3</v>
          </cell>
          <cell r="U660" t="str">
            <v>.</v>
          </cell>
          <cell r="V660" t="str">
            <v>.</v>
          </cell>
          <cell r="AG660" t="str">
            <v>.</v>
          </cell>
          <cell r="AM660">
            <v>0</v>
          </cell>
          <cell r="AN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</row>
        <row r="661">
          <cell r="C661" t="str">
            <v>DWG</v>
          </cell>
          <cell r="H661" t="str">
            <v>10-AA-A1-EL-0101</v>
          </cell>
          <cell r="I661" t="str">
            <v>Cable Route Layout for Flare</v>
          </cell>
          <cell r="O661">
            <v>0.34</v>
          </cell>
          <cell r="P661">
            <v>2.2766400000000006E-4</v>
          </cell>
          <cell r="Q661" t="str">
            <v>V</v>
          </cell>
          <cell r="R661">
            <v>4.4999999999999999E-4</v>
          </cell>
          <cell r="T661">
            <v>39426</v>
          </cell>
          <cell r="U661" t="str">
            <v>*</v>
          </cell>
          <cell r="V661" t="str">
            <v>2007-12</v>
          </cell>
          <cell r="AM661">
            <v>0</v>
          </cell>
          <cell r="AN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</row>
        <row r="662">
          <cell r="C662" t="str">
            <v>DWG</v>
          </cell>
          <cell r="H662" t="str">
            <v>10-AA-A1-EL-0102</v>
          </cell>
          <cell r="I662" t="str">
            <v>Earthing Layout for Flare</v>
          </cell>
          <cell r="O662">
            <v>0.33</v>
          </cell>
          <cell r="P662">
            <v>2.2096800000000004E-4</v>
          </cell>
          <cell r="Q662" t="str">
            <v>V</v>
          </cell>
          <cell r="R662">
            <v>4.4999999999999999E-4</v>
          </cell>
          <cell r="T662">
            <v>39426</v>
          </cell>
          <cell r="U662" t="str">
            <v>*</v>
          </cell>
          <cell r="V662" t="str">
            <v>2007-12</v>
          </cell>
          <cell r="AM662">
            <v>0</v>
          </cell>
          <cell r="AN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</row>
        <row r="663">
          <cell r="C663" t="str">
            <v>DWG</v>
          </cell>
          <cell r="H663" t="str">
            <v>10-AA-A1-EL-0103</v>
          </cell>
          <cell r="I663" t="str">
            <v>Lighting Layout for Flare</v>
          </cell>
          <cell r="O663">
            <v>0.33</v>
          </cell>
          <cell r="P663">
            <v>2.2096800000000004E-4</v>
          </cell>
          <cell r="Q663" t="str">
            <v>V</v>
          </cell>
          <cell r="R663">
            <v>4.4999999999999999E-4</v>
          </cell>
          <cell r="T663">
            <v>39426</v>
          </cell>
          <cell r="U663" t="str">
            <v>*</v>
          </cell>
          <cell r="V663" t="str">
            <v>2007-12</v>
          </cell>
          <cell r="AM663">
            <v>0</v>
          </cell>
          <cell r="AN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</row>
        <row r="664">
          <cell r="H664" t="str">
            <v>Ethylene/Propylene/Butane Line</v>
          </cell>
          <cell r="N664">
            <v>0.09</v>
          </cell>
          <cell r="O664">
            <v>1</v>
          </cell>
          <cell r="P664">
            <v>6.6960000000000012E-4</v>
          </cell>
          <cell r="R664">
            <v>1.3500000000000001E-3</v>
          </cell>
          <cell r="U664" t="str">
            <v>.</v>
          </cell>
          <cell r="V664" t="str">
            <v>.</v>
          </cell>
          <cell r="AG664" t="str">
            <v>.</v>
          </cell>
          <cell r="AM664">
            <v>0</v>
          </cell>
          <cell r="AN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</row>
        <row r="665">
          <cell r="C665" t="str">
            <v>DWG</v>
          </cell>
          <cell r="H665" t="str">
            <v>10-II-A1-EL-0101</v>
          </cell>
          <cell r="I665" t="str">
            <v>Cable Route Layout for Propylen-1/Butane/Ethylen Line</v>
          </cell>
          <cell r="O665">
            <v>0.34</v>
          </cell>
          <cell r="P665">
            <v>2.2766400000000006E-4</v>
          </cell>
          <cell r="Q665" t="str">
            <v>V,D(CI)</v>
          </cell>
          <cell r="R665">
            <v>4.4999999999999999E-4</v>
          </cell>
          <cell r="T665">
            <v>39430</v>
          </cell>
          <cell r="U665" t="str">
            <v>*</v>
          </cell>
          <cell r="V665" t="str">
            <v>2007-12</v>
          </cell>
          <cell r="AM665">
            <v>0</v>
          </cell>
          <cell r="AN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</row>
        <row r="666">
          <cell r="C666" t="str">
            <v>DWG</v>
          </cell>
          <cell r="H666" t="str">
            <v>10-II-A1-EL-0201</v>
          </cell>
          <cell r="I666" t="str">
            <v>Earthing Layout for Propylen-1/Butane/Ethylen Line</v>
          </cell>
          <cell r="O666">
            <v>0.33</v>
          </cell>
          <cell r="P666">
            <v>2.2096800000000004E-4</v>
          </cell>
          <cell r="Q666" t="str">
            <v>V,D(CI)</v>
          </cell>
          <cell r="R666">
            <v>4.4999999999999999E-4</v>
          </cell>
          <cell r="T666">
            <v>39430</v>
          </cell>
          <cell r="U666" t="str">
            <v>*</v>
          </cell>
          <cell r="V666" t="str">
            <v>2007-12</v>
          </cell>
          <cell r="AM666">
            <v>0</v>
          </cell>
          <cell r="AN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</row>
        <row r="667">
          <cell r="C667" t="str">
            <v>DWG</v>
          </cell>
          <cell r="H667" t="str">
            <v>10-II-A1-EL-0301</v>
          </cell>
          <cell r="I667" t="str">
            <v>Lighting Layout for Propylen-1/Butane/Ethylen Line</v>
          </cell>
          <cell r="O667">
            <v>0.33</v>
          </cell>
          <cell r="P667">
            <v>2.2096800000000004E-4</v>
          </cell>
          <cell r="Q667" t="str">
            <v>V,D(CI)</v>
          </cell>
          <cell r="R667">
            <v>4.4999999999999999E-4</v>
          </cell>
          <cell r="T667">
            <v>39430</v>
          </cell>
          <cell r="U667" t="str">
            <v>*</v>
          </cell>
          <cell r="V667" t="str">
            <v>2007-12</v>
          </cell>
          <cell r="AM667">
            <v>0</v>
          </cell>
          <cell r="AN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</row>
        <row r="668">
          <cell r="G668" t="str">
            <v>MRQ</v>
          </cell>
          <cell r="M668">
            <v>4.6100000000000002E-2</v>
          </cell>
          <cell r="N668">
            <v>0.99999999999999989</v>
          </cell>
          <cell r="P668">
            <v>3.6880000000000003E-3</v>
          </cell>
          <cell r="R668">
            <v>2.8000000000000008E-3</v>
          </cell>
          <cell r="T668" t="str">
            <v>.</v>
          </cell>
          <cell r="U668" t="str">
            <v>.</v>
          </cell>
          <cell r="V668" t="str">
            <v>.</v>
          </cell>
          <cell r="AG668" t="str">
            <v>.</v>
          </cell>
          <cell r="AM668">
            <v>0</v>
          </cell>
          <cell r="AN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</row>
        <row r="669">
          <cell r="C669" t="str">
            <v>MR</v>
          </cell>
          <cell r="H669" t="str">
            <v>10-REQ-EL-351</v>
          </cell>
          <cell r="I669" t="str">
            <v>MR for Auxiliary  Transformer</v>
          </cell>
          <cell r="N669">
            <v>4.3499999999999997E-2</v>
          </cell>
          <cell r="P669">
            <v>1.60428E-4</v>
          </cell>
          <cell r="Q669" t="str">
            <v>L</v>
          </cell>
          <cell r="R669">
            <v>2.0000000000000001E-4</v>
          </cell>
          <cell r="T669">
            <v>39462</v>
          </cell>
          <cell r="V669" t="str">
            <v>2008-01</v>
          </cell>
          <cell r="AH669" t="str">
            <v/>
          </cell>
          <cell r="AJ669" t="str">
            <v/>
          </cell>
          <cell r="AL669" t="str">
            <v/>
          </cell>
          <cell r="AM669">
            <v>0</v>
          </cell>
          <cell r="AN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</row>
        <row r="670">
          <cell r="C670" t="str">
            <v>MR</v>
          </cell>
          <cell r="H670" t="str">
            <v>10-REQ-EL-352</v>
          </cell>
          <cell r="I670" t="str">
            <v>MR for LV Bus Duct</v>
          </cell>
          <cell r="N670">
            <v>4.3499999999999997E-2</v>
          </cell>
          <cell r="P670">
            <v>1.60428E-4</v>
          </cell>
          <cell r="Q670" t="str">
            <v>V</v>
          </cell>
          <cell r="R670">
            <v>2.0000000000000001E-4</v>
          </cell>
          <cell r="T670">
            <v>39411</v>
          </cell>
          <cell r="U670" t="str">
            <v>*</v>
          </cell>
          <cell r="V670" t="str">
            <v>2007-11</v>
          </cell>
          <cell r="AH670" t="str">
            <v/>
          </cell>
          <cell r="AJ670" t="str">
            <v/>
          </cell>
          <cell r="AL670" t="str">
            <v/>
          </cell>
          <cell r="AM670">
            <v>0</v>
          </cell>
          <cell r="AN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</row>
        <row r="671">
          <cell r="C671" t="str">
            <v>MR</v>
          </cell>
          <cell r="H671" t="str">
            <v>10-REQ-EL-353</v>
          </cell>
          <cell r="I671" t="str">
            <v>MR for Laboratory Building</v>
          </cell>
          <cell r="N671">
            <v>4.3499999999999997E-2</v>
          </cell>
          <cell r="P671">
            <v>1.60428E-4</v>
          </cell>
          <cell r="Q671" t="str">
            <v>L</v>
          </cell>
          <cell r="R671">
            <v>2.0000000000000001E-4</v>
          </cell>
          <cell r="T671">
            <v>39459</v>
          </cell>
          <cell r="V671" t="str">
            <v>2008-01</v>
          </cell>
          <cell r="AH671" t="str">
            <v/>
          </cell>
          <cell r="AJ671" t="str">
            <v/>
          </cell>
          <cell r="AL671" t="str">
            <v/>
          </cell>
          <cell r="AM671">
            <v>0</v>
          </cell>
          <cell r="AN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</row>
        <row r="672">
          <cell r="C672" t="str">
            <v>MR</v>
          </cell>
          <cell r="H672" t="str">
            <v>10-REQ-EL-354</v>
          </cell>
          <cell r="I672" t="str">
            <v xml:space="preserve">MR for MV Switchgear </v>
          </cell>
          <cell r="N672">
            <v>4.3499999999999997E-2</v>
          </cell>
          <cell r="P672">
            <v>1.60428E-4</v>
          </cell>
          <cell r="Q672" t="str">
            <v>L</v>
          </cell>
          <cell r="R672">
            <v>2.0000000000000001E-4</v>
          </cell>
          <cell r="T672">
            <v>39459</v>
          </cell>
          <cell r="V672" t="str">
            <v>2008-01</v>
          </cell>
          <cell r="AH672" t="str">
            <v/>
          </cell>
          <cell r="AJ672" t="str">
            <v/>
          </cell>
          <cell r="AL672" t="str">
            <v/>
          </cell>
          <cell r="AM672">
            <v>0</v>
          </cell>
          <cell r="AN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</row>
        <row r="673">
          <cell r="C673" t="str">
            <v>MR</v>
          </cell>
          <cell r="H673" t="str">
            <v>10-REQ-EL-355</v>
          </cell>
          <cell r="I673" t="str">
            <v>MR for Capacitor Bank</v>
          </cell>
          <cell r="N673">
            <v>4.3499999999999997E-2</v>
          </cell>
          <cell r="P673">
            <v>1.60428E-4</v>
          </cell>
          <cell r="Q673" t="str">
            <v>L</v>
          </cell>
          <cell r="R673">
            <v>2.0000000000000001E-4</v>
          </cell>
          <cell r="T673">
            <v>39462</v>
          </cell>
          <cell r="V673" t="str">
            <v>2008-01</v>
          </cell>
          <cell r="AH673" t="str">
            <v/>
          </cell>
          <cell r="AJ673" t="str">
            <v/>
          </cell>
          <cell r="AL673" t="str">
            <v/>
          </cell>
          <cell r="AM673">
            <v>0</v>
          </cell>
          <cell r="AN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</row>
        <row r="674">
          <cell r="C674" t="str">
            <v>MR</v>
          </cell>
          <cell r="H674" t="str">
            <v>10-REQ-EL-356</v>
          </cell>
          <cell r="I674" t="str">
            <v>MR for Diesel Generato</v>
          </cell>
          <cell r="N674">
            <v>4.3499999999999997E-2</v>
          </cell>
          <cell r="P674">
            <v>1.60428E-4</v>
          </cell>
          <cell r="Q674" t="str">
            <v>L</v>
          </cell>
          <cell r="R674">
            <v>2.0000000000000001E-4</v>
          </cell>
          <cell r="T674">
            <v>39462</v>
          </cell>
          <cell r="V674" t="str">
            <v>2008-01</v>
          </cell>
          <cell r="AH674" t="str">
            <v/>
          </cell>
          <cell r="AJ674" t="str">
            <v/>
          </cell>
          <cell r="AL674" t="str">
            <v/>
          </cell>
          <cell r="AM674">
            <v>0</v>
          </cell>
          <cell r="AN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</row>
        <row r="675">
          <cell r="C675" t="str">
            <v>MR</v>
          </cell>
          <cell r="H675" t="str">
            <v>10-REQ-EL-357</v>
          </cell>
          <cell r="I675" t="str">
            <v>MR for LV Cables</v>
          </cell>
          <cell r="N675">
            <v>0.17380000000000001</v>
          </cell>
          <cell r="P675">
            <v>6.4097440000000013E-4</v>
          </cell>
          <cell r="Q675" t="str">
            <v>L</v>
          </cell>
          <cell r="R675">
            <v>2.0000000000000001E-4</v>
          </cell>
          <cell r="T675">
            <v>39464</v>
          </cell>
          <cell r="V675" t="str">
            <v>2008-01</v>
          </cell>
          <cell r="AH675" t="str">
            <v/>
          </cell>
          <cell r="AJ675" t="str">
            <v/>
          </cell>
          <cell r="AL675" t="str">
            <v/>
          </cell>
          <cell r="AM675">
            <v>0</v>
          </cell>
          <cell r="AN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</row>
        <row r="676">
          <cell r="C676" t="str">
            <v>MR</v>
          </cell>
          <cell r="H676" t="str">
            <v>10-REQ-EL-358</v>
          </cell>
          <cell r="I676" t="str">
            <v>MR for MV Cables</v>
          </cell>
          <cell r="N676">
            <v>0.17380000000000001</v>
          </cell>
          <cell r="P676">
            <v>6.4097440000000013E-4</v>
          </cell>
          <cell r="Q676" t="str">
            <v>L</v>
          </cell>
          <cell r="R676">
            <v>2.0000000000000001E-4</v>
          </cell>
          <cell r="T676">
            <v>39464</v>
          </cell>
          <cell r="V676" t="str">
            <v>2008-01</v>
          </cell>
          <cell r="AH676" t="str">
            <v/>
          </cell>
          <cell r="AJ676" t="str">
            <v/>
          </cell>
          <cell r="AL676" t="str">
            <v/>
          </cell>
          <cell r="AM676">
            <v>0</v>
          </cell>
          <cell r="AN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</row>
        <row r="677">
          <cell r="C677" t="str">
            <v>MR</v>
          </cell>
          <cell r="H677" t="str">
            <v>10-REQ-EL-359</v>
          </cell>
          <cell r="I677" t="str">
            <v>MR for  Cable Ladders with Accessories</v>
          </cell>
          <cell r="N677">
            <v>4.3499999999999997E-2</v>
          </cell>
          <cell r="P677">
            <v>1.60428E-4</v>
          </cell>
          <cell r="Q677" t="str">
            <v>L</v>
          </cell>
          <cell r="R677">
            <v>2.0000000000000001E-4</v>
          </cell>
          <cell r="T677">
            <v>39466</v>
          </cell>
          <cell r="V677" t="str">
            <v>2008-01</v>
          </cell>
          <cell r="AH677" t="str">
            <v/>
          </cell>
          <cell r="AJ677" t="str">
            <v/>
          </cell>
          <cell r="AL677" t="str">
            <v/>
          </cell>
          <cell r="AM677">
            <v>0</v>
          </cell>
          <cell r="AN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</row>
        <row r="678">
          <cell r="C678" t="str">
            <v>MR</v>
          </cell>
          <cell r="H678" t="str">
            <v>10-REQ-EL-360</v>
          </cell>
          <cell r="I678" t="str">
            <v>MR for earthing Materials</v>
          </cell>
          <cell r="N678">
            <v>4.3499999999999997E-2</v>
          </cell>
          <cell r="P678">
            <v>1.60428E-4</v>
          </cell>
          <cell r="Q678" t="str">
            <v>L</v>
          </cell>
          <cell r="R678">
            <v>2.0000000000000001E-4</v>
          </cell>
          <cell r="T678">
            <v>39466</v>
          </cell>
          <cell r="V678" t="str">
            <v>2008-01</v>
          </cell>
          <cell r="AH678" t="str">
            <v/>
          </cell>
          <cell r="AJ678" t="str">
            <v/>
          </cell>
          <cell r="AL678" t="str">
            <v/>
          </cell>
          <cell r="AM678">
            <v>0</v>
          </cell>
          <cell r="AN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</row>
        <row r="679">
          <cell r="C679" t="str">
            <v>MR</v>
          </cell>
          <cell r="H679" t="str">
            <v>10-REQ-EL-361</v>
          </cell>
          <cell r="I679" t="str">
            <v>MR for  lighting Materials</v>
          </cell>
          <cell r="N679">
            <v>4.3499999999999997E-2</v>
          </cell>
          <cell r="P679">
            <v>1.60428E-4</v>
          </cell>
          <cell r="Q679" t="str">
            <v>L</v>
          </cell>
          <cell r="R679">
            <v>2.0000000000000001E-4</v>
          </cell>
          <cell r="T679">
            <v>39468</v>
          </cell>
          <cell r="V679" t="str">
            <v>2008-01</v>
          </cell>
          <cell r="AH679" t="str">
            <v/>
          </cell>
          <cell r="AJ679" t="str">
            <v/>
          </cell>
          <cell r="AL679" t="str">
            <v/>
          </cell>
          <cell r="AM679">
            <v>0</v>
          </cell>
          <cell r="AN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</row>
        <row r="680">
          <cell r="C680" t="str">
            <v>MR</v>
          </cell>
          <cell r="H680" t="str">
            <v>10-REQ-EL-362</v>
          </cell>
          <cell r="I680" t="str">
            <v>MR for  bulk Materials</v>
          </cell>
          <cell r="N680">
            <v>4.3499999999999997E-2</v>
          </cell>
          <cell r="P680">
            <v>1.60428E-4</v>
          </cell>
          <cell r="Q680" t="str">
            <v>L</v>
          </cell>
          <cell r="R680">
            <v>2.0000000000000001E-4</v>
          </cell>
          <cell r="T680">
            <v>39468</v>
          </cell>
          <cell r="V680" t="str">
            <v>2008-01</v>
          </cell>
          <cell r="AH680" t="str">
            <v/>
          </cell>
          <cell r="AJ680" t="str">
            <v/>
          </cell>
          <cell r="AL680" t="str">
            <v/>
          </cell>
          <cell r="AM680">
            <v>0</v>
          </cell>
          <cell r="AN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</row>
        <row r="681">
          <cell r="C681" t="str">
            <v>MR</v>
          </cell>
          <cell r="H681" t="str">
            <v>10-REQ-EL-363</v>
          </cell>
          <cell r="I681" t="str">
            <v>MR for Cable Gland</v>
          </cell>
          <cell r="N681">
            <v>0.1739</v>
          </cell>
          <cell r="P681">
            <v>6.4134320000000002E-4</v>
          </cell>
          <cell r="Q681" t="str">
            <v>L</v>
          </cell>
          <cell r="R681">
            <v>2.0000000000000001E-4</v>
          </cell>
          <cell r="T681">
            <v>39470</v>
          </cell>
          <cell r="V681" t="str">
            <v>2008-01</v>
          </cell>
          <cell r="AH681" t="str">
            <v/>
          </cell>
          <cell r="AJ681" t="str">
            <v/>
          </cell>
          <cell r="AL681" t="str">
            <v/>
          </cell>
          <cell r="AM681">
            <v>0</v>
          </cell>
          <cell r="AN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</row>
        <row r="682">
          <cell r="C682" t="str">
            <v>MR</v>
          </cell>
          <cell r="H682" t="str">
            <v>10-REQ-EL-364</v>
          </cell>
          <cell r="I682" t="str">
            <v>MR for  Cable Termination</v>
          </cell>
          <cell r="N682">
            <v>4.3499999999999997E-2</v>
          </cell>
          <cell r="P682">
            <v>1.60428E-4</v>
          </cell>
          <cell r="Q682" t="str">
            <v>L</v>
          </cell>
          <cell r="R682">
            <v>2.0000000000000001E-4</v>
          </cell>
          <cell r="T682">
            <v>39470</v>
          </cell>
          <cell r="V682" t="str">
            <v>2008-01</v>
          </cell>
          <cell r="AH682" t="str">
            <v/>
          </cell>
          <cell r="AJ682" t="str">
            <v/>
          </cell>
          <cell r="AL682" t="str">
            <v/>
          </cell>
          <cell r="AM682">
            <v>0</v>
          </cell>
          <cell r="AN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</row>
        <row r="683">
          <cell r="G683" t="str">
            <v>List</v>
          </cell>
          <cell r="M683">
            <v>0.106</v>
          </cell>
          <cell r="N683">
            <v>0.99999999999999989</v>
          </cell>
          <cell r="P683">
            <v>8.4799999999999997E-3</v>
          </cell>
          <cell r="R683">
            <v>2.9999999999999996E-3</v>
          </cell>
          <cell r="T683" t="str">
            <v>.</v>
          </cell>
          <cell r="U683" t="str">
            <v>.</v>
          </cell>
          <cell r="V683" t="str">
            <v>.</v>
          </cell>
          <cell r="AG683" t="str">
            <v>.</v>
          </cell>
          <cell r="AM683">
            <v>0</v>
          </cell>
          <cell r="AN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</row>
        <row r="684">
          <cell r="C684" t="str">
            <v>LIS</v>
          </cell>
          <cell r="H684" t="str">
            <v>10-XX-LST-EL-0006</v>
          </cell>
          <cell r="I684" t="str">
            <v>Power Load Balance Calculation</v>
          </cell>
          <cell r="N684">
            <v>3.0300000000000001E-2</v>
          </cell>
          <cell r="P684">
            <v>2.56944E-4</v>
          </cell>
          <cell r="Q684" t="str">
            <v>L</v>
          </cell>
          <cell r="R684">
            <v>2.9999999999999997E-4</v>
          </cell>
          <cell r="T684">
            <v>39469</v>
          </cell>
          <cell r="V684" t="str">
            <v>2008-01</v>
          </cell>
          <cell r="AH684" t="str">
            <v/>
          </cell>
          <cell r="AJ684" t="str">
            <v/>
          </cell>
          <cell r="AL684" t="str">
            <v/>
          </cell>
          <cell r="AM684">
            <v>0</v>
          </cell>
          <cell r="AN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</row>
        <row r="685">
          <cell r="C685" t="str">
            <v>LIS</v>
          </cell>
          <cell r="H685" t="str">
            <v>10-XX-LST-EL-0007</v>
          </cell>
          <cell r="I685" t="str">
            <v>Cable List for LV Power Cables</v>
          </cell>
          <cell r="N685">
            <v>3.0300000000000001E-2</v>
          </cell>
          <cell r="P685">
            <v>2.56944E-4</v>
          </cell>
          <cell r="Q685" t="str">
            <v>V</v>
          </cell>
          <cell r="R685">
            <v>2.9999999999999997E-4</v>
          </cell>
          <cell r="T685">
            <v>39434</v>
          </cell>
          <cell r="U685" t="str">
            <v>*</v>
          </cell>
          <cell r="V685" t="str">
            <v>2007-12</v>
          </cell>
          <cell r="AH685" t="str">
            <v/>
          </cell>
          <cell r="AJ685" t="str">
            <v/>
          </cell>
          <cell r="AL685" t="str">
            <v/>
          </cell>
          <cell r="AM685">
            <v>0</v>
          </cell>
          <cell r="AN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</row>
        <row r="686">
          <cell r="C686" t="str">
            <v>LIS</v>
          </cell>
          <cell r="H686" t="str">
            <v>10-XX-LST-EL-0008</v>
          </cell>
          <cell r="I686" t="str">
            <v>DC Load List</v>
          </cell>
          <cell r="N686">
            <v>0.1515</v>
          </cell>
          <cell r="P686">
            <v>1.2847199999999998E-3</v>
          </cell>
          <cell r="Q686" t="str">
            <v>L</v>
          </cell>
          <cell r="R686">
            <v>2.9999999999999997E-4</v>
          </cell>
          <cell r="T686">
            <v>39462</v>
          </cell>
          <cell r="V686" t="str">
            <v>2008-01</v>
          </cell>
          <cell r="AH686" t="str">
            <v/>
          </cell>
          <cell r="AJ686" t="str">
            <v/>
          </cell>
          <cell r="AL686" t="str">
            <v/>
          </cell>
          <cell r="AM686">
            <v>0</v>
          </cell>
          <cell r="AN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</row>
        <row r="687">
          <cell r="C687" t="str">
            <v>LIS</v>
          </cell>
          <cell r="H687" t="str">
            <v>10-XX-LST-EL-0009</v>
          </cell>
          <cell r="I687" t="str">
            <v>Cable list for Control Cables</v>
          </cell>
          <cell r="N687">
            <v>0.1515</v>
          </cell>
          <cell r="P687">
            <v>1.2847199999999998E-3</v>
          </cell>
          <cell r="Q687" t="str">
            <v>V</v>
          </cell>
          <cell r="R687">
            <v>2.9999999999999997E-4</v>
          </cell>
          <cell r="T687">
            <v>39444</v>
          </cell>
          <cell r="U687" t="str">
            <v>*</v>
          </cell>
          <cell r="V687" t="str">
            <v>2007-12</v>
          </cell>
          <cell r="AH687" t="str">
            <v/>
          </cell>
          <cell r="AJ687" t="str">
            <v/>
          </cell>
          <cell r="AL687" t="str">
            <v/>
          </cell>
          <cell r="AM687">
            <v>0</v>
          </cell>
          <cell r="AN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</row>
        <row r="688">
          <cell r="C688" t="str">
            <v>LIS</v>
          </cell>
          <cell r="H688" t="str">
            <v>10-XX-LST-EL-0010</v>
          </cell>
          <cell r="I688" t="str">
            <v>Cable List for MV Cables</v>
          </cell>
          <cell r="N688">
            <v>7.5800000000000006E-2</v>
          </cell>
          <cell r="P688">
            <v>6.4278399999999998E-4</v>
          </cell>
          <cell r="Q688" t="str">
            <v>V</v>
          </cell>
          <cell r="R688">
            <v>2.9999999999999997E-4</v>
          </cell>
          <cell r="T688">
            <v>39421</v>
          </cell>
          <cell r="U688" t="str">
            <v>*</v>
          </cell>
          <cell r="V688" t="str">
            <v>2007-12</v>
          </cell>
          <cell r="AH688" t="str">
            <v/>
          </cell>
          <cell r="AJ688" t="str">
            <v/>
          </cell>
          <cell r="AL688" t="str">
            <v/>
          </cell>
          <cell r="AM688">
            <v>0</v>
          </cell>
          <cell r="AN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</row>
        <row r="689">
          <cell r="C689" t="str">
            <v>LIS</v>
          </cell>
          <cell r="H689" t="str">
            <v>10-XX-LST-EL-0015</v>
          </cell>
          <cell r="I689" t="str">
            <v>Cable List for Lighting Cables</v>
          </cell>
          <cell r="N689">
            <v>0.02</v>
          </cell>
          <cell r="P689">
            <v>1.696E-4</v>
          </cell>
          <cell r="Q689" t="str">
            <v>V</v>
          </cell>
          <cell r="R689">
            <v>2.9999999999999997E-4</v>
          </cell>
          <cell r="T689">
            <v>39426</v>
          </cell>
          <cell r="U689" t="str">
            <v>*</v>
          </cell>
          <cell r="V689" t="str">
            <v>2007-12</v>
          </cell>
          <cell r="AM689">
            <v>0</v>
          </cell>
          <cell r="AN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</row>
        <row r="690">
          <cell r="C690" t="str">
            <v>LIS</v>
          </cell>
          <cell r="H690" t="str">
            <v>10-XX-LST-EL-0011</v>
          </cell>
          <cell r="I690" t="str">
            <v>Cable Route Schedule</v>
          </cell>
          <cell r="N690">
            <v>0.1515</v>
          </cell>
          <cell r="P690">
            <v>1.2847199999999998E-3</v>
          </cell>
          <cell r="Q690" t="str">
            <v>L</v>
          </cell>
          <cell r="R690">
            <v>2.9999999999999997E-4</v>
          </cell>
          <cell r="T690">
            <v>39472</v>
          </cell>
          <cell r="V690" t="str">
            <v>2008-01</v>
          </cell>
          <cell r="AH690" t="str">
            <v/>
          </cell>
          <cell r="AJ690" t="str">
            <v/>
          </cell>
          <cell r="AL690" t="str">
            <v/>
          </cell>
          <cell r="AM690">
            <v>0</v>
          </cell>
          <cell r="AN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</row>
        <row r="691">
          <cell r="C691" t="str">
            <v>LIS</v>
          </cell>
          <cell r="H691" t="str">
            <v>10-XX-LST-EL-0012</v>
          </cell>
          <cell r="I691" t="str">
            <v>Cable Section Schedule</v>
          </cell>
          <cell r="N691">
            <v>3.0300000000000001E-2</v>
          </cell>
          <cell r="P691">
            <v>2.56944E-4</v>
          </cell>
          <cell r="Q691" t="str">
            <v>L</v>
          </cell>
          <cell r="R691">
            <v>2.9999999999999997E-4</v>
          </cell>
          <cell r="T691">
            <v>39472</v>
          </cell>
          <cell r="V691" t="str">
            <v>2008-01</v>
          </cell>
          <cell r="AH691" t="str">
            <v/>
          </cell>
          <cell r="AJ691" t="str">
            <v/>
          </cell>
          <cell r="AL691" t="str">
            <v/>
          </cell>
          <cell r="AM691">
            <v>0</v>
          </cell>
          <cell r="AN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</row>
        <row r="692">
          <cell r="C692" t="str">
            <v>LIS</v>
          </cell>
          <cell r="H692" t="str">
            <v>10-XX-LST-EL-0013</v>
          </cell>
          <cell r="I692" t="str">
            <v>Cable Termination Schedule</v>
          </cell>
          <cell r="N692">
            <v>0.28299999999999997</v>
          </cell>
          <cell r="P692">
            <v>2.3998399999999999E-3</v>
          </cell>
          <cell r="Q692" t="str">
            <v>L</v>
          </cell>
          <cell r="R692">
            <v>2.9999999999999997E-4</v>
          </cell>
          <cell r="T692">
            <v>39469</v>
          </cell>
          <cell r="V692" t="str">
            <v>2008-01</v>
          </cell>
          <cell r="AH692" t="str">
            <v/>
          </cell>
          <cell r="AJ692" t="str">
            <v/>
          </cell>
          <cell r="AL692" t="str">
            <v/>
          </cell>
          <cell r="AM692">
            <v>0</v>
          </cell>
          <cell r="AN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</row>
        <row r="693">
          <cell r="C693" t="str">
            <v>LIS</v>
          </cell>
          <cell r="H693" t="str">
            <v>10-XX-LST-EL-0014</v>
          </cell>
          <cell r="I693" t="str">
            <v>Cable Drum Schedule</v>
          </cell>
          <cell r="N693">
            <v>7.5800000000000006E-2</v>
          </cell>
          <cell r="P693">
            <v>6.4278399999999998E-4</v>
          </cell>
          <cell r="Q693" t="str">
            <v>L</v>
          </cell>
          <cell r="R693">
            <v>2.9999999999999997E-4</v>
          </cell>
          <cell r="T693">
            <v>39470</v>
          </cell>
          <cell r="V693" t="str">
            <v>2008-01</v>
          </cell>
          <cell r="AH693" t="str">
            <v/>
          </cell>
          <cell r="AJ693" t="str">
            <v/>
          </cell>
          <cell r="AL693" t="str">
            <v/>
          </cell>
          <cell r="AM693">
            <v>0</v>
          </cell>
          <cell r="AN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</row>
        <row r="694">
          <cell r="G694" t="str">
            <v>MTO</v>
          </cell>
          <cell r="M694">
            <v>5.1999999999999998E-2</v>
          </cell>
          <cell r="N694">
            <v>1.0000000000000004</v>
          </cell>
          <cell r="P694">
            <v>4.1599999999999996E-3</v>
          </cell>
          <cell r="R694">
            <v>2.0999999999999999E-3</v>
          </cell>
          <cell r="T694" t="str">
            <v>.</v>
          </cell>
          <cell r="U694" t="str">
            <v>.</v>
          </cell>
          <cell r="V694" t="str">
            <v>.</v>
          </cell>
          <cell r="AM694">
            <v>0</v>
          </cell>
          <cell r="AN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</row>
        <row r="695">
          <cell r="C695" t="str">
            <v>MTO</v>
          </cell>
          <cell r="H695" t="str">
            <v>10-XX-MTO-EL-0001</v>
          </cell>
          <cell r="I695" t="str">
            <v>MTO for LV bus duct</v>
          </cell>
          <cell r="N695">
            <v>0.08</v>
          </cell>
          <cell r="P695">
            <v>3.3279999999999996E-4</v>
          </cell>
          <cell r="Q695" t="str">
            <v>V</v>
          </cell>
          <cell r="R695">
            <v>1.4999999999999999E-4</v>
          </cell>
          <cell r="T695">
            <v>39440</v>
          </cell>
          <cell r="U695" t="str">
            <v>*</v>
          </cell>
          <cell r="V695" t="str">
            <v>2007-12</v>
          </cell>
          <cell r="AM695">
            <v>0</v>
          </cell>
          <cell r="AN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</row>
        <row r="696">
          <cell r="C696" t="str">
            <v>MTO</v>
          </cell>
          <cell r="H696" t="str">
            <v>10-XX-MTO-EL-0002</v>
          </cell>
          <cell r="I696" t="str">
            <v>MTO for transformer</v>
          </cell>
          <cell r="N696">
            <v>0.08</v>
          </cell>
          <cell r="P696">
            <v>3.3279999999999996E-4</v>
          </cell>
          <cell r="Q696" t="str">
            <v>V</v>
          </cell>
          <cell r="R696">
            <v>1.4999999999999999E-4</v>
          </cell>
          <cell r="T696">
            <v>39437</v>
          </cell>
          <cell r="U696" t="str">
            <v>*</v>
          </cell>
          <cell r="V696" t="str">
            <v>2007-12</v>
          </cell>
          <cell r="AM696">
            <v>0</v>
          </cell>
          <cell r="AN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</row>
        <row r="697">
          <cell r="C697" t="str">
            <v>MTO</v>
          </cell>
          <cell r="H697" t="str">
            <v>10-XX-MTO-EL-0003</v>
          </cell>
          <cell r="I697" t="str">
            <v>MTO for Laboratory Building</v>
          </cell>
          <cell r="N697">
            <v>7.0000000000000007E-2</v>
          </cell>
          <cell r="P697">
            <v>2.9119999999999998E-4</v>
          </cell>
          <cell r="Q697" t="str">
            <v>V</v>
          </cell>
          <cell r="R697">
            <v>1.4999999999999999E-4</v>
          </cell>
          <cell r="T697">
            <v>39447</v>
          </cell>
          <cell r="U697" t="str">
            <v>*</v>
          </cell>
          <cell r="V697" t="str">
            <v>2007-12</v>
          </cell>
          <cell r="AM697">
            <v>0</v>
          </cell>
          <cell r="AN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</row>
        <row r="698">
          <cell r="C698" t="str">
            <v>MTO</v>
          </cell>
          <cell r="H698" t="str">
            <v>10-XX-MTO-EL-0004</v>
          </cell>
          <cell r="I698" t="str">
            <v>MTO for LV switchgear</v>
          </cell>
          <cell r="N698">
            <v>7.0000000000000007E-2</v>
          </cell>
          <cell r="P698">
            <v>2.9119999999999998E-4</v>
          </cell>
          <cell r="Q698" t="str">
            <v>V</v>
          </cell>
          <cell r="R698">
            <v>1.4999999999999999E-4</v>
          </cell>
          <cell r="T698">
            <v>39434</v>
          </cell>
          <cell r="U698" t="str">
            <v>*</v>
          </cell>
          <cell r="V698" t="str">
            <v>2007-12</v>
          </cell>
          <cell r="AM698">
            <v>0</v>
          </cell>
          <cell r="AN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</row>
        <row r="699">
          <cell r="C699" t="str">
            <v>MTO</v>
          </cell>
          <cell r="H699" t="str">
            <v>10-XX-MTO-EL-0005</v>
          </cell>
          <cell r="I699" t="str">
            <v>MTO for capacitor bank</v>
          </cell>
          <cell r="N699">
            <v>7.0000000000000007E-2</v>
          </cell>
          <cell r="P699">
            <v>2.9119999999999998E-4</v>
          </cell>
          <cell r="Q699" t="str">
            <v>V</v>
          </cell>
          <cell r="R699">
            <v>1.4999999999999999E-4</v>
          </cell>
          <cell r="T699">
            <v>39431</v>
          </cell>
          <cell r="U699" t="str">
            <v>*</v>
          </cell>
          <cell r="V699" t="str">
            <v>2007-12</v>
          </cell>
          <cell r="AM699">
            <v>0</v>
          </cell>
          <cell r="AN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</row>
        <row r="700">
          <cell r="C700" t="str">
            <v>MTO</v>
          </cell>
          <cell r="H700" t="str">
            <v>10-XX-MTO-EL-0006</v>
          </cell>
          <cell r="I700" t="str">
            <v>MTO for diesel generator</v>
          </cell>
          <cell r="N700">
            <v>7.0000000000000007E-2</v>
          </cell>
          <cell r="P700">
            <v>2.9119999999999998E-4</v>
          </cell>
          <cell r="Q700" t="str">
            <v>V</v>
          </cell>
          <cell r="R700">
            <v>1.4999999999999999E-4</v>
          </cell>
          <cell r="T700">
            <v>39446</v>
          </cell>
          <cell r="U700" t="str">
            <v>*</v>
          </cell>
          <cell r="V700" t="str">
            <v>2007-12</v>
          </cell>
          <cell r="AM700">
            <v>0</v>
          </cell>
          <cell r="AN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</row>
        <row r="701">
          <cell r="C701" t="str">
            <v>MTO</v>
          </cell>
          <cell r="H701" t="str">
            <v>10-XX-MTO-EL-0007</v>
          </cell>
          <cell r="I701" t="str">
            <v>MTO LV Cables</v>
          </cell>
          <cell r="N701">
            <v>7.0000000000000007E-2</v>
          </cell>
          <cell r="P701">
            <v>2.9119999999999998E-4</v>
          </cell>
          <cell r="Q701" t="str">
            <v>V</v>
          </cell>
          <cell r="R701">
            <v>1.4999999999999999E-4</v>
          </cell>
          <cell r="T701">
            <v>39435</v>
          </cell>
          <cell r="U701" t="str">
            <v>*</v>
          </cell>
          <cell r="V701" t="str">
            <v>2007-12</v>
          </cell>
          <cell r="AM701">
            <v>0</v>
          </cell>
          <cell r="AN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</row>
        <row r="702">
          <cell r="C702" t="str">
            <v>MTO</v>
          </cell>
          <cell r="H702" t="str">
            <v>10-XX-MTO-EL-0008</v>
          </cell>
          <cell r="I702" t="str">
            <v>MTO for MV Cables</v>
          </cell>
          <cell r="N702">
            <v>7.0000000000000007E-2</v>
          </cell>
          <cell r="P702">
            <v>2.9119999999999998E-4</v>
          </cell>
          <cell r="Q702" t="str">
            <v>V</v>
          </cell>
          <cell r="R702">
            <v>1.4999999999999999E-4</v>
          </cell>
          <cell r="T702">
            <v>39421</v>
          </cell>
          <cell r="U702" t="str">
            <v>*</v>
          </cell>
          <cell r="V702" t="str">
            <v>2007-12</v>
          </cell>
          <cell r="AM702">
            <v>0</v>
          </cell>
          <cell r="AN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</row>
        <row r="703">
          <cell r="C703" t="str">
            <v>MTO</v>
          </cell>
          <cell r="H703" t="str">
            <v>10-XX-MTO-EL-0009</v>
          </cell>
          <cell r="I703" t="str">
            <v>MTO for Cable Ladder and acc.</v>
          </cell>
          <cell r="N703">
            <v>7.0000000000000007E-2</v>
          </cell>
          <cell r="P703">
            <v>2.9119999999999998E-4</v>
          </cell>
          <cell r="Q703" t="str">
            <v>V</v>
          </cell>
          <cell r="R703">
            <v>1.4999999999999999E-4</v>
          </cell>
          <cell r="T703">
            <v>39424</v>
          </cell>
          <cell r="U703" t="str">
            <v>*</v>
          </cell>
          <cell r="V703" t="str">
            <v>2007-12</v>
          </cell>
          <cell r="AM703">
            <v>0</v>
          </cell>
          <cell r="AN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</row>
        <row r="704">
          <cell r="C704" t="str">
            <v>MTO</v>
          </cell>
          <cell r="H704" t="str">
            <v>10-XX-MTO-EL-0010</v>
          </cell>
          <cell r="I704" t="str">
            <v>MTO for earthing Materials</v>
          </cell>
          <cell r="N704">
            <v>7.0000000000000007E-2</v>
          </cell>
          <cell r="P704">
            <v>2.9119999999999998E-4</v>
          </cell>
          <cell r="Q704" t="str">
            <v>V</v>
          </cell>
          <cell r="R704">
            <v>1.4999999999999999E-4</v>
          </cell>
          <cell r="T704">
            <v>39426</v>
          </cell>
          <cell r="U704" t="str">
            <v>*</v>
          </cell>
          <cell r="V704" t="str">
            <v>2007-12</v>
          </cell>
          <cell r="AM704">
            <v>0</v>
          </cell>
          <cell r="AN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</row>
        <row r="705">
          <cell r="C705" t="str">
            <v>MTO</v>
          </cell>
          <cell r="H705" t="str">
            <v>10-XX-MTO-EL-0011</v>
          </cell>
          <cell r="I705" t="str">
            <v>MTO for lighting Materials</v>
          </cell>
          <cell r="N705">
            <v>7.0000000000000007E-2</v>
          </cell>
          <cell r="P705">
            <v>2.9119999999999998E-4</v>
          </cell>
          <cell r="Q705" t="str">
            <v>V</v>
          </cell>
          <cell r="R705">
            <v>1.4999999999999999E-4</v>
          </cell>
          <cell r="T705">
            <v>39428</v>
          </cell>
          <cell r="U705" t="str">
            <v>*</v>
          </cell>
          <cell r="V705" t="str">
            <v>2007-12</v>
          </cell>
          <cell r="AM705">
            <v>0</v>
          </cell>
          <cell r="AN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</row>
        <row r="706">
          <cell r="C706" t="str">
            <v>MTO</v>
          </cell>
          <cell r="H706" t="str">
            <v>10-XX-MTO-EL-0012</v>
          </cell>
          <cell r="I706" t="str">
            <v>MTO for bulk Materials</v>
          </cell>
          <cell r="N706">
            <v>7.0000000000000007E-2</v>
          </cell>
          <cell r="P706">
            <v>2.9119999999999998E-4</v>
          </cell>
          <cell r="Q706" t="str">
            <v>V</v>
          </cell>
          <cell r="R706">
            <v>1.4999999999999999E-4</v>
          </cell>
          <cell r="T706">
            <v>39445</v>
          </cell>
          <cell r="U706" t="str">
            <v>*</v>
          </cell>
          <cell r="V706" t="str">
            <v>2007-12</v>
          </cell>
          <cell r="AM706">
            <v>0</v>
          </cell>
          <cell r="AN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</row>
        <row r="707">
          <cell r="C707" t="str">
            <v>MTO</v>
          </cell>
          <cell r="H707" t="str">
            <v>10-XX-MTO-EL-0013</v>
          </cell>
          <cell r="I707" t="str">
            <v>MTO for Cable Gland</v>
          </cell>
          <cell r="N707">
            <v>7.0000000000000007E-2</v>
          </cell>
          <cell r="P707">
            <v>2.9119999999999998E-4</v>
          </cell>
          <cell r="Q707" t="str">
            <v>V</v>
          </cell>
          <cell r="R707">
            <v>1.4999999999999999E-4</v>
          </cell>
          <cell r="T707">
            <v>39409</v>
          </cell>
          <cell r="U707" t="str">
            <v>*</v>
          </cell>
          <cell r="V707" t="str">
            <v>2007-11</v>
          </cell>
          <cell r="AM707">
            <v>0</v>
          </cell>
          <cell r="AN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</row>
        <row r="708">
          <cell r="C708" t="str">
            <v>MTO</v>
          </cell>
          <cell r="H708" t="str">
            <v>10-XX-MTO-EL-0014</v>
          </cell>
          <cell r="I708" t="str">
            <v>MTO for Cable Termination</v>
          </cell>
          <cell r="N708">
            <v>7.0000000000000007E-2</v>
          </cell>
          <cell r="P708">
            <v>2.9119999999999998E-4</v>
          </cell>
          <cell r="Q708" t="str">
            <v>V</v>
          </cell>
          <cell r="R708">
            <v>1.4999999999999999E-4</v>
          </cell>
          <cell r="T708">
            <v>39439</v>
          </cell>
          <cell r="U708" t="str">
            <v>*</v>
          </cell>
          <cell r="V708" t="str">
            <v>2007-12</v>
          </cell>
          <cell r="AM708">
            <v>0</v>
          </cell>
          <cell r="AN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</row>
        <row r="709">
          <cell r="G709" t="str">
            <v>Data Sheet</v>
          </cell>
          <cell r="M709">
            <v>0.04</v>
          </cell>
          <cell r="N709">
            <v>1</v>
          </cell>
          <cell r="P709">
            <v>3.2000000000000002E-3</v>
          </cell>
          <cell r="R709">
            <v>8.0000000000000015E-4</v>
          </cell>
          <cell r="T709" t="str">
            <v>.</v>
          </cell>
          <cell r="U709" t="str">
            <v>.</v>
          </cell>
          <cell r="V709" t="str">
            <v>.</v>
          </cell>
          <cell r="AG709" t="str">
            <v>.</v>
          </cell>
          <cell r="AM709">
            <v>0</v>
          </cell>
          <cell r="AN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</row>
        <row r="710">
          <cell r="C710" t="str">
            <v>DSH</v>
          </cell>
          <cell r="H710" t="str">
            <v>10-XX-DSH-EL-0001</v>
          </cell>
          <cell r="I710" t="str">
            <v>Data Sheet for MV switch gear</v>
          </cell>
          <cell r="N710">
            <v>0.125</v>
          </cell>
          <cell r="P710">
            <v>4.0000000000000002E-4</v>
          </cell>
          <cell r="Q710" t="str">
            <v>V</v>
          </cell>
          <cell r="R710">
            <v>1E-4</v>
          </cell>
          <cell r="T710">
            <v>39447</v>
          </cell>
          <cell r="U710" t="str">
            <v>*</v>
          </cell>
          <cell r="V710" t="str">
            <v>2007-12</v>
          </cell>
          <cell r="AM710">
            <v>0</v>
          </cell>
          <cell r="AN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</row>
        <row r="711">
          <cell r="C711" t="str">
            <v>DSH</v>
          </cell>
          <cell r="H711" t="str">
            <v>10-XX-DSH-EL-0002</v>
          </cell>
          <cell r="I711" t="str">
            <v>Data Sheet for LV switch gear</v>
          </cell>
          <cell r="N711">
            <v>0.125</v>
          </cell>
          <cell r="P711">
            <v>4.0000000000000002E-4</v>
          </cell>
          <cell r="Q711" t="str">
            <v>V</v>
          </cell>
          <cell r="R711">
            <v>1E-4</v>
          </cell>
          <cell r="T711">
            <v>39434</v>
          </cell>
          <cell r="U711" t="str">
            <v>*</v>
          </cell>
          <cell r="V711" t="str">
            <v>2007-12</v>
          </cell>
          <cell r="AM711">
            <v>0</v>
          </cell>
          <cell r="AN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</row>
        <row r="712">
          <cell r="C712" t="str">
            <v>DSH</v>
          </cell>
          <cell r="H712" t="str">
            <v>10-XX-DSH-EL-0003</v>
          </cell>
          <cell r="I712" t="str">
            <v>Data Sheet for transformer</v>
          </cell>
          <cell r="N712">
            <v>0.125</v>
          </cell>
          <cell r="P712">
            <v>4.0000000000000002E-4</v>
          </cell>
          <cell r="Q712" t="str">
            <v>V</v>
          </cell>
          <cell r="R712">
            <v>1E-4</v>
          </cell>
          <cell r="T712">
            <v>39417</v>
          </cell>
          <cell r="U712" t="str">
            <v>*</v>
          </cell>
          <cell r="V712" t="str">
            <v>2007-12</v>
          </cell>
          <cell r="AM712">
            <v>0</v>
          </cell>
          <cell r="AN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</row>
        <row r="713">
          <cell r="C713" t="str">
            <v>DSH</v>
          </cell>
          <cell r="H713" t="str">
            <v>10-XX-DSH-EL-0004</v>
          </cell>
          <cell r="I713" t="str">
            <v>Data Sheet for LV bus duct</v>
          </cell>
          <cell r="N713">
            <v>0.125</v>
          </cell>
          <cell r="P713">
            <v>4.0000000000000002E-4</v>
          </cell>
          <cell r="Q713" t="str">
            <v>V</v>
          </cell>
          <cell r="R713">
            <v>1E-4</v>
          </cell>
          <cell r="T713">
            <v>39418</v>
          </cell>
          <cell r="U713" t="str">
            <v>*</v>
          </cell>
          <cell r="V713" t="str">
            <v>2007-12</v>
          </cell>
          <cell r="AM713">
            <v>0</v>
          </cell>
          <cell r="AN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</row>
        <row r="714">
          <cell r="C714" t="str">
            <v>DSH</v>
          </cell>
          <cell r="H714" t="str">
            <v>10-XX-DSH-EL-0005</v>
          </cell>
          <cell r="I714" t="str">
            <v>Data Sheet for capacitor bank</v>
          </cell>
          <cell r="N714">
            <v>0.125</v>
          </cell>
          <cell r="P714">
            <v>4.0000000000000002E-4</v>
          </cell>
          <cell r="Q714" t="str">
            <v>V</v>
          </cell>
          <cell r="R714">
            <v>1E-4</v>
          </cell>
          <cell r="T714">
            <v>39422</v>
          </cell>
          <cell r="U714" t="str">
            <v>*</v>
          </cell>
          <cell r="V714" t="str">
            <v>2007-12</v>
          </cell>
          <cell r="AM714">
            <v>0</v>
          </cell>
          <cell r="AN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</row>
        <row r="715">
          <cell r="C715" t="str">
            <v>DSH</v>
          </cell>
          <cell r="H715" t="str">
            <v>10-XX-DSH-EL-0006</v>
          </cell>
          <cell r="I715" t="str">
            <v>Data Sheet for diesel generator</v>
          </cell>
          <cell r="N715">
            <v>0.125</v>
          </cell>
          <cell r="P715">
            <v>4.0000000000000002E-4</v>
          </cell>
          <cell r="Q715" t="str">
            <v>V</v>
          </cell>
          <cell r="R715">
            <v>1E-4</v>
          </cell>
          <cell r="T715">
            <v>39419</v>
          </cell>
          <cell r="U715" t="str">
            <v>*</v>
          </cell>
          <cell r="V715" t="str">
            <v>2007-12</v>
          </cell>
          <cell r="AM715">
            <v>0</v>
          </cell>
          <cell r="AN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</row>
        <row r="716">
          <cell r="C716" t="str">
            <v>DSH</v>
          </cell>
          <cell r="H716" t="str">
            <v>10-XX-DSH-EL-0007</v>
          </cell>
          <cell r="I716" t="str">
            <v>Data Sheet for LV Cables</v>
          </cell>
          <cell r="N716">
            <v>0.125</v>
          </cell>
          <cell r="P716">
            <v>4.0000000000000002E-4</v>
          </cell>
          <cell r="Q716" t="str">
            <v>V</v>
          </cell>
          <cell r="R716">
            <v>1E-4</v>
          </cell>
          <cell r="T716">
            <v>39435</v>
          </cell>
          <cell r="U716" t="str">
            <v>*</v>
          </cell>
          <cell r="V716" t="str">
            <v>2007-12</v>
          </cell>
          <cell r="AM716">
            <v>0</v>
          </cell>
          <cell r="AN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</row>
        <row r="717">
          <cell r="C717" t="str">
            <v>DSH</v>
          </cell>
          <cell r="H717" t="str">
            <v>10-XX-DSH-EL-0008</v>
          </cell>
          <cell r="I717" t="str">
            <v>Data Sheet for MV Cables</v>
          </cell>
          <cell r="N717">
            <v>0.125</v>
          </cell>
          <cell r="P717">
            <v>4.0000000000000002E-4</v>
          </cell>
          <cell r="Q717" t="str">
            <v>V</v>
          </cell>
          <cell r="R717">
            <v>1E-4</v>
          </cell>
          <cell r="T717">
            <v>39423</v>
          </cell>
          <cell r="U717" t="str">
            <v>*</v>
          </cell>
          <cell r="V717" t="str">
            <v>2007-12</v>
          </cell>
          <cell r="AM717">
            <v>0</v>
          </cell>
          <cell r="AN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</row>
        <row r="718">
          <cell r="G718" t="str">
            <v>TBA</v>
          </cell>
          <cell r="M718">
            <v>6.7799999999999999E-2</v>
          </cell>
          <cell r="N718">
            <v>1</v>
          </cell>
          <cell r="P718">
            <v>5.4240000000000009E-3</v>
          </cell>
          <cell r="R718">
            <v>1.5000000000000005E-3</v>
          </cell>
          <cell r="T718" t="str">
            <v>.</v>
          </cell>
          <cell r="U718" t="str">
            <v>.</v>
          </cell>
          <cell r="V718" t="str">
            <v>.</v>
          </cell>
          <cell r="AG718" t="str">
            <v>.</v>
          </cell>
          <cell r="AM718">
            <v>8.2964601769911495E-3</v>
          </cell>
          <cell r="AN718">
            <v>4.5000000000000003E-5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</row>
        <row r="719">
          <cell r="C719" t="str">
            <v>TBA</v>
          </cell>
          <cell r="H719" t="str">
            <v>10-TBA-EL-369</v>
          </cell>
          <cell r="I719" t="str">
            <v>TBA for Auxiliary Transformer</v>
          </cell>
          <cell r="N719">
            <v>2.4E-2</v>
          </cell>
          <cell r="P719">
            <v>1.3017600000000002E-4</v>
          </cell>
          <cell r="Q719" t="str">
            <v>L</v>
          </cell>
          <cell r="R719">
            <v>1E-4</v>
          </cell>
          <cell r="T719">
            <v>39463</v>
          </cell>
          <cell r="V719" t="str">
            <v>2008-01</v>
          </cell>
          <cell r="AH719" t="str">
            <v/>
          </cell>
          <cell r="AJ719" t="str">
            <v/>
          </cell>
          <cell r="AL719" t="str">
            <v/>
          </cell>
          <cell r="AM719">
            <v>0</v>
          </cell>
          <cell r="AN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</row>
        <row r="720">
          <cell r="C720" t="str">
            <v>TBA</v>
          </cell>
          <cell r="H720" t="str">
            <v>10-TBA-EL-370</v>
          </cell>
          <cell r="I720" t="str">
            <v>TBA for LV Bus Duct</v>
          </cell>
          <cell r="N720">
            <v>2.4E-2</v>
          </cell>
          <cell r="P720">
            <v>1.3017600000000002E-4</v>
          </cell>
          <cell r="Q720" t="str">
            <v>L</v>
          </cell>
          <cell r="R720">
            <v>1E-4</v>
          </cell>
          <cell r="T720">
            <v>39457</v>
          </cell>
          <cell r="V720" t="str">
            <v>2008-01</v>
          </cell>
          <cell r="AH720" t="str">
            <v/>
          </cell>
          <cell r="AJ720" t="str">
            <v/>
          </cell>
          <cell r="AL720" t="str">
            <v/>
          </cell>
          <cell r="AM720">
            <v>0</v>
          </cell>
          <cell r="AN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</row>
        <row r="721">
          <cell r="C721" t="str">
            <v>TBA</v>
          </cell>
          <cell r="H721" t="str">
            <v>10-TBA-EL-371</v>
          </cell>
          <cell r="I721" t="str">
            <v>TBA for Laboratory Building</v>
          </cell>
          <cell r="N721">
            <v>2.4E-2</v>
          </cell>
          <cell r="P721">
            <v>1.3017600000000002E-4</v>
          </cell>
          <cell r="Q721" t="str">
            <v>L</v>
          </cell>
          <cell r="R721">
            <v>1E-4</v>
          </cell>
          <cell r="T721">
            <v>39463</v>
          </cell>
          <cell r="V721" t="str">
            <v>2008-01</v>
          </cell>
          <cell r="AH721" t="str">
            <v/>
          </cell>
          <cell r="AJ721" t="str">
            <v/>
          </cell>
          <cell r="AL721" t="str">
            <v/>
          </cell>
          <cell r="AM721">
            <v>0</v>
          </cell>
          <cell r="AN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</row>
        <row r="722">
          <cell r="C722" t="str">
            <v>TBA</v>
          </cell>
          <cell r="H722" t="str">
            <v>10-TBA-EL-372</v>
          </cell>
          <cell r="I722" t="str">
            <v>TBA for MV Switchgear</v>
          </cell>
          <cell r="N722">
            <v>2.4E-2</v>
          </cell>
          <cell r="P722">
            <v>1.3017600000000002E-4</v>
          </cell>
          <cell r="Q722" t="str">
            <v>L</v>
          </cell>
          <cell r="R722">
            <v>1E-4</v>
          </cell>
          <cell r="T722">
            <v>39465</v>
          </cell>
          <cell r="V722" t="str">
            <v>2008-01</v>
          </cell>
          <cell r="AH722" t="str">
            <v/>
          </cell>
          <cell r="AJ722" t="str">
            <v/>
          </cell>
          <cell r="AL722" t="str">
            <v/>
          </cell>
          <cell r="AM722">
            <v>0</v>
          </cell>
          <cell r="AN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</row>
        <row r="723">
          <cell r="C723" t="str">
            <v>TBA</v>
          </cell>
          <cell r="H723" t="str">
            <v>10-TBA-EL-373</v>
          </cell>
          <cell r="I723" t="str">
            <v>TBA for Capacitor Bank</v>
          </cell>
          <cell r="N723">
            <v>2.4E-2</v>
          </cell>
          <cell r="P723">
            <v>1.3017600000000002E-4</v>
          </cell>
          <cell r="Q723" t="str">
            <v>L</v>
          </cell>
          <cell r="R723">
            <v>1E-4</v>
          </cell>
          <cell r="T723">
            <v>39465</v>
          </cell>
          <cell r="V723" t="str">
            <v>2008-01</v>
          </cell>
          <cell r="AH723" t="str">
            <v/>
          </cell>
          <cell r="AJ723" t="str">
            <v/>
          </cell>
          <cell r="AL723" t="str">
            <v/>
          </cell>
          <cell r="AM723">
            <v>0</v>
          </cell>
          <cell r="AN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</row>
        <row r="724">
          <cell r="C724" t="str">
            <v>TBA</v>
          </cell>
          <cell r="H724" t="str">
            <v>10-TBA-EL-374</v>
          </cell>
          <cell r="I724" t="str">
            <v>TBA for Diesel Generator</v>
          </cell>
          <cell r="N724">
            <v>2.4E-2</v>
          </cell>
          <cell r="P724">
            <v>1.3017600000000002E-4</v>
          </cell>
          <cell r="Q724" t="str">
            <v>L</v>
          </cell>
          <cell r="R724">
            <v>1E-4</v>
          </cell>
          <cell r="T724">
            <v>39467</v>
          </cell>
          <cell r="V724" t="str">
            <v>2008-01</v>
          </cell>
          <cell r="AH724" t="str">
            <v/>
          </cell>
          <cell r="AJ724" t="str">
            <v/>
          </cell>
          <cell r="AL724" t="str">
            <v/>
          </cell>
          <cell r="AM724">
            <v>0</v>
          </cell>
          <cell r="AN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</row>
        <row r="725">
          <cell r="C725" t="str">
            <v>TBA</v>
          </cell>
          <cell r="H725" t="str">
            <v>10-TBA-EL-375</v>
          </cell>
          <cell r="I725" t="str">
            <v>TBA for LV Cable</v>
          </cell>
          <cell r="N725">
            <v>2.4E-2</v>
          </cell>
          <cell r="P725">
            <v>1.3017600000000002E-4</v>
          </cell>
          <cell r="Q725" t="str">
            <v>L</v>
          </cell>
          <cell r="R725">
            <v>1E-4</v>
          </cell>
          <cell r="T725">
            <v>39467</v>
          </cell>
          <cell r="V725" t="str">
            <v>2008-01</v>
          </cell>
          <cell r="AH725" t="str">
            <v/>
          </cell>
          <cell r="AJ725" t="str">
            <v/>
          </cell>
          <cell r="AL725" t="str">
            <v/>
          </cell>
          <cell r="AM725">
            <v>0</v>
          </cell>
          <cell r="AN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</row>
        <row r="726">
          <cell r="C726" t="str">
            <v>TBA</v>
          </cell>
          <cell r="H726" t="str">
            <v>10-TBA-EL-376</v>
          </cell>
          <cell r="I726" t="str">
            <v>TBA for MV Cable</v>
          </cell>
          <cell r="N726">
            <v>0.11840000000000001</v>
          </cell>
          <cell r="P726">
            <v>6.4220160000000011E-4</v>
          </cell>
          <cell r="Q726" t="str">
            <v>L</v>
          </cell>
          <cell r="R726">
            <v>1E-4</v>
          </cell>
          <cell r="T726">
            <v>39470</v>
          </cell>
          <cell r="V726" t="str">
            <v>2008-01</v>
          </cell>
          <cell r="AH726" t="str">
            <v/>
          </cell>
          <cell r="AJ726" t="str">
            <v/>
          </cell>
          <cell r="AL726" t="str">
            <v/>
          </cell>
          <cell r="AM726">
            <v>0</v>
          </cell>
          <cell r="AN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</row>
        <row r="727">
          <cell r="C727" t="str">
            <v>TBA</v>
          </cell>
          <cell r="H727" t="str">
            <v>10-TBA-EL-377</v>
          </cell>
          <cell r="I727" t="str">
            <v>TBA for Cable Ladder &amp; Acc.</v>
          </cell>
          <cell r="N727">
            <v>0.11840000000000001</v>
          </cell>
          <cell r="P727">
            <v>6.4220160000000011E-4</v>
          </cell>
          <cell r="Q727" t="str">
            <v>L</v>
          </cell>
          <cell r="R727">
            <v>1E-4</v>
          </cell>
          <cell r="T727">
            <v>39470</v>
          </cell>
          <cell r="V727" t="str">
            <v>2008-01</v>
          </cell>
          <cell r="AH727" t="str">
            <v/>
          </cell>
          <cell r="AJ727" t="str">
            <v/>
          </cell>
          <cell r="AL727" t="str">
            <v/>
          </cell>
          <cell r="AM727">
            <v>0</v>
          </cell>
          <cell r="AN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</row>
        <row r="728">
          <cell r="C728" t="str">
            <v>TBA</v>
          </cell>
          <cell r="H728" t="str">
            <v>10-TBA-EL-384</v>
          </cell>
          <cell r="I728" t="str">
            <v>TBA for Earthing Materials</v>
          </cell>
          <cell r="N728">
            <v>0.11840000000000001</v>
          </cell>
          <cell r="P728">
            <v>6.4220160000000011E-4</v>
          </cell>
          <cell r="Q728" t="str">
            <v>L</v>
          </cell>
          <cell r="R728">
            <v>1E-4</v>
          </cell>
          <cell r="T728">
            <v>39472</v>
          </cell>
          <cell r="V728" t="str">
            <v>2008-01</v>
          </cell>
          <cell r="AH728" t="str">
            <v/>
          </cell>
          <cell r="AJ728" t="str">
            <v/>
          </cell>
          <cell r="AL728" t="str">
            <v/>
          </cell>
          <cell r="AM728">
            <v>0</v>
          </cell>
          <cell r="AN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</row>
        <row r="729">
          <cell r="C729" t="str">
            <v>TBA</v>
          </cell>
          <cell r="H729" t="str">
            <v>10-TBA-EL-379</v>
          </cell>
          <cell r="I729" t="str">
            <v>TBA for Lighting Materials</v>
          </cell>
          <cell r="N729">
            <v>0.11840000000000001</v>
          </cell>
          <cell r="P729">
            <v>6.4220160000000011E-4</v>
          </cell>
          <cell r="Q729" t="str">
            <v>L</v>
          </cell>
          <cell r="R729">
            <v>1E-4</v>
          </cell>
          <cell r="T729">
            <v>39472</v>
          </cell>
          <cell r="V729" t="str">
            <v>2008-01</v>
          </cell>
          <cell r="AH729" t="str">
            <v/>
          </cell>
          <cell r="AJ729" t="str">
            <v/>
          </cell>
          <cell r="AL729" t="str">
            <v/>
          </cell>
          <cell r="AM729">
            <v>0</v>
          </cell>
          <cell r="AN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</row>
        <row r="730">
          <cell r="C730" t="str">
            <v>TBA</v>
          </cell>
          <cell r="H730" t="str">
            <v>10-TBA-EL-380</v>
          </cell>
          <cell r="I730" t="str">
            <v>TBA for Bulk Materials</v>
          </cell>
          <cell r="N730">
            <v>0.11840000000000001</v>
          </cell>
          <cell r="P730">
            <v>6.4220160000000011E-4</v>
          </cell>
          <cell r="Q730" t="str">
            <v>L</v>
          </cell>
          <cell r="R730">
            <v>1E-4</v>
          </cell>
          <cell r="T730">
            <v>39474</v>
          </cell>
          <cell r="V730" t="str">
            <v>2008-01</v>
          </cell>
          <cell r="AH730" t="str">
            <v/>
          </cell>
          <cell r="AJ730" t="str">
            <v/>
          </cell>
          <cell r="AL730" t="str">
            <v/>
          </cell>
          <cell r="AM730">
            <v>0</v>
          </cell>
          <cell r="AN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</row>
        <row r="731">
          <cell r="C731" t="str">
            <v>TBA</v>
          </cell>
          <cell r="H731" t="str">
            <v>10-TBA-EL-381</v>
          </cell>
          <cell r="I731" t="str">
            <v>TBA for Cable Gland</v>
          </cell>
          <cell r="N731">
            <v>0.1216</v>
          </cell>
          <cell r="P731">
            <v>6.5955840000000011E-4</v>
          </cell>
          <cell r="Q731" t="str">
            <v>L</v>
          </cell>
          <cell r="R731">
            <v>1E-4</v>
          </cell>
          <cell r="T731">
            <v>39474</v>
          </cell>
          <cell r="V731" t="str">
            <v>2008-01</v>
          </cell>
          <cell r="AH731" t="str">
            <v/>
          </cell>
          <cell r="AJ731" t="str">
            <v/>
          </cell>
          <cell r="AL731" t="str">
            <v/>
          </cell>
          <cell r="AM731">
            <v>0</v>
          </cell>
          <cell r="AN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</row>
        <row r="732">
          <cell r="C732" t="str">
            <v>TBA</v>
          </cell>
          <cell r="H732" t="str">
            <v>10-TBA-EL-382</v>
          </cell>
          <cell r="I732" t="str">
            <v>TBA for Cable Termination</v>
          </cell>
          <cell r="N732">
            <v>5.9200000000000003E-2</v>
          </cell>
          <cell r="P732">
            <v>3.2110080000000005E-4</v>
          </cell>
          <cell r="Q732" t="str">
            <v>L</v>
          </cell>
          <cell r="R732">
            <v>1E-4</v>
          </cell>
          <cell r="T732">
            <v>39477</v>
          </cell>
          <cell r="V732" t="str">
            <v>2008-01</v>
          </cell>
          <cell r="AH732" t="str">
            <v/>
          </cell>
          <cell r="AJ732" t="str">
            <v/>
          </cell>
          <cell r="AL732" t="str">
            <v/>
          </cell>
          <cell r="AM732">
            <v>0</v>
          </cell>
          <cell r="AN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</row>
        <row r="733">
          <cell r="C733" t="str">
            <v>TBA</v>
          </cell>
          <cell r="H733" t="str">
            <v>10-TBA-EL-383</v>
          </cell>
          <cell r="I733" t="str">
            <v>TBA for Process Transformer Termination</v>
          </cell>
          <cell r="N733">
            <v>5.9200000000000003E-2</v>
          </cell>
          <cell r="P733">
            <v>3.2110080000000005E-4</v>
          </cell>
          <cell r="R733">
            <v>1E-4</v>
          </cell>
          <cell r="V733" t="str">
            <v>ارسال شده</v>
          </cell>
          <cell r="W733">
            <v>0</v>
          </cell>
          <cell r="X733">
            <v>43</v>
          </cell>
          <cell r="Y733" t="str">
            <v>01-07-07</v>
          </cell>
          <cell r="Z733" t="str">
            <v>F-0053</v>
          </cell>
          <cell r="AA733" t="str">
            <v>07-07-07</v>
          </cell>
          <cell r="AG733" t="str">
            <v>GBT</v>
          </cell>
          <cell r="AH733" t="str">
            <v>x</v>
          </cell>
          <cell r="AJ733" t="str">
            <v/>
          </cell>
          <cell r="AL733" t="str">
            <v/>
          </cell>
          <cell r="AM733">
            <v>0.45</v>
          </cell>
          <cell r="AN733">
            <v>4.5000000000000003E-5</v>
          </cell>
          <cell r="AQ733">
            <v>1.4449536000000002E-4</v>
          </cell>
          <cell r="AR733">
            <v>4.5000000000000003E-5</v>
          </cell>
          <cell r="AS733">
            <v>45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45</v>
          </cell>
        </row>
        <row r="734">
          <cell r="G734" t="str">
            <v>Cathodic  Protection</v>
          </cell>
          <cell r="M734">
            <v>0.14779999999999999</v>
          </cell>
          <cell r="N734">
            <v>1</v>
          </cell>
          <cell r="P734">
            <v>1.1824000000000001E-2</v>
          </cell>
          <cell r="R734">
            <v>1.1499999999999998E-2</v>
          </cell>
          <cell r="T734" t="str">
            <v>.</v>
          </cell>
          <cell r="U734" t="str">
            <v>.</v>
          </cell>
          <cell r="V734" t="str">
            <v>.</v>
          </cell>
          <cell r="AG734" t="str">
            <v>.</v>
          </cell>
          <cell r="AM734">
            <v>0</v>
          </cell>
          <cell r="AN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</row>
        <row r="735">
          <cell r="C735" t="str">
            <v>DWG</v>
          </cell>
          <cell r="H735" t="str">
            <v>10-XX-A1-EL-0080</v>
          </cell>
          <cell r="I735" t="str">
            <v xml:space="preserve">Equipment Layout of Cathodic Protection System </v>
          </cell>
          <cell r="N735">
            <v>0.23880000000000001</v>
          </cell>
          <cell r="P735">
            <v>2.8235712000000005E-3</v>
          </cell>
          <cell r="Q735" t="str">
            <v>V</v>
          </cell>
          <cell r="R735">
            <v>1.6999999999999999E-3</v>
          </cell>
          <cell r="T735">
            <v>39431</v>
          </cell>
          <cell r="U735" t="str">
            <v>*</v>
          </cell>
          <cell r="V735" t="str">
            <v>2007-12</v>
          </cell>
          <cell r="AH735" t="str">
            <v/>
          </cell>
          <cell r="AJ735" t="str">
            <v/>
          </cell>
          <cell r="AL735" t="str">
            <v/>
          </cell>
          <cell r="AM735">
            <v>0</v>
          </cell>
          <cell r="AN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</row>
        <row r="736">
          <cell r="C736" t="str">
            <v>SPC</v>
          </cell>
          <cell r="H736" t="str">
            <v>10-XX-MSS-EL-0081</v>
          </cell>
          <cell r="I736" t="str">
            <v>Material and Equipment Technical Specification  for Cathodic Protection System</v>
          </cell>
          <cell r="N736">
            <v>0.1628</v>
          </cell>
          <cell r="P736">
            <v>1.9249472000000003E-3</v>
          </cell>
          <cell r="Q736" t="str">
            <v>V</v>
          </cell>
          <cell r="R736">
            <v>1.9E-3</v>
          </cell>
          <cell r="T736">
            <v>39441</v>
          </cell>
          <cell r="U736" t="str">
            <v>*</v>
          </cell>
          <cell r="V736" t="str">
            <v>2007-12</v>
          </cell>
          <cell r="AH736" t="str">
            <v/>
          </cell>
          <cell r="AJ736" t="str">
            <v/>
          </cell>
          <cell r="AL736" t="str">
            <v/>
          </cell>
          <cell r="AM736">
            <v>0</v>
          </cell>
          <cell r="AN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</row>
        <row r="737">
          <cell r="C737" t="str">
            <v>DSH</v>
          </cell>
          <cell r="H737" t="str">
            <v>10-XX-DSH-EL-0082</v>
          </cell>
          <cell r="I737" t="str">
            <v>Material and Equipment Technical Data Sheet for Cathodic Protection System</v>
          </cell>
          <cell r="N737">
            <v>0.1628</v>
          </cell>
          <cell r="P737">
            <v>1.9249472000000003E-3</v>
          </cell>
          <cell r="Q737" t="str">
            <v>L</v>
          </cell>
          <cell r="R737">
            <v>1.9E-3</v>
          </cell>
          <cell r="T737">
            <v>39450</v>
          </cell>
          <cell r="V737" t="str">
            <v>2008-01</v>
          </cell>
          <cell r="AH737" t="str">
            <v/>
          </cell>
          <cell r="AJ737" t="str">
            <v/>
          </cell>
          <cell r="AL737" t="str">
            <v/>
          </cell>
          <cell r="AM737">
            <v>0</v>
          </cell>
          <cell r="AN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</row>
        <row r="738">
          <cell r="C738" t="str">
            <v>MTO</v>
          </cell>
          <cell r="H738" t="str">
            <v>10-XX-MTO-EL-0083</v>
          </cell>
          <cell r="I738" t="str">
            <v>MTO for Cathodic Protection System</v>
          </cell>
          <cell r="N738">
            <v>8.14E-2</v>
          </cell>
          <cell r="P738">
            <v>9.6247360000000014E-4</v>
          </cell>
          <cell r="Q738" t="str">
            <v>L</v>
          </cell>
          <cell r="R738">
            <v>8.9999999999999998E-4</v>
          </cell>
          <cell r="T738">
            <v>39486</v>
          </cell>
          <cell r="V738" t="str">
            <v>2008-02</v>
          </cell>
          <cell r="AH738" t="str">
            <v/>
          </cell>
          <cell r="AJ738" t="str">
            <v/>
          </cell>
          <cell r="AL738" t="str">
            <v/>
          </cell>
          <cell r="AM738">
            <v>0</v>
          </cell>
          <cell r="AN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</row>
        <row r="739">
          <cell r="C739" t="str">
            <v>MR</v>
          </cell>
          <cell r="H739" t="str">
            <v>10-REQ-EL-363</v>
          </cell>
          <cell r="I739" t="str">
            <v>MR for Cathodic Protection System</v>
          </cell>
          <cell r="N739">
            <v>8.14E-2</v>
          </cell>
          <cell r="P739">
            <v>9.6247360000000014E-4</v>
          </cell>
          <cell r="Q739" t="str">
            <v>L</v>
          </cell>
          <cell r="R739">
            <v>8.9999999999999998E-4</v>
          </cell>
          <cell r="T739">
            <v>39490</v>
          </cell>
          <cell r="V739" t="str">
            <v>2008-02</v>
          </cell>
          <cell r="AH739" t="str">
            <v/>
          </cell>
          <cell r="AJ739" t="str">
            <v/>
          </cell>
          <cell r="AL739" t="str">
            <v/>
          </cell>
          <cell r="AM739">
            <v>0</v>
          </cell>
          <cell r="AN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</row>
        <row r="740">
          <cell r="C740" t="str">
            <v>TBA</v>
          </cell>
          <cell r="H740" t="str">
            <v>10-TBA-EL-378</v>
          </cell>
          <cell r="I740" t="str">
            <v>TBA for Cathodic Protection System</v>
          </cell>
          <cell r="N740">
            <v>3.39E-2</v>
          </cell>
          <cell r="P740">
            <v>4.0083360000000006E-4</v>
          </cell>
          <cell r="Q740" t="str">
            <v>L</v>
          </cell>
          <cell r="R740">
            <v>6.9999999999999999E-4</v>
          </cell>
          <cell r="T740">
            <v>39496</v>
          </cell>
          <cell r="V740" t="str">
            <v>2008-02</v>
          </cell>
          <cell r="AH740" t="str">
            <v/>
          </cell>
          <cell r="AJ740" t="str">
            <v/>
          </cell>
          <cell r="AL740" t="str">
            <v/>
          </cell>
          <cell r="AM740">
            <v>0</v>
          </cell>
          <cell r="AN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</row>
        <row r="741">
          <cell r="C741" t="str">
            <v>DWG</v>
          </cell>
          <cell r="H741" t="str">
            <v>10-XX-A3-EL-0081</v>
          </cell>
          <cell r="I741" t="str">
            <v>CP System Test Box Details And Installation</v>
          </cell>
          <cell r="N741">
            <v>4.3400000000000001E-2</v>
          </cell>
          <cell r="P741">
            <v>5.1316160000000003E-4</v>
          </cell>
          <cell r="Q741" t="str">
            <v>L</v>
          </cell>
          <cell r="R741">
            <v>5.0000000000000001E-4</v>
          </cell>
          <cell r="T741">
            <v>39462</v>
          </cell>
          <cell r="V741" t="str">
            <v>2008-01</v>
          </cell>
          <cell r="AH741" t="str">
            <v/>
          </cell>
          <cell r="AJ741" t="str">
            <v/>
          </cell>
          <cell r="AL741" t="str">
            <v/>
          </cell>
          <cell r="AM741">
            <v>0</v>
          </cell>
          <cell r="AN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</row>
        <row r="742">
          <cell r="C742" t="str">
            <v>DWG</v>
          </cell>
          <cell r="H742" t="str">
            <v>10-XX-A3-EL-0082</v>
          </cell>
          <cell r="I742" t="str">
            <v>CP System, Cable - Pipe Connection</v>
          </cell>
          <cell r="N742">
            <v>3.2599999999999997E-2</v>
          </cell>
          <cell r="P742">
            <v>3.8546240000000002E-4</v>
          </cell>
          <cell r="Q742" t="str">
            <v>L</v>
          </cell>
          <cell r="R742">
            <v>5.9999999999999995E-4</v>
          </cell>
          <cell r="T742">
            <v>39463</v>
          </cell>
          <cell r="V742" t="str">
            <v>2008-01</v>
          </cell>
          <cell r="AH742" t="str">
            <v/>
          </cell>
          <cell r="AJ742" t="str">
            <v/>
          </cell>
          <cell r="AL742" t="str">
            <v/>
          </cell>
          <cell r="AM742">
            <v>0</v>
          </cell>
          <cell r="AN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</row>
        <row r="743">
          <cell r="C743" t="str">
            <v>DWG</v>
          </cell>
          <cell r="H743" t="str">
            <v>10-XX-A3-EL-0083</v>
          </cell>
          <cell r="I743" t="str">
            <v>CP System Bond Box Details And Installation</v>
          </cell>
          <cell r="N743">
            <v>4.3400000000000001E-2</v>
          </cell>
          <cell r="P743">
            <v>5.1316160000000003E-4</v>
          </cell>
          <cell r="Q743" t="str">
            <v>L</v>
          </cell>
          <cell r="R743">
            <v>5.9999999999999995E-4</v>
          </cell>
          <cell r="T743">
            <v>39465</v>
          </cell>
          <cell r="V743" t="str">
            <v>2008-01</v>
          </cell>
          <cell r="AH743" t="str">
            <v/>
          </cell>
          <cell r="AJ743" t="str">
            <v/>
          </cell>
          <cell r="AL743" t="str">
            <v/>
          </cell>
          <cell r="AM743">
            <v>0</v>
          </cell>
          <cell r="AN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</row>
        <row r="744">
          <cell r="C744" t="str">
            <v>DWG</v>
          </cell>
          <cell r="H744" t="str">
            <v>10-XX-A3-EL-0084</v>
          </cell>
          <cell r="I744" t="str">
            <v>CP System Anode Ground bed Installation</v>
          </cell>
          <cell r="N744">
            <v>5.4300000000000001E-2</v>
          </cell>
          <cell r="P744">
            <v>6.4204320000000009E-4</v>
          </cell>
          <cell r="Q744" t="str">
            <v>L</v>
          </cell>
          <cell r="R744">
            <v>5.9999999999999995E-4</v>
          </cell>
          <cell r="T744">
            <v>39471</v>
          </cell>
          <cell r="V744" t="str">
            <v>2008-01</v>
          </cell>
          <cell r="AH744" t="str">
            <v/>
          </cell>
          <cell r="AJ744" t="str">
            <v/>
          </cell>
          <cell r="AL744" t="str">
            <v/>
          </cell>
          <cell r="AM744">
            <v>0</v>
          </cell>
          <cell r="AN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</row>
        <row r="745">
          <cell r="C745" t="str">
            <v>DWG</v>
          </cell>
          <cell r="H745" t="str">
            <v>10-XX-A3-EL-0085</v>
          </cell>
          <cell r="I745" t="str">
            <v>CP System Earthing System</v>
          </cell>
          <cell r="N745">
            <v>3.2599999999999997E-2</v>
          </cell>
          <cell r="P745">
            <v>3.8546240000000002E-4</v>
          </cell>
          <cell r="Q745" t="str">
            <v>L</v>
          </cell>
          <cell r="R745">
            <v>5.9999999999999995E-4</v>
          </cell>
          <cell r="T745">
            <v>39467</v>
          </cell>
          <cell r="V745" t="str">
            <v>2008-01</v>
          </cell>
          <cell r="AH745" t="str">
            <v/>
          </cell>
          <cell r="AJ745" t="str">
            <v/>
          </cell>
          <cell r="AL745" t="str">
            <v/>
          </cell>
          <cell r="AM745">
            <v>0</v>
          </cell>
          <cell r="AN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</row>
        <row r="746">
          <cell r="C746" t="str">
            <v>DWG</v>
          </cell>
          <cell r="H746" t="str">
            <v>10-XX-A3-EL-0086</v>
          </cell>
          <cell r="I746" t="str">
            <v>CP System, Splicing Kit Assembly Setup</v>
          </cell>
          <cell r="N746">
            <v>3.2599999999999997E-2</v>
          </cell>
          <cell r="P746">
            <v>3.8546240000000002E-4</v>
          </cell>
          <cell r="Q746" t="str">
            <v>L</v>
          </cell>
          <cell r="R746">
            <v>5.9999999999999995E-4</v>
          </cell>
          <cell r="T746">
            <v>39477</v>
          </cell>
          <cell r="V746" t="str">
            <v>2008-01</v>
          </cell>
          <cell r="AH746" t="str">
            <v/>
          </cell>
          <cell r="AJ746" t="str">
            <v/>
          </cell>
          <cell r="AL746" t="str">
            <v/>
          </cell>
          <cell r="AM746">
            <v>0</v>
          </cell>
          <cell r="AN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</row>
        <row r="747">
          <cell r="G747" t="str">
            <v>Telecommunication</v>
          </cell>
          <cell r="M747">
            <v>0.32200000000000001</v>
          </cell>
          <cell r="N747">
            <v>1.0000000000000004</v>
          </cell>
          <cell r="P747">
            <v>2.5760000000000002E-2</v>
          </cell>
          <cell r="R747">
            <v>1.32E-2</v>
          </cell>
          <cell r="T747" t="str">
            <v>.</v>
          </cell>
          <cell r="U747" t="str">
            <v>.</v>
          </cell>
          <cell r="V747" t="str">
            <v>.</v>
          </cell>
          <cell r="AG747" t="str">
            <v>.</v>
          </cell>
          <cell r="AM747">
            <v>0</v>
          </cell>
          <cell r="AN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</row>
        <row r="748">
          <cell r="C748" t="str">
            <v>DIG</v>
          </cell>
          <cell r="H748" t="str">
            <v>10-XX-A3-EL-0040</v>
          </cell>
          <cell r="I748" t="str">
            <v>Telephone  Block Diagram</v>
          </cell>
          <cell r="O748">
            <v>6.2300000000000001E-2</v>
          </cell>
          <cell r="P748">
            <v>1.6048480000000001E-3</v>
          </cell>
          <cell r="Q748" t="str">
            <v>L</v>
          </cell>
          <cell r="R748">
            <v>5.9999999999999995E-4</v>
          </cell>
          <cell r="T748">
            <v>39457</v>
          </cell>
          <cell r="V748" t="str">
            <v>2008-01</v>
          </cell>
          <cell r="AH748" t="str">
            <v/>
          </cell>
          <cell r="AJ748" t="str">
            <v/>
          </cell>
          <cell r="AL748" t="str">
            <v/>
          </cell>
          <cell r="AM748">
            <v>0</v>
          </cell>
          <cell r="AN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</row>
        <row r="749">
          <cell r="C749" t="str">
            <v>DWG</v>
          </cell>
          <cell r="H749" t="str">
            <v>10-XX-A3-EL-0041</v>
          </cell>
          <cell r="I749" t="str">
            <v xml:space="preserve">Building Telephone  Layout   </v>
          </cell>
          <cell r="O749">
            <v>0.1246</v>
          </cell>
          <cell r="P749">
            <v>3.2096960000000002E-3</v>
          </cell>
          <cell r="Q749" t="str">
            <v>L</v>
          </cell>
          <cell r="R749">
            <v>5.9999999999999995E-4</v>
          </cell>
          <cell r="T749">
            <v>39462</v>
          </cell>
          <cell r="V749" t="str">
            <v>2008-01</v>
          </cell>
          <cell r="AH749" t="str">
            <v/>
          </cell>
          <cell r="AJ749" t="str">
            <v/>
          </cell>
          <cell r="AL749" t="str">
            <v/>
          </cell>
          <cell r="AM749">
            <v>0</v>
          </cell>
          <cell r="AN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</row>
        <row r="750">
          <cell r="C750" t="str">
            <v>DIG</v>
          </cell>
          <cell r="H750" t="str">
            <v>10-XX-A3-EL-0042</v>
          </cell>
          <cell r="I750" t="str">
            <v>Public  Address System Block Diagram</v>
          </cell>
          <cell r="O750">
            <v>6.2300000000000001E-2</v>
          </cell>
          <cell r="P750">
            <v>1.6048480000000001E-3</v>
          </cell>
          <cell r="Q750" t="str">
            <v>L</v>
          </cell>
          <cell r="R750">
            <v>5.9999999999999995E-4</v>
          </cell>
          <cell r="T750">
            <v>39460</v>
          </cell>
          <cell r="V750" t="str">
            <v>2008-01</v>
          </cell>
          <cell r="AH750" t="str">
            <v/>
          </cell>
          <cell r="AJ750" t="str">
            <v/>
          </cell>
          <cell r="AL750" t="str">
            <v/>
          </cell>
          <cell r="AM750">
            <v>0</v>
          </cell>
          <cell r="AN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</row>
        <row r="751">
          <cell r="C751" t="str">
            <v>DWG</v>
          </cell>
          <cell r="H751" t="str">
            <v>10-XX-A3-EL-0043</v>
          </cell>
          <cell r="I751" t="str">
            <v>Building Public  Address System Layout</v>
          </cell>
          <cell r="O751">
            <v>0.1246</v>
          </cell>
          <cell r="P751">
            <v>3.2096960000000002E-3</v>
          </cell>
          <cell r="Q751" t="str">
            <v>L</v>
          </cell>
          <cell r="R751">
            <v>5.9999999999999995E-4</v>
          </cell>
          <cell r="T751">
            <v>39465</v>
          </cell>
          <cell r="V751" t="str">
            <v>2008-01</v>
          </cell>
          <cell r="AH751" t="str">
            <v/>
          </cell>
          <cell r="AJ751" t="str">
            <v/>
          </cell>
          <cell r="AL751" t="str">
            <v/>
          </cell>
          <cell r="AM751">
            <v>0</v>
          </cell>
          <cell r="AN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</row>
        <row r="752">
          <cell r="C752" t="str">
            <v>DWG</v>
          </cell>
          <cell r="H752" t="str">
            <v>10-XX-A3-EL-0044</v>
          </cell>
          <cell r="I752" t="str">
            <v>Telephone  Cable Routing Layout</v>
          </cell>
          <cell r="O752">
            <v>9.3399999999999997E-2</v>
          </cell>
          <cell r="P752">
            <v>2.4059839999999999E-3</v>
          </cell>
          <cell r="Q752" t="str">
            <v>L</v>
          </cell>
          <cell r="R752">
            <v>6.9999999999999999E-4</v>
          </cell>
          <cell r="T752">
            <v>39463</v>
          </cell>
          <cell r="V752" t="str">
            <v>2008-01</v>
          </cell>
          <cell r="AH752" t="str">
            <v/>
          </cell>
          <cell r="AJ752" t="str">
            <v/>
          </cell>
          <cell r="AL752" t="str">
            <v/>
          </cell>
          <cell r="AM752">
            <v>0</v>
          </cell>
          <cell r="AN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</row>
        <row r="753">
          <cell r="C753" t="str">
            <v>DWG</v>
          </cell>
          <cell r="H753" t="str">
            <v>10-XX-A3-EL-0045</v>
          </cell>
          <cell r="I753" t="str">
            <v>Public  Address Cable Routing Layout</v>
          </cell>
          <cell r="O753">
            <v>9.3399999999999997E-2</v>
          </cell>
          <cell r="P753">
            <v>2.4059839999999999E-3</v>
          </cell>
          <cell r="Q753" t="str">
            <v>L</v>
          </cell>
          <cell r="R753">
            <v>6.9999999999999999E-4</v>
          </cell>
          <cell r="T753">
            <v>39468</v>
          </cell>
          <cell r="V753" t="str">
            <v>2008-01</v>
          </cell>
          <cell r="AH753" t="str">
            <v/>
          </cell>
          <cell r="AJ753" t="str">
            <v/>
          </cell>
          <cell r="AL753" t="str">
            <v/>
          </cell>
          <cell r="AM753">
            <v>0</v>
          </cell>
          <cell r="AN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</row>
        <row r="754">
          <cell r="C754" t="str">
            <v>MTO</v>
          </cell>
          <cell r="H754" t="str">
            <v>10-XX-MTO-EL-0021</v>
          </cell>
          <cell r="I754" t="str">
            <v>MTO for Telephone &amp; Paging System</v>
          </cell>
          <cell r="O754">
            <v>2.18E-2</v>
          </cell>
          <cell r="P754">
            <v>5.6156800000000003E-4</v>
          </cell>
          <cell r="Q754" t="str">
            <v>L</v>
          </cell>
          <cell r="R754">
            <v>2.9999999999999997E-4</v>
          </cell>
          <cell r="T754">
            <v>39479</v>
          </cell>
          <cell r="V754" t="str">
            <v>2008-02</v>
          </cell>
          <cell r="AH754" t="str">
            <v/>
          </cell>
          <cell r="AJ754" t="str">
            <v/>
          </cell>
          <cell r="AL754" t="str">
            <v/>
          </cell>
          <cell r="AM754">
            <v>0</v>
          </cell>
          <cell r="AN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</row>
        <row r="755">
          <cell r="C755" t="str">
            <v>DSH</v>
          </cell>
          <cell r="H755" t="str">
            <v>10-XX-DSH-EL-0020</v>
          </cell>
          <cell r="I755" t="str">
            <v>Data Sheet for Telephone &amp; Paging System</v>
          </cell>
          <cell r="O755">
            <v>2.8000000000000001E-2</v>
          </cell>
          <cell r="P755">
            <v>7.2128000000000003E-4</v>
          </cell>
          <cell r="Q755" t="str">
            <v>L</v>
          </cell>
          <cell r="R755">
            <v>4.0000000000000002E-4</v>
          </cell>
          <cell r="T755">
            <v>39480</v>
          </cell>
          <cell r="V755" t="str">
            <v>2008-02</v>
          </cell>
          <cell r="AH755" t="str">
            <v/>
          </cell>
          <cell r="AJ755" t="str">
            <v/>
          </cell>
          <cell r="AL755" t="str">
            <v/>
          </cell>
          <cell r="AM755">
            <v>0</v>
          </cell>
          <cell r="AN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</row>
        <row r="756">
          <cell r="C756" t="str">
            <v>MR</v>
          </cell>
          <cell r="H756" t="str">
            <v>10-REQ-EL-391</v>
          </cell>
          <cell r="I756" t="str">
            <v>MR for Telephone &amp; Paging System</v>
          </cell>
          <cell r="O756">
            <v>2.18E-2</v>
          </cell>
          <cell r="P756">
            <v>5.6156800000000003E-4</v>
          </cell>
          <cell r="Q756" t="str">
            <v>L</v>
          </cell>
          <cell r="R756">
            <v>4.0000000000000002E-4</v>
          </cell>
          <cell r="T756">
            <v>39486</v>
          </cell>
          <cell r="V756" t="str">
            <v>2008-02</v>
          </cell>
          <cell r="AH756" t="str">
            <v/>
          </cell>
          <cell r="AJ756" t="str">
            <v/>
          </cell>
          <cell r="AL756" t="str">
            <v/>
          </cell>
          <cell r="AM756">
            <v>0</v>
          </cell>
          <cell r="AN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</row>
        <row r="757">
          <cell r="C757" t="str">
            <v>TBA</v>
          </cell>
          <cell r="H757" t="str">
            <v>10-TBA-EL-392</v>
          </cell>
          <cell r="I757" t="str">
            <v>TBA for Telephone &amp; Paging System</v>
          </cell>
          <cell r="O757">
            <v>3.1E-2</v>
          </cell>
          <cell r="P757">
            <v>7.9856000000000003E-4</v>
          </cell>
          <cell r="Q757" t="str">
            <v>L</v>
          </cell>
          <cell r="R757">
            <v>2.0000000000000001E-4</v>
          </cell>
          <cell r="T757">
            <v>39499</v>
          </cell>
          <cell r="V757" t="str">
            <v>2008-02</v>
          </cell>
          <cell r="AH757" t="str">
            <v/>
          </cell>
          <cell r="AJ757" t="str">
            <v/>
          </cell>
          <cell r="AL757" t="str">
            <v/>
          </cell>
          <cell r="AM757">
            <v>0</v>
          </cell>
          <cell r="AN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</row>
        <row r="758">
          <cell r="C758" t="str">
            <v>VDT</v>
          </cell>
          <cell r="H758" t="str">
            <v>10-XX-VDT-EL-0020</v>
          </cell>
          <cell r="I758" t="str">
            <v>Vendor  Data  Requirements for Telephone &amp; Paging System</v>
          </cell>
          <cell r="O758">
            <v>1.5599999999999999E-2</v>
          </cell>
          <cell r="P758">
            <v>4.0185600000000002E-4</v>
          </cell>
          <cell r="Q758" t="str">
            <v>L</v>
          </cell>
          <cell r="R758">
            <v>2.0000000000000001E-4</v>
          </cell>
          <cell r="T758">
            <v>39496</v>
          </cell>
          <cell r="V758" t="str">
            <v>2008-02</v>
          </cell>
          <cell r="AH758" t="str">
            <v/>
          </cell>
          <cell r="AJ758" t="str">
            <v/>
          </cell>
          <cell r="AL758" t="str">
            <v/>
          </cell>
          <cell r="AM758">
            <v>0</v>
          </cell>
          <cell r="AN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</row>
        <row r="759">
          <cell r="C759" t="str">
            <v>MTO</v>
          </cell>
          <cell r="H759" t="str">
            <v>10-XX-MTO-EL-0022</v>
          </cell>
          <cell r="I759" t="str">
            <v>MTO for Communication Cables</v>
          </cell>
          <cell r="O759">
            <v>2.4899999999999999E-2</v>
          </cell>
          <cell r="P759">
            <v>6.4142400000000003E-4</v>
          </cell>
          <cell r="Q759" t="str">
            <v>L</v>
          </cell>
          <cell r="R759">
            <v>2.9999999999999997E-4</v>
          </cell>
          <cell r="T759">
            <v>39479</v>
          </cell>
          <cell r="V759" t="str">
            <v>2008-02</v>
          </cell>
          <cell r="AH759" t="str">
            <v/>
          </cell>
          <cell r="AJ759" t="str">
            <v/>
          </cell>
          <cell r="AL759" t="str">
            <v/>
          </cell>
          <cell r="AM759">
            <v>0</v>
          </cell>
          <cell r="AN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</row>
        <row r="760">
          <cell r="C760" t="str">
            <v>DSH</v>
          </cell>
          <cell r="H760" t="str">
            <v>10-XX-DSH-EL-0021</v>
          </cell>
          <cell r="I760" t="str">
            <v>Data Sheet for Communication Cables</v>
          </cell>
          <cell r="O760">
            <v>2.8000000000000001E-2</v>
          </cell>
          <cell r="P760">
            <v>7.2128000000000003E-4</v>
          </cell>
          <cell r="Q760" t="str">
            <v>L</v>
          </cell>
          <cell r="R760">
            <v>4.0000000000000002E-4</v>
          </cell>
          <cell r="T760">
            <v>39480</v>
          </cell>
          <cell r="V760" t="str">
            <v>2008-02</v>
          </cell>
          <cell r="AH760" t="str">
            <v/>
          </cell>
          <cell r="AJ760" t="str">
            <v/>
          </cell>
          <cell r="AL760" t="str">
            <v/>
          </cell>
          <cell r="AM760">
            <v>0</v>
          </cell>
          <cell r="AN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</row>
        <row r="761">
          <cell r="C761" t="str">
            <v>MR</v>
          </cell>
          <cell r="H761" t="str">
            <v>10-REQ-EL-393</v>
          </cell>
          <cell r="I761" t="str">
            <v>MR for Communication Cables</v>
          </cell>
          <cell r="O761">
            <v>2.18E-2</v>
          </cell>
          <cell r="P761">
            <v>5.6156800000000003E-4</v>
          </cell>
          <cell r="Q761" t="str">
            <v>L</v>
          </cell>
          <cell r="R761">
            <v>4.0000000000000002E-4</v>
          </cell>
          <cell r="T761">
            <v>39486</v>
          </cell>
          <cell r="V761" t="str">
            <v>2008-02</v>
          </cell>
          <cell r="AH761" t="str">
            <v/>
          </cell>
          <cell r="AJ761" t="str">
            <v/>
          </cell>
          <cell r="AL761" t="str">
            <v/>
          </cell>
          <cell r="AM761">
            <v>0</v>
          </cell>
          <cell r="AN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</row>
        <row r="762">
          <cell r="C762" t="str">
            <v>TBA</v>
          </cell>
          <cell r="H762" t="str">
            <v>10-TBA-EL-394</v>
          </cell>
          <cell r="I762" t="str">
            <v>TBA for Communication Cables</v>
          </cell>
          <cell r="O762">
            <v>0.03</v>
          </cell>
          <cell r="P762">
            <v>7.7280000000000003E-4</v>
          </cell>
          <cell r="Q762" t="str">
            <v>L</v>
          </cell>
          <cell r="R762">
            <v>2.0000000000000001E-4</v>
          </cell>
          <cell r="T762">
            <v>39499</v>
          </cell>
          <cell r="V762" t="str">
            <v>2008-02</v>
          </cell>
          <cell r="AH762" t="str">
            <v/>
          </cell>
          <cell r="AJ762" t="str">
            <v/>
          </cell>
          <cell r="AL762" t="str">
            <v/>
          </cell>
          <cell r="AM762">
            <v>0</v>
          </cell>
          <cell r="AN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</row>
        <row r="763">
          <cell r="C763" t="str">
            <v>VDT</v>
          </cell>
          <cell r="H763" t="str">
            <v>10-XX-VDT-EL-0021</v>
          </cell>
          <cell r="I763" t="str">
            <v>Vendor  Data  Requirements for Cable Gland and Cable Termination &amp; Accessories</v>
          </cell>
          <cell r="O763">
            <v>2.8000000000000001E-2</v>
          </cell>
          <cell r="P763">
            <v>7.2128000000000003E-4</v>
          </cell>
          <cell r="Q763" t="str">
            <v>L</v>
          </cell>
          <cell r="R763">
            <v>2.0000000000000001E-4</v>
          </cell>
          <cell r="T763">
            <v>39496</v>
          </cell>
          <cell r="V763" t="str">
            <v>2008-02</v>
          </cell>
          <cell r="AH763" t="str">
            <v/>
          </cell>
          <cell r="AJ763" t="str">
            <v/>
          </cell>
          <cell r="AL763" t="str">
            <v/>
          </cell>
          <cell r="AM763">
            <v>0</v>
          </cell>
          <cell r="AN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</row>
        <row r="764">
          <cell r="C764" t="str">
            <v>MTO</v>
          </cell>
          <cell r="H764" t="str">
            <v>10-XX-MTO-EL-0023</v>
          </cell>
          <cell r="I764" t="str">
            <v>MTO for Bulk Material</v>
          </cell>
          <cell r="O764">
            <v>2.4899999999999999E-2</v>
          </cell>
          <cell r="P764">
            <v>6.4142400000000003E-4</v>
          </cell>
          <cell r="Q764" t="str">
            <v>L</v>
          </cell>
          <cell r="R764">
            <v>2.9999999999999997E-4</v>
          </cell>
          <cell r="T764">
            <v>39479</v>
          </cell>
          <cell r="V764" t="str">
            <v>2008-02</v>
          </cell>
          <cell r="AH764" t="str">
            <v/>
          </cell>
          <cell r="AJ764" t="str">
            <v/>
          </cell>
          <cell r="AL764" t="str">
            <v/>
          </cell>
          <cell r="AM764">
            <v>0</v>
          </cell>
          <cell r="AN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</row>
        <row r="765">
          <cell r="C765" t="str">
            <v>MR</v>
          </cell>
          <cell r="H765" t="str">
            <v>10-REQ-EL-395</v>
          </cell>
          <cell r="I765" t="str">
            <v>MR for  Bulk Material</v>
          </cell>
          <cell r="O765">
            <v>2.4899999999999999E-2</v>
          </cell>
          <cell r="P765">
            <v>6.4142400000000003E-4</v>
          </cell>
          <cell r="Q765" t="str">
            <v>L</v>
          </cell>
          <cell r="R765">
            <v>4.0000000000000002E-4</v>
          </cell>
          <cell r="T765">
            <v>39486</v>
          </cell>
          <cell r="V765" t="str">
            <v>2008-02</v>
          </cell>
          <cell r="AH765" t="str">
            <v/>
          </cell>
          <cell r="AJ765" t="str">
            <v/>
          </cell>
          <cell r="AL765" t="str">
            <v/>
          </cell>
          <cell r="AM765">
            <v>0</v>
          </cell>
          <cell r="AN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</row>
        <row r="766">
          <cell r="C766" t="str">
            <v>TBA</v>
          </cell>
          <cell r="H766" t="str">
            <v>10-TBA-EL-395</v>
          </cell>
          <cell r="I766" t="str">
            <v>TBA for  Bulk Material</v>
          </cell>
          <cell r="O766">
            <v>1.4E-2</v>
          </cell>
          <cell r="P766">
            <v>3.6064000000000002E-4</v>
          </cell>
          <cell r="Q766" t="str">
            <v>L</v>
          </cell>
          <cell r="R766">
            <v>2.0000000000000001E-4</v>
          </cell>
          <cell r="T766">
            <v>39499</v>
          </cell>
          <cell r="V766" t="str">
            <v>2008-02</v>
          </cell>
          <cell r="AM766">
            <v>0</v>
          </cell>
          <cell r="AN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</row>
        <row r="767">
          <cell r="C767" t="str">
            <v>DSH</v>
          </cell>
          <cell r="H767" t="str">
            <v>10-XX-DSH-EL-0022</v>
          </cell>
          <cell r="I767" t="str">
            <v>Data Sheet for VHF/ FM Radio</v>
          </cell>
          <cell r="O767">
            <v>2.8000000000000001E-2</v>
          </cell>
          <cell r="P767">
            <v>7.2128000000000003E-4</v>
          </cell>
          <cell r="Q767" t="str">
            <v>L</v>
          </cell>
          <cell r="R767">
            <v>4.0000000000000002E-4</v>
          </cell>
          <cell r="T767">
            <v>39480</v>
          </cell>
          <cell r="V767" t="str">
            <v>2008-02</v>
          </cell>
          <cell r="AH767" t="str">
            <v/>
          </cell>
          <cell r="AJ767" t="str">
            <v/>
          </cell>
          <cell r="AL767" t="str">
            <v/>
          </cell>
          <cell r="AM767">
            <v>0</v>
          </cell>
          <cell r="AN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</row>
        <row r="768">
          <cell r="C768" t="str">
            <v>MTO</v>
          </cell>
          <cell r="H768" t="str">
            <v>10-XX-MTO-EL-0024</v>
          </cell>
          <cell r="I768" t="str">
            <v>MTO for VHF/ FM Radio</v>
          </cell>
          <cell r="O768">
            <v>2.18E-2</v>
          </cell>
          <cell r="P768">
            <v>5.6156800000000003E-4</v>
          </cell>
          <cell r="Q768" t="str">
            <v>L</v>
          </cell>
          <cell r="R768">
            <v>2.9999999999999997E-4</v>
          </cell>
          <cell r="T768">
            <v>39479</v>
          </cell>
          <cell r="V768" t="str">
            <v>2008-02</v>
          </cell>
          <cell r="AH768" t="str">
            <v/>
          </cell>
          <cell r="AJ768" t="str">
            <v/>
          </cell>
          <cell r="AL768" t="str">
            <v/>
          </cell>
          <cell r="AM768">
            <v>0</v>
          </cell>
          <cell r="AN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</row>
        <row r="769">
          <cell r="C769" t="str">
            <v>MR</v>
          </cell>
          <cell r="H769" t="str">
            <v>10-REQ-EL-396</v>
          </cell>
          <cell r="I769" t="str">
            <v>MR for VHF/ FM Radio</v>
          </cell>
          <cell r="O769">
            <v>1.8700000000000001E-2</v>
          </cell>
          <cell r="P769">
            <v>4.8171200000000008E-4</v>
          </cell>
          <cell r="Q769" t="str">
            <v>L</v>
          </cell>
          <cell r="R769">
            <v>4.0000000000000002E-4</v>
          </cell>
          <cell r="T769">
            <v>39486</v>
          </cell>
          <cell r="V769" t="str">
            <v>2008-02</v>
          </cell>
          <cell r="AH769" t="str">
            <v/>
          </cell>
          <cell r="AJ769" t="str">
            <v/>
          </cell>
          <cell r="AL769" t="str">
            <v/>
          </cell>
          <cell r="AM769">
            <v>0</v>
          </cell>
          <cell r="AN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</row>
        <row r="770">
          <cell r="C770" t="str">
            <v>VDT</v>
          </cell>
          <cell r="H770" t="str">
            <v>10-XX-VDT-EL-0022</v>
          </cell>
          <cell r="I770" t="str">
            <v>Vendor  Data  Requirements for  VHF/ FM Radio</v>
          </cell>
          <cell r="O770">
            <v>1.8700000000000001E-2</v>
          </cell>
          <cell r="P770">
            <v>4.8171200000000008E-4</v>
          </cell>
          <cell r="Q770" t="str">
            <v>L</v>
          </cell>
          <cell r="R770">
            <v>2.0000000000000001E-4</v>
          </cell>
          <cell r="T770">
            <v>39496</v>
          </cell>
          <cell r="V770" t="str">
            <v>2008-02</v>
          </cell>
          <cell r="AH770" t="str">
            <v/>
          </cell>
          <cell r="AJ770" t="str">
            <v/>
          </cell>
          <cell r="AL770" t="str">
            <v/>
          </cell>
          <cell r="AM770">
            <v>0</v>
          </cell>
          <cell r="AN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</row>
        <row r="771">
          <cell r="C771" t="str">
            <v>TBA</v>
          </cell>
          <cell r="H771" t="str">
            <v>10-TBA-EL-397</v>
          </cell>
          <cell r="I771" t="str">
            <v>TBA for VHF/ FM Radio</v>
          </cell>
          <cell r="O771">
            <v>3.7499999999999999E-2</v>
          </cell>
          <cell r="P771">
            <v>9.6600000000000006E-4</v>
          </cell>
          <cell r="Q771" t="str">
            <v>L</v>
          </cell>
          <cell r="R771">
            <v>2.0000000000000001E-4</v>
          </cell>
          <cell r="T771">
            <v>39499</v>
          </cell>
          <cell r="V771" t="str">
            <v>2008-02</v>
          </cell>
          <cell r="AH771" t="str">
            <v/>
          </cell>
          <cell r="AJ771" t="str">
            <v/>
          </cell>
          <cell r="AL771" t="str">
            <v/>
          </cell>
          <cell r="AM771">
            <v>0</v>
          </cell>
          <cell r="AN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</row>
        <row r="772">
          <cell r="C772" t="str">
            <v>MIS</v>
          </cell>
          <cell r="G772" t="str">
            <v>Miscellaneous</v>
          </cell>
          <cell r="M772">
            <v>1.2E-2</v>
          </cell>
          <cell r="N772">
            <v>1</v>
          </cell>
          <cell r="P772">
            <v>9.6000000000000013E-4</v>
          </cell>
          <cell r="R772">
            <v>4.0000000000000001E-3</v>
          </cell>
          <cell r="T772" t="str">
            <v>.</v>
          </cell>
          <cell r="U772" t="str">
            <v>.</v>
          </cell>
          <cell r="V772" t="str">
            <v>.</v>
          </cell>
          <cell r="AG772" t="str">
            <v>.</v>
          </cell>
          <cell r="AM772">
            <v>0</v>
          </cell>
          <cell r="AN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</row>
        <row r="773">
          <cell r="F773" t="str">
            <v>Mechanical</v>
          </cell>
          <cell r="L773">
            <v>0.2</v>
          </cell>
          <cell r="M773" t="e">
            <v>#REF!</v>
          </cell>
          <cell r="P773">
            <v>0.16000000000000003</v>
          </cell>
          <cell r="R773">
            <v>0.15999999999999998</v>
          </cell>
          <cell r="T773" t="str">
            <v>.</v>
          </cell>
          <cell r="U773" t="str">
            <v>.</v>
          </cell>
          <cell r="V773" t="str">
            <v>.</v>
          </cell>
          <cell r="W773" t="str">
            <v>.</v>
          </cell>
          <cell r="X773" t="str">
            <v>.</v>
          </cell>
          <cell r="Y773" t="str">
            <v>.</v>
          </cell>
          <cell r="Z773" t="str">
            <v>.</v>
          </cell>
          <cell r="AA773" t="str">
            <v>.</v>
          </cell>
          <cell r="AG773" t="str">
            <v>.</v>
          </cell>
          <cell r="AH773" t="str">
            <v>.</v>
          </cell>
          <cell r="AI773" t="str">
            <v>.</v>
          </cell>
          <cell r="AJ773" t="str">
            <v>.</v>
          </cell>
          <cell r="AK773" t="str">
            <v>.</v>
          </cell>
          <cell r="AL773" t="str">
            <v>.</v>
          </cell>
          <cell r="AM773">
            <v>0.18415312499999995</v>
          </cell>
          <cell r="AN773">
            <v>2.9464499999999998E-2</v>
          </cell>
          <cell r="AO773" t="str">
            <v>.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</row>
        <row r="774">
          <cell r="G774" t="str">
            <v>General</v>
          </cell>
          <cell r="M774">
            <v>1.4999999999999999E-2</v>
          </cell>
          <cell r="N774">
            <v>1</v>
          </cell>
          <cell r="P774">
            <v>2.4000000000000002E-3</v>
          </cell>
          <cell r="R774">
            <v>5.0100000000000006E-3</v>
          </cell>
          <cell r="T774" t="str">
            <v>.</v>
          </cell>
          <cell r="U774" t="str">
            <v>.</v>
          </cell>
          <cell r="V774" t="str">
            <v>.</v>
          </cell>
          <cell r="AG774" t="str">
            <v>.</v>
          </cell>
          <cell r="AM774">
            <v>0.87374999999999992</v>
          </cell>
          <cell r="AN774">
            <v>2.0969999999999999E-3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</row>
        <row r="775">
          <cell r="C775" t="str">
            <v>SPC</v>
          </cell>
          <cell r="H775" t="str">
            <v>10-XX-ESS-ME-0021</v>
          </cell>
          <cell r="I775" t="str">
            <v>Specification for Welding &amp; NDE of Storage tank</v>
          </cell>
          <cell r="N775">
            <v>0.14000000000000001</v>
          </cell>
          <cell r="P775">
            <v>3.3600000000000009E-4</v>
          </cell>
          <cell r="R775">
            <v>2.3000000000000001E-4</v>
          </cell>
          <cell r="V775" t="str">
            <v>ارسال شده</v>
          </cell>
          <cell r="W775">
            <v>0</v>
          </cell>
          <cell r="X775">
            <v>72</v>
          </cell>
          <cell r="Y775" t="str">
            <v>04-08-07</v>
          </cell>
          <cell r="Z775" t="str">
            <v>F-0128</v>
          </cell>
          <cell r="AA775" t="str">
            <v>06-08-07</v>
          </cell>
          <cell r="AG775" t="str">
            <v>GBT</v>
          </cell>
          <cell r="AH775" t="str">
            <v>x</v>
          </cell>
          <cell r="AM775">
            <v>0.45</v>
          </cell>
          <cell r="AN775">
            <v>1.0350000000000001E-4</v>
          </cell>
          <cell r="AQ775">
            <v>1.5120000000000004E-4</v>
          </cell>
          <cell r="AR775">
            <v>1.0350000000000001E-4</v>
          </cell>
          <cell r="AS775">
            <v>45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45</v>
          </cell>
        </row>
        <row r="776">
          <cell r="H776" t="str">
            <v>10-XX-PCJ-PV-0001</v>
          </cell>
          <cell r="I776" t="str">
            <v>WPS for Pressure Vessel Welding</v>
          </cell>
          <cell r="Q776" t="str">
            <v>I</v>
          </cell>
          <cell r="R776">
            <v>2.3000000000000001E-4</v>
          </cell>
          <cell r="AN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</row>
        <row r="777">
          <cell r="H777" t="str">
            <v>10-XX-CSS-ME-0022</v>
          </cell>
          <cell r="I777" t="str">
            <v xml:space="preserve">Spec. Packing &amp; Marking and Shipping </v>
          </cell>
          <cell r="N777">
            <v>0.14000000000000001</v>
          </cell>
          <cell r="P777">
            <v>3.3600000000000009E-4</v>
          </cell>
          <cell r="R777">
            <v>2.3000000000000001E-4</v>
          </cell>
          <cell r="V777" t="str">
            <v>ارسال شده</v>
          </cell>
          <cell r="W777">
            <v>0</v>
          </cell>
          <cell r="X777">
            <v>337</v>
          </cell>
          <cell r="Y777" t="str">
            <v>20-11-07</v>
          </cell>
          <cell r="Z777" t="str">
            <v>F-0387</v>
          </cell>
          <cell r="AA777" t="str">
            <v>22-11-07</v>
          </cell>
          <cell r="AG777" t="str">
            <v>GBT</v>
          </cell>
          <cell r="AH777" t="str">
            <v>x</v>
          </cell>
          <cell r="AM777">
            <v>0.45</v>
          </cell>
          <cell r="AN777">
            <v>1.0350000000000001E-4</v>
          </cell>
          <cell r="AQ777">
            <v>1.5120000000000004E-4</v>
          </cell>
          <cell r="AR777">
            <v>1.0350000000000001E-4</v>
          </cell>
          <cell r="AS777">
            <v>45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45</v>
          </cell>
        </row>
        <row r="778">
          <cell r="C778" t="str">
            <v>RPT</v>
          </cell>
          <cell r="H778" t="str">
            <v>10-XX-SCH-ME-0010</v>
          </cell>
          <cell r="I778" t="str">
            <v>ERECTION,COMMISSIONING AND START UP SPARE PART</v>
          </cell>
          <cell r="N778">
            <v>0.14000000000000001</v>
          </cell>
          <cell r="P778">
            <v>3.3600000000000009E-4</v>
          </cell>
          <cell r="R778">
            <v>2.3000000000000001E-4</v>
          </cell>
          <cell r="V778" t="str">
            <v>ارسال شده</v>
          </cell>
          <cell r="W778">
            <v>0</v>
          </cell>
          <cell r="X778">
            <v>77</v>
          </cell>
          <cell r="Y778" t="str">
            <v>12-08-07</v>
          </cell>
          <cell r="Z778" t="str">
            <v>F-0149</v>
          </cell>
          <cell r="AA778" t="str">
            <v>16-08-07</v>
          </cell>
          <cell r="AG778" t="str">
            <v>GBT</v>
          </cell>
          <cell r="AH778" t="str">
            <v>x</v>
          </cell>
          <cell r="AM778">
            <v>0.45</v>
          </cell>
          <cell r="AN778">
            <v>1.0350000000000001E-4</v>
          </cell>
          <cell r="AQ778">
            <v>1.5120000000000004E-4</v>
          </cell>
          <cell r="AR778">
            <v>1.0350000000000001E-4</v>
          </cell>
          <cell r="AS778">
            <v>45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45</v>
          </cell>
        </row>
        <row r="779">
          <cell r="H779" t="str">
            <v>10-XX-SCH-ME-0011</v>
          </cell>
          <cell r="I779" t="str">
            <v>Two Years Operation Spare Parts</v>
          </cell>
          <cell r="N779">
            <v>0.14000000000000001</v>
          </cell>
          <cell r="P779">
            <v>3.3600000000000009E-4</v>
          </cell>
          <cell r="Q779" t="str">
            <v>I</v>
          </cell>
          <cell r="R779">
            <v>2.3000000000000001E-4</v>
          </cell>
          <cell r="T779">
            <v>39446</v>
          </cell>
          <cell r="U779" t="str">
            <v>*</v>
          </cell>
          <cell r="V779" t="str">
            <v>2007-12</v>
          </cell>
          <cell r="AM779">
            <v>0</v>
          </cell>
          <cell r="AN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</row>
        <row r="780">
          <cell r="H780" t="str">
            <v>10-XX-SCH-ME-0012</v>
          </cell>
          <cell r="I780" t="str">
            <v>Capital Spare Parts</v>
          </cell>
          <cell r="N780">
            <v>0.14000000000000001</v>
          </cell>
          <cell r="P780">
            <v>3.3600000000000009E-4</v>
          </cell>
          <cell r="Q780" t="str">
            <v>I</v>
          </cell>
          <cell r="R780">
            <v>2.3000000000000001E-4</v>
          </cell>
          <cell r="T780">
            <v>39446</v>
          </cell>
          <cell r="U780" t="str">
            <v>*</v>
          </cell>
          <cell r="V780" t="str">
            <v>2007-12</v>
          </cell>
          <cell r="AM780">
            <v>0</v>
          </cell>
          <cell r="AN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</row>
        <row r="781">
          <cell r="C781" t="str">
            <v>MR</v>
          </cell>
          <cell r="H781" t="str">
            <v>10-REQ-ME-259</v>
          </cell>
          <cell r="I781" t="str">
            <v>MR for Storage Tank</v>
          </cell>
          <cell r="N781">
            <v>0.15</v>
          </cell>
          <cell r="P781">
            <v>3.6000000000000002E-4</v>
          </cell>
          <cell r="R781">
            <v>5.2999999999999998E-4</v>
          </cell>
          <cell r="V781" t="str">
            <v>ارسال شده</v>
          </cell>
          <cell r="W781">
            <v>0</v>
          </cell>
          <cell r="X781">
            <v>72</v>
          </cell>
          <cell r="Y781" t="str">
            <v>04-08-07</v>
          </cell>
          <cell r="Z781" t="str">
            <v>F-0128</v>
          </cell>
          <cell r="AA781" t="str">
            <v>06-08-07</v>
          </cell>
          <cell r="AG781" t="str">
            <v>GBT</v>
          </cell>
          <cell r="AH781" t="str">
            <v>x</v>
          </cell>
          <cell r="AM781">
            <v>0.45</v>
          </cell>
          <cell r="AN781">
            <v>2.385E-4</v>
          </cell>
          <cell r="AQ781">
            <v>1.6200000000000001E-4</v>
          </cell>
          <cell r="AR781">
            <v>2.385E-4</v>
          </cell>
          <cell r="AS781">
            <v>45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45</v>
          </cell>
        </row>
        <row r="782">
          <cell r="H782" t="str">
            <v>10-REQ-ME-261</v>
          </cell>
          <cell r="I782" t="str">
            <v>MR for Perssure Vessle</v>
          </cell>
          <cell r="R782">
            <v>5.2999999999999998E-4</v>
          </cell>
          <cell r="V782" t="str">
            <v>ارسال شده</v>
          </cell>
          <cell r="W782">
            <v>0</v>
          </cell>
          <cell r="X782">
            <v>285</v>
          </cell>
          <cell r="Y782" t="str">
            <v>12-11-07</v>
          </cell>
          <cell r="Z782" t="str">
            <v>F-0419</v>
          </cell>
          <cell r="AA782" t="str">
            <v>02-12-07</v>
          </cell>
          <cell r="AG782" t="str">
            <v>GBT</v>
          </cell>
          <cell r="AH782" t="str">
            <v>x</v>
          </cell>
          <cell r="AM782">
            <v>0.45</v>
          </cell>
          <cell r="AN782">
            <v>2.385E-4</v>
          </cell>
          <cell r="AQ782">
            <v>0</v>
          </cell>
          <cell r="AR782">
            <v>2.385E-4</v>
          </cell>
          <cell r="AS782">
            <v>45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45</v>
          </cell>
        </row>
        <row r="783">
          <cell r="H783" t="str">
            <v>10-XX-CSH-PV-0004</v>
          </cell>
          <cell r="I783" t="str">
            <v>Calculation Typical Gasoil  Underground  Daily Tank</v>
          </cell>
          <cell r="R783">
            <v>5.2999999999999998E-4</v>
          </cell>
          <cell r="V783" t="str">
            <v>ارسال شده</v>
          </cell>
          <cell r="W783">
            <v>0</v>
          </cell>
          <cell r="X783">
            <v>230</v>
          </cell>
          <cell r="Y783" t="str">
            <v>30-10-07</v>
          </cell>
          <cell r="Z783" t="str">
            <v>F-0395</v>
          </cell>
          <cell r="AA783" t="str">
            <v>28-11-07</v>
          </cell>
          <cell r="AG783" t="str">
            <v>GBT</v>
          </cell>
          <cell r="AH783" t="str">
            <v>x</v>
          </cell>
          <cell r="AM783">
            <v>0.45</v>
          </cell>
          <cell r="AN783">
            <v>2.385E-4</v>
          </cell>
          <cell r="AQ783">
            <v>0</v>
          </cell>
          <cell r="AR783">
            <v>2.385E-4</v>
          </cell>
          <cell r="AS783">
            <v>45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45</v>
          </cell>
        </row>
        <row r="784">
          <cell r="H784" t="str">
            <v>10-XX-DSH-PV-0005</v>
          </cell>
          <cell r="I784" t="str">
            <v>Data Sheet Typical Gasoil  Underground  Daily Tank</v>
          </cell>
          <cell r="R784">
            <v>1.0200000000000001E-3</v>
          </cell>
          <cell r="V784" t="str">
            <v>ارسال شده</v>
          </cell>
          <cell r="W784">
            <v>0</v>
          </cell>
          <cell r="X784">
            <v>214</v>
          </cell>
          <cell r="Y784" t="str">
            <v>28-10-07</v>
          </cell>
          <cell r="Z784" t="str">
            <v>F-0401</v>
          </cell>
          <cell r="AA784" t="str">
            <v>29-11-07</v>
          </cell>
          <cell r="AG784" t="str">
            <v>GBT</v>
          </cell>
          <cell r="AH784" t="str">
            <v>x</v>
          </cell>
          <cell r="AM784">
            <v>0.45</v>
          </cell>
          <cell r="AN784">
            <v>4.5900000000000004E-4</v>
          </cell>
          <cell r="AQ784">
            <v>0</v>
          </cell>
          <cell r="AR784">
            <v>4.5900000000000004E-4</v>
          </cell>
          <cell r="AS784">
            <v>45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45</v>
          </cell>
        </row>
        <row r="785">
          <cell r="C785" t="str">
            <v>MR</v>
          </cell>
          <cell r="H785" t="str">
            <v>10-REQ-ME-260</v>
          </cell>
          <cell r="I785" t="str">
            <v>MR for Storage Sphere</v>
          </cell>
          <cell r="N785">
            <v>0.15</v>
          </cell>
          <cell r="P785">
            <v>3.6000000000000002E-4</v>
          </cell>
          <cell r="R785">
            <v>1.0200000000000001E-3</v>
          </cell>
          <cell r="V785" t="str">
            <v>ارسال شده</v>
          </cell>
          <cell r="W785" t="str">
            <v>01</v>
          </cell>
          <cell r="X785" t="str">
            <v>122281</v>
          </cell>
          <cell r="Y785" t="str">
            <v>01-10-0707-11-07</v>
          </cell>
          <cell r="Z785" t="str">
            <v>F-0248F-0360</v>
          </cell>
          <cell r="AA785" t="str">
            <v>28-10-0722-11-07</v>
          </cell>
          <cell r="AG785" t="str">
            <v>GBT</v>
          </cell>
          <cell r="AH785" t="str">
            <v>x</v>
          </cell>
          <cell r="AI785" t="str">
            <v>x</v>
          </cell>
          <cell r="AM785">
            <v>0.6</v>
          </cell>
          <cell r="AN785">
            <v>6.1200000000000002E-4</v>
          </cell>
          <cell r="AQ785">
            <v>2.1600000000000002E-4</v>
          </cell>
          <cell r="AR785">
            <v>6.1200000000000002E-4</v>
          </cell>
          <cell r="AS785">
            <v>45</v>
          </cell>
          <cell r="AT785">
            <v>60</v>
          </cell>
          <cell r="AU785">
            <v>0</v>
          </cell>
          <cell r="AV785">
            <v>0</v>
          </cell>
          <cell r="AW785">
            <v>0</v>
          </cell>
          <cell r="AX785">
            <v>60</v>
          </cell>
        </row>
        <row r="786">
          <cell r="C786" t="str">
            <v>DWG</v>
          </cell>
          <cell r="G786" t="str">
            <v>Filtered Water Tank No.1</v>
          </cell>
          <cell r="M786">
            <v>4.1300000000000003E-2</v>
          </cell>
          <cell r="N786">
            <v>0.99989999999999968</v>
          </cell>
          <cell r="P786">
            <v>6.6080000000000019E-3</v>
          </cell>
          <cell r="R786">
            <v>6.4199999999999986E-3</v>
          </cell>
          <cell r="T786" t="str">
            <v>.</v>
          </cell>
          <cell r="U786" t="str">
            <v>.</v>
          </cell>
          <cell r="V786" t="str">
            <v>.</v>
          </cell>
          <cell r="AG786" t="str">
            <v>.</v>
          </cell>
          <cell r="AM786">
            <v>0.23335351089588366</v>
          </cell>
          <cell r="AN786">
            <v>1.5419999999999998E-3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</row>
        <row r="787">
          <cell r="C787" t="str">
            <v>CLS</v>
          </cell>
          <cell r="H787" t="str">
            <v>10-50-CSH-ME-0027</v>
          </cell>
          <cell r="I787" t="str">
            <v>Filtered Water Tank Calculation Sheets</v>
          </cell>
          <cell r="N787">
            <v>5.0999999999999997E-2</v>
          </cell>
          <cell r="P787">
            <v>3.3700800000000008E-4</v>
          </cell>
          <cell r="R787">
            <v>1.0200000000000001E-3</v>
          </cell>
          <cell r="V787" t="str">
            <v>ارسال شده</v>
          </cell>
          <cell r="W787" t="str">
            <v>0 1 23</v>
          </cell>
          <cell r="X787" t="str">
            <v>13044 261</v>
          </cell>
          <cell r="Y787" t="str">
            <v>02-05-07 23-06-07 02-07-0703-11-07</v>
          </cell>
          <cell r="Z787" t="str">
            <v xml:space="preserve">123-13-1077 F-0029          F-0311  </v>
          </cell>
          <cell r="AA787" t="str">
            <v>86-02-22  30-06-07 15-11-07</v>
          </cell>
          <cell r="AG787" t="str">
            <v>GBT</v>
          </cell>
          <cell r="AH787" t="str">
            <v>x</v>
          </cell>
          <cell r="AI787" t="str">
            <v>x</v>
          </cell>
          <cell r="AJ787" t="str">
            <v>x</v>
          </cell>
          <cell r="AK787" t="str">
            <v>x</v>
          </cell>
          <cell r="AM787">
            <v>0.85</v>
          </cell>
          <cell r="AN787">
            <v>8.6700000000000004E-4</v>
          </cell>
          <cell r="AQ787">
            <v>2.8645680000000004E-4</v>
          </cell>
          <cell r="AR787">
            <v>8.6700000000000004E-4</v>
          </cell>
          <cell r="AS787">
            <v>45</v>
          </cell>
          <cell r="AT787">
            <v>60</v>
          </cell>
          <cell r="AU787">
            <v>75</v>
          </cell>
          <cell r="AV787">
            <v>85</v>
          </cell>
          <cell r="AW787">
            <v>0</v>
          </cell>
          <cell r="AX787">
            <v>85</v>
          </cell>
        </row>
        <row r="788">
          <cell r="C788" t="str">
            <v>DWG</v>
          </cell>
          <cell r="H788" t="str">
            <v>10-50-A2-ME-0001</v>
          </cell>
          <cell r="I788" t="str">
            <v xml:space="preserve">Filtered Water Tank General Assembly </v>
          </cell>
          <cell r="N788">
            <v>5.0999999999999997E-2</v>
          </cell>
          <cell r="P788">
            <v>3.3700800000000008E-4</v>
          </cell>
          <cell r="Q788" t="str">
            <v>V</v>
          </cell>
          <cell r="R788">
            <v>2.9999999999999997E-4</v>
          </cell>
          <cell r="T788">
            <v>39404</v>
          </cell>
          <cell r="U788" t="str">
            <v>*</v>
          </cell>
          <cell r="V788" t="str">
            <v>2007-11</v>
          </cell>
          <cell r="AH788" t="str">
            <v/>
          </cell>
          <cell r="AJ788" t="str">
            <v/>
          </cell>
          <cell r="AL788" t="str">
            <v/>
          </cell>
          <cell r="AM788">
            <v>0</v>
          </cell>
          <cell r="AN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</row>
        <row r="789">
          <cell r="C789" t="str">
            <v>DWG</v>
          </cell>
          <cell r="H789" t="str">
            <v>10-50-A2-ME-0016</v>
          </cell>
          <cell r="I789" t="str">
            <v xml:space="preserve">Filtered Water Tank Orientation </v>
          </cell>
          <cell r="N789">
            <v>0.06</v>
          </cell>
          <cell r="Q789" t="str">
            <v>L</v>
          </cell>
          <cell r="R789">
            <v>2.9999999999999997E-4</v>
          </cell>
          <cell r="T789">
            <v>39462</v>
          </cell>
          <cell r="V789" t="str">
            <v>2008-01</v>
          </cell>
          <cell r="AM789">
            <v>0</v>
          </cell>
          <cell r="AN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</row>
        <row r="790">
          <cell r="C790" t="str">
            <v>DWG</v>
          </cell>
          <cell r="H790" t="str">
            <v>10-50-A2-ME-0002</v>
          </cell>
          <cell r="I790" t="str">
            <v>Filtered Water Tank Shell Plate Arrangement Drawing</v>
          </cell>
          <cell r="N790">
            <v>5.0999999999999997E-2</v>
          </cell>
          <cell r="P790">
            <v>3.3700800000000008E-4</v>
          </cell>
          <cell r="Q790" t="str">
            <v>V</v>
          </cell>
          <cell r="R790">
            <v>2.9999999999999997E-4</v>
          </cell>
          <cell r="V790" t="str">
            <v>ارسال شده</v>
          </cell>
          <cell r="W790">
            <v>0</v>
          </cell>
          <cell r="X790">
            <v>72</v>
          </cell>
          <cell r="Y790" t="str">
            <v>04-08-07</v>
          </cell>
          <cell r="Z790" t="str">
            <v>F-0128</v>
          </cell>
          <cell r="AA790" t="str">
            <v>06-08-07</v>
          </cell>
          <cell r="AG790" t="str">
            <v>GBT</v>
          </cell>
          <cell r="AH790" t="str">
            <v>x</v>
          </cell>
          <cell r="AJ790" t="str">
            <v/>
          </cell>
          <cell r="AL790" t="str">
            <v/>
          </cell>
          <cell r="AM790">
            <v>0.45</v>
          </cell>
          <cell r="AN790">
            <v>1.35E-4</v>
          </cell>
          <cell r="AQ790">
            <v>1.5165360000000003E-4</v>
          </cell>
          <cell r="AR790">
            <v>1.35E-4</v>
          </cell>
          <cell r="AS790">
            <v>45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45</v>
          </cell>
        </row>
        <row r="791">
          <cell r="C791" t="str">
            <v>DWG</v>
          </cell>
          <cell r="H791" t="str">
            <v>10-50-A2-ME-0003</v>
          </cell>
          <cell r="I791" t="str">
            <v xml:space="preserve">Filtered Water Tank Bottom Plate Arrangement </v>
          </cell>
          <cell r="N791">
            <v>5.0999999999999997E-2</v>
          </cell>
          <cell r="P791">
            <v>3.3700800000000008E-4</v>
          </cell>
          <cell r="Q791" t="str">
            <v>V</v>
          </cell>
          <cell r="R791">
            <v>2.9999999999999997E-4</v>
          </cell>
          <cell r="V791" t="str">
            <v>ارسال شده</v>
          </cell>
          <cell r="W791">
            <v>0</v>
          </cell>
          <cell r="X791">
            <v>72</v>
          </cell>
          <cell r="Y791" t="str">
            <v>04-08-07</v>
          </cell>
          <cell r="Z791" t="str">
            <v>F-0128</v>
          </cell>
          <cell r="AA791" t="str">
            <v>06-08-07</v>
          </cell>
          <cell r="AG791" t="str">
            <v>GBT</v>
          </cell>
          <cell r="AH791" t="str">
            <v>x</v>
          </cell>
          <cell r="AJ791" t="str">
            <v/>
          </cell>
          <cell r="AL791" t="str">
            <v/>
          </cell>
          <cell r="AM791">
            <v>0.45</v>
          </cell>
          <cell r="AN791">
            <v>1.35E-4</v>
          </cell>
          <cell r="AQ791">
            <v>1.5165360000000003E-4</v>
          </cell>
          <cell r="AR791">
            <v>1.35E-4</v>
          </cell>
          <cell r="AS791">
            <v>45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45</v>
          </cell>
        </row>
        <row r="792">
          <cell r="C792" t="str">
            <v>DWG</v>
          </cell>
          <cell r="H792" t="str">
            <v>10-50-A2-ME-0004</v>
          </cell>
          <cell r="I792" t="str">
            <v xml:space="preserve">Filtered Water Tank Roof Plate Arrangement </v>
          </cell>
          <cell r="N792">
            <v>5.0799999999999998E-2</v>
          </cell>
          <cell r="P792">
            <v>3.3568640000000011E-4</v>
          </cell>
          <cell r="Q792" t="str">
            <v>V</v>
          </cell>
          <cell r="R792">
            <v>2.9999999999999997E-4</v>
          </cell>
          <cell r="V792" t="str">
            <v>ارسال شده</v>
          </cell>
          <cell r="W792">
            <v>0</v>
          </cell>
          <cell r="X792">
            <v>72</v>
          </cell>
          <cell r="Y792" t="str">
            <v>04-08-07</v>
          </cell>
          <cell r="Z792" t="str">
            <v>F-0128</v>
          </cell>
          <cell r="AA792" t="str">
            <v>06-08-07</v>
          </cell>
          <cell r="AG792" t="str">
            <v>GBT</v>
          </cell>
          <cell r="AH792" t="str">
            <v>x</v>
          </cell>
          <cell r="AJ792" t="str">
            <v/>
          </cell>
          <cell r="AL792" t="str">
            <v/>
          </cell>
          <cell r="AM792">
            <v>0.45</v>
          </cell>
          <cell r="AN792">
            <v>1.35E-4</v>
          </cell>
          <cell r="AQ792">
            <v>1.5105888000000006E-4</v>
          </cell>
          <cell r="AR792">
            <v>1.35E-4</v>
          </cell>
          <cell r="AS792">
            <v>45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45</v>
          </cell>
        </row>
        <row r="793">
          <cell r="C793" t="str">
            <v>DWG</v>
          </cell>
          <cell r="H793" t="str">
            <v>10-50-A3-ME-0007</v>
          </cell>
          <cell r="I793" t="str">
            <v xml:space="preserve">Filtered Water Tank Shell Man way </v>
          </cell>
          <cell r="N793">
            <v>4.6699999999999998E-2</v>
          </cell>
          <cell r="P793">
            <v>3.0859360000000006E-4</v>
          </cell>
          <cell r="Q793" t="str">
            <v>V</v>
          </cell>
          <cell r="R793">
            <v>2.9999999999999997E-4</v>
          </cell>
          <cell r="V793" t="str">
            <v>ارسال شده</v>
          </cell>
          <cell r="W793">
            <v>0</v>
          </cell>
          <cell r="X793">
            <v>72</v>
          </cell>
          <cell r="Y793" t="str">
            <v>04-08-07</v>
          </cell>
          <cell r="Z793" t="str">
            <v>F-0128</v>
          </cell>
          <cell r="AA793" t="str">
            <v>06-08-07</v>
          </cell>
          <cell r="AG793" t="str">
            <v>GBT</v>
          </cell>
          <cell r="AH793" t="str">
            <v>x</v>
          </cell>
          <cell r="AJ793" t="str">
            <v/>
          </cell>
          <cell r="AL793" t="str">
            <v/>
          </cell>
          <cell r="AM793">
            <v>0.45</v>
          </cell>
          <cell r="AN793">
            <v>1.35E-4</v>
          </cell>
          <cell r="AQ793">
            <v>1.3886712000000002E-4</v>
          </cell>
          <cell r="AR793">
            <v>1.35E-4</v>
          </cell>
          <cell r="AS793">
            <v>45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45</v>
          </cell>
        </row>
        <row r="794">
          <cell r="C794" t="str">
            <v>DWG</v>
          </cell>
          <cell r="H794" t="str">
            <v>10-50-A3-ME-0008</v>
          </cell>
          <cell r="I794" t="str">
            <v xml:space="preserve">Filtered Water Tank Roof Man way </v>
          </cell>
          <cell r="N794">
            <v>4.6699999999999998E-2</v>
          </cell>
          <cell r="P794">
            <v>3.0859360000000006E-4</v>
          </cell>
          <cell r="Q794" t="str">
            <v>V</v>
          </cell>
          <cell r="R794">
            <v>2.9999999999999997E-4</v>
          </cell>
          <cell r="V794" t="str">
            <v>ارسال شده</v>
          </cell>
          <cell r="W794">
            <v>0</v>
          </cell>
          <cell r="X794">
            <v>72</v>
          </cell>
          <cell r="Y794" t="str">
            <v>04-08-07</v>
          </cell>
          <cell r="Z794" t="str">
            <v>F-0128</v>
          </cell>
          <cell r="AA794" t="str">
            <v>06-08-07</v>
          </cell>
          <cell r="AG794" t="str">
            <v>GBT</v>
          </cell>
          <cell r="AH794" t="str">
            <v>x</v>
          </cell>
          <cell r="AJ794" t="str">
            <v/>
          </cell>
          <cell r="AL794" t="str">
            <v/>
          </cell>
          <cell r="AM794">
            <v>0.45</v>
          </cell>
          <cell r="AN794">
            <v>1.35E-4</v>
          </cell>
          <cell r="AQ794">
            <v>1.3886712000000002E-4</v>
          </cell>
          <cell r="AR794">
            <v>1.35E-4</v>
          </cell>
          <cell r="AS794">
            <v>45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45</v>
          </cell>
        </row>
        <row r="795">
          <cell r="C795" t="str">
            <v>DWG</v>
          </cell>
          <cell r="H795" t="str">
            <v>10-50-A2-ME-0006</v>
          </cell>
          <cell r="I795" t="str">
            <v>Filtered Water Tank Shell Nozzles Detail</v>
          </cell>
          <cell r="N795">
            <v>5.1999999999999998E-2</v>
          </cell>
          <cell r="P795">
            <v>3.4361600000000009E-4</v>
          </cell>
          <cell r="Q795" t="str">
            <v>V</v>
          </cell>
          <cell r="R795">
            <v>2.9999999999999997E-4</v>
          </cell>
          <cell r="T795">
            <v>39401</v>
          </cell>
          <cell r="U795" t="str">
            <v>*</v>
          </cell>
          <cell r="V795" t="str">
            <v>2007-11</v>
          </cell>
          <cell r="AM795">
            <v>0</v>
          </cell>
          <cell r="AN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</row>
        <row r="796">
          <cell r="C796" t="str">
            <v>DWG</v>
          </cell>
          <cell r="H796" t="str">
            <v>10-50-A3-ME-0017</v>
          </cell>
          <cell r="I796" t="str">
            <v>Filtered Water Tank Roof Nozzles Detail</v>
          </cell>
          <cell r="N796">
            <v>0.06</v>
          </cell>
          <cell r="P796">
            <v>3.9648000000000011E-4</v>
          </cell>
          <cell r="Q796" t="str">
            <v>V</v>
          </cell>
          <cell r="R796">
            <v>2.9999999999999997E-4</v>
          </cell>
          <cell r="T796">
            <v>39401</v>
          </cell>
          <cell r="U796" t="str">
            <v>*</v>
          </cell>
          <cell r="V796" t="str">
            <v>2007-11</v>
          </cell>
          <cell r="AM796">
            <v>0</v>
          </cell>
          <cell r="AN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</row>
        <row r="797">
          <cell r="C797" t="str">
            <v>DWG</v>
          </cell>
          <cell r="H797" t="str">
            <v>10-50-A3-ME-0009</v>
          </cell>
          <cell r="I797" t="str">
            <v xml:space="preserve">Filtered Water Tank Draw off Sump </v>
          </cell>
          <cell r="N797">
            <v>4.6699999999999998E-2</v>
          </cell>
          <cell r="P797">
            <v>3.0859360000000006E-4</v>
          </cell>
          <cell r="Q797" t="str">
            <v>V</v>
          </cell>
          <cell r="R797">
            <v>2.9999999999999997E-4</v>
          </cell>
          <cell r="T797">
            <v>39401</v>
          </cell>
          <cell r="U797" t="str">
            <v>*</v>
          </cell>
          <cell r="V797" t="str">
            <v>2007-11</v>
          </cell>
          <cell r="AH797" t="str">
            <v/>
          </cell>
          <cell r="AJ797" t="str">
            <v/>
          </cell>
          <cell r="AL797" t="str">
            <v/>
          </cell>
          <cell r="AM797">
            <v>0</v>
          </cell>
          <cell r="AN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</row>
        <row r="798">
          <cell r="C798" t="str">
            <v>DWG</v>
          </cell>
          <cell r="H798" t="str">
            <v>10-50-A1-ME-0005</v>
          </cell>
          <cell r="I798" t="str">
            <v xml:space="preserve">Filtered Water Tank Roof Structure </v>
          </cell>
          <cell r="N798">
            <v>4.7500000000000001E-2</v>
          </cell>
          <cell r="P798">
            <v>3.1388000000000011E-4</v>
          </cell>
          <cell r="Q798" t="str">
            <v>V</v>
          </cell>
          <cell r="R798">
            <v>2.9999999999999997E-4</v>
          </cell>
          <cell r="T798">
            <v>39401</v>
          </cell>
          <cell r="U798" t="str">
            <v>*</v>
          </cell>
          <cell r="V798" t="str">
            <v>2007-11</v>
          </cell>
          <cell r="AH798" t="str">
            <v/>
          </cell>
          <cell r="AJ798" t="str">
            <v/>
          </cell>
          <cell r="AL798" t="str">
            <v/>
          </cell>
          <cell r="AM798">
            <v>0</v>
          </cell>
          <cell r="AN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</row>
        <row r="799">
          <cell r="C799" t="str">
            <v>DWG</v>
          </cell>
          <cell r="H799" t="str">
            <v>10-50-A1-ME-0010</v>
          </cell>
          <cell r="I799" t="str">
            <v xml:space="preserve">Filtered Water Tank Spiral Stairway </v>
          </cell>
          <cell r="N799">
            <v>4.6699999999999998E-2</v>
          </cell>
          <cell r="P799">
            <v>3.0859360000000006E-4</v>
          </cell>
          <cell r="Q799" t="str">
            <v>L</v>
          </cell>
          <cell r="R799">
            <v>2.9999999999999997E-4</v>
          </cell>
          <cell r="T799">
            <v>39464</v>
          </cell>
          <cell r="V799" t="str">
            <v>2008-01</v>
          </cell>
          <cell r="AH799" t="str">
            <v/>
          </cell>
          <cell r="AJ799" t="str">
            <v/>
          </cell>
          <cell r="AL799" t="str">
            <v/>
          </cell>
          <cell r="AM799">
            <v>0</v>
          </cell>
          <cell r="AN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</row>
        <row r="800">
          <cell r="C800" t="str">
            <v>DWG</v>
          </cell>
          <cell r="H800" t="str">
            <v>10-50-A2-ME-0020</v>
          </cell>
          <cell r="I800" t="str">
            <v>Filtered Water Tank Top Platform and Handrail</v>
          </cell>
          <cell r="N800">
            <v>0.06</v>
          </cell>
          <cell r="P800">
            <v>3.9648000000000011E-4</v>
          </cell>
          <cell r="Q800" t="str">
            <v>L</v>
          </cell>
          <cell r="R800">
            <v>2.9999999999999997E-4</v>
          </cell>
          <cell r="T800">
            <v>39464</v>
          </cell>
          <cell r="V800" t="str">
            <v>2008-01</v>
          </cell>
          <cell r="AM800">
            <v>0</v>
          </cell>
          <cell r="AN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</row>
        <row r="801">
          <cell r="C801" t="str">
            <v>DWG</v>
          </cell>
          <cell r="H801" t="str">
            <v>10-50-A3-ME-0013</v>
          </cell>
          <cell r="I801" t="str">
            <v xml:space="preserve">Filtered Water Tank Anchor Chair </v>
          </cell>
          <cell r="N801">
            <v>4.6699999999999998E-2</v>
          </cell>
          <cell r="P801">
            <v>3.0859360000000006E-4</v>
          </cell>
          <cell r="Q801" t="str">
            <v>V</v>
          </cell>
          <cell r="R801">
            <v>2.9999999999999997E-4</v>
          </cell>
          <cell r="T801">
            <v>39401</v>
          </cell>
          <cell r="U801" t="str">
            <v>*</v>
          </cell>
          <cell r="V801" t="str">
            <v>2007-11</v>
          </cell>
          <cell r="AH801" t="str">
            <v/>
          </cell>
          <cell r="AJ801" t="str">
            <v/>
          </cell>
          <cell r="AL801" t="str">
            <v/>
          </cell>
          <cell r="AM801">
            <v>0</v>
          </cell>
          <cell r="AN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</row>
        <row r="802">
          <cell r="C802" t="str">
            <v>DWG</v>
          </cell>
          <cell r="H802" t="str">
            <v>10-50-A3-ME-0014</v>
          </cell>
          <cell r="I802" t="str">
            <v xml:space="preserve">Filtered Water Tank Earth Lug </v>
          </cell>
          <cell r="N802">
            <v>4.6699999999999998E-2</v>
          </cell>
          <cell r="P802">
            <v>3.0859360000000006E-4</v>
          </cell>
          <cell r="Q802" t="str">
            <v>V</v>
          </cell>
          <cell r="R802">
            <v>2.9999999999999997E-4</v>
          </cell>
          <cell r="T802">
            <v>39401</v>
          </cell>
          <cell r="U802" t="str">
            <v>*</v>
          </cell>
          <cell r="V802" t="str">
            <v>2007-11</v>
          </cell>
          <cell r="AH802" t="str">
            <v/>
          </cell>
          <cell r="AJ802" t="str">
            <v/>
          </cell>
          <cell r="AL802" t="str">
            <v/>
          </cell>
          <cell r="AM802">
            <v>0</v>
          </cell>
          <cell r="AN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</row>
        <row r="803">
          <cell r="C803" t="str">
            <v>DWG</v>
          </cell>
          <cell r="H803" t="str">
            <v>10-50-A3-ME-0015</v>
          </cell>
          <cell r="I803" t="str">
            <v xml:space="preserve">Filtered Water Tank Name Plate </v>
          </cell>
          <cell r="N803">
            <v>4.6699999999999998E-2</v>
          </cell>
          <cell r="P803">
            <v>3.0859360000000006E-4</v>
          </cell>
          <cell r="Q803" t="str">
            <v>V</v>
          </cell>
          <cell r="R803">
            <v>2.9999999999999997E-4</v>
          </cell>
          <cell r="T803">
            <v>39401</v>
          </cell>
          <cell r="U803" t="str">
            <v>*</v>
          </cell>
          <cell r="V803" t="str">
            <v>2007-11</v>
          </cell>
          <cell r="AH803" t="str">
            <v/>
          </cell>
          <cell r="AJ803" t="str">
            <v/>
          </cell>
          <cell r="AL803" t="str">
            <v/>
          </cell>
          <cell r="AM803">
            <v>0</v>
          </cell>
          <cell r="AN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</row>
        <row r="804">
          <cell r="C804" t="str">
            <v>DWG</v>
          </cell>
          <cell r="H804" t="str">
            <v>10-50-A3-ME-0018</v>
          </cell>
          <cell r="I804" t="str">
            <v xml:space="preserve">Filtered Water Tank Steam Coil Detail </v>
          </cell>
          <cell r="N804">
            <v>4.6699999999999998E-2</v>
          </cell>
          <cell r="P804">
            <v>3.0859360000000006E-4</v>
          </cell>
          <cell r="Q804" t="str">
            <v>V</v>
          </cell>
          <cell r="R804">
            <v>2.9999999999999997E-4</v>
          </cell>
          <cell r="T804">
            <v>39431</v>
          </cell>
          <cell r="U804" t="str">
            <v>*</v>
          </cell>
          <cell r="V804" t="str">
            <v>2007-12</v>
          </cell>
          <cell r="AH804" t="str">
            <v/>
          </cell>
          <cell r="AJ804" t="str">
            <v/>
          </cell>
          <cell r="AL804" t="str">
            <v/>
          </cell>
          <cell r="AM804">
            <v>0</v>
          </cell>
          <cell r="AN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</row>
        <row r="805">
          <cell r="C805" t="str">
            <v>DWG</v>
          </cell>
          <cell r="H805" t="str">
            <v>10-50-A3-ME-0019</v>
          </cell>
          <cell r="I805" t="str">
            <v xml:space="preserve">Filtered Water Tank External Attachment Detail </v>
          </cell>
          <cell r="N805">
            <v>9.1999999999999998E-2</v>
          </cell>
          <cell r="P805">
            <v>6.0793600000000011E-4</v>
          </cell>
          <cell r="Q805" t="str">
            <v>V</v>
          </cell>
          <cell r="R805">
            <v>2.9999999999999997E-4</v>
          </cell>
          <cell r="T805">
            <v>39431</v>
          </cell>
          <cell r="U805" t="str">
            <v>*</v>
          </cell>
          <cell r="V805" t="str">
            <v>2007-12</v>
          </cell>
          <cell r="AH805" t="str">
            <v/>
          </cell>
          <cell r="AJ805" t="str">
            <v/>
          </cell>
          <cell r="AL805" t="str">
            <v/>
          </cell>
          <cell r="AM805">
            <v>0</v>
          </cell>
          <cell r="AN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</row>
        <row r="806">
          <cell r="G806" t="str">
            <v>Filtered Water Tank No.2</v>
          </cell>
          <cell r="M806">
            <v>3.9E-2</v>
          </cell>
          <cell r="N806">
            <v>0.99950000000000028</v>
          </cell>
          <cell r="P806">
            <v>6.2400000000000008E-3</v>
          </cell>
          <cell r="R806">
            <v>5.3999999999999994E-3</v>
          </cell>
          <cell r="T806" t="str">
            <v>.</v>
          </cell>
          <cell r="U806" t="str">
            <v>.</v>
          </cell>
          <cell r="V806" t="str">
            <v>.</v>
          </cell>
          <cell r="AG806" t="str">
            <v>.</v>
          </cell>
          <cell r="AM806">
            <v>0</v>
          </cell>
          <cell r="AN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</row>
        <row r="807">
          <cell r="C807" t="str">
            <v>DWG</v>
          </cell>
          <cell r="H807" t="str">
            <v>10-50-A2-ME-0130</v>
          </cell>
          <cell r="I807" t="str">
            <v xml:space="preserve">Filtered Water Tank General Assembly </v>
          </cell>
          <cell r="N807">
            <v>9.9199999999999997E-2</v>
          </cell>
          <cell r="P807">
            <v>6.190080000000001E-4</v>
          </cell>
          <cell r="Q807" t="str">
            <v>V</v>
          </cell>
          <cell r="R807">
            <v>2.9999999999999997E-4</v>
          </cell>
          <cell r="T807">
            <v>39404</v>
          </cell>
          <cell r="U807" t="str">
            <v>*</v>
          </cell>
          <cell r="V807" t="str">
            <v>2007-11</v>
          </cell>
          <cell r="AH807" t="str">
            <v/>
          </cell>
          <cell r="AJ807" t="str">
            <v/>
          </cell>
          <cell r="AL807" t="str">
            <v/>
          </cell>
          <cell r="AM807">
            <v>0</v>
          </cell>
          <cell r="AN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</row>
        <row r="808">
          <cell r="C808" t="str">
            <v>DWG</v>
          </cell>
          <cell r="H808" t="str">
            <v>10-50-A2-ME-0143</v>
          </cell>
          <cell r="I808" t="str">
            <v xml:space="preserve">Filtered Water Tank Orientation </v>
          </cell>
          <cell r="N808">
            <v>5.0099999999999999E-2</v>
          </cell>
          <cell r="P808">
            <v>3.1262400000000001E-4</v>
          </cell>
          <cell r="Q808" t="str">
            <v>L</v>
          </cell>
          <cell r="R808">
            <v>2.9999999999999997E-4</v>
          </cell>
          <cell r="T808">
            <v>39462</v>
          </cell>
          <cell r="V808" t="str">
            <v>2008-01</v>
          </cell>
          <cell r="AH808" t="str">
            <v/>
          </cell>
          <cell r="AJ808" t="str">
            <v/>
          </cell>
          <cell r="AL808" t="str">
            <v/>
          </cell>
          <cell r="AM808">
            <v>0</v>
          </cell>
          <cell r="AN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</row>
        <row r="809">
          <cell r="C809" t="str">
            <v>DWG</v>
          </cell>
          <cell r="H809" t="str">
            <v>10-50-A2-ME-0131</v>
          </cell>
          <cell r="I809" t="str">
            <v>Filtered Water Tank Shell Plat Arrangement Drawing</v>
          </cell>
          <cell r="N809">
            <v>9.9199999999999997E-2</v>
          </cell>
          <cell r="P809">
            <v>6.190080000000001E-4</v>
          </cell>
          <cell r="Q809" t="str">
            <v>V</v>
          </cell>
          <cell r="R809">
            <v>2.9999999999999997E-4</v>
          </cell>
          <cell r="T809">
            <v>39401</v>
          </cell>
          <cell r="U809" t="str">
            <v>*</v>
          </cell>
          <cell r="V809" t="str">
            <v>2007-11</v>
          </cell>
          <cell r="AH809" t="str">
            <v/>
          </cell>
          <cell r="AJ809" t="str">
            <v/>
          </cell>
          <cell r="AL809" t="str">
            <v/>
          </cell>
          <cell r="AM809">
            <v>0</v>
          </cell>
          <cell r="AN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</row>
        <row r="810">
          <cell r="C810" t="str">
            <v>DWG</v>
          </cell>
          <cell r="H810" t="str">
            <v>10-50-A2-ME-0132</v>
          </cell>
          <cell r="I810" t="str">
            <v xml:space="preserve">Filtered Water Tank Bottom Plate Arrangement </v>
          </cell>
          <cell r="N810">
            <v>5.0099999999999999E-2</v>
          </cell>
          <cell r="P810">
            <v>3.1262400000000001E-4</v>
          </cell>
          <cell r="Q810" t="str">
            <v>V</v>
          </cell>
          <cell r="R810">
            <v>2.9999999999999997E-4</v>
          </cell>
          <cell r="T810">
            <v>39401</v>
          </cell>
          <cell r="U810" t="str">
            <v>*</v>
          </cell>
          <cell r="V810" t="str">
            <v>2007-11</v>
          </cell>
          <cell r="AH810" t="str">
            <v/>
          </cell>
          <cell r="AJ810" t="str">
            <v/>
          </cell>
          <cell r="AL810" t="str">
            <v/>
          </cell>
          <cell r="AM810">
            <v>0</v>
          </cell>
          <cell r="AN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</row>
        <row r="811">
          <cell r="C811" t="str">
            <v>DWG</v>
          </cell>
          <cell r="H811" t="str">
            <v>10-50-A2-ME-0133</v>
          </cell>
          <cell r="I811" t="str">
            <v xml:space="preserve">Filtered Water Tank Roof Plate Arrangement </v>
          </cell>
          <cell r="N811">
            <v>0.05</v>
          </cell>
          <cell r="P811">
            <v>3.1200000000000005E-4</v>
          </cell>
          <cell r="Q811" t="str">
            <v>V</v>
          </cell>
          <cell r="R811">
            <v>2.9999999999999997E-4</v>
          </cell>
          <cell r="T811">
            <v>39401</v>
          </cell>
          <cell r="U811" t="str">
            <v>*</v>
          </cell>
          <cell r="V811" t="str">
            <v>2007-11</v>
          </cell>
          <cell r="AM811">
            <v>0</v>
          </cell>
          <cell r="AN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</row>
        <row r="812">
          <cell r="C812" t="str">
            <v>DWG</v>
          </cell>
          <cell r="H812" t="str">
            <v>10-50-A3-ME-0136</v>
          </cell>
          <cell r="I812" t="str">
            <v xml:space="preserve">Filtered Water Tank Shell Man way </v>
          </cell>
          <cell r="N812">
            <v>5.0099999999999999E-2</v>
          </cell>
          <cell r="P812">
            <v>3.1262400000000001E-4</v>
          </cell>
          <cell r="Q812" t="str">
            <v>V</v>
          </cell>
          <cell r="R812">
            <v>2.9999999999999997E-4</v>
          </cell>
          <cell r="T812">
            <v>39401</v>
          </cell>
          <cell r="U812" t="str">
            <v>*</v>
          </cell>
          <cell r="V812" t="str">
            <v>2007-11</v>
          </cell>
          <cell r="AH812" t="str">
            <v/>
          </cell>
          <cell r="AJ812" t="str">
            <v/>
          </cell>
          <cell r="AL812" t="str">
            <v/>
          </cell>
          <cell r="AM812">
            <v>0</v>
          </cell>
          <cell r="AN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</row>
        <row r="813">
          <cell r="C813" t="str">
            <v>DWG</v>
          </cell>
          <cell r="H813" t="str">
            <v>10-50-A3-ME-0137</v>
          </cell>
          <cell r="I813" t="str">
            <v xml:space="preserve">Filtered Water Tank Roof Man way </v>
          </cell>
          <cell r="N813">
            <v>5.0099999999999999E-2</v>
          </cell>
          <cell r="P813">
            <v>3.1262400000000001E-4</v>
          </cell>
          <cell r="Q813" t="str">
            <v>V</v>
          </cell>
          <cell r="R813">
            <v>2.9999999999999997E-4</v>
          </cell>
          <cell r="T813">
            <v>39401</v>
          </cell>
          <cell r="U813" t="str">
            <v>*</v>
          </cell>
          <cell r="V813" t="str">
            <v>2007-11</v>
          </cell>
          <cell r="AJ813" t="str">
            <v/>
          </cell>
          <cell r="AL813" t="str">
            <v/>
          </cell>
          <cell r="AM813">
            <v>0</v>
          </cell>
          <cell r="AN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</row>
        <row r="814">
          <cell r="C814" t="str">
            <v>DWG</v>
          </cell>
          <cell r="H814" t="str">
            <v>10-50-A2-ME-0147</v>
          </cell>
          <cell r="I814" t="str">
            <v xml:space="preserve">Filtered Water Tank Shell Nozzles Detail </v>
          </cell>
          <cell r="N814">
            <v>0.05</v>
          </cell>
          <cell r="P814">
            <v>3.1200000000000005E-4</v>
          </cell>
          <cell r="Q814" t="str">
            <v>V</v>
          </cell>
          <cell r="R814">
            <v>2.9999999999999997E-4</v>
          </cell>
          <cell r="T814">
            <v>39401</v>
          </cell>
          <cell r="U814" t="str">
            <v>*</v>
          </cell>
          <cell r="V814" t="str">
            <v>2007-11</v>
          </cell>
          <cell r="AM814">
            <v>0</v>
          </cell>
          <cell r="AN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</row>
        <row r="815">
          <cell r="C815" t="str">
            <v>DWG</v>
          </cell>
          <cell r="H815" t="str">
            <v>10-50-A3-ME-0135</v>
          </cell>
          <cell r="I815" t="str">
            <v xml:space="preserve">Filtered Water Tank Roof Nozzles Detail </v>
          </cell>
          <cell r="N815">
            <v>0.05</v>
          </cell>
          <cell r="P815">
            <v>3.1200000000000005E-4</v>
          </cell>
          <cell r="Q815" t="str">
            <v>V</v>
          </cell>
          <cell r="R815">
            <v>2.9999999999999997E-4</v>
          </cell>
          <cell r="T815">
            <v>39401</v>
          </cell>
          <cell r="U815" t="str">
            <v>*</v>
          </cell>
          <cell r="V815" t="str">
            <v>2007-11</v>
          </cell>
          <cell r="AM815">
            <v>0</v>
          </cell>
          <cell r="AN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</row>
        <row r="816">
          <cell r="C816" t="str">
            <v>DWG</v>
          </cell>
          <cell r="H816" t="str">
            <v>10-50-A3-ME-0138</v>
          </cell>
          <cell r="I816" t="str">
            <v xml:space="preserve">Filtered Water Tank Draw off Sump </v>
          </cell>
          <cell r="N816">
            <v>5.0099999999999999E-2</v>
          </cell>
          <cell r="P816">
            <v>3.1262400000000001E-4</v>
          </cell>
          <cell r="Q816" t="str">
            <v>V</v>
          </cell>
          <cell r="R816">
            <v>2.9999999999999997E-4</v>
          </cell>
          <cell r="T816">
            <v>39401</v>
          </cell>
          <cell r="U816" t="str">
            <v>*</v>
          </cell>
          <cell r="V816" t="str">
            <v>2007-11</v>
          </cell>
          <cell r="AH816" t="str">
            <v/>
          </cell>
          <cell r="AJ816" t="str">
            <v/>
          </cell>
          <cell r="AL816" t="str">
            <v/>
          </cell>
          <cell r="AM816">
            <v>0</v>
          </cell>
          <cell r="AN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</row>
        <row r="817">
          <cell r="C817" t="str">
            <v>DWG</v>
          </cell>
          <cell r="H817" t="str">
            <v>10-50-A1-ME-0134</v>
          </cell>
          <cell r="I817" t="str">
            <v xml:space="preserve">Filtered Water Tank Roof Structuret </v>
          </cell>
          <cell r="N817">
            <v>0.05</v>
          </cell>
          <cell r="P817">
            <v>3.1200000000000005E-4</v>
          </cell>
          <cell r="Q817" t="str">
            <v>V</v>
          </cell>
          <cell r="R817">
            <v>2.9999999999999997E-4</v>
          </cell>
          <cell r="T817">
            <v>39401</v>
          </cell>
          <cell r="U817" t="str">
            <v>*</v>
          </cell>
          <cell r="V817" t="str">
            <v>2007-11</v>
          </cell>
          <cell r="AM817">
            <v>0</v>
          </cell>
          <cell r="AN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</row>
        <row r="818">
          <cell r="C818" t="str">
            <v>DWG</v>
          </cell>
          <cell r="H818" t="str">
            <v>10-50-A1-ME-0139</v>
          </cell>
          <cell r="I818" t="str">
            <v xml:space="preserve">Filtered Water Tank Spiral Stairway </v>
          </cell>
          <cell r="N818">
            <v>5.0099999999999999E-2</v>
          </cell>
          <cell r="P818">
            <v>3.1262400000000001E-4</v>
          </cell>
          <cell r="Q818" t="str">
            <v>L</v>
          </cell>
          <cell r="R818">
            <v>2.9999999999999997E-4</v>
          </cell>
          <cell r="T818">
            <v>39464</v>
          </cell>
          <cell r="V818" t="str">
            <v>2008-01</v>
          </cell>
          <cell r="AH818" t="str">
            <v/>
          </cell>
          <cell r="AJ818" t="str">
            <v/>
          </cell>
          <cell r="AL818" t="str">
            <v/>
          </cell>
          <cell r="AM818">
            <v>0</v>
          </cell>
          <cell r="AN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</row>
        <row r="819">
          <cell r="C819" t="str">
            <v>DWG</v>
          </cell>
          <cell r="H819" t="str">
            <v>10-50-A2-ME-0144</v>
          </cell>
          <cell r="I819" t="str">
            <v>Filtered Water Tank Top Platform and Handrail</v>
          </cell>
          <cell r="N819">
            <v>0.05</v>
          </cell>
          <cell r="P819">
            <v>3.1200000000000005E-4</v>
          </cell>
          <cell r="Q819" t="str">
            <v>L</v>
          </cell>
          <cell r="R819">
            <v>2.9999999999999997E-4</v>
          </cell>
          <cell r="T819">
            <v>39464</v>
          </cell>
          <cell r="V819" t="str">
            <v>2008-01</v>
          </cell>
          <cell r="AM819">
            <v>0</v>
          </cell>
          <cell r="AN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</row>
        <row r="820">
          <cell r="C820" t="str">
            <v>DWG</v>
          </cell>
          <cell r="H820" t="str">
            <v>10-50-A3-ME-0140</v>
          </cell>
          <cell r="I820" t="str">
            <v xml:space="preserve">Filtered Water Tank Anchor Chair </v>
          </cell>
          <cell r="N820">
            <v>5.0099999999999999E-2</v>
          </cell>
          <cell r="P820">
            <v>3.1262400000000001E-4</v>
          </cell>
          <cell r="Q820" t="str">
            <v>V</v>
          </cell>
          <cell r="R820">
            <v>2.9999999999999997E-4</v>
          </cell>
          <cell r="T820">
            <v>39401</v>
          </cell>
          <cell r="U820" t="str">
            <v>*</v>
          </cell>
          <cell r="V820" t="str">
            <v>2007-11</v>
          </cell>
          <cell r="AH820" t="str">
            <v/>
          </cell>
          <cell r="AJ820" t="str">
            <v/>
          </cell>
          <cell r="AL820" t="str">
            <v/>
          </cell>
          <cell r="AM820">
            <v>0</v>
          </cell>
          <cell r="AN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</row>
        <row r="821">
          <cell r="C821" t="str">
            <v>DWG</v>
          </cell>
          <cell r="H821" t="str">
            <v>10-50-A3-ME-0141</v>
          </cell>
          <cell r="I821" t="str">
            <v xml:space="preserve">Filtered Water Tank Earth Lug </v>
          </cell>
          <cell r="N821">
            <v>5.0099999999999999E-2</v>
          </cell>
          <cell r="P821">
            <v>3.1262400000000001E-4</v>
          </cell>
          <cell r="Q821" t="str">
            <v>V</v>
          </cell>
          <cell r="R821">
            <v>2.9999999999999997E-4</v>
          </cell>
          <cell r="T821">
            <v>39401</v>
          </cell>
          <cell r="U821" t="str">
            <v>*</v>
          </cell>
          <cell r="V821" t="str">
            <v>2007-11</v>
          </cell>
          <cell r="AH821" t="str">
            <v/>
          </cell>
          <cell r="AJ821" t="str">
            <v/>
          </cell>
          <cell r="AL821" t="str">
            <v/>
          </cell>
          <cell r="AM821">
            <v>0</v>
          </cell>
          <cell r="AN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</row>
        <row r="822">
          <cell r="C822" t="str">
            <v>DWG</v>
          </cell>
          <cell r="H822" t="str">
            <v>10-50-A3-ME-0142</v>
          </cell>
          <cell r="I822" t="str">
            <v xml:space="preserve">Filtered Water Tank Name Plate </v>
          </cell>
          <cell r="N822">
            <v>5.0099999999999999E-2</v>
          </cell>
          <cell r="P822">
            <v>3.1262400000000001E-4</v>
          </cell>
          <cell r="Q822" t="str">
            <v>V</v>
          </cell>
          <cell r="R822">
            <v>2.9999999999999997E-4</v>
          </cell>
          <cell r="T822">
            <v>39401</v>
          </cell>
          <cell r="U822" t="str">
            <v>*</v>
          </cell>
          <cell r="V822" t="str">
            <v>2007-11</v>
          </cell>
          <cell r="AH822" t="str">
            <v/>
          </cell>
          <cell r="AJ822" t="str">
            <v/>
          </cell>
          <cell r="AL822" t="str">
            <v/>
          </cell>
          <cell r="AM822">
            <v>0</v>
          </cell>
          <cell r="AN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</row>
        <row r="823">
          <cell r="C823" t="str">
            <v>DWG</v>
          </cell>
          <cell r="H823" t="str">
            <v>10-50-A1-ME-0145</v>
          </cell>
          <cell r="I823" t="str">
            <v xml:space="preserve">Filtered Water Tank Steam Coil Detail </v>
          </cell>
          <cell r="N823">
            <v>5.0099999999999999E-2</v>
          </cell>
          <cell r="P823">
            <v>3.1262400000000001E-4</v>
          </cell>
          <cell r="Q823" t="str">
            <v>V</v>
          </cell>
          <cell r="R823">
            <v>2.9999999999999997E-4</v>
          </cell>
          <cell r="T823">
            <v>39431</v>
          </cell>
          <cell r="U823" t="str">
            <v>*</v>
          </cell>
          <cell r="V823" t="str">
            <v>2007-12</v>
          </cell>
          <cell r="AH823" t="str">
            <v/>
          </cell>
          <cell r="AJ823" t="str">
            <v/>
          </cell>
          <cell r="AL823" t="str">
            <v/>
          </cell>
          <cell r="AM823">
            <v>0</v>
          </cell>
          <cell r="AN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</row>
        <row r="824">
          <cell r="C824" t="str">
            <v>DWG</v>
          </cell>
          <cell r="H824" t="str">
            <v>10-50-A2-ME-0146</v>
          </cell>
          <cell r="I824" t="str">
            <v xml:space="preserve">Filtered Water Tank External Attachment Detail </v>
          </cell>
          <cell r="N824">
            <v>5.0099999999999999E-2</v>
          </cell>
          <cell r="P824">
            <v>3.1262400000000001E-4</v>
          </cell>
          <cell r="Q824" t="str">
            <v>V</v>
          </cell>
          <cell r="R824">
            <v>2.9999999999999997E-4</v>
          </cell>
          <cell r="T824">
            <v>39431</v>
          </cell>
          <cell r="U824" t="str">
            <v>*</v>
          </cell>
          <cell r="V824" t="str">
            <v>2007-12</v>
          </cell>
          <cell r="AH824" t="str">
            <v/>
          </cell>
          <cell r="AJ824" t="str">
            <v/>
          </cell>
          <cell r="AL824" t="str">
            <v/>
          </cell>
          <cell r="AM824">
            <v>0</v>
          </cell>
          <cell r="AN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</row>
        <row r="825">
          <cell r="G825" t="str">
            <v>Fire Water Tank No.1</v>
          </cell>
          <cell r="M825">
            <v>4.1300000000000003E-2</v>
          </cell>
          <cell r="N825">
            <v>0.99959999999999971</v>
          </cell>
          <cell r="P825">
            <v>6.6080000000000019E-3</v>
          </cell>
          <cell r="R825">
            <v>6.4199999999999986E-3</v>
          </cell>
          <cell r="T825" t="str">
            <v>.</v>
          </cell>
          <cell r="U825" t="str">
            <v>.</v>
          </cell>
          <cell r="V825" t="str">
            <v>.</v>
          </cell>
          <cell r="AG825" t="str">
            <v>.</v>
          </cell>
          <cell r="AM825">
            <v>0.23335351089588366</v>
          </cell>
          <cell r="AN825">
            <v>1.5419999999999998E-3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</row>
        <row r="826">
          <cell r="C826" t="str">
            <v>CLS</v>
          </cell>
          <cell r="H826" t="str">
            <v>10-80-CSH-ME-0028</v>
          </cell>
          <cell r="I826" t="str">
            <v>Fire Water Tank Calculation Sheets</v>
          </cell>
          <cell r="N826">
            <v>5.0999999999999997E-2</v>
          </cell>
          <cell r="P826">
            <v>3.3700800000000008E-4</v>
          </cell>
          <cell r="R826">
            <v>1.0200000000000001E-3</v>
          </cell>
          <cell r="V826" t="str">
            <v>ارسال شده</v>
          </cell>
          <cell r="W826" t="str">
            <v>0 1 23</v>
          </cell>
          <cell r="X826" t="str">
            <v>1 3044 262</v>
          </cell>
          <cell r="Y826" t="str">
            <v>02-05-07 23-06-07 02-07-0703-11-07</v>
          </cell>
          <cell r="Z826" t="str">
            <v xml:space="preserve">123-13-1077 F-0029F-0391 </v>
          </cell>
          <cell r="AA826" t="str">
            <v>86-02-22 30-06-0722-11-07</v>
          </cell>
          <cell r="AG826" t="str">
            <v>GBT</v>
          </cell>
          <cell r="AH826" t="str">
            <v>x</v>
          </cell>
          <cell r="AI826" t="str">
            <v>x</v>
          </cell>
          <cell r="AJ826" t="str">
            <v>x</v>
          </cell>
          <cell r="AK826" t="str">
            <v>x</v>
          </cell>
          <cell r="AL826" t="str">
            <v/>
          </cell>
          <cell r="AM826">
            <v>0.85</v>
          </cell>
          <cell r="AN826">
            <v>8.6700000000000004E-4</v>
          </cell>
          <cell r="AQ826">
            <v>2.8645680000000004E-4</v>
          </cell>
          <cell r="AR826">
            <v>8.6700000000000004E-4</v>
          </cell>
          <cell r="AS826">
            <v>45</v>
          </cell>
          <cell r="AT826">
            <v>60</v>
          </cell>
          <cell r="AU826">
            <v>75</v>
          </cell>
          <cell r="AV826">
            <v>85</v>
          </cell>
          <cell r="AW826">
            <v>0</v>
          </cell>
          <cell r="AX826">
            <v>85</v>
          </cell>
        </row>
        <row r="827">
          <cell r="C827" t="str">
            <v>DWG</v>
          </cell>
          <cell r="H827" t="str">
            <v>10-80-A2-ME-0001</v>
          </cell>
          <cell r="I827" t="str">
            <v xml:space="preserve">Fire Water Tank General Assembly </v>
          </cell>
          <cell r="N827">
            <v>5.0999999999999997E-2</v>
          </cell>
          <cell r="P827">
            <v>3.3700800000000008E-4</v>
          </cell>
          <cell r="Q827" t="str">
            <v>V</v>
          </cell>
          <cell r="R827">
            <v>2.9999999999999997E-4</v>
          </cell>
          <cell r="T827">
            <v>39401</v>
          </cell>
          <cell r="U827" t="str">
            <v>*</v>
          </cell>
          <cell r="V827" t="str">
            <v>2007-11</v>
          </cell>
          <cell r="AH827" t="str">
            <v/>
          </cell>
          <cell r="AJ827" t="str">
            <v/>
          </cell>
          <cell r="AL827" t="str">
            <v/>
          </cell>
          <cell r="AM827">
            <v>0</v>
          </cell>
          <cell r="AN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</row>
        <row r="828">
          <cell r="C828" t="str">
            <v>DWG</v>
          </cell>
          <cell r="H828" t="str">
            <v>10-80-A2-ME-0016</v>
          </cell>
          <cell r="I828" t="str">
            <v xml:space="preserve">Fire Water Tank Orientation </v>
          </cell>
          <cell r="N828">
            <v>5.67E-2</v>
          </cell>
          <cell r="P828">
            <v>3.7467360000000011E-4</v>
          </cell>
          <cell r="Q828" t="str">
            <v>L</v>
          </cell>
          <cell r="R828">
            <v>2.9999999999999997E-4</v>
          </cell>
          <cell r="T828">
            <v>39462</v>
          </cell>
          <cell r="V828" t="str">
            <v>2008-01</v>
          </cell>
          <cell r="AH828" t="str">
            <v/>
          </cell>
          <cell r="AJ828" t="str">
            <v/>
          </cell>
          <cell r="AL828" t="str">
            <v/>
          </cell>
          <cell r="AM828">
            <v>0</v>
          </cell>
          <cell r="AN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</row>
        <row r="829">
          <cell r="C829" t="str">
            <v>DWG</v>
          </cell>
          <cell r="H829" t="str">
            <v>10-80-A2-ME-0002</v>
          </cell>
          <cell r="I829" t="str">
            <v>Fire Water Tank Shell Plate Arrangement Drawing</v>
          </cell>
          <cell r="N829">
            <v>5.0999999999999997E-2</v>
          </cell>
          <cell r="P829">
            <v>3.3700800000000008E-4</v>
          </cell>
          <cell r="Q829" t="str">
            <v>V</v>
          </cell>
          <cell r="R829">
            <v>2.9999999999999997E-4</v>
          </cell>
          <cell r="V829" t="str">
            <v>ارسال شده</v>
          </cell>
          <cell r="W829">
            <v>0</v>
          </cell>
          <cell r="X829">
            <v>72</v>
          </cell>
          <cell r="Y829" t="str">
            <v>04-08-07</v>
          </cell>
          <cell r="Z829" t="str">
            <v>F-0128</v>
          </cell>
          <cell r="AA829" t="str">
            <v>06-08-07</v>
          </cell>
          <cell r="AG829" t="str">
            <v>GBT</v>
          </cell>
          <cell r="AH829" t="str">
            <v>x</v>
          </cell>
          <cell r="AJ829" t="str">
            <v/>
          </cell>
          <cell r="AL829" t="str">
            <v/>
          </cell>
          <cell r="AM829">
            <v>0.45</v>
          </cell>
          <cell r="AN829">
            <v>1.35E-4</v>
          </cell>
          <cell r="AQ829">
            <v>1.5165360000000003E-4</v>
          </cell>
          <cell r="AR829">
            <v>1.35E-4</v>
          </cell>
          <cell r="AS829">
            <v>45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45</v>
          </cell>
        </row>
        <row r="830">
          <cell r="C830" t="str">
            <v>DWG</v>
          </cell>
          <cell r="H830" t="str">
            <v>10-80-A2-ME-0003</v>
          </cell>
          <cell r="I830" t="str">
            <v xml:space="preserve">Fire Water Tank Bottom Plate Arrangement </v>
          </cell>
          <cell r="N830">
            <v>5.0999999999999997E-2</v>
          </cell>
          <cell r="P830">
            <v>3.3700800000000008E-4</v>
          </cell>
          <cell r="Q830" t="str">
            <v>V</v>
          </cell>
          <cell r="R830">
            <v>2.9999999999999997E-4</v>
          </cell>
          <cell r="V830" t="str">
            <v>ارسال شده</v>
          </cell>
          <cell r="W830">
            <v>0</v>
          </cell>
          <cell r="X830">
            <v>72</v>
          </cell>
          <cell r="Y830" t="str">
            <v>04-08-07</v>
          </cell>
          <cell r="Z830" t="str">
            <v>F-0128</v>
          </cell>
          <cell r="AA830" t="str">
            <v>06-08-07</v>
          </cell>
          <cell r="AG830" t="str">
            <v>GBT</v>
          </cell>
          <cell r="AH830" t="str">
            <v>x</v>
          </cell>
          <cell r="AJ830" t="str">
            <v/>
          </cell>
          <cell r="AL830" t="str">
            <v/>
          </cell>
          <cell r="AM830">
            <v>0.45</v>
          </cell>
          <cell r="AN830">
            <v>1.35E-4</v>
          </cell>
          <cell r="AQ830">
            <v>1.5165360000000003E-4</v>
          </cell>
          <cell r="AR830">
            <v>1.35E-4</v>
          </cell>
          <cell r="AS830">
            <v>45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45</v>
          </cell>
        </row>
        <row r="831">
          <cell r="C831" t="str">
            <v>DWG</v>
          </cell>
          <cell r="H831" t="str">
            <v>10-80-A2-ME-0004</v>
          </cell>
          <cell r="I831" t="str">
            <v xml:space="preserve">Fire Water Tank Roof Plate Arrangement </v>
          </cell>
          <cell r="N831">
            <v>5.0999999999999997E-2</v>
          </cell>
          <cell r="P831">
            <v>3.3700800000000008E-4</v>
          </cell>
          <cell r="Q831" t="str">
            <v>V</v>
          </cell>
          <cell r="R831">
            <v>2.9999999999999997E-4</v>
          </cell>
          <cell r="V831" t="str">
            <v>ارسال شده</v>
          </cell>
          <cell r="W831">
            <v>0</v>
          </cell>
          <cell r="X831">
            <v>72</v>
          </cell>
          <cell r="Y831" t="str">
            <v>04-08-07</v>
          </cell>
          <cell r="Z831" t="str">
            <v>F-0128</v>
          </cell>
          <cell r="AA831" t="str">
            <v>06-08-07</v>
          </cell>
          <cell r="AG831" t="str">
            <v>GBT</v>
          </cell>
          <cell r="AH831" t="str">
            <v>x</v>
          </cell>
          <cell r="AJ831" t="str">
            <v/>
          </cell>
          <cell r="AL831" t="str">
            <v/>
          </cell>
          <cell r="AM831">
            <v>0.45</v>
          </cell>
          <cell r="AN831">
            <v>1.35E-4</v>
          </cell>
          <cell r="AQ831">
            <v>1.5165360000000003E-4</v>
          </cell>
          <cell r="AR831">
            <v>1.35E-4</v>
          </cell>
          <cell r="AS831">
            <v>45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45</v>
          </cell>
        </row>
        <row r="832">
          <cell r="C832" t="str">
            <v>DWG</v>
          </cell>
          <cell r="H832" t="str">
            <v>10-80-A3-ME-0007</v>
          </cell>
          <cell r="I832" t="str">
            <v xml:space="preserve">Fire Water Tank Shell Man way </v>
          </cell>
          <cell r="N832">
            <v>5.67E-2</v>
          </cell>
          <cell r="P832">
            <v>3.7467360000000011E-4</v>
          </cell>
          <cell r="Q832" t="str">
            <v>V</v>
          </cell>
          <cell r="R832">
            <v>2.9999999999999997E-4</v>
          </cell>
          <cell r="V832" t="str">
            <v>ارسال شده</v>
          </cell>
          <cell r="W832">
            <v>0</v>
          </cell>
          <cell r="X832">
            <v>72</v>
          </cell>
          <cell r="Y832" t="str">
            <v>04-08-07</v>
          </cell>
          <cell r="Z832" t="str">
            <v>F-0128</v>
          </cell>
          <cell r="AA832" t="str">
            <v>06-08-07</v>
          </cell>
          <cell r="AG832" t="str">
            <v>GBT</v>
          </cell>
          <cell r="AH832" t="str">
            <v>x</v>
          </cell>
          <cell r="AJ832" t="str">
            <v/>
          </cell>
          <cell r="AL832" t="str">
            <v/>
          </cell>
          <cell r="AM832">
            <v>0.45</v>
          </cell>
          <cell r="AN832">
            <v>1.35E-4</v>
          </cell>
          <cell r="AQ832">
            <v>1.6860312000000006E-4</v>
          </cell>
          <cell r="AR832">
            <v>1.35E-4</v>
          </cell>
          <cell r="AS832">
            <v>45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45</v>
          </cell>
        </row>
        <row r="833">
          <cell r="C833" t="str">
            <v>DWG</v>
          </cell>
          <cell r="H833" t="str">
            <v>10-80-A3-ME-0008</v>
          </cell>
          <cell r="I833" t="str">
            <v xml:space="preserve">Fire Water Tank Roof Man way </v>
          </cell>
          <cell r="N833">
            <v>5.67E-2</v>
          </cell>
          <cell r="P833">
            <v>3.7467360000000011E-4</v>
          </cell>
          <cell r="Q833" t="str">
            <v>V</v>
          </cell>
          <cell r="R833">
            <v>2.9999999999999997E-4</v>
          </cell>
          <cell r="V833" t="str">
            <v>ارسال شده</v>
          </cell>
          <cell r="W833">
            <v>0</v>
          </cell>
          <cell r="X833">
            <v>72</v>
          </cell>
          <cell r="Y833" t="str">
            <v>04-08-07</v>
          </cell>
          <cell r="Z833" t="str">
            <v>F-0128</v>
          </cell>
          <cell r="AA833" t="str">
            <v>06-08-07</v>
          </cell>
          <cell r="AG833" t="str">
            <v>GBT</v>
          </cell>
          <cell r="AH833" t="str">
            <v>x</v>
          </cell>
          <cell r="AJ833" t="str">
            <v/>
          </cell>
          <cell r="AL833" t="str">
            <v/>
          </cell>
          <cell r="AM833">
            <v>0.45</v>
          </cell>
          <cell r="AN833">
            <v>1.35E-4</v>
          </cell>
          <cell r="AQ833">
            <v>1.6860312000000006E-4</v>
          </cell>
          <cell r="AR833">
            <v>1.35E-4</v>
          </cell>
          <cell r="AS833">
            <v>45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45</v>
          </cell>
        </row>
        <row r="834">
          <cell r="C834" t="str">
            <v>DWG</v>
          </cell>
          <cell r="H834" t="str">
            <v>10-80-A2-ME-0006</v>
          </cell>
          <cell r="I834" t="str">
            <v xml:space="preserve">Fire Water Tank Shell Nozzles Detail </v>
          </cell>
          <cell r="N834">
            <v>0.05</v>
          </cell>
          <cell r="P834">
            <v>3.3040000000000012E-4</v>
          </cell>
          <cell r="Q834" t="str">
            <v>V</v>
          </cell>
          <cell r="R834">
            <v>2.9999999999999997E-4</v>
          </cell>
          <cell r="T834">
            <v>39401</v>
          </cell>
          <cell r="U834" t="str">
            <v>*</v>
          </cell>
          <cell r="V834" t="str">
            <v>2007-11</v>
          </cell>
          <cell r="AM834">
            <v>0</v>
          </cell>
          <cell r="AN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</row>
        <row r="835">
          <cell r="C835" t="str">
            <v>DWG</v>
          </cell>
          <cell r="H835" t="str">
            <v>10-80-A3-ME-0017</v>
          </cell>
          <cell r="I835" t="str">
            <v xml:space="preserve">Fire Water Tank Roof Nozzles Detail </v>
          </cell>
          <cell r="N835">
            <v>0.05</v>
          </cell>
          <cell r="P835">
            <v>3.3040000000000012E-4</v>
          </cell>
          <cell r="Q835" t="str">
            <v>V</v>
          </cell>
          <cell r="R835">
            <v>2.9999999999999997E-4</v>
          </cell>
          <cell r="T835">
            <v>39401</v>
          </cell>
          <cell r="U835" t="str">
            <v>*</v>
          </cell>
          <cell r="V835" t="str">
            <v>2007-11</v>
          </cell>
          <cell r="AM835">
            <v>0</v>
          </cell>
          <cell r="AN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</row>
        <row r="836">
          <cell r="C836" t="str">
            <v>DWG</v>
          </cell>
          <cell r="H836" t="str">
            <v>10-80-A1-ME-0009</v>
          </cell>
          <cell r="I836" t="str">
            <v xml:space="preserve">Fire Water Tank Draw off Sump </v>
          </cell>
          <cell r="N836">
            <v>4.6699999999999998E-2</v>
          </cell>
          <cell r="P836">
            <v>3.0859360000000006E-4</v>
          </cell>
          <cell r="Q836" t="str">
            <v>V</v>
          </cell>
          <cell r="R836">
            <v>2.9999999999999997E-4</v>
          </cell>
          <cell r="T836">
            <v>39401</v>
          </cell>
          <cell r="U836" t="str">
            <v>*</v>
          </cell>
          <cell r="V836" t="str">
            <v>2007-11</v>
          </cell>
          <cell r="AH836" t="str">
            <v/>
          </cell>
          <cell r="AJ836" t="str">
            <v/>
          </cell>
          <cell r="AL836" t="str">
            <v/>
          </cell>
          <cell r="AM836">
            <v>0</v>
          </cell>
          <cell r="AN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</row>
        <row r="837">
          <cell r="C837" t="str">
            <v>DWG</v>
          </cell>
          <cell r="H837" t="str">
            <v>10-80-A1-ME-0005</v>
          </cell>
          <cell r="I837" t="str">
            <v xml:space="preserve">Fire Water Tank Roof Structure </v>
          </cell>
          <cell r="N837">
            <v>4.7300000000000002E-2</v>
          </cell>
          <cell r="P837">
            <v>3.1255840000000008E-4</v>
          </cell>
          <cell r="Q837" t="str">
            <v>V</v>
          </cell>
          <cell r="R837">
            <v>2.9999999999999997E-4</v>
          </cell>
          <cell r="T837">
            <v>39401</v>
          </cell>
          <cell r="U837" t="str">
            <v>*</v>
          </cell>
          <cell r="V837" t="str">
            <v>2007-11</v>
          </cell>
          <cell r="AH837" t="str">
            <v/>
          </cell>
          <cell r="AJ837" t="str">
            <v/>
          </cell>
          <cell r="AL837" t="str">
            <v/>
          </cell>
          <cell r="AM837">
            <v>0</v>
          </cell>
          <cell r="AN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</row>
        <row r="838">
          <cell r="C838" t="str">
            <v>DWG</v>
          </cell>
          <cell r="H838" t="str">
            <v>10-80-A1-ME-0010</v>
          </cell>
          <cell r="I838" t="str">
            <v xml:space="preserve">Fire Water Tank Spiral Stairway </v>
          </cell>
          <cell r="N838">
            <v>4.6699999999999998E-2</v>
          </cell>
          <cell r="P838">
            <v>3.0859360000000006E-4</v>
          </cell>
          <cell r="Q838" t="str">
            <v>L</v>
          </cell>
          <cell r="R838">
            <v>2.9999999999999997E-4</v>
          </cell>
          <cell r="AH838" t="str">
            <v/>
          </cell>
          <cell r="AJ838" t="str">
            <v/>
          </cell>
          <cell r="AL838" t="str">
            <v/>
          </cell>
          <cell r="AM838">
            <v>0</v>
          </cell>
          <cell r="AN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</row>
        <row r="839">
          <cell r="C839" t="str">
            <v>DWG</v>
          </cell>
          <cell r="H839" t="str">
            <v>10-80-A2-ME-0020</v>
          </cell>
          <cell r="I839" t="str">
            <v>Fire Water Tank Top Platform and Handrail</v>
          </cell>
          <cell r="N839">
            <v>5.5E-2</v>
          </cell>
          <cell r="P839">
            <v>3.6344000000000008E-4</v>
          </cell>
          <cell r="Q839" t="str">
            <v>L</v>
          </cell>
          <cell r="R839">
            <v>2.9999999999999997E-4</v>
          </cell>
          <cell r="AM839">
            <v>0</v>
          </cell>
          <cell r="AN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</row>
        <row r="840">
          <cell r="C840" t="str">
            <v>DWG</v>
          </cell>
          <cell r="H840" t="str">
            <v>10-80-A3-ME-0013</v>
          </cell>
          <cell r="I840" t="str">
            <v xml:space="preserve">Fire Water Tank Anchor Chair </v>
          </cell>
          <cell r="N840">
            <v>4.6699999999999998E-2</v>
          </cell>
          <cell r="P840">
            <v>3.0859360000000006E-4</v>
          </cell>
          <cell r="Q840" t="str">
            <v>V</v>
          </cell>
          <cell r="R840">
            <v>2.9999999999999997E-4</v>
          </cell>
          <cell r="T840">
            <v>39401</v>
          </cell>
          <cell r="U840" t="str">
            <v>*</v>
          </cell>
          <cell r="V840" t="str">
            <v>2007-11</v>
          </cell>
          <cell r="AH840" t="str">
            <v/>
          </cell>
          <cell r="AJ840" t="str">
            <v/>
          </cell>
          <cell r="AL840" t="str">
            <v/>
          </cell>
          <cell r="AM840">
            <v>0</v>
          </cell>
          <cell r="AN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</row>
        <row r="841">
          <cell r="C841" t="str">
            <v>DWG</v>
          </cell>
          <cell r="H841" t="str">
            <v>10-80-A3-ME-0014</v>
          </cell>
          <cell r="I841" t="str">
            <v xml:space="preserve">Fire Water Tank Earth Lug </v>
          </cell>
          <cell r="N841">
            <v>4.6699999999999998E-2</v>
          </cell>
          <cell r="P841">
            <v>3.0859360000000006E-4</v>
          </cell>
          <cell r="Q841" t="str">
            <v>V</v>
          </cell>
          <cell r="R841">
            <v>2.9999999999999997E-4</v>
          </cell>
          <cell r="T841">
            <v>39401</v>
          </cell>
          <cell r="U841" t="str">
            <v>*</v>
          </cell>
          <cell r="V841" t="str">
            <v>2007-11</v>
          </cell>
          <cell r="AH841" t="str">
            <v/>
          </cell>
          <cell r="AJ841" t="str">
            <v/>
          </cell>
          <cell r="AL841" t="str">
            <v/>
          </cell>
          <cell r="AM841">
            <v>0</v>
          </cell>
          <cell r="AN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</row>
        <row r="842">
          <cell r="C842" t="str">
            <v>DWG</v>
          </cell>
          <cell r="H842" t="str">
            <v>10-80-A1-ME-0015</v>
          </cell>
          <cell r="I842" t="str">
            <v xml:space="preserve">Fire Water Tank Name Plate </v>
          </cell>
          <cell r="N842">
            <v>4.6699999999999998E-2</v>
          </cell>
          <cell r="P842">
            <v>3.0859360000000006E-4</v>
          </cell>
          <cell r="Q842" t="str">
            <v>V</v>
          </cell>
          <cell r="R842">
            <v>2.9999999999999997E-4</v>
          </cell>
          <cell r="T842">
            <v>39401</v>
          </cell>
          <cell r="U842" t="str">
            <v>*</v>
          </cell>
          <cell r="V842" t="str">
            <v>2007-11</v>
          </cell>
          <cell r="AH842" t="str">
            <v/>
          </cell>
          <cell r="AJ842" t="str">
            <v/>
          </cell>
          <cell r="AL842" t="str">
            <v/>
          </cell>
          <cell r="AM842">
            <v>0</v>
          </cell>
          <cell r="AN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</row>
        <row r="843">
          <cell r="C843" t="str">
            <v>DWG</v>
          </cell>
          <cell r="H843" t="str">
            <v>10-80-A1-ME-0018</v>
          </cell>
          <cell r="I843" t="str">
            <v>Fire Water Tank Steam Coil Detail</v>
          </cell>
          <cell r="N843">
            <v>4.6699999999999998E-2</v>
          </cell>
          <cell r="P843">
            <v>3.0859360000000006E-4</v>
          </cell>
          <cell r="Q843" t="str">
            <v>V</v>
          </cell>
          <cell r="R843">
            <v>2.9999999999999997E-4</v>
          </cell>
          <cell r="T843">
            <v>39431</v>
          </cell>
          <cell r="U843" t="str">
            <v>*</v>
          </cell>
          <cell r="V843" t="str">
            <v>2007-12</v>
          </cell>
          <cell r="AH843" t="str">
            <v/>
          </cell>
          <cell r="AJ843" t="str">
            <v/>
          </cell>
          <cell r="AL843" t="str">
            <v/>
          </cell>
          <cell r="AM843">
            <v>0</v>
          </cell>
          <cell r="AN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</row>
        <row r="844">
          <cell r="C844" t="str">
            <v>DWG</v>
          </cell>
          <cell r="H844" t="str">
            <v>10-80-A2-ME-0019</v>
          </cell>
          <cell r="I844" t="str">
            <v>Fire Water Tank External Attachment Detail</v>
          </cell>
          <cell r="N844">
            <v>9.1999999999999998E-2</v>
          </cell>
          <cell r="P844">
            <v>6.0793600000000011E-4</v>
          </cell>
          <cell r="Q844" t="str">
            <v>V</v>
          </cell>
          <cell r="R844">
            <v>2.9999999999999997E-4</v>
          </cell>
          <cell r="T844">
            <v>39431</v>
          </cell>
          <cell r="U844" t="str">
            <v>*</v>
          </cell>
          <cell r="V844" t="str">
            <v>2007-12</v>
          </cell>
          <cell r="AH844" t="str">
            <v/>
          </cell>
          <cell r="AJ844" t="str">
            <v/>
          </cell>
          <cell r="AL844" t="str">
            <v/>
          </cell>
          <cell r="AM844">
            <v>0</v>
          </cell>
          <cell r="AN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</row>
        <row r="845">
          <cell r="G845" t="str">
            <v>Fire Water Tank No.2</v>
          </cell>
          <cell r="M845">
            <v>3.2000000000000001E-2</v>
          </cell>
          <cell r="N845">
            <v>0.99960000000000027</v>
          </cell>
          <cell r="P845">
            <v>5.1200000000000004E-3</v>
          </cell>
          <cell r="R845">
            <v>5.3999999999999994E-3</v>
          </cell>
          <cell r="T845" t="str">
            <v>.</v>
          </cell>
          <cell r="U845" t="str">
            <v>.</v>
          </cell>
          <cell r="V845" t="str">
            <v>.</v>
          </cell>
          <cell r="AG845" t="str">
            <v>.</v>
          </cell>
          <cell r="AM845">
            <v>0</v>
          </cell>
          <cell r="AN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</row>
        <row r="846">
          <cell r="C846" t="str">
            <v>DWG</v>
          </cell>
          <cell r="H846" t="str">
            <v>10-80-A2-ME-0030</v>
          </cell>
          <cell r="I846" t="str">
            <v xml:space="preserve">Fire Water Tank General Assembly </v>
          </cell>
          <cell r="N846">
            <v>9.9199999999999997E-2</v>
          </cell>
          <cell r="P846">
            <v>5.0790399999999999E-4</v>
          </cell>
          <cell r="Q846" t="str">
            <v>V</v>
          </cell>
          <cell r="R846">
            <v>2.9999999999999997E-4</v>
          </cell>
          <cell r="T846">
            <v>39401</v>
          </cell>
          <cell r="U846" t="str">
            <v>*</v>
          </cell>
          <cell r="V846" t="str">
            <v>2007-11</v>
          </cell>
          <cell r="AH846" t="str">
            <v/>
          </cell>
          <cell r="AJ846" t="str">
            <v/>
          </cell>
          <cell r="AL846" t="str">
            <v/>
          </cell>
          <cell r="AM846">
            <v>0</v>
          </cell>
          <cell r="AN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</row>
        <row r="847">
          <cell r="C847" t="str">
            <v>DWG</v>
          </cell>
          <cell r="H847" t="str">
            <v>10-80-A2-ME-0043</v>
          </cell>
          <cell r="I847" t="str">
            <v xml:space="preserve">Fire Water Tank Orientation </v>
          </cell>
          <cell r="N847">
            <v>5.0099999999999999E-2</v>
          </cell>
          <cell r="P847">
            <v>2.5651200000000003E-4</v>
          </cell>
          <cell r="Q847" t="str">
            <v>L</v>
          </cell>
          <cell r="R847">
            <v>2.9999999999999997E-4</v>
          </cell>
          <cell r="T847">
            <v>39462</v>
          </cell>
          <cell r="V847" t="str">
            <v>2008-01</v>
          </cell>
          <cell r="AH847" t="str">
            <v/>
          </cell>
          <cell r="AJ847" t="str">
            <v/>
          </cell>
          <cell r="AL847" t="str">
            <v/>
          </cell>
          <cell r="AM847">
            <v>0</v>
          </cell>
          <cell r="AN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</row>
        <row r="848">
          <cell r="C848" t="str">
            <v>DWG</v>
          </cell>
          <cell r="H848" t="str">
            <v>10-80-A2-ME-0031</v>
          </cell>
          <cell r="I848" t="str">
            <v>Fire Water Tank Shell Plate Arrangement Drawing</v>
          </cell>
          <cell r="N848">
            <v>9.9199999999999997E-2</v>
          </cell>
          <cell r="P848">
            <v>5.0790399999999999E-4</v>
          </cell>
          <cell r="Q848" t="str">
            <v>V</v>
          </cell>
          <cell r="R848">
            <v>2.9999999999999997E-4</v>
          </cell>
          <cell r="T848">
            <v>39401</v>
          </cell>
          <cell r="U848" t="str">
            <v>*</v>
          </cell>
          <cell r="V848" t="str">
            <v>2007-11</v>
          </cell>
          <cell r="AH848" t="str">
            <v/>
          </cell>
          <cell r="AJ848" t="str">
            <v/>
          </cell>
          <cell r="AL848" t="str">
            <v/>
          </cell>
          <cell r="AM848">
            <v>0</v>
          </cell>
          <cell r="AN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</row>
        <row r="849">
          <cell r="C849" t="str">
            <v>DWG</v>
          </cell>
          <cell r="H849" t="str">
            <v>10-80-A2-ME-0032</v>
          </cell>
          <cell r="I849" t="str">
            <v xml:space="preserve">Fire Water Tank Bottom Plate Arrangement </v>
          </cell>
          <cell r="N849">
            <v>5.0099999999999999E-2</v>
          </cell>
          <cell r="P849">
            <v>2.5651200000000003E-4</v>
          </cell>
          <cell r="Q849" t="str">
            <v>V</v>
          </cell>
          <cell r="R849">
            <v>2.9999999999999997E-4</v>
          </cell>
          <cell r="T849">
            <v>39411</v>
          </cell>
          <cell r="U849" t="str">
            <v>*</v>
          </cell>
          <cell r="V849" t="str">
            <v>2007-11</v>
          </cell>
          <cell r="AH849" t="str">
            <v/>
          </cell>
          <cell r="AJ849" t="str">
            <v/>
          </cell>
          <cell r="AL849" t="str">
            <v/>
          </cell>
          <cell r="AM849">
            <v>0</v>
          </cell>
          <cell r="AN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</row>
        <row r="850">
          <cell r="C850" t="str">
            <v>DWG</v>
          </cell>
          <cell r="H850" t="str">
            <v>10-80-A2-ME-0033</v>
          </cell>
          <cell r="I850" t="str">
            <v xml:space="preserve">Fire Water Tank Roof Plate Arrangement </v>
          </cell>
          <cell r="N850">
            <v>5.0099999999999999E-2</v>
          </cell>
          <cell r="P850">
            <v>2.5651200000000003E-4</v>
          </cell>
          <cell r="Q850" t="str">
            <v>V</v>
          </cell>
          <cell r="R850">
            <v>2.9999999999999997E-4</v>
          </cell>
          <cell r="T850">
            <v>39411</v>
          </cell>
          <cell r="U850" t="str">
            <v>*</v>
          </cell>
          <cell r="V850" t="str">
            <v>2007-11</v>
          </cell>
          <cell r="AH850" t="str">
            <v/>
          </cell>
          <cell r="AJ850" t="str">
            <v/>
          </cell>
          <cell r="AL850" t="str">
            <v/>
          </cell>
          <cell r="AM850">
            <v>0</v>
          </cell>
          <cell r="AN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</row>
        <row r="851">
          <cell r="C851" t="str">
            <v>DWG</v>
          </cell>
          <cell r="H851" t="str">
            <v>10-80-A3-ME-0036</v>
          </cell>
          <cell r="I851" t="str">
            <v xml:space="preserve">Fire Water Tank Shell Man way </v>
          </cell>
          <cell r="N851">
            <v>5.0099999999999999E-2</v>
          </cell>
          <cell r="P851">
            <v>2.5651200000000003E-4</v>
          </cell>
          <cell r="Q851" t="str">
            <v>V</v>
          </cell>
          <cell r="R851">
            <v>2.9999999999999997E-4</v>
          </cell>
          <cell r="T851">
            <v>39411</v>
          </cell>
          <cell r="U851" t="str">
            <v>*</v>
          </cell>
          <cell r="V851" t="str">
            <v>2007-11</v>
          </cell>
          <cell r="AH851" t="str">
            <v/>
          </cell>
          <cell r="AJ851" t="str">
            <v/>
          </cell>
          <cell r="AL851" t="str">
            <v/>
          </cell>
          <cell r="AM851">
            <v>0</v>
          </cell>
          <cell r="AN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</row>
        <row r="852">
          <cell r="C852" t="str">
            <v>DWG</v>
          </cell>
          <cell r="H852" t="str">
            <v>10-80-A3-ME-0037</v>
          </cell>
          <cell r="I852" t="str">
            <v xml:space="preserve">Fire Water Tank Roof Man way </v>
          </cell>
          <cell r="N852">
            <v>5.0099999999999999E-2</v>
          </cell>
          <cell r="P852">
            <v>2.5651200000000003E-4</v>
          </cell>
          <cell r="Q852" t="str">
            <v>V</v>
          </cell>
          <cell r="R852">
            <v>2.9999999999999997E-4</v>
          </cell>
          <cell r="T852">
            <v>39411</v>
          </cell>
          <cell r="U852" t="str">
            <v>*</v>
          </cell>
          <cell r="V852" t="str">
            <v>2007-11</v>
          </cell>
          <cell r="AJ852" t="str">
            <v/>
          </cell>
          <cell r="AL852" t="str">
            <v/>
          </cell>
          <cell r="AM852">
            <v>0</v>
          </cell>
          <cell r="AN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</row>
        <row r="853">
          <cell r="C853" t="str">
            <v>DWG</v>
          </cell>
          <cell r="H853" t="str">
            <v>10-80-A2-ME-0035</v>
          </cell>
          <cell r="I853" t="str">
            <v xml:space="preserve">Fire Water Tank Shell Nozzles Detail </v>
          </cell>
          <cell r="N853">
            <v>0.05</v>
          </cell>
          <cell r="P853">
            <v>2.5600000000000004E-4</v>
          </cell>
          <cell r="Q853" t="str">
            <v>V</v>
          </cell>
          <cell r="R853">
            <v>2.9999999999999997E-4</v>
          </cell>
          <cell r="T853">
            <v>39401</v>
          </cell>
          <cell r="U853" t="str">
            <v>*</v>
          </cell>
          <cell r="V853" t="str">
            <v>2007-11</v>
          </cell>
          <cell r="AM853">
            <v>0</v>
          </cell>
          <cell r="AN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</row>
        <row r="854">
          <cell r="C854" t="str">
            <v>DWG</v>
          </cell>
          <cell r="H854" t="str">
            <v>10-80-A3-ME-0044</v>
          </cell>
          <cell r="I854" t="str">
            <v xml:space="preserve">Fire Water Tank Roof Nozzles Detail </v>
          </cell>
          <cell r="N854">
            <v>0.05</v>
          </cell>
          <cell r="P854">
            <v>2.5600000000000004E-4</v>
          </cell>
          <cell r="Q854" t="str">
            <v>V</v>
          </cell>
          <cell r="R854">
            <v>2.9999999999999997E-4</v>
          </cell>
          <cell r="T854">
            <v>39401</v>
          </cell>
          <cell r="U854" t="str">
            <v>*</v>
          </cell>
          <cell r="V854" t="str">
            <v>2007-11</v>
          </cell>
          <cell r="AM854">
            <v>0</v>
          </cell>
          <cell r="AN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</row>
        <row r="855">
          <cell r="C855" t="str">
            <v>DWG</v>
          </cell>
          <cell r="H855" t="str">
            <v>10-80-A3-ME-0038</v>
          </cell>
          <cell r="I855" t="str">
            <v xml:space="preserve">Fire Water Tank Draw off Sump </v>
          </cell>
          <cell r="N855">
            <v>0.05</v>
          </cell>
          <cell r="P855">
            <v>2.5600000000000004E-4</v>
          </cell>
          <cell r="Q855" t="str">
            <v>V</v>
          </cell>
          <cell r="R855">
            <v>2.9999999999999997E-4</v>
          </cell>
          <cell r="T855">
            <v>39401</v>
          </cell>
          <cell r="U855" t="str">
            <v>*</v>
          </cell>
          <cell r="V855" t="str">
            <v>2007-11</v>
          </cell>
          <cell r="AM855">
            <v>0</v>
          </cell>
          <cell r="AN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</row>
        <row r="856">
          <cell r="C856" t="str">
            <v>DWG</v>
          </cell>
          <cell r="H856" t="str">
            <v>10-80-A1-ME-0034</v>
          </cell>
          <cell r="I856" t="str">
            <v xml:space="preserve">Fire Water Tank Roof Structure </v>
          </cell>
          <cell r="N856">
            <v>5.0099999999999999E-2</v>
          </cell>
          <cell r="P856">
            <v>2.5651200000000003E-4</v>
          </cell>
          <cell r="Q856" t="str">
            <v>V</v>
          </cell>
          <cell r="R856">
            <v>2.9999999999999997E-4</v>
          </cell>
          <cell r="T856">
            <v>39401</v>
          </cell>
          <cell r="U856" t="str">
            <v>*</v>
          </cell>
          <cell r="V856" t="str">
            <v>2007-11</v>
          </cell>
          <cell r="AH856" t="str">
            <v/>
          </cell>
          <cell r="AJ856" t="str">
            <v/>
          </cell>
          <cell r="AL856" t="str">
            <v/>
          </cell>
          <cell r="AM856">
            <v>0</v>
          </cell>
          <cell r="AN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</row>
        <row r="857">
          <cell r="C857" t="str">
            <v>DWG</v>
          </cell>
          <cell r="H857" t="str">
            <v>10-80-A1-ME-0039</v>
          </cell>
          <cell r="I857" t="str">
            <v xml:space="preserve">Fire Water Tank Spiral Stairway </v>
          </cell>
          <cell r="N857">
            <v>5.0099999999999999E-2</v>
          </cell>
          <cell r="P857">
            <v>2.5651200000000003E-4</v>
          </cell>
          <cell r="Q857" t="str">
            <v>L</v>
          </cell>
          <cell r="R857">
            <v>2.9999999999999997E-4</v>
          </cell>
          <cell r="T857">
            <v>39464</v>
          </cell>
          <cell r="V857" t="str">
            <v>2008-01</v>
          </cell>
          <cell r="AH857" t="str">
            <v/>
          </cell>
          <cell r="AJ857" t="str">
            <v/>
          </cell>
          <cell r="AL857" t="str">
            <v/>
          </cell>
          <cell r="AM857">
            <v>0</v>
          </cell>
          <cell r="AN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</row>
        <row r="858">
          <cell r="C858" t="str">
            <v>DWG</v>
          </cell>
          <cell r="H858" t="str">
            <v>10-80-A2-ME-0047</v>
          </cell>
          <cell r="I858" t="str">
            <v>Fire Water Tank Top Platform and Handrail</v>
          </cell>
          <cell r="N858">
            <v>0.05</v>
          </cell>
          <cell r="P858">
            <v>2.5600000000000004E-4</v>
          </cell>
          <cell r="Q858" t="str">
            <v>L</v>
          </cell>
          <cell r="R858">
            <v>2.9999999999999997E-4</v>
          </cell>
          <cell r="T858">
            <v>39464</v>
          </cell>
          <cell r="V858" t="str">
            <v>2008-01</v>
          </cell>
          <cell r="AM858">
            <v>0</v>
          </cell>
          <cell r="AN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</row>
        <row r="859">
          <cell r="C859" t="str">
            <v>DWG</v>
          </cell>
          <cell r="H859" t="str">
            <v>10-80-A3-ME-0040</v>
          </cell>
          <cell r="I859" t="str">
            <v xml:space="preserve">Fire Water Tank Anchor Chair </v>
          </cell>
          <cell r="N859">
            <v>5.0099999999999999E-2</v>
          </cell>
          <cell r="P859">
            <v>2.5651200000000003E-4</v>
          </cell>
          <cell r="Q859" t="str">
            <v>V</v>
          </cell>
          <cell r="R859">
            <v>2.9999999999999997E-4</v>
          </cell>
          <cell r="T859">
            <v>39401</v>
          </cell>
          <cell r="U859" t="str">
            <v>*</v>
          </cell>
          <cell r="V859" t="str">
            <v>2007-11</v>
          </cell>
          <cell r="AH859" t="str">
            <v/>
          </cell>
          <cell r="AJ859" t="str">
            <v/>
          </cell>
          <cell r="AL859" t="str">
            <v/>
          </cell>
          <cell r="AM859">
            <v>0</v>
          </cell>
          <cell r="AN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</row>
        <row r="860">
          <cell r="C860" t="str">
            <v>DWG</v>
          </cell>
          <cell r="H860" t="str">
            <v>10-80-A3-ME-0041</v>
          </cell>
          <cell r="I860" t="str">
            <v xml:space="preserve">Fire Water Tank Earth Lug </v>
          </cell>
          <cell r="N860">
            <v>5.0099999999999999E-2</v>
          </cell>
          <cell r="P860">
            <v>2.5651200000000003E-4</v>
          </cell>
          <cell r="Q860" t="str">
            <v>V</v>
          </cell>
          <cell r="R860">
            <v>2.9999999999999997E-4</v>
          </cell>
          <cell r="T860">
            <v>39401</v>
          </cell>
          <cell r="U860" t="str">
            <v>*</v>
          </cell>
          <cell r="V860" t="str">
            <v>2007-11</v>
          </cell>
          <cell r="AH860" t="str">
            <v/>
          </cell>
          <cell r="AJ860" t="str">
            <v/>
          </cell>
          <cell r="AL860" t="str">
            <v/>
          </cell>
          <cell r="AM860">
            <v>0</v>
          </cell>
          <cell r="AN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</row>
        <row r="861">
          <cell r="C861" t="str">
            <v>DWG</v>
          </cell>
          <cell r="H861" t="str">
            <v>10-80-A3-ME-0042</v>
          </cell>
          <cell r="I861" t="str">
            <v xml:space="preserve">Fire Water Tank Name Plate </v>
          </cell>
          <cell r="N861">
            <v>5.0099999999999999E-2</v>
          </cell>
          <cell r="P861">
            <v>2.5651200000000003E-4</v>
          </cell>
          <cell r="Q861" t="str">
            <v>V</v>
          </cell>
          <cell r="R861">
            <v>2.9999999999999997E-4</v>
          </cell>
          <cell r="T861">
            <v>39401</v>
          </cell>
          <cell r="U861" t="str">
            <v>*</v>
          </cell>
          <cell r="V861" t="str">
            <v>2007-11</v>
          </cell>
          <cell r="AH861" t="str">
            <v/>
          </cell>
          <cell r="AJ861" t="str">
            <v/>
          </cell>
          <cell r="AL861" t="str">
            <v/>
          </cell>
          <cell r="AM861">
            <v>0</v>
          </cell>
          <cell r="AN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</row>
        <row r="862">
          <cell r="C862" t="str">
            <v>DWG</v>
          </cell>
          <cell r="H862" t="str">
            <v>10-80-A1-ME-0045</v>
          </cell>
          <cell r="I862" t="str">
            <v>Fire Water Tank Steam Coil Detail</v>
          </cell>
          <cell r="N862">
            <v>5.0099999999999999E-2</v>
          </cell>
          <cell r="P862">
            <v>2.5651200000000003E-4</v>
          </cell>
          <cell r="Q862" t="str">
            <v>V</v>
          </cell>
          <cell r="R862">
            <v>2.9999999999999997E-4</v>
          </cell>
          <cell r="T862">
            <v>39431</v>
          </cell>
          <cell r="U862" t="str">
            <v>*</v>
          </cell>
          <cell r="V862" t="str">
            <v>2007-12</v>
          </cell>
          <cell r="AH862" t="str">
            <v/>
          </cell>
          <cell r="AJ862" t="str">
            <v/>
          </cell>
          <cell r="AL862" t="str">
            <v/>
          </cell>
          <cell r="AM862">
            <v>0</v>
          </cell>
          <cell r="AN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</row>
        <row r="863">
          <cell r="C863" t="str">
            <v>DWG</v>
          </cell>
          <cell r="H863" t="str">
            <v>10-80-A2-ME-0046</v>
          </cell>
          <cell r="I863" t="str">
            <v>Fire Water Tank External Attachment Detail</v>
          </cell>
          <cell r="N863">
            <v>5.0099999999999999E-2</v>
          </cell>
          <cell r="P863">
            <v>2.5651200000000003E-4</v>
          </cell>
          <cell r="Q863" t="str">
            <v>V</v>
          </cell>
          <cell r="R863">
            <v>2.9999999999999997E-4</v>
          </cell>
          <cell r="T863">
            <v>39431</v>
          </cell>
          <cell r="U863" t="str">
            <v>*</v>
          </cell>
          <cell r="V863" t="str">
            <v>2007-12</v>
          </cell>
          <cell r="AH863" t="str">
            <v/>
          </cell>
          <cell r="AJ863" t="str">
            <v/>
          </cell>
          <cell r="AL863" t="str">
            <v/>
          </cell>
          <cell r="AM863">
            <v>0</v>
          </cell>
          <cell r="AN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</row>
        <row r="864">
          <cell r="G864" t="str">
            <v>Fuel Oil Tank</v>
          </cell>
          <cell r="M864">
            <v>7.6999999999999999E-2</v>
          </cell>
          <cell r="N864">
            <v>1</v>
          </cell>
          <cell r="P864">
            <v>1.2320000000000001E-2</v>
          </cell>
          <cell r="R864">
            <v>7.0199999999999985E-3</v>
          </cell>
          <cell r="T864" t="str">
            <v>.</v>
          </cell>
          <cell r="U864" t="str">
            <v>.</v>
          </cell>
          <cell r="V864" t="str">
            <v>.</v>
          </cell>
          <cell r="AG864" t="str">
            <v>.</v>
          </cell>
          <cell r="AM864">
            <v>7.0373376623376616E-2</v>
          </cell>
          <cell r="AN864">
            <v>8.6700000000000004E-4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</row>
        <row r="865">
          <cell r="C865" t="str">
            <v>CLS</v>
          </cell>
          <cell r="H865" t="str">
            <v>10-96-CSH-ME-0029</v>
          </cell>
          <cell r="I865" t="str">
            <v>Fuel Oil Tank Calculation Sheets</v>
          </cell>
          <cell r="N865">
            <v>5.3499999999999999E-2</v>
          </cell>
          <cell r="P865">
            <v>6.5912000000000002E-4</v>
          </cell>
          <cell r="R865">
            <v>1.0200000000000001E-3</v>
          </cell>
          <cell r="V865" t="str">
            <v>ارسال شده</v>
          </cell>
          <cell r="W865" t="str">
            <v>0 1 23</v>
          </cell>
          <cell r="X865" t="str">
            <v xml:space="preserve">13044243 </v>
          </cell>
          <cell r="Y865" t="str">
            <v>02-05-07 23-06-07 02-07-0703-11-07</v>
          </cell>
          <cell r="Z865" t="str">
            <v>123-13-1077 F-0029 F-0364</v>
          </cell>
          <cell r="AA865" t="str">
            <v>86-02-22 30-06-0722-11-07</v>
          </cell>
          <cell r="AG865" t="str">
            <v>GBT</v>
          </cell>
          <cell r="AH865" t="str">
            <v>x</v>
          </cell>
          <cell r="AI865" t="str">
            <v>x</v>
          </cell>
          <cell r="AJ865" t="str">
            <v>x</v>
          </cell>
          <cell r="AK865" t="str">
            <v>x</v>
          </cell>
          <cell r="AL865" t="str">
            <v/>
          </cell>
          <cell r="AM865">
            <v>0.85</v>
          </cell>
          <cell r="AN865">
            <v>8.6700000000000004E-4</v>
          </cell>
          <cell r="AQ865">
            <v>5.6025200000000002E-4</v>
          </cell>
          <cell r="AR865">
            <v>8.6700000000000004E-4</v>
          </cell>
          <cell r="AS865">
            <v>45</v>
          </cell>
          <cell r="AT865">
            <v>60</v>
          </cell>
          <cell r="AU865">
            <v>75</v>
          </cell>
          <cell r="AV865">
            <v>85</v>
          </cell>
          <cell r="AW865">
            <v>0</v>
          </cell>
          <cell r="AX865">
            <v>85</v>
          </cell>
        </row>
        <row r="866">
          <cell r="C866" t="str">
            <v>DWG</v>
          </cell>
          <cell r="H866" t="str">
            <v>10-96-A2-ME-0001</v>
          </cell>
          <cell r="I866" t="str">
            <v xml:space="preserve">Fuel Oil Tank General Assembly </v>
          </cell>
          <cell r="N866">
            <v>5.0999999999999997E-2</v>
          </cell>
          <cell r="P866">
            <v>6.2832000000000003E-4</v>
          </cell>
          <cell r="Q866" t="str">
            <v>V</v>
          </cell>
          <cell r="R866">
            <v>2.9999999999999997E-4</v>
          </cell>
          <cell r="T866">
            <v>39389</v>
          </cell>
          <cell r="U866" t="str">
            <v>*</v>
          </cell>
          <cell r="V866" t="str">
            <v>2007-11</v>
          </cell>
          <cell r="AH866" t="str">
            <v/>
          </cell>
          <cell r="AJ866" t="str">
            <v/>
          </cell>
          <cell r="AL866" t="str">
            <v/>
          </cell>
          <cell r="AM866">
            <v>0</v>
          </cell>
          <cell r="AN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</row>
        <row r="867">
          <cell r="C867" t="str">
            <v>DWG</v>
          </cell>
          <cell r="H867" t="str">
            <v>10-96-A2-ME-0016</v>
          </cell>
          <cell r="I867" t="str">
            <v xml:space="preserve">Fuel Oil Tank Orientation </v>
          </cell>
          <cell r="N867">
            <v>0.05</v>
          </cell>
          <cell r="Q867" t="str">
            <v>L</v>
          </cell>
          <cell r="R867">
            <v>2.9999999999999997E-4</v>
          </cell>
          <cell r="T867">
            <v>39462</v>
          </cell>
          <cell r="V867" t="str">
            <v>2008-01</v>
          </cell>
          <cell r="AM867">
            <v>0</v>
          </cell>
          <cell r="AN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</row>
        <row r="868">
          <cell r="C868" t="str">
            <v>DWG</v>
          </cell>
          <cell r="H868" t="str">
            <v>10-96-A2-ME-0002</v>
          </cell>
          <cell r="I868" t="str">
            <v>Fuel Oil Tank Shell Plate Arrangement Drawing</v>
          </cell>
          <cell r="N868">
            <v>5.3499999999999999E-2</v>
          </cell>
          <cell r="P868">
            <v>6.5912000000000002E-4</v>
          </cell>
          <cell r="Q868" t="str">
            <v>L</v>
          </cell>
          <cell r="R868">
            <v>2.9999999999999997E-4</v>
          </cell>
          <cell r="T868">
            <v>39389</v>
          </cell>
          <cell r="U868" t="str">
            <v>*</v>
          </cell>
          <cell r="V868" t="str">
            <v>2007-11</v>
          </cell>
          <cell r="AH868" t="str">
            <v/>
          </cell>
          <cell r="AJ868" t="str">
            <v/>
          </cell>
          <cell r="AL868" t="str">
            <v/>
          </cell>
          <cell r="AM868">
            <v>0</v>
          </cell>
          <cell r="AN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</row>
        <row r="869">
          <cell r="C869" t="str">
            <v>DWG</v>
          </cell>
          <cell r="H869" t="str">
            <v>10-96-A2-ME-0003</v>
          </cell>
          <cell r="I869" t="str">
            <v xml:space="preserve">Fuel Oil Tank Bottom Plate Arrangement </v>
          </cell>
          <cell r="N869">
            <v>5.3499999999999999E-2</v>
          </cell>
          <cell r="P869">
            <v>6.5912000000000002E-4</v>
          </cell>
          <cell r="Q869" t="str">
            <v>V</v>
          </cell>
          <cell r="R869">
            <v>2.9999999999999997E-4</v>
          </cell>
          <cell r="T869">
            <v>39407</v>
          </cell>
          <cell r="U869" t="str">
            <v>*</v>
          </cell>
          <cell r="V869" t="str">
            <v>2007-11</v>
          </cell>
          <cell r="AH869" t="str">
            <v/>
          </cell>
          <cell r="AJ869" t="str">
            <v/>
          </cell>
          <cell r="AL869" t="str">
            <v/>
          </cell>
          <cell r="AM869">
            <v>0</v>
          </cell>
          <cell r="AN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</row>
        <row r="870">
          <cell r="C870" t="str">
            <v>DWG</v>
          </cell>
          <cell r="H870" t="str">
            <v>10-96-A2-ME-0004</v>
          </cell>
          <cell r="I870" t="str">
            <v xml:space="preserve">Fuel Oil Tank Roof Plate Arrangement </v>
          </cell>
          <cell r="N870">
            <v>5.2499999999999998E-2</v>
          </cell>
          <cell r="P870">
            <v>6.468E-4</v>
          </cell>
          <cell r="Q870" t="str">
            <v>V</v>
          </cell>
          <cell r="R870">
            <v>2.9999999999999997E-4</v>
          </cell>
          <cell r="T870">
            <v>39407</v>
          </cell>
          <cell r="U870" t="str">
            <v>*</v>
          </cell>
          <cell r="V870" t="str">
            <v>2007-11</v>
          </cell>
          <cell r="AH870" t="str">
            <v/>
          </cell>
          <cell r="AJ870" t="str">
            <v/>
          </cell>
          <cell r="AL870" t="str">
            <v/>
          </cell>
          <cell r="AM870">
            <v>0</v>
          </cell>
          <cell r="AN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</row>
        <row r="871">
          <cell r="C871" t="str">
            <v>DWG</v>
          </cell>
          <cell r="H871" t="str">
            <v>10-96-A3-ME-0007</v>
          </cell>
          <cell r="I871" t="str">
            <v xml:space="preserve">Fuel Oil Tank Shell Man way </v>
          </cell>
          <cell r="N871">
            <v>5.2499999999999998E-2</v>
          </cell>
          <cell r="P871">
            <v>6.468E-4</v>
          </cell>
          <cell r="Q871" t="str">
            <v>V</v>
          </cell>
          <cell r="R871">
            <v>2.9999999999999997E-4</v>
          </cell>
          <cell r="T871">
            <v>39407</v>
          </cell>
          <cell r="U871" t="str">
            <v>*</v>
          </cell>
          <cell r="V871" t="str">
            <v>2007-11</v>
          </cell>
          <cell r="AH871" t="str">
            <v/>
          </cell>
          <cell r="AJ871" t="str">
            <v/>
          </cell>
          <cell r="AL871" t="str">
            <v/>
          </cell>
          <cell r="AM871">
            <v>0</v>
          </cell>
          <cell r="AN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</row>
        <row r="872">
          <cell r="C872" t="str">
            <v>DWG</v>
          </cell>
          <cell r="H872" t="str">
            <v>10-96-A3-ME-0008</v>
          </cell>
          <cell r="I872" t="str">
            <v xml:space="preserve">Fuel Oil Tank Roof Man way </v>
          </cell>
          <cell r="N872">
            <v>5.3499999999999999E-2</v>
          </cell>
          <cell r="P872">
            <v>6.5912000000000002E-4</v>
          </cell>
          <cell r="Q872" t="str">
            <v>V</v>
          </cell>
          <cell r="R872">
            <v>2.9999999999999997E-4</v>
          </cell>
          <cell r="T872">
            <v>39407</v>
          </cell>
          <cell r="U872" t="str">
            <v>*</v>
          </cell>
          <cell r="V872" t="str">
            <v>2007-11</v>
          </cell>
          <cell r="AH872" t="str">
            <v/>
          </cell>
          <cell r="AJ872" t="str">
            <v/>
          </cell>
          <cell r="AL872" t="str">
            <v/>
          </cell>
          <cell r="AM872">
            <v>0</v>
          </cell>
          <cell r="AN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</row>
        <row r="873">
          <cell r="C873" t="str">
            <v>DWG</v>
          </cell>
          <cell r="H873" t="str">
            <v>10-96-A2-ME-0022</v>
          </cell>
          <cell r="I873" t="str">
            <v xml:space="preserve">Fuel Oil Tank Shell Nozzles Detail </v>
          </cell>
          <cell r="N873">
            <v>4.3499999999999997E-2</v>
          </cell>
          <cell r="P873">
            <v>5.3592000000000006E-4</v>
          </cell>
          <cell r="Q873" t="str">
            <v>V</v>
          </cell>
          <cell r="R873">
            <v>2.9999999999999997E-4</v>
          </cell>
          <cell r="T873">
            <v>39407</v>
          </cell>
          <cell r="U873" t="str">
            <v>*</v>
          </cell>
          <cell r="V873" t="str">
            <v>2007-11</v>
          </cell>
          <cell r="AH873" t="str">
            <v/>
          </cell>
          <cell r="AJ873" t="str">
            <v/>
          </cell>
          <cell r="AL873" t="str">
            <v/>
          </cell>
          <cell r="AM873">
            <v>0</v>
          </cell>
          <cell r="AN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</row>
        <row r="874">
          <cell r="C874" t="str">
            <v>DWG</v>
          </cell>
          <cell r="H874" t="str">
            <v>10-96-A3-ME-0017</v>
          </cell>
          <cell r="I874" t="str">
            <v xml:space="preserve">Fuel Oil Tank Roof Nozzles Detail </v>
          </cell>
          <cell r="N874">
            <v>4.3499999999999997E-2</v>
          </cell>
          <cell r="P874">
            <v>5.3592000000000006E-4</v>
          </cell>
          <cell r="Q874" t="str">
            <v>V</v>
          </cell>
          <cell r="R874">
            <v>2.9999999999999997E-4</v>
          </cell>
          <cell r="T874">
            <v>39407</v>
          </cell>
          <cell r="U874" t="str">
            <v>*</v>
          </cell>
          <cell r="V874" t="str">
            <v>2007-11</v>
          </cell>
          <cell r="AH874" t="str">
            <v/>
          </cell>
          <cell r="AJ874" t="str">
            <v/>
          </cell>
          <cell r="AL874" t="str">
            <v/>
          </cell>
          <cell r="AM874">
            <v>0</v>
          </cell>
          <cell r="AN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</row>
        <row r="875">
          <cell r="C875" t="str">
            <v>DWG</v>
          </cell>
          <cell r="H875" t="str">
            <v>10-96-A3-ME-0009</v>
          </cell>
          <cell r="I875" t="str">
            <v xml:space="preserve">Fuel Oil Tank Draw off Sump </v>
          </cell>
          <cell r="N875">
            <v>8.2000000000000003E-2</v>
          </cell>
          <cell r="P875">
            <v>1.0102400000000001E-3</v>
          </cell>
          <cell r="Q875" t="str">
            <v>V</v>
          </cell>
          <cell r="R875">
            <v>2.9999999999999997E-4</v>
          </cell>
          <cell r="T875">
            <v>39407</v>
          </cell>
          <cell r="U875" t="str">
            <v>*</v>
          </cell>
          <cell r="V875" t="str">
            <v>2007-11</v>
          </cell>
          <cell r="AH875" t="str">
            <v/>
          </cell>
          <cell r="AJ875" t="str">
            <v/>
          </cell>
          <cell r="AL875" t="str">
            <v/>
          </cell>
          <cell r="AM875">
            <v>0</v>
          </cell>
          <cell r="AN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</row>
        <row r="876">
          <cell r="C876" t="str">
            <v>DWG</v>
          </cell>
          <cell r="H876" t="str">
            <v>10-96-A1-ME-0005</v>
          </cell>
          <cell r="I876" t="str">
            <v xml:space="preserve">Fuel Oil Tank Roof Structure </v>
          </cell>
          <cell r="N876">
            <v>4.3499999999999997E-2</v>
          </cell>
          <cell r="P876">
            <v>5.3592000000000006E-4</v>
          </cell>
          <cell r="Q876" t="str">
            <v>V</v>
          </cell>
          <cell r="R876">
            <v>2.9999999999999997E-4</v>
          </cell>
          <cell r="T876">
            <v>39407</v>
          </cell>
          <cell r="U876" t="str">
            <v>*</v>
          </cell>
          <cell r="V876" t="str">
            <v>2007-11</v>
          </cell>
          <cell r="AH876" t="str">
            <v/>
          </cell>
          <cell r="AJ876" t="str">
            <v/>
          </cell>
          <cell r="AL876" t="str">
            <v/>
          </cell>
          <cell r="AM876">
            <v>0</v>
          </cell>
          <cell r="AN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</row>
        <row r="877">
          <cell r="C877" t="str">
            <v>DWG</v>
          </cell>
          <cell r="H877" t="str">
            <v>10-96-A1-ME-0010</v>
          </cell>
          <cell r="I877" t="str">
            <v xml:space="preserve">Fuel Oil Tank Spiral Stairway </v>
          </cell>
          <cell r="N877">
            <v>8.6999999999999994E-2</v>
          </cell>
          <cell r="P877">
            <v>1.0718400000000001E-3</v>
          </cell>
          <cell r="Q877" t="str">
            <v>L</v>
          </cell>
          <cell r="R877">
            <v>2.9999999999999997E-4</v>
          </cell>
          <cell r="T877">
            <v>39407</v>
          </cell>
          <cell r="U877" t="str">
            <v>*</v>
          </cell>
          <cell r="V877" t="str">
            <v>2007-11</v>
          </cell>
          <cell r="AH877" t="str">
            <v/>
          </cell>
          <cell r="AJ877" t="str">
            <v/>
          </cell>
          <cell r="AL877" t="str">
            <v/>
          </cell>
          <cell r="AM877">
            <v>0</v>
          </cell>
          <cell r="AN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</row>
        <row r="878">
          <cell r="C878" t="str">
            <v>DWG</v>
          </cell>
          <cell r="H878" t="str">
            <v>10-96-A2-ME-0006</v>
          </cell>
          <cell r="I878" t="str">
            <v>Fuel Oil Tank Top Platform and Handrail</v>
          </cell>
          <cell r="N878">
            <v>0.05</v>
          </cell>
          <cell r="P878">
            <v>6.1600000000000012E-4</v>
          </cell>
          <cell r="Q878" t="str">
            <v>L</v>
          </cell>
          <cell r="R878">
            <v>2.9999999999999997E-4</v>
          </cell>
          <cell r="T878">
            <v>39467</v>
          </cell>
          <cell r="V878" t="str">
            <v>2008-01</v>
          </cell>
          <cell r="AM878">
            <v>0</v>
          </cell>
          <cell r="AN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</row>
        <row r="879">
          <cell r="C879" t="str">
            <v>DWG</v>
          </cell>
          <cell r="H879" t="str">
            <v>10-96-A3-ME-0013</v>
          </cell>
          <cell r="I879" t="str">
            <v xml:space="preserve">Fuel Oil Tank Anchor Chair </v>
          </cell>
          <cell r="N879">
            <v>4.3499999999999997E-2</v>
          </cell>
          <cell r="P879">
            <v>5.3592000000000006E-4</v>
          </cell>
          <cell r="Q879" t="str">
            <v>V</v>
          </cell>
          <cell r="R879">
            <v>2.9999999999999997E-4</v>
          </cell>
          <cell r="T879">
            <v>39407</v>
          </cell>
          <cell r="U879" t="str">
            <v>*</v>
          </cell>
          <cell r="V879" t="str">
            <v>2007-11</v>
          </cell>
          <cell r="AH879" t="str">
            <v/>
          </cell>
          <cell r="AJ879" t="str">
            <v/>
          </cell>
          <cell r="AL879" t="str">
            <v/>
          </cell>
          <cell r="AM879">
            <v>0</v>
          </cell>
          <cell r="AN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</row>
        <row r="880">
          <cell r="C880" t="str">
            <v>DWG</v>
          </cell>
          <cell r="H880" t="str">
            <v>10-96-A3-ME-0014</v>
          </cell>
          <cell r="I880" t="str">
            <v xml:space="preserve">Fuel Oil Tank Earth Lug </v>
          </cell>
          <cell r="N880">
            <v>4.3499999999999997E-2</v>
          </cell>
          <cell r="P880">
            <v>5.3592000000000006E-4</v>
          </cell>
          <cell r="Q880" t="str">
            <v>V</v>
          </cell>
          <cell r="R880">
            <v>2.9999999999999997E-4</v>
          </cell>
          <cell r="T880">
            <v>39407</v>
          </cell>
          <cell r="U880" t="str">
            <v>*</v>
          </cell>
          <cell r="V880" t="str">
            <v>2007-11</v>
          </cell>
          <cell r="AH880" t="str">
            <v/>
          </cell>
          <cell r="AJ880" t="str">
            <v/>
          </cell>
          <cell r="AL880" t="str">
            <v/>
          </cell>
          <cell r="AM880">
            <v>0</v>
          </cell>
          <cell r="AN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</row>
        <row r="881">
          <cell r="C881" t="str">
            <v>DWG</v>
          </cell>
          <cell r="H881" t="str">
            <v>10-96-A3-ME-0015</v>
          </cell>
          <cell r="I881" t="str">
            <v xml:space="preserve">Fuel Oil Tank Name Plate </v>
          </cell>
          <cell r="N881">
            <v>4.3499999999999997E-2</v>
          </cell>
          <cell r="P881">
            <v>5.3592000000000006E-4</v>
          </cell>
          <cell r="Q881" t="str">
            <v>V</v>
          </cell>
          <cell r="R881">
            <v>2.9999999999999997E-4</v>
          </cell>
          <cell r="T881">
            <v>39407</v>
          </cell>
          <cell r="U881" t="str">
            <v>*</v>
          </cell>
          <cell r="V881" t="str">
            <v>2007-11</v>
          </cell>
          <cell r="AH881" t="str">
            <v/>
          </cell>
          <cell r="AJ881" t="str">
            <v/>
          </cell>
          <cell r="AL881" t="str">
            <v/>
          </cell>
          <cell r="AM881">
            <v>0</v>
          </cell>
          <cell r="AN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</row>
        <row r="882">
          <cell r="H882" t="str">
            <v>10-96-A2-ME-0017</v>
          </cell>
          <cell r="I882" t="str">
            <v xml:space="preserve">Fuel Oil Tank Cooling </v>
          </cell>
          <cell r="Q882" t="str">
            <v>L</v>
          </cell>
          <cell r="R882">
            <v>2.9999999999999997E-4</v>
          </cell>
          <cell r="T882">
            <v>39472</v>
          </cell>
          <cell r="V882" t="str">
            <v>2008-01</v>
          </cell>
          <cell r="AM882">
            <v>0</v>
          </cell>
          <cell r="AN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</row>
        <row r="883">
          <cell r="H883" t="str">
            <v>10-96-A2-ME-0018</v>
          </cell>
          <cell r="I883" t="str">
            <v xml:space="preserve">Fuel Oil Tank Foam System </v>
          </cell>
          <cell r="Q883" t="str">
            <v>L</v>
          </cell>
          <cell r="R883">
            <v>2.9999999999999997E-4</v>
          </cell>
          <cell r="T883">
            <v>39472</v>
          </cell>
          <cell r="V883" t="str">
            <v>2008-01</v>
          </cell>
          <cell r="AM883">
            <v>0</v>
          </cell>
          <cell r="AN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</row>
        <row r="884">
          <cell r="C884" t="str">
            <v>DWG</v>
          </cell>
          <cell r="H884" t="str">
            <v>10-96-A1-ME-0020</v>
          </cell>
          <cell r="I884" t="str">
            <v>Fuel Oil Tank Steam Coil Detail</v>
          </cell>
          <cell r="N884">
            <v>0.05</v>
          </cell>
          <cell r="P884">
            <v>6.1600000000000012E-4</v>
          </cell>
          <cell r="Q884" t="str">
            <v>V</v>
          </cell>
          <cell r="R884">
            <v>2.9999999999999997E-4</v>
          </cell>
          <cell r="T884">
            <v>39434</v>
          </cell>
          <cell r="U884" t="str">
            <v>*</v>
          </cell>
          <cell r="V884" t="str">
            <v>2007-12</v>
          </cell>
          <cell r="AM884">
            <v>0</v>
          </cell>
          <cell r="AN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</row>
        <row r="885">
          <cell r="C885" t="str">
            <v>DWG</v>
          </cell>
          <cell r="H885" t="str">
            <v>10-96-A2-ME-0019</v>
          </cell>
          <cell r="I885" t="str">
            <v>Fuel Oil Tank External Attachment Detail</v>
          </cell>
          <cell r="N885">
            <v>0.05</v>
          </cell>
          <cell r="P885">
            <v>6.1600000000000012E-4</v>
          </cell>
          <cell r="Q885" t="str">
            <v>V</v>
          </cell>
          <cell r="R885">
            <v>2.9999999999999997E-4</v>
          </cell>
          <cell r="T885">
            <v>39434</v>
          </cell>
          <cell r="U885" t="str">
            <v>*</v>
          </cell>
          <cell r="V885" t="str">
            <v>2007-12</v>
          </cell>
          <cell r="AM885">
            <v>0</v>
          </cell>
          <cell r="AN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</row>
        <row r="886">
          <cell r="G886" t="str">
            <v>DM Water Tank</v>
          </cell>
          <cell r="M886">
            <v>7.0000000000000007E-2</v>
          </cell>
          <cell r="N886">
            <v>1.0000000000000002</v>
          </cell>
          <cell r="P886">
            <v>1.1200000000000002E-2</v>
          </cell>
          <cell r="R886">
            <v>6.4199999999999986E-3</v>
          </cell>
          <cell r="T886" t="str">
            <v>.</v>
          </cell>
          <cell r="U886" t="str">
            <v>.</v>
          </cell>
          <cell r="V886" t="str">
            <v>.</v>
          </cell>
          <cell r="AG886" t="str">
            <v>.</v>
          </cell>
          <cell r="AM886">
            <v>7.7410714285714277E-2</v>
          </cell>
          <cell r="AN886">
            <v>8.6700000000000004E-4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</row>
        <row r="887">
          <cell r="C887" t="str">
            <v>CLS</v>
          </cell>
          <cell r="H887" t="str">
            <v>10-50-CSH-ME-0030</v>
          </cell>
          <cell r="I887" t="str">
            <v>DM Water Tank Calculation Sheets</v>
          </cell>
          <cell r="N887">
            <v>0.05</v>
          </cell>
          <cell r="P887">
            <v>5.6000000000000006E-4</v>
          </cell>
          <cell r="R887">
            <v>1.0200000000000001E-3</v>
          </cell>
          <cell r="V887" t="str">
            <v>ارسال شده</v>
          </cell>
          <cell r="W887" t="str">
            <v>0 1 23</v>
          </cell>
          <cell r="X887" t="str">
            <v>1 3044 453</v>
          </cell>
          <cell r="Y887" t="str">
            <v>02-05-07 23-06-07 02-07-0711-12-07</v>
          </cell>
          <cell r="Z887" t="str">
            <v xml:space="preserve">123-13-1077 F-0029 </v>
          </cell>
          <cell r="AA887" t="str">
            <v>86-02-22 30-06-07</v>
          </cell>
          <cell r="AG887" t="str">
            <v>KRPC</v>
          </cell>
          <cell r="AH887" t="str">
            <v>x</v>
          </cell>
          <cell r="AI887" t="str">
            <v>x</v>
          </cell>
          <cell r="AJ887" t="str">
            <v>x</v>
          </cell>
          <cell r="AK887" t="str">
            <v>x</v>
          </cell>
          <cell r="AL887" t="str">
            <v/>
          </cell>
          <cell r="AM887">
            <v>0.85</v>
          </cell>
          <cell r="AN887">
            <v>8.6700000000000004E-4</v>
          </cell>
          <cell r="AQ887">
            <v>4.7600000000000002E-4</v>
          </cell>
          <cell r="AR887">
            <v>8.6700000000000004E-4</v>
          </cell>
          <cell r="AS887">
            <v>45</v>
          </cell>
          <cell r="AT887">
            <v>60</v>
          </cell>
          <cell r="AU887">
            <v>75</v>
          </cell>
          <cell r="AV887">
            <v>85</v>
          </cell>
          <cell r="AW887">
            <v>0</v>
          </cell>
          <cell r="AX887">
            <v>85</v>
          </cell>
        </row>
        <row r="888">
          <cell r="C888" t="str">
            <v>DWG</v>
          </cell>
          <cell r="H888" t="str">
            <v>10-50-A2-ME-0025</v>
          </cell>
          <cell r="I888" t="str">
            <v xml:space="preserve">DM Water Tank General Assembly </v>
          </cell>
          <cell r="N888">
            <v>0.05</v>
          </cell>
          <cell r="P888">
            <v>5.6000000000000006E-4</v>
          </cell>
          <cell r="Q888" t="str">
            <v>V</v>
          </cell>
          <cell r="R888">
            <v>2.9999999999999997E-4</v>
          </cell>
          <cell r="T888">
            <v>39436</v>
          </cell>
          <cell r="U888" t="str">
            <v>*</v>
          </cell>
          <cell r="V888" t="str">
            <v>2007-12</v>
          </cell>
          <cell r="AH888" t="str">
            <v/>
          </cell>
          <cell r="AJ888" t="str">
            <v/>
          </cell>
          <cell r="AL888" t="str">
            <v/>
          </cell>
          <cell r="AM888">
            <v>0</v>
          </cell>
          <cell r="AN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</row>
        <row r="889">
          <cell r="C889" t="str">
            <v>DWG</v>
          </cell>
          <cell r="H889" t="str">
            <v>10-50-A2-ME-0040</v>
          </cell>
          <cell r="I889" t="str">
            <v xml:space="preserve">DM Water Tank Orientation </v>
          </cell>
          <cell r="Q889" t="str">
            <v>L</v>
          </cell>
          <cell r="R889">
            <v>2.9999999999999997E-4</v>
          </cell>
          <cell r="T889">
            <v>39462</v>
          </cell>
          <cell r="V889" t="str">
            <v>2008-01</v>
          </cell>
          <cell r="AM889">
            <v>0</v>
          </cell>
          <cell r="AN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</row>
        <row r="890">
          <cell r="C890" t="str">
            <v>DWG</v>
          </cell>
          <cell r="H890" t="str">
            <v>10-50-A2-ME-0026</v>
          </cell>
          <cell r="I890" t="str">
            <v>DM Water Tank Shell Plate Arrangement Drawing</v>
          </cell>
          <cell r="N890">
            <v>0.05</v>
          </cell>
          <cell r="P890">
            <v>5.6000000000000006E-4</v>
          </cell>
          <cell r="Q890" t="str">
            <v>V</v>
          </cell>
          <cell r="R890">
            <v>2.9999999999999997E-4</v>
          </cell>
          <cell r="T890">
            <v>39436</v>
          </cell>
          <cell r="U890" t="str">
            <v>*</v>
          </cell>
          <cell r="V890" t="str">
            <v>2007-12</v>
          </cell>
          <cell r="AH890" t="str">
            <v/>
          </cell>
          <cell r="AJ890" t="str">
            <v/>
          </cell>
          <cell r="AL890" t="str">
            <v/>
          </cell>
          <cell r="AM890">
            <v>0</v>
          </cell>
          <cell r="AN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</row>
        <row r="891">
          <cell r="C891" t="str">
            <v>DWG</v>
          </cell>
          <cell r="H891" t="str">
            <v>10-50-A2-ME-0027</v>
          </cell>
          <cell r="I891" t="str">
            <v xml:space="preserve">DM Water Tank Bottom Plate Arrangement </v>
          </cell>
          <cell r="N891">
            <v>0.05</v>
          </cell>
          <cell r="P891">
            <v>5.6000000000000006E-4</v>
          </cell>
          <cell r="Q891" t="str">
            <v>V</v>
          </cell>
          <cell r="R891">
            <v>2.9999999999999997E-4</v>
          </cell>
          <cell r="T891">
            <v>39436</v>
          </cell>
          <cell r="U891" t="str">
            <v>*</v>
          </cell>
          <cell r="V891" t="str">
            <v>2007-12</v>
          </cell>
          <cell r="AH891" t="str">
            <v/>
          </cell>
          <cell r="AJ891" t="str">
            <v/>
          </cell>
          <cell r="AL891" t="str">
            <v/>
          </cell>
          <cell r="AM891">
            <v>0</v>
          </cell>
          <cell r="AN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</row>
        <row r="892">
          <cell r="C892" t="str">
            <v>DWG</v>
          </cell>
          <cell r="H892" t="str">
            <v>10-50-A2-ME-0028</v>
          </cell>
          <cell r="I892" t="str">
            <v xml:space="preserve">DM Water Tank Roof Plate Arrangement </v>
          </cell>
          <cell r="N892">
            <v>0.05</v>
          </cell>
          <cell r="P892">
            <v>5.6000000000000006E-4</v>
          </cell>
          <cell r="Q892" t="str">
            <v>V</v>
          </cell>
          <cell r="R892">
            <v>2.9999999999999997E-4</v>
          </cell>
          <cell r="T892">
            <v>39436</v>
          </cell>
          <cell r="U892" t="str">
            <v>*</v>
          </cell>
          <cell r="V892" t="str">
            <v>2007-12</v>
          </cell>
          <cell r="AH892" t="str">
            <v/>
          </cell>
          <cell r="AJ892" t="str">
            <v/>
          </cell>
          <cell r="AL892" t="str">
            <v/>
          </cell>
          <cell r="AM892">
            <v>0</v>
          </cell>
          <cell r="AN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</row>
        <row r="893">
          <cell r="C893" t="str">
            <v>DWG</v>
          </cell>
          <cell r="H893" t="str">
            <v>10-50-A3-ME-0031</v>
          </cell>
          <cell r="I893" t="str">
            <v xml:space="preserve">DM Water Tank Shell Man way </v>
          </cell>
          <cell r="N893">
            <v>0.05</v>
          </cell>
          <cell r="P893">
            <v>5.6000000000000006E-4</v>
          </cell>
          <cell r="Q893" t="str">
            <v>V</v>
          </cell>
          <cell r="R893">
            <v>2.9999999999999997E-4</v>
          </cell>
          <cell r="T893">
            <v>39436</v>
          </cell>
          <cell r="U893" t="str">
            <v>*</v>
          </cell>
          <cell r="V893" t="str">
            <v>2007-12</v>
          </cell>
          <cell r="AH893" t="str">
            <v/>
          </cell>
          <cell r="AJ893" t="str">
            <v/>
          </cell>
          <cell r="AL893" t="str">
            <v/>
          </cell>
          <cell r="AM893">
            <v>0</v>
          </cell>
          <cell r="AN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</row>
        <row r="894">
          <cell r="C894" t="str">
            <v>DWG</v>
          </cell>
          <cell r="H894" t="str">
            <v>10-50-A3-ME-0032</v>
          </cell>
          <cell r="I894" t="str">
            <v xml:space="preserve">DM Water Tank Roof Man way </v>
          </cell>
          <cell r="N894">
            <v>0.05</v>
          </cell>
          <cell r="P894">
            <v>5.6000000000000006E-4</v>
          </cell>
          <cell r="Q894" t="str">
            <v>V</v>
          </cell>
          <cell r="R894">
            <v>2.9999999999999997E-4</v>
          </cell>
          <cell r="T894">
            <v>39436</v>
          </cell>
          <cell r="U894" t="str">
            <v>*</v>
          </cell>
          <cell r="V894" t="str">
            <v>2007-12</v>
          </cell>
          <cell r="AH894" t="str">
            <v/>
          </cell>
          <cell r="AJ894" t="str">
            <v/>
          </cell>
          <cell r="AL894" t="str">
            <v/>
          </cell>
          <cell r="AM894">
            <v>0</v>
          </cell>
          <cell r="AN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</row>
        <row r="895">
          <cell r="C895" t="str">
            <v>DWG</v>
          </cell>
          <cell r="H895" t="str">
            <v>10-50-A2-ME-0030</v>
          </cell>
          <cell r="I895" t="str">
            <v>DM Water Tank Shell Nozzles Detail</v>
          </cell>
          <cell r="N895">
            <v>0.05</v>
          </cell>
          <cell r="P895">
            <v>5.6000000000000006E-4</v>
          </cell>
          <cell r="Q895" t="str">
            <v>V</v>
          </cell>
          <cell r="R895">
            <v>2.9999999999999997E-4</v>
          </cell>
          <cell r="T895">
            <v>39436</v>
          </cell>
          <cell r="U895" t="str">
            <v>*</v>
          </cell>
          <cell r="V895" t="str">
            <v>2007-12</v>
          </cell>
          <cell r="AH895" t="str">
            <v/>
          </cell>
          <cell r="AJ895" t="str">
            <v/>
          </cell>
          <cell r="AL895" t="str">
            <v/>
          </cell>
          <cell r="AM895">
            <v>0</v>
          </cell>
          <cell r="AN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</row>
        <row r="896">
          <cell r="C896" t="str">
            <v>DWG</v>
          </cell>
          <cell r="H896" t="str">
            <v>10-50-A3-ME-0035</v>
          </cell>
          <cell r="I896" t="str">
            <v>DM Water Tank Roof Nozzles Detail</v>
          </cell>
          <cell r="N896">
            <v>0.05</v>
          </cell>
          <cell r="P896">
            <v>5.6000000000000006E-4</v>
          </cell>
          <cell r="Q896" t="str">
            <v>V</v>
          </cell>
          <cell r="R896">
            <v>2.9999999999999997E-4</v>
          </cell>
          <cell r="T896">
            <v>39436</v>
          </cell>
          <cell r="U896" t="str">
            <v>*</v>
          </cell>
          <cell r="V896" t="str">
            <v>2007-12</v>
          </cell>
          <cell r="AM896">
            <v>0</v>
          </cell>
          <cell r="AN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</row>
        <row r="897">
          <cell r="C897" t="str">
            <v>DWG</v>
          </cell>
          <cell r="H897" t="str">
            <v>10-50-A3-ME-0033</v>
          </cell>
          <cell r="I897" t="str">
            <v xml:space="preserve">DM Water Tank Draw off Sump </v>
          </cell>
          <cell r="N897">
            <v>0.1</v>
          </cell>
          <cell r="P897">
            <v>1.1200000000000001E-3</v>
          </cell>
          <cell r="Q897" t="str">
            <v>V</v>
          </cell>
          <cell r="R897">
            <v>2.9999999999999997E-4</v>
          </cell>
          <cell r="T897">
            <v>39436</v>
          </cell>
          <cell r="U897" t="str">
            <v>*</v>
          </cell>
          <cell r="V897" t="str">
            <v>2007-12</v>
          </cell>
          <cell r="AH897" t="str">
            <v/>
          </cell>
          <cell r="AJ897" t="str">
            <v/>
          </cell>
          <cell r="AL897" t="str">
            <v/>
          </cell>
          <cell r="AM897">
            <v>0</v>
          </cell>
          <cell r="AN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</row>
        <row r="898">
          <cell r="C898" t="str">
            <v>DWG</v>
          </cell>
          <cell r="H898" t="str">
            <v>10-50-A1-ME-0029</v>
          </cell>
          <cell r="I898" t="str">
            <v>DM Water Tank Roof Structure</v>
          </cell>
          <cell r="N898">
            <v>0.05</v>
          </cell>
          <cell r="P898">
            <v>5.6000000000000006E-4</v>
          </cell>
          <cell r="Q898" t="str">
            <v>V</v>
          </cell>
          <cell r="R898">
            <v>2.9999999999999997E-4</v>
          </cell>
          <cell r="T898">
            <v>39436</v>
          </cell>
          <cell r="U898" t="str">
            <v>*</v>
          </cell>
          <cell r="V898" t="str">
            <v>2007-12</v>
          </cell>
          <cell r="AM898">
            <v>0</v>
          </cell>
          <cell r="AN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</row>
        <row r="899">
          <cell r="C899" t="str">
            <v>DWG</v>
          </cell>
          <cell r="H899" t="str">
            <v>10-50-A1-ME-0034</v>
          </cell>
          <cell r="I899" t="str">
            <v xml:space="preserve">DM Water Tank Spiral Stairway </v>
          </cell>
          <cell r="N899">
            <v>0.1</v>
          </cell>
          <cell r="P899">
            <v>1.1200000000000001E-3</v>
          </cell>
          <cell r="Q899" t="str">
            <v>L</v>
          </cell>
          <cell r="R899">
            <v>2.9999999999999997E-4</v>
          </cell>
          <cell r="T899">
            <v>39474</v>
          </cell>
          <cell r="V899" t="str">
            <v>2008-01</v>
          </cell>
          <cell r="AH899" t="str">
            <v/>
          </cell>
          <cell r="AJ899" t="str">
            <v/>
          </cell>
          <cell r="AL899" t="str">
            <v/>
          </cell>
          <cell r="AM899">
            <v>0</v>
          </cell>
          <cell r="AN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</row>
        <row r="900">
          <cell r="C900" t="str">
            <v>DWG</v>
          </cell>
          <cell r="H900" t="str">
            <v>10-50-A2-ME-0041</v>
          </cell>
          <cell r="I900" t="str">
            <v>DM Water Tank Top Platform and Handrail</v>
          </cell>
          <cell r="N900">
            <v>0.05</v>
          </cell>
          <cell r="P900">
            <v>5.6000000000000006E-4</v>
          </cell>
          <cell r="Q900" t="str">
            <v>L</v>
          </cell>
          <cell r="R900">
            <v>2.9999999999999997E-4</v>
          </cell>
          <cell r="T900">
            <v>39474</v>
          </cell>
          <cell r="V900" t="str">
            <v>2008-01</v>
          </cell>
          <cell r="AM900">
            <v>0</v>
          </cell>
          <cell r="AN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</row>
        <row r="901">
          <cell r="C901" t="str">
            <v>DWG</v>
          </cell>
          <cell r="H901" t="str">
            <v>10-50-A3-ME-0037</v>
          </cell>
          <cell r="I901" t="str">
            <v xml:space="preserve">DM Water Tank Anchor Chair </v>
          </cell>
          <cell r="N901">
            <v>0.05</v>
          </cell>
          <cell r="P901">
            <v>5.6000000000000006E-4</v>
          </cell>
          <cell r="Q901" t="str">
            <v>V</v>
          </cell>
          <cell r="R901">
            <v>2.9999999999999997E-4</v>
          </cell>
          <cell r="T901">
            <v>39436</v>
          </cell>
          <cell r="U901" t="str">
            <v>*</v>
          </cell>
          <cell r="V901" t="str">
            <v>2007-12</v>
          </cell>
          <cell r="AH901" t="str">
            <v/>
          </cell>
          <cell r="AJ901" t="str">
            <v/>
          </cell>
          <cell r="AL901" t="str">
            <v/>
          </cell>
          <cell r="AM901">
            <v>0</v>
          </cell>
          <cell r="AN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</row>
        <row r="902">
          <cell r="C902" t="str">
            <v>DWG</v>
          </cell>
          <cell r="H902" t="str">
            <v>10-50-A3-ME-0038</v>
          </cell>
          <cell r="I902" t="str">
            <v xml:space="preserve">DM Water Tank Earth Lug </v>
          </cell>
          <cell r="N902">
            <v>0.05</v>
          </cell>
          <cell r="P902">
            <v>5.6000000000000006E-4</v>
          </cell>
          <cell r="Q902" t="str">
            <v>V</v>
          </cell>
          <cell r="R902">
            <v>2.9999999999999997E-4</v>
          </cell>
          <cell r="T902">
            <v>39436</v>
          </cell>
          <cell r="U902" t="str">
            <v>*</v>
          </cell>
          <cell r="V902" t="str">
            <v>2007-12</v>
          </cell>
          <cell r="AH902" t="str">
            <v/>
          </cell>
          <cell r="AJ902" t="str">
            <v/>
          </cell>
          <cell r="AL902" t="str">
            <v/>
          </cell>
          <cell r="AM902">
            <v>0</v>
          </cell>
          <cell r="AN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</row>
        <row r="903">
          <cell r="C903" t="str">
            <v>DWG</v>
          </cell>
          <cell r="H903" t="str">
            <v>10-50-A3-ME-0039</v>
          </cell>
          <cell r="I903" t="str">
            <v xml:space="preserve">DM Water Tank Name Plate </v>
          </cell>
          <cell r="N903">
            <v>0.05</v>
          </cell>
          <cell r="P903">
            <v>5.6000000000000006E-4</v>
          </cell>
          <cell r="Q903" t="str">
            <v>V</v>
          </cell>
          <cell r="R903">
            <v>2.9999999999999997E-4</v>
          </cell>
          <cell r="T903">
            <v>39436</v>
          </cell>
          <cell r="U903" t="str">
            <v>*</v>
          </cell>
          <cell r="V903" t="str">
            <v>2007-12</v>
          </cell>
          <cell r="AH903" t="str">
            <v/>
          </cell>
          <cell r="AJ903" t="str">
            <v/>
          </cell>
          <cell r="AL903" t="str">
            <v/>
          </cell>
          <cell r="AM903">
            <v>0</v>
          </cell>
          <cell r="AN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</row>
        <row r="904">
          <cell r="C904" t="str">
            <v>DWG</v>
          </cell>
          <cell r="H904" t="str">
            <v>10-50-A1-ME-0042</v>
          </cell>
          <cell r="I904" t="str">
            <v xml:space="preserve">DM Water Tank Steam Coil Detail </v>
          </cell>
          <cell r="N904">
            <v>0.05</v>
          </cell>
          <cell r="P904">
            <v>5.6000000000000006E-4</v>
          </cell>
          <cell r="Q904" t="str">
            <v>V</v>
          </cell>
          <cell r="R904">
            <v>2.9999999999999997E-4</v>
          </cell>
          <cell r="T904">
            <v>39439</v>
          </cell>
          <cell r="U904" t="str">
            <v>*</v>
          </cell>
          <cell r="V904" t="str">
            <v>2007-12</v>
          </cell>
          <cell r="AH904" t="str">
            <v/>
          </cell>
          <cell r="AJ904" t="str">
            <v/>
          </cell>
          <cell r="AL904" t="str">
            <v/>
          </cell>
          <cell r="AM904">
            <v>0</v>
          </cell>
          <cell r="AN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</row>
        <row r="905">
          <cell r="C905" t="str">
            <v>DWG</v>
          </cell>
          <cell r="H905" t="str">
            <v>10-50-A2-ME-0043</v>
          </cell>
          <cell r="I905" t="str">
            <v xml:space="preserve">DM Water Tank External Attachment Detail </v>
          </cell>
          <cell r="N905">
            <v>0.05</v>
          </cell>
          <cell r="P905">
            <v>5.6000000000000006E-4</v>
          </cell>
          <cell r="Q905" t="str">
            <v>V</v>
          </cell>
          <cell r="R905">
            <v>2.9999999999999997E-4</v>
          </cell>
          <cell r="T905">
            <v>39439</v>
          </cell>
          <cell r="U905" t="str">
            <v>*</v>
          </cell>
          <cell r="V905" t="str">
            <v>2007-12</v>
          </cell>
          <cell r="AH905" t="str">
            <v/>
          </cell>
          <cell r="AJ905" t="str">
            <v/>
          </cell>
          <cell r="AL905" t="str">
            <v/>
          </cell>
          <cell r="AM905">
            <v>0</v>
          </cell>
          <cell r="AN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</row>
        <row r="906">
          <cell r="G906" t="str">
            <v xml:space="preserve">RO Water Tank </v>
          </cell>
          <cell r="M906">
            <v>7.0000000000000007E-2</v>
          </cell>
          <cell r="N906">
            <v>1.0000000000000002</v>
          </cell>
          <cell r="P906">
            <v>1.1200000000000002E-2</v>
          </cell>
          <cell r="R906">
            <v>6.4199999999999986E-3</v>
          </cell>
          <cell r="T906" t="str">
            <v>.</v>
          </cell>
          <cell r="U906" t="str">
            <v>.</v>
          </cell>
          <cell r="V906" t="str">
            <v>.</v>
          </cell>
          <cell r="AG906" t="str">
            <v>.</v>
          </cell>
          <cell r="AM906">
            <v>7.7410714285714277E-2</v>
          </cell>
          <cell r="AN906">
            <v>8.6700000000000004E-4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</row>
        <row r="907">
          <cell r="C907" t="str">
            <v>CLS</v>
          </cell>
          <cell r="H907" t="str">
            <v>10-50-CSH-ME-0031</v>
          </cell>
          <cell r="I907" t="str">
            <v>RO Water Tank Calculation Sheets</v>
          </cell>
          <cell r="N907">
            <v>0.05</v>
          </cell>
          <cell r="P907">
            <v>5.6000000000000006E-4</v>
          </cell>
          <cell r="Q907" t="str">
            <v>V</v>
          </cell>
          <cell r="R907">
            <v>1.0200000000000001E-3</v>
          </cell>
          <cell r="V907" t="str">
            <v>ارسال شده</v>
          </cell>
          <cell r="W907" t="str">
            <v>0 1 23</v>
          </cell>
          <cell r="X907" t="str">
            <v xml:space="preserve">13044242 </v>
          </cell>
          <cell r="Y907" t="str">
            <v>02-05-07 23-06-07 02-07-0703-11-07</v>
          </cell>
          <cell r="Z907" t="str">
            <v>123-13-1077  F-0029F-0309</v>
          </cell>
          <cell r="AA907" t="str">
            <v>86-02-22 30-06-0715-11-07</v>
          </cell>
          <cell r="AG907" t="str">
            <v>GBT</v>
          </cell>
          <cell r="AH907" t="str">
            <v>x</v>
          </cell>
          <cell r="AI907" t="str">
            <v>x</v>
          </cell>
          <cell r="AJ907" t="str">
            <v>x</v>
          </cell>
          <cell r="AK907" t="str">
            <v>x</v>
          </cell>
          <cell r="AL907" t="str">
            <v/>
          </cell>
          <cell r="AM907">
            <v>0.85</v>
          </cell>
          <cell r="AN907">
            <v>8.6700000000000004E-4</v>
          </cell>
          <cell r="AQ907">
            <v>4.7600000000000002E-4</v>
          </cell>
          <cell r="AR907">
            <v>8.6700000000000004E-4</v>
          </cell>
          <cell r="AS907">
            <v>45</v>
          </cell>
          <cell r="AT907">
            <v>60</v>
          </cell>
          <cell r="AU907">
            <v>75</v>
          </cell>
          <cell r="AV907">
            <v>85</v>
          </cell>
          <cell r="AW907">
            <v>0</v>
          </cell>
          <cell r="AX907">
            <v>85</v>
          </cell>
        </row>
        <row r="908">
          <cell r="C908" t="str">
            <v>DWG</v>
          </cell>
          <cell r="H908" t="str">
            <v>10-50-A2-ME-0045</v>
          </cell>
          <cell r="I908" t="str">
            <v xml:space="preserve">RO Water Tank General Assembly </v>
          </cell>
          <cell r="N908">
            <v>0.04</v>
          </cell>
          <cell r="P908">
            <v>4.4800000000000005E-4</v>
          </cell>
          <cell r="Q908" t="str">
            <v>V</v>
          </cell>
          <cell r="R908">
            <v>2.9999999999999997E-4</v>
          </cell>
          <cell r="T908">
            <v>39419</v>
          </cell>
          <cell r="U908" t="str">
            <v>*</v>
          </cell>
          <cell r="V908" t="str">
            <v>2007-12</v>
          </cell>
          <cell r="AH908" t="str">
            <v/>
          </cell>
          <cell r="AJ908" t="str">
            <v/>
          </cell>
          <cell r="AL908" t="str">
            <v/>
          </cell>
          <cell r="AM908">
            <v>0</v>
          </cell>
          <cell r="AN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</row>
        <row r="909">
          <cell r="C909" t="str">
            <v>DWG</v>
          </cell>
          <cell r="H909" t="str">
            <v>10-50-A2-ME-0060</v>
          </cell>
          <cell r="I909" t="str">
            <v xml:space="preserve">RO Water Tank Orientation </v>
          </cell>
          <cell r="N909">
            <v>0.04</v>
          </cell>
          <cell r="P909">
            <v>4.4800000000000005E-4</v>
          </cell>
          <cell r="Q909" t="str">
            <v>L</v>
          </cell>
          <cell r="R909">
            <v>2.9999999999999997E-4</v>
          </cell>
          <cell r="T909">
            <v>39462</v>
          </cell>
          <cell r="V909" t="str">
            <v>2008-01</v>
          </cell>
          <cell r="AH909" t="str">
            <v/>
          </cell>
          <cell r="AJ909" t="str">
            <v/>
          </cell>
          <cell r="AL909" t="str">
            <v/>
          </cell>
          <cell r="AM909">
            <v>0</v>
          </cell>
          <cell r="AN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</row>
        <row r="910">
          <cell r="C910" t="str">
            <v>DWG</v>
          </cell>
          <cell r="H910" t="str">
            <v>10-50-A2-ME-0046</v>
          </cell>
          <cell r="I910" t="str">
            <v>RO Water Tank Shell Plate Arrangement Drawing</v>
          </cell>
          <cell r="N910">
            <v>0.04</v>
          </cell>
          <cell r="P910">
            <v>4.4800000000000005E-4</v>
          </cell>
          <cell r="Q910" t="str">
            <v>V</v>
          </cell>
          <cell r="R910">
            <v>2.9999999999999997E-4</v>
          </cell>
          <cell r="T910">
            <v>39419</v>
          </cell>
          <cell r="U910" t="str">
            <v>*</v>
          </cell>
          <cell r="V910" t="str">
            <v>2007-12</v>
          </cell>
          <cell r="AH910" t="str">
            <v/>
          </cell>
          <cell r="AJ910" t="str">
            <v/>
          </cell>
          <cell r="AL910" t="str">
            <v/>
          </cell>
          <cell r="AM910">
            <v>0</v>
          </cell>
          <cell r="AN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</row>
        <row r="911">
          <cell r="C911" t="str">
            <v>DWG</v>
          </cell>
          <cell r="H911" t="str">
            <v>10-50-A2-ME-0047</v>
          </cell>
          <cell r="I911" t="str">
            <v xml:space="preserve">RO Water Tank Bottom Plate Arrangement </v>
          </cell>
          <cell r="N911">
            <v>0.04</v>
          </cell>
          <cell r="P911">
            <v>4.4800000000000005E-4</v>
          </cell>
          <cell r="Q911" t="str">
            <v>V</v>
          </cell>
          <cell r="R911">
            <v>2.9999999999999997E-4</v>
          </cell>
          <cell r="T911">
            <v>39419</v>
          </cell>
          <cell r="U911" t="str">
            <v>*</v>
          </cell>
          <cell r="V911" t="str">
            <v>2007-12</v>
          </cell>
          <cell r="AH911" t="str">
            <v/>
          </cell>
          <cell r="AJ911" t="str">
            <v/>
          </cell>
          <cell r="AL911" t="str">
            <v/>
          </cell>
          <cell r="AM911">
            <v>0</v>
          </cell>
          <cell r="AN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</row>
        <row r="912">
          <cell r="C912" t="str">
            <v>DWG</v>
          </cell>
          <cell r="H912" t="str">
            <v>10-50-A2-ME-0048</v>
          </cell>
          <cell r="I912" t="str">
            <v xml:space="preserve">RO Water Tank Roof Plate Arrangement </v>
          </cell>
          <cell r="N912">
            <v>0.04</v>
          </cell>
          <cell r="P912">
            <v>4.4800000000000005E-4</v>
          </cell>
          <cell r="Q912" t="str">
            <v>V</v>
          </cell>
          <cell r="R912">
            <v>2.9999999999999997E-4</v>
          </cell>
          <cell r="T912">
            <v>39419</v>
          </cell>
          <cell r="U912" t="str">
            <v>*</v>
          </cell>
          <cell r="V912" t="str">
            <v>2007-12</v>
          </cell>
          <cell r="AH912" t="str">
            <v/>
          </cell>
          <cell r="AJ912" t="str">
            <v/>
          </cell>
          <cell r="AL912" t="str">
            <v/>
          </cell>
          <cell r="AM912">
            <v>0</v>
          </cell>
          <cell r="AN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</row>
        <row r="913">
          <cell r="C913" t="str">
            <v>DWG</v>
          </cell>
          <cell r="H913" t="str">
            <v>10-50-A3-ME-0051</v>
          </cell>
          <cell r="I913" t="str">
            <v xml:space="preserve">RO Water Tank Shell Man way </v>
          </cell>
          <cell r="N913">
            <v>0.05</v>
          </cell>
          <cell r="P913">
            <v>5.6000000000000006E-4</v>
          </cell>
          <cell r="Q913" t="str">
            <v>V</v>
          </cell>
          <cell r="R913">
            <v>2.9999999999999997E-4</v>
          </cell>
          <cell r="T913">
            <v>39419</v>
          </cell>
          <cell r="U913" t="str">
            <v>*</v>
          </cell>
          <cell r="V913" t="str">
            <v>2007-12</v>
          </cell>
          <cell r="AH913" t="str">
            <v/>
          </cell>
          <cell r="AJ913" t="str">
            <v/>
          </cell>
          <cell r="AL913" t="str">
            <v/>
          </cell>
          <cell r="AM913">
            <v>0</v>
          </cell>
          <cell r="AN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</row>
        <row r="914">
          <cell r="C914" t="str">
            <v>DWG</v>
          </cell>
          <cell r="H914" t="str">
            <v>10-50-A3-ME-0052</v>
          </cell>
          <cell r="I914" t="str">
            <v xml:space="preserve">RO Water Tank Roof Man way </v>
          </cell>
          <cell r="N914">
            <v>0.05</v>
          </cell>
          <cell r="P914">
            <v>5.6000000000000006E-4</v>
          </cell>
          <cell r="Q914" t="str">
            <v>V</v>
          </cell>
          <cell r="R914">
            <v>2.9999999999999997E-4</v>
          </cell>
          <cell r="T914">
            <v>39419</v>
          </cell>
          <cell r="U914" t="str">
            <v>*</v>
          </cell>
          <cell r="V914" t="str">
            <v>2007-12</v>
          </cell>
          <cell r="AH914" t="str">
            <v/>
          </cell>
          <cell r="AJ914" t="str">
            <v/>
          </cell>
          <cell r="AL914" t="str">
            <v/>
          </cell>
          <cell r="AM914">
            <v>0</v>
          </cell>
          <cell r="AN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</row>
        <row r="915">
          <cell r="C915" t="str">
            <v>DWG</v>
          </cell>
          <cell r="H915" t="str">
            <v>10-50-A2-ME-0061</v>
          </cell>
          <cell r="I915" t="str">
            <v>RO Water Tank Shell Nozzles Detail</v>
          </cell>
          <cell r="N915">
            <v>0.05</v>
          </cell>
          <cell r="P915">
            <v>5.6000000000000006E-4</v>
          </cell>
          <cell r="Q915" t="str">
            <v>V</v>
          </cell>
          <cell r="R915">
            <v>2.9999999999999997E-4</v>
          </cell>
          <cell r="T915">
            <v>39419</v>
          </cell>
          <cell r="U915" t="str">
            <v>*</v>
          </cell>
          <cell r="V915" t="str">
            <v>2007-12</v>
          </cell>
          <cell r="AH915" t="str">
            <v/>
          </cell>
          <cell r="AJ915" t="str">
            <v/>
          </cell>
          <cell r="AL915" t="str">
            <v/>
          </cell>
          <cell r="AM915">
            <v>0</v>
          </cell>
          <cell r="AN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</row>
        <row r="916">
          <cell r="C916" t="str">
            <v>DWG</v>
          </cell>
          <cell r="H916" t="str">
            <v>10-50-A3-ME-0055</v>
          </cell>
          <cell r="I916" t="str">
            <v>RO Water Tank Roof Nozzles Detail</v>
          </cell>
          <cell r="N916">
            <v>0.05</v>
          </cell>
          <cell r="P916">
            <v>5.6000000000000006E-4</v>
          </cell>
          <cell r="Q916" t="str">
            <v>V</v>
          </cell>
          <cell r="R916">
            <v>2.9999999999999997E-4</v>
          </cell>
          <cell r="T916">
            <v>39419</v>
          </cell>
          <cell r="U916" t="str">
            <v>*</v>
          </cell>
          <cell r="V916" t="str">
            <v>2007-12</v>
          </cell>
          <cell r="AM916">
            <v>0</v>
          </cell>
          <cell r="AN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</row>
        <row r="917">
          <cell r="C917" t="str">
            <v>DWG</v>
          </cell>
          <cell r="H917" t="str">
            <v>10-50-A3-ME-0053</v>
          </cell>
          <cell r="I917" t="str">
            <v xml:space="preserve">RO Water Tank Draw off Sump </v>
          </cell>
          <cell r="N917">
            <v>0.1</v>
          </cell>
          <cell r="P917">
            <v>1.1200000000000001E-3</v>
          </cell>
          <cell r="Q917" t="str">
            <v>V</v>
          </cell>
          <cell r="R917">
            <v>2.9999999999999997E-4</v>
          </cell>
          <cell r="T917">
            <v>39419</v>
          </cell>
          <cell r="U917" t="str">
            <v>*</v>
          </cell>
          <cell r="V917" t="str">
            <v>2007-12</v>
          </cell>
          <cell r="AH917" t="str">
            <v/>
          </cell>
          <cell r="AJ917" t="str">
            <v/>
          </cell>
          <cell r="AL917" t="str">
            <v/>
          </cell>
          <cell r="AM917">
            <v>0</v>
          </cell>
          <cell r="AN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</row>
        <row r="918">
          <cell r="C918" t="str">
            <v>DWG</v>
          </cell>
          <cell r="H918" t="str">
            <v>10-50-A1-ME-0049</v>
          </cell>
          <cell r="I918" t="str">
            <v xml:space="preserve">RO Water Tank Roof Structure </v>
          </cell>
          <cell r="N918">
            <v>0.05</v>
          </cell>
          <cell r="P918">
            <v>5.6000000000000006E-4</v>
          </cell>
          <cell r="Q918" t="str">
            <v>V</v>
          </cell>
          <cell r="R918">
            <v>2.9999999999999997E-4</v>
          </cell>
          <cell r="T918">
            <v>39419</v>
          </cell>
          <cell r="U918" t="str">
            <v>*</v>
          </cell>
          <cell r="V918" t="str">
            <v>2007-12</v>
          </cell>
          <cell r="AH918" t="str">
            <v/>
          </cell>
          <cell r="AJ918" t="str">
            <v/>
          </cell>
          <cell r="AL918" t="str">
            <v/>
          </cell>
          <cell r="AM918">
            <v>0</v>
          </cell>
          <cell r="AN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</row>
        <row r="919">
          <cell r="C919" t="str">
            <v>DWG</v>
          </cell>
          <cell r="H919" t="str">
            <v>10-50-A1-ME-0054</v>
          </cell>
          <cell r="I919" t="str">
            <v xml:space="preserve">RO Water Tank Spiral Stairway </v>
          </cell>
          <cell r="N919">
            <v>0.1</v>
          </cell>
          <cell r="P919">
            <v>1.1200000000000001E-3</v>
          </cell>
          <cell r="Q919" t="str">
            <v>L</v>
          </cell>
          <cell r="R919">
            <v>2.9999999999999997E-4</v>
          </cell>
          <cell r="T919">
            <v>39476</v>
          </cell>
          <cell r="V919" t="str">
            <v>2008-01</v>
          </cell>
          <cell r="AH919" t="str">
            <v/>
          </cell>
          <cell r="AJ919" t="str">
            <v/>
          </cell>
          <cell r="AL919" t="str">
            <v/>
          </cell>
          <cell r="AM919">
            <v>0</v>
          </cell>
          <cell r="AN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</row>
        <row r="920">
          <cell r="C920" t="str">
            <v>DWG</v>
          </cell>
          <cell r="H920" t="str">
            <v>10-50-A2-ME-0050</v>
          </cell>
          <cell r="I920" t="str">
            <v>RO Water Tank Top Platform and Handrail</v>
          </cell>
          <cell r="N920">
            <v>0.05</v>
          </cell>
          <cell r="P920">
            <v>5.6000000000000006E-4</v>
          </cell>
          <cell r="Q920" t="str">
            <v>L</v>
          </cell>
          <cell r="R920">
            <v>2.9999999999999997E-4</v>
          </cell>
          <cell r="T920">
            <v>39476</v>
          </cell>
          <cell r="V920" t="str">
            <v>2008-01</v>
          </cell>
          <cell r="AM920">
            <v>0</v>
          </cell>
          <cell r="AN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</row>
        <row r="921">
          <cell r="C921" t="str">
            <v>DWG</v>
          </cell>
          <cell r="H921" t="str">
            <v>10-50-A3-ME-0057</v>
          </cell>
          <cell r="I921" t="str">
            <v>RO Water Tank Anchor Chair</v>
          </cell>
          <cell r="N921">
            <v>0.05</v>
          </cell>
          <cell r="P921">
            <v>5.6000000000000006E-4</v>
          </cell>
          <cell r="Q921" t="str">
            <v>V</v>
          </cell>
          <cell r="R921">
            <v>2.9999999999999997E-4</v>
          </cell>
          <cell r="T921">
            <v>39419</v>
          </cell>
          <cell r="U921" t="str">
            <v>*</v>
          </cell>
          <cell r="V921" t="str">
            <v>2007-12</v>
          </cell>
          <cell r="AH921" t="str">
            <v/>
          </cell>
          <cell r="AJ921" t="str">
            <v/>
          </cell>
          <cell r="AL921" t="str">
            <v/>
          </cell>
          <cell r="AM921">
            <v>0</v>
          </cell>
          <cell r="AN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</row>
        <row r="922">
          <cell r="C922" t="str">
            <v>DWG</v>
          </cell>
          <cell r="H922" t="str">
            <v>10-50-A3-ME-0058</v>
          </cell>
          <cell r="I922" t="str">
            <v xml:space="preserve">RO Water Tank Earth Lug </v>
          </cell>
          <cell r="N922">
            <v>0.05</v>
          </cell>
          <cell r="P922">
            <v>5.6000000000000006E-4</v>
          </cell>
          <cell r="Q922" t="str">
            <v>V</v>
          </cell>
          <cell r="R922">
            <v>2.9999999999999997E-4</v>
          </cell>
          <cell r="T922">
            <v>39419</v>
          </cell>
          <cell r="U922" t="str">
            <v>*</v>
          </cell>
          <cell r="V922" t="str">
            <v>2007-12</v>
          </cell>
          <cell r="AH922" t="str">
            <v/>
          </cell>
          <cell r="AJ922" t="str">
            <v/>
          </cell>
          <cell r="AL922" t="str">
            <v/>
          </cell>
          <cell r="AM922">
            <v>0</v>
          </cell>
          <cell r="AN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</row>
        <row r="923">
          <cell r="C923" t="str">
            <v>DWG</v>
          </cell>
          <cell r="H923" t="str">
            <v>10-50-A3-ME-0059</v>
          </cell>
          <cell r="I923" t="str">
            <v xml:space="preserve">RO Water Tank Name Plate </v>
          </cell>
          <cell r="N923">
            <v>0.05</v>
          </cell>
          <cell r="P923">
            <v>5.6000000000000006E-4</v>
          </cell>
          <cell r="Q923" t="str">
            <v>V</v>
          </cell>
          <cell r="R923">
            <v>2.9999999999999997E-4</v>
          </cell>
          <cell r="T923">
            <v>39419</v>
          </cell>
          <cell r="U923" t="str">
            <v>*</v>
          </cell>
          <cell r="V923" t="str">
            <v>2007-12</v>
          </cell>
          <cell r="AH923" t="str">
            <v/>
          </cell>
          <cell r="AJ923" t="str">
            <v/>
          </cell>
          <cell r="AL923" t="str">
            <v/>
          </cell>
          <cell r="AM923">
            <v>0</v>
          </cell>
          <cell r="AN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</row>
        <row r="924">
          <cell r="C924" t="str">
            <v>DWG</v>
          </cell>
          <cell r="H924" t="str">
            <v>10-50-A1-ME-0062</v>
          </cell>
          <cell r="I924" t="str">
            <v xml:space="preserve">RO Water Tank Steam Coil Detail </v>
          </cell>
          <cell r="N924">
            <v>0.05</v>
          </cell>
          <cell r="P924">
            <v>5.6000000000000006E-4</v>
          </cell>
          <cell r="Q924" t="str">
            <v>V</v>
          </cell>
          <cell r="R924">
            <v>2.9999999999999997E-4</v>
          </cell>
          <cell r="T924">
            <v>39442</v>
          </cell>
          <cell r="U924" t="str">
            <v>*</v>
          </cell>
          <cell r="V924" t="str">
            <v>2007-12</v>
          </cell>
          <cell r="AH924" t="str">
            <v/>
          </cell>
          <cell r="AJ924" t="str">
            <v/>
          </cell>
          <cell r="AL924" t="str">
            <v/>
          </cell>
          <cell r="AM924">
            <v>0</v>
          </cell>
          <cell r="AN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</row>
        <row r="925">
          <cell r="C925" t="str">
            <v>DWG</v>
          </cell>
          <cell r="H925" t="str">
            <v>10-50-A2-ME-0063</v>
          </cell>
          <cell r="I925" t="str">
            <v xml:space="preserve">RO Water Tank External Attachment Detail </v>
          </cell>
          <cell r="N925">
            <v>0.05</v>
          </cell>
          <cell r="P925">
            <v>5.6000000000000006E-4</v>
          </cell>
          <cell r="Q925" t="str">
            <v>V</v>
          </cell>
          <cell r="R925">
            <v>2.9999999999999997E-4</v>
          </cell>
          <cell r="T925">
            <v>39442</v>
          </cell>
          <cell r="U925" t="str">
            <v>*</v>
          </cell>
          <cell r="V925" t="str">
            <v>2007-12</v>
          </cell>
          <cell r="AH925" t="str">
            <v/>
          </cell>
          <cell r="AJ925" t="str">
            <v/>
          </cell>
          <cell r="AL925" t="str">
            <v/>
          </cell>
          <cell r="AM925">
            <v>0</v>
          </cell>
          <cell r="AN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</row>
        <row r="926">
          <cell r="G926" t="str">
            <v>Clarified Water Tank</v>
          </cell>
          <cell r="M926">
            <v>7.0000000000000007E-2</v>
          </cell>
          <cell r="N926">
            <v>1.0000000000000002</v>
          </cell>
          <cell r="P926">
            <v>1.1200000000000002E-2</v>
          </cell>
          <cell r="R926">
            <v>6.4199999999999986E-3</v>
          </cell>
          <cell r="T926" t="str">
            <v>.</v>
          </cell>
          <cell r="U926" t="str">
            <v>.</v>
          </cell>
          <cell r="V926" t="str">
            <v>.</v>
          </cell>
          <cell r="AG926" t="str">
            <v>.</v>
          </cell>
          <cell r="AM926">
            <v>6.8303571428571422E-2</v>
          </cell>
          <cell r="AN926">
            <v>7.6500000000000005E-4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</row>
        <row r="927">
          <cell r="C927" t="str">
            <v>CLS</v>
          </cell>
          <cell r="H927" t="str">
            <v>10-50-CSH-ME-0032</v>
          </cell>
          <cell r="I927" t="str">
            <v>Clarified Water Tank Calculation Sheets</v>
          </cell>
          <cell r="N927">
            <v>0.05</v>
          </cell>
          <cell r="P927">
            <v>5.6000000000000006E-4</v>
          </cell>
          <cell r="R927">
            <v>1.0200000000000001E-3</v>
          </cell>
          <cell r="V927" t="str">
            <v>ارسال شده</v>
          </cell>
          <cell r="W927" t="str">
            <v>0 12</v>
          </cell>
          <cell r="X927" t="str">
            <v>30 44240</v>
          </cell>
          <cell r="Y927" t="str">
            <v>23-06-07 02-07-0703-11-07</v>
          </cell>
          <cell r="Z927" t="str">
            <v>F-0029F-0334</v>
          </cell>
          <cell r="AA927" t="str">
            <v>30-06-0722-11-07</v>
          </cell>
          <cell r="AG927" t="str">
            <v>GBT</v>
          </cell>
          <cell r="AH927" t="str">
            <v>x</v>
          </cell>
          <cell r="AI927" t="str">
            <v>x</v>
          </cell>
          <cell r="AJ927" t="str">
            <v>x</v>
          </cell>
          <cell r="AL927" t="str">
            <v/>
          </cell>
          <cell r="AM927">
            <v>0.75</v>
          </cell>
          <cell r="AN927">
            <v>7.6500000000000005E-4</v>
          </cell>
          <cell r="AQ927">
            <v>4.2000000000000002E-4</v>
          </cell>
          <cell r="AR927">
            <v>7.6500000000000005E-4</v>
          </cell>
          <cell r="AS927">
            <v>45</v>
          </cell>
          <cell r="AT927">
            <v>60</v>
          </cell>
          <cell r="AU927">
            <v>75</v>
          </cell>
          <cell r="AV927">
            <v>0</v>
          </cell>
          <cell r="AW927">
            <v>0</v>
          </cell>
          <cell r="AX927">
            <v>75</v>
          </cell>
        </row>
        <row r="928">
          <cell r="C928" t="str">
            <v>DWG</v>
          </cell>
          <cell r="H928" t="str">
            <v>10-50-A3-ME-0066</v>
          </cell>
          <cell r="I928" t="str">
            <v xml:space="preserve">Clarified Water Tank General Assembly </v>
          </cell>
          <cell r="N928">
            <v>0.05</v>
          </cell>
          <cell r="P928">
            <v>5.6000000000000006E-4</v>
          </cell>
          <cell r="Q928" t="str">
            <v>V</v>
          </cell>
          <cell r="R928">
            <v>2.9999999999999997E-4</v>
          </cell>
          <cell r="T928">
            <v>39425</v>
          </cell>
          <cell r="U928" t="str">
            <v>*</v>
          </cell>
          <cell r="V928" t="str">
            <v>2007-12</v>
          </cell>
          <cell r="AH928" t="str">
            <v/>
          </cell>
          <cell r="AJ928" t="str">
            <v/>
          </cell>
          <cell r="AL928" t="str">
            <v/>
          </cell>
          <cell r="AM928">
            <v>0</v>
          </cell>
          <cell r="AN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</row>
        <row r="929">
          <cell r="C929" t="str">
            <v>DWG</v>
          </cell>
          <cell r="H929" t="str">
            <v>10-50-A3-ME-0081</v>
          </cell>
          <cell r="I929" t="str">
            <v xml:space="preserve">Clarified Water Tank Orientation </v>
          </cell>
          <cell r="N929">
            <v>0.05</v>
          </cell>
          <cell r="P929">
            <v>5.6000000000000006E-4</v>
          </cell>
          <cell r="Q929" t="str">
            <v>L</v>
          </cell>
          <cell r="R929">
            <v>2.9999999999999997E-4</v>
          </cell>
          <cell r="T929">
            <v>39462</v>
          </cell>
          <cell r="V929" t="str">
            <v>2008-01</v>
          </cell>
          <cell r="AH929" t="str">
            <v/>
          </cell>
          <cell r="AJ929" t="str">
            <v/>
          </cell>
          <cell r="AL929" t="str">
            <v/>
          </cell>
          <cell r="AM929">
            <v>0</v>
          </cell>
          <cell r="AN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</row>
        <row r="930">
          <cell r="C930" t="str">
            <v>DWG</v>
          </cell>
          <cell r="H930" t="str">
            <v>10-50-A3-ME-0067</v>
          </cell>
          <cell r="I930" t="str">
            <v>Clarified Water Tank Shell Plate Arrangement Drawing</v>
          </cell>
          <cell r="N930">
            <v>0.05</v>
          </cell>
          <cell r="P930">
            <v>5.6000000000000006E-4</v>
          </cell>
          <cell r="Q930" t="str">
            <v>V</v>
          </cell>
          <cell r="R930">
            <v>2.9999999999999997E-4</v>
          </cell>
          <cell r="T930">
            <v>39425</v>
          </cell>
          <cell r="U930" t="str">
            <v>*</v>
          </cell>
          <cell r="V930" t="str">
            <v>2007-12</v>
          </cell>
          <cell r="AH930" t="str">
            <v/>
          </cell>
          <cell r="AJ930" t="str">
            <v/>
          </cell>
          <cell r="AL930" t="str">
            <v/>
          </cell>
          <cell r="AM930">
            <v>0</v>
          </cell>
          <cell r="AN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</row>
        <row r="931">
          <cell r="C931" t="str">
            <v>DWG</v>
          </cell>
          <cell r="H931" t="str">
            <v>10-50-A3-ME-0068</v>
          </cell>
          <cell r="I931" t="str">
            <v xml:space="preserve">Clarified Water Tank Bottom Plate Arrangement </v>
          </cell>
          <cell r="N931">
            <v>0.05</v>
          </cell>
          <cell r="P931">
            <v>5.6000000000000006E-4</v>
          </cell>
          <cell r="Q931" t="str">
            <v>V</v>
          </cell>
          <cell r="R931">
            <v>2.9999999999999997E-4</v>
          </cell>
          <cell r="T931">
            <v>39425</v>
          </cell>
          <cell r="U931" t="str">
            <v>*</v>
          </cell>
          <cell r="V931" t="str">
            <v>2007-12</v>
          </cell>
          <cell r="AH931" t="str">
            <v/>
          </cell>
          <cell r="AJ931" t="str">
            <v/>
          </cell>
          <cell r="AL931" t="str">
            <v/>
          </cell>
          <cell r="AM931">
            <v>0</v>
          </cell>
          <cell r="AN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</row>
        <row r="932">
          <cell r="C932" t="str">
            <v>DWG</v>
          </cell>
          <cell r="H932" t="str">
            <v>10-50-A3-ME-0069</v>
          </cell>
          <cell r="I932" t="str">
            <v xml:space="preserve">Clarified Water Tank Roof Plate Arrangement </v>
          </cell>
          <cell r="N932">
            <v>0.05</v>
          </cell>
          <cell r="P932">
            <v>5.6000000000000006E-4</v>
          </cell>
          <cell r="Q932" t="str">
            <v>V</v>
          </cell>
          <cell r="R932">
            <v>2.9999999999999997E-4</v>
          </cell>
          <cell r="T932">
            <v>39425</v>
          </cell>
          <cell r="U932" t="str">
            <v>*</v>
          </cell>
          <cell r="V932" t="str">
            <v>2007-12</v>
          </cell>
          <cell r="AH932" t="str">
            <v/>
          </cell>
          <cell r="AJ932" t="str">
            <v/>
          </cell>
          <cell r="AL932" t="str">
            <v/>
          </cell>
          <cell r="AM932">
            <v>0</v>
          </cell>
          <cell r="AN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</row>
        <row r="933">
          <cell r="C933" t="str">
            <v>DWG</v>
          </cell>
          <cell r="H933" t="str">
            <v>10-50-A3-ME-0072</v>
          </cell>
          <cell r="I933" t="str">
            <v xml:space="preserve">Clarified Water Tank Shell Man way </v>
          </cell>
          <cell r="N933">
            <v>0.05</v>
          </cell>
          <cell r="P933">
            <v>5.6000000000000006E-4</v>
          </cell>
          <cell r="Q933" t="str">
            <v>V</v>
          </cell>
          <cell r="R933">
            <v>2.9999999999999997E-4</v>
          </cell>
          <cell r="T933">
            <v>39425</v>
          </cell>
          <cell r="U933" t="str">
            <v>*</v>
          </cell>
          <cell r="V933" t="str">
            <v>2007-12</v>
          </cell>
          <cell r="AH933" t="str">
            <v/>
          </cell>
          <cell r="AJ933" t="str">
            <v/>
          </cell>
          <cell r="AL933" t="str">
            <v/>
          </cell>
          <cell r="AM933">
            <v>0</v>
          </cell>
          <cell r="AN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</row>
        <row r="934">
          <cell r="C934" t="str">
            <v>DWG</v>
          </cell>
          <cell r="H934" t="str">
            <v>10-50-A3-ME-0073</v>
          </cell>
          <cell r="I934" t="str">
            <v xml:space="preserve">Clarified Water Tank Roof Man way </v>
          </cell>
          <cell r="N934">
            <v>0.05</v>
          </cell>
          <cell r="P934">
            <v>5.6000000000000006E-4</v>
          </cell>
          <cell r="Q934" t="str">
            <v>V</v>
          </cell>
          <cell r="R934">
            <v>2.9999999999999997E-4</v>
          </cell>
          <cell r="T934">
            <v>39425</v>
          </cell>
          <cell r="U934" t="str">
            <v>*</v>
          </cell>
          <cell r="V934" t="str">
            <v>2007-12</v>
          </cell>
          <cell r="AH934" t="str">
            <v/>
          </cell>
          <cell r="AJ934" t="str">
            <v/>
          </cell>
          <cell r="AL934" t="str">
            <v/>
          </cell>
          <cell r="AM934">
            <v>0</v>
          </cell>
          <cell r="AN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</row>
        <row r="935">
          <cell r="C935" t="str">
            <v>DWG</v>
          </cell>
          <cell r="H935" t="str">
            <v>10-50-A3-ME-0071</v>
          </cell>
          <cell r="I935" t="str">
            <v>Clarified Water Tank Shell Nozzles Detail</v>
          </cell>
          <cell r="N935">
            <v>4.4999999999999998E-2</v>
          </cell>
          <cell r="P935">
            <v>5.0400000000000011E-4</v>
          </cell>
          <cell r="Q935" t="str">
            <v>V</v>
          </cell>
          <cell r="R935">
            <v>2.9999999999999997E-4</v>
          </cell>
          <cell r="T935">
            <v>39425</v>
          </cell>
          <cell r="U935" t="str">
            <v>*</v>
          </cell>
          <cell r="V935" t="str">
            <v>2007-12</v>
          </cell>
          <cell r="AM935">
            <v>0</v>
          </cell>
          <cell r="AN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</row>
        <row r="936">
          <cell r="C936" t="str">
            <v>DWG</v>
          </cell>
          <cell r="H936" t="str">
            <v>10-50-A3-ME-0076</v>
          </cell>
          <cell r="I936" t="str">
            <v>Clarified Water Tank Roof Nozzles Detail</v>
          </cell>
          <cell r="N936">
            <v>4.4999999999999998E-2</v>
          </cell>
          <cell r="P936">
            <v>5.0400000000000011E-4</v>
          </cell>
          <cell r="Q936" t="str">
            <v>V</v>
          </cell>
          <cell r="R936">
            <v>2.9999999999999997E-4</v>
          </cell>
          <cell r="T936">
            <v>39425</v>
          </cell>
          <cell r="U936" t="str">
            <v>*</v>
          </cell>
          <cell r="V936" t="str">
            <v>2007-12</v>
          </cell>
          <cell r="AM936">
            <v>0</v>
          </cell>
          <cell r="AN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</row>
        <row r="937">
          <cell r="C937" t="str">
            <v>DWG</v>
          </cell>
          <cell r="H937" t="str">
            <v>10-50-A3-ME-0074</v>
          </cell>
          <cell r="I937" t="str">
            <v xml:space="preserve">Clarified Water Tank Draw off Sump </v>
          </cell>
          <cell r="N937">
            <v>0.09</v>
          </cell>
          <cell r="P937">
            <v>1.0080000000000002E-3</v>
          </cell>
          <cell r="Q937" t="str">
            <v>V</v>
          </cell>
          <cell r="R937">
            <v>2.9999999999999997E-4</v>
          </cell>
          <cell r="T937">
            <v>39425</v>
          </cell>
          <cell r="U937" t="str">
            <v>*</v>
          </cell>
          <cell r="V937" t="str">
            <v>2007-12</v>
          </cell>
          <cell r="AH937" t="str">
            <v/>
          </cell>
          <cell r="AJ937" t="str">
            <v/>
          </cell>
          <cell r="AL937" t="str">
            <v/>
          </cell>
          <cell r="AM937">
            <v>0</v>
          </cell>
          <cell r="AN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</row>
        <row r="938">
          <cell r="C938" t="str">
            <v>DWG</v>
          </cell>
          <cell r="H938" t="str">
            <v>10-50-A2-ME-0070</v>
          </cell>
          <cell r="I938" t="str">
            <v xml:space="preserve">Clarified Water Tank Roof Structure </v>
          </cell>
          <cell r="N938">
            <v>0.05</v>
          </cell>
          <cell r="P938">
            <v>5.6000000000000006E-4</v>
          </cell>
          <cell r="Q938" t="str">
            <v>V</v>
          </cell>
          <cell r="R938">
            <v>2.9999999999999997E-4</v>
          </cell>
          <cell r="T938">
            <v>39425</v>
          </cell>
          <cell r="U938" t="str">
            <v>*</v>
          </cell>
          <cell r="V938" t="str">
            <v>2007-12</v>
          </cell>
          <cell r="AH938" t="str">
            <v/>
          </cell>
          <cell r="AJ938" t="str">
            <v/>
          </cell>
          <cell r="AL938" t="str">
            <v/>
          </cell>
          <cell r="AM938">
            <v>0</v>
          </cell>
          <cell r="AN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</row>
        <row r="939">
          <cell r="C939" t="str">
            <v>DWG</v>
          </cell>
          <cell r="H939" t="str">
            <v>10-50-A2-ME-0075</v>
          </cell>
          <cell r="I939" t="str">
            <v xml:space="preserve">Clarified Water Tank Spiral Stairway </v>
          </cell>
          <cell r="N939">
            <v>7.4999999999999997E-2</v>
          </cell>
          <cell r="P939">
            <v>8.4000000000000014E-4</v>
          </cell>
          <cell r="Q939" t="str">
            <v>L</v>
          </cell>
          <cell r="R939">
            <v>2.9999999999999997E-4</v>
          </cell>
          <cell r="T939">
            <v>39478</v>
          </cell>
          <cell r="V939" t="str">
            <v>2008-01</v>
          </cell>
          <cell r="AH939" t="str">
            <v/>
          </cell>
          <cell r="AJ939" t="str">
            <v/>
          </cell>
          <cell r="AL939" t="str">
            <v/>
          </cell>
          <cell r="AM939">
            <v>0</v>
          </cell>
          <cell r="AN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</row>
        <row r="940">
          <cell r="C940" t="str">
            <v>DWG</v>
          </cell>
          <cell r="H940" t="str">
            <v>10-50-A2-ME-0082</v>
          </cell>
          <cell r="I940" t="str">
            <v>Clarified Water Tank Top Platform and Handrail</v>
          </cell>
          <cell r="N940">
            <v>4.4999999999999998E-2</v>
          </cell>
          <cell r="P940">
            <v>5.0400000000000011E-4</v>
          </cell>
          <cell r="Q940" t="str">
            <v>L</v>
          </cell>
          <cell r="R940">
            <v>2.9999999999999997E-4</v>
          </cell>
          <cell r="T940">
            <v>39478</v>
          </cell>
          <cell r="V940" t="str">
            <v>2008-01</v>
          </cell>
          <cell r="AM940">
            <v>0</v>
          </cell>
          <cell r="AN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</row>
        <row r="941">
          <cell r="C941" t="str">
            <v>DWG</v>
          </cell>
          <cell r="H941" t="str">
            <v>10-50-A3-ME-0078</v>
          </cell>
          <cell r="I941" t="str">
            <v xml:space="preserve">Clarified Water Tank Anchor Chair </v>
          </cell>
          <cell r="N941">
            <v>0.05</v>
          </cell>
          <cell r="P941">
            <v>5.6000000000000006E-4</v>
          </cell>
          <cell r="Q941" t="str">
            <v>V</v>
          </cell>
          <cell r="R941">
            <v>2.9999999999999997E-4</v>
          </cell>
          <cell r="T941">
            <v>39425</v>
          </cell>
          <cell r="U941" t="str">
            <v>*</v>
          </cell>
          <cell r="V941" t="str">
            <v>2007-12</v>
          </cell>
          <cell r="AH941" t="str">
            <v/>
          </cell>
          <cell r="AJ941" t="str">
            <v/>
          </cell>
          <cell r="AL941" t="str">
            <v/>
          </cell>
          <cell r="AM941">
            <v>0</v>
          </cell>
          <cell r="AN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</row>
        <row r="942">
          <cell r="C942" t="str">
            <v>DWG</v>
          </cell>
          <cell r="H942" t="str">
            <v>10-50-A3-ME-0079</v>
          </cell>
          <cell r="I942" t="str">
            <v xml:space="preserve">Clarified Water Tank Earth Lug </v>
          </cell>
          <cell r="N942">
            <v>0.05</v>
          </cell>
          <cell r="P942">
            <v>5.6000000000000006E-4</v>
          </cell>
          <cell r="Q942" t="str">
            <v>V</v>
          </cell>
          <cell r="R942">
            <v>2.9999999999999997E-4</v>
          </cell>
          <cell r="T942">
            <v>39425</v>
          </cell>
          <cell r="U942" t="str">
            <v>*</v>
          </cell>
          <cell r="V942" t="str">
            <v>2007-12</v>
          </cell>
          <cell r="AH942" t="str">
            <v/>
          </cell>
          <cell r="AJ942" t="str">
            <v/>
          </cell>
          <cell r="AL942" t="str">
            <v/>
          </cell>
          <cell r="AM942">
            <v>0</v>
          </cell>
          <cell r="AN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</row>
        <row r="943">
          <cell r="C943" t="str">
            <v>DWG</v>
          </cell>
          <cell r="H943" t="str">
            <v>10-50-A3-ME-0080</v>
          </cell>
          <cell r="I943" t="str">
            <v xml:space="preserve">Clarified Water Tank Name Plate </v>
          </cell>
          <cell r="N943">
            <v>0.05</v>
          </cell>
          <cell r="P943">
            <v>5.6000000000000006E-4</v>
          </cell>
          <cell r="Q943" t="str">
            <v>V</v>
          </cell>
          <cell r="R943">
            <v>2.9999999999999997E-4</v>
          </cell>
          <cell r="T943">
            <v>39425</v>
          </cell>
          <cell r="U943" t="str">
            <v>*</v>
          </cell>
          <cell r="V943" t="str">
            <v>2007-12</v>
          </cell>
          <cell r="AH943" t="str">
            <v/>
          </cell>
          <cell r="AJ943" t="str">
            <v/>
          </cell>
          <cell r="AL943" t="str">
            <v/>
          </cell>
          <cell r="AM943">
            <v>0</v>
          </cell>
          <cell r="AN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</row>
        <row r="944">
          <cell r="C944" t="str">
            <v>DWG</v>
          </cell>
          <cell r="H944" t="str">
            <v>10-50-A1-ME-0083</v>
          </cell>
          <cell r="I944" t="str">
            <v xml:space="preserve">Clarified Water Tank Steam Coil Detail </v>
          </cell>
          <cell r="N944">
            <v>0.05</v>
          </cell>
          <cell r="P944">
            <v>5.6000000000000006E-4</v>
          </cell>
          <cell r="Q944" t="str">
            <v>V</v>
          </cell>
          <cell r="R944">
            <v>2.9999999999999997E-4</v>
          </cell>
          <cell r="T944">
            <v>39444</v>
          </cell>
          <cell r="U944" t="str">
            <v>*</v>
          </cell>
          <cell r="V944" t="str">
            <v>2007-12</v>
          </cell>
          <cell r="AH944" t="str">
            <v/>
          </cell>
          <cell r="AJ944" t="str">
            <v/>
          </cell>
          <cell r="AL944" t="str">
            <v/>
          </cell>
          <cell r="AM944">
            <v>0</v>
          </cell>
          <cell r="AN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</row>
        <row r="945">
          <cell r="C945" t="str">
            <v>DWG</v>
          </cell>
          <cell r="H945" t="str">
            <v>10-50-A2-ME-0084</v>
          </cell>
          <cell r="I945" t="str">
            <v xml:space="preserve">Clarified Water Tank External Attachment Detail </v>
          </cell>
          <cell r="N945">
            <v>0.05</v>
          </cell>
          <cell r="P945">
            <v>5.6000000000000006E-4</v>
          </cell>
          <cell r="Q945" t="str">
            <v>V</v>
          </cell>
          <cell r="R945">
            <v>2.9999999999999997E-4</v>
          </cell>
          <cell r="T945">
            <v>39444</v>
          </cell>
          <cell r="U945" t="str">
            <v>*</v>
          </cell>
          <cell r="V945" t="str">
            <v>2007-12</v>
          </cell>
          <cell r="AH945" t="str">
            <v/>
          </cell>
          <cell r="AJ945" t="str">
            <v/>
          </cell>
          <cell r="AL945" t="str">
            <v/>
          </cell>
          <cell r="AM945">
            <v>0</v>
          </cell>
          <cell r="AN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</row>
        <row r="946">
          <cell r="G946" t="str">
            <v>Condensate Water Tank</v>
          </cell>
          <cell r="M946">
            <v>7.5999999999999998E-2</v>
          </cell>
          <cell r="N946">
            <v>1.0000000000000002</v>
          </cell>
          <cell r="P946">
            <v>1.2160000000000001E-2</v>
          </cell>
          <cell r="R946">
            <v>6.4199999999999986E-3</v>
          </cell>
          <cell r="T946" t="str">
            <v>.</v>
          </cell>
          <cell r="U946" t="str">
            <v>.</v>
          </cell>
          <cell r="V946" t="str">
            <v>.</v>
          </cell>
          <cell r="AG946" t="str">
            <v>.</v>
          </cell>
          <cell r="AM946">
            <v>7.1299342105263161E-2</v>
          </cell>
          <cell r="AN946">
            <v>8.6700000000000004E-4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</row>
        <row r="947">
          <cell r="C947" t="str">
            <v>CLS</v>
          </cell>
          <cell r="H947" t="str">
            <v>10-50-CSH-ME-0033</v>
          </cell>
          <cell r="I947" t="str">
            <v>Condensate Water Tank Calculation Sheets</v>
          </cell>
          <cell r="N947">
            <v>0.05</v>
          </cell>
          <cell r="P947">
            <v>6.0800000000000003E-4</v>
          </cell>
          <cell r="R947">
            <v>1.0200000000000001E-3</v>
          </cell>
          <cell r="V947" t="str">
            <v>ارسال شده</v>
          </cell>
          <cell r="W947" t="str">
            <v>0 1 23</v>
          </cell>
          <cell r="X947" t="str">
            <v>1 3044241</v>
          </cell>
          <cell r="Y947" t="str">
            <v>02-05-07 23-06-07 02-07-0703-11-07</v>
          </cell>
          <cell r="Z947" t="str">
            <v>123-13-1077  F-0029F-0333</v>
          </cell>
          <cell r="AA947" t="str">
            <v>86-02-22 30-06-0722-11-07</v>
          </cell>
          <cell r="AG947" t="str">
            <v>GBT</v>
          </cell>
          <cell r="AH947" t="str">
            <v>x</v>
          </cell>
          <cell r="AI947" t="str">
            <v>x</v>
          </cell>
          <cell r="AJ947" t="str">
            <v>x</v>
          </cell>
          <cell r="AK947" t="str">
            <v>x</v>
          </cell>
          <cell r="AL947" t="str">
            <v/>
          </cell>
          <cell r="AM947">
            <v>0.85</v>
          </cell>
          <cell r="AN947">
            <v>8.6700000000000004E-4</v>
          </cell>
          <cell r="AQ947">
            <v>5.1679999999999999E-4</v>
          </cell>
          <cell r="AR947">
            <v>8.6700000000000004E-4</v>
          </cell>
          <cell r="AS947">
            <v>45</v>
          </cell>
          <cell r="AT947">
            <v>60</v>
          </cell>
          <cell r="AU947">
            <v>75</v>
          </cell>
          <cell r="AV947">
            <v>85</v>
          </cell>
          <cell r="AW947">
            <v>0</v>
          </cell>
          <cell r="AX947">
            <v>85</v>
          </cell>
        </row>
        <row r="948">
          <cell r="C948" t="str">
            <v>DWG</v>
          </cell>
          <cell r="H948" t="str">
            <v>10-50-A3-ME-0086</v>
          </cell>
          <cell r="I948" t="str">
            <v xml:space="preserve">Condensate Water Tank General Assembly </v>
          </cell>
          <cell r="N948">
            <v>0.05</v>
          </cell>
          <cell r="P948">
            <v>6.0800000000000003E-4</v>
          </cell>
          <cell r="Q948" t="str">
            <v>V</v>
          </cell>
          <cell r="R948">
            <v>2.9999999999999997E-4</v>
          </cell>
          <cell r="T948">
            <v>39413</v>
          </cell>
          <cell r="U948" t="str">
            <v>*</v>
          </cell>
          <cell r="V948" t="str">
            <v>2007-11</v>
          </cell>
          <cell r="AH948" t="str">
            <v/>
          </cell>
          <cell r="AJ948" t="str">
            <v/>
          </cell>
          <cell r="AL948" t="str">
            <v/>
          </cell>
          <cell r="AM948">
            <v>0</v>
          </cell>
          <cell r="AN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</row>
        <row r="949">
          <cell r="C949" t="str">
            <v>DWG</v>
          </cell>
          <cell r="H949" t="str">
            <v>10-50-A3-ME-0101</v>
          </cell>
          <cell r="I949" t="str">
            <v xml:space="preserve">Condensate Water Tank Orientation </v>
          </cell>
          <cell r="N949">
            <v>0.05</v>
          </cell>
          <cell r="P949">
            <v>6.0800000000000003E-4</v>
          </cell>
          <cell r="Q949" t="str">
            <v>L</v>
          </cell>
          <cell r="R949">
            <v>2.9999999999999997E-4</v>
          </cell>
          <cell r="T949">
            <v>39462</v>
          </cell>
          <cell r="V949" t="str">
            <v>2008-01</v>
          </cell>
          <cell r="AH949" t="str">
            <v/>
          </cell>
          <cell r="AJ949" t="str">
            <v/>
          </cell>
          <cell r="AL949" t="str">
            <v/>
          </cell>
          <cell r="AM949">
            <v>0</v>
          </cell>
          <cell r="AN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</row>
        <row r="950">
          <cell r="C950" t="str">
            <v>DWG</v>
          </cell>
          <cell r="H950" t="str">
            <v>10-50-A3-ME-0087</v>
          </cell>
          <cell r="I950" t="str">
            <v>Condensate Water  Tank Shell Plate Arrangement Drawing</v>
          </cell>
          <cell r="N950">
            <v>0.05</v>
          </cell>
          <cell r="P950">
            <v>6.0800000000000003E-4</v>
          </cell>
          <cell r="Q950" t="str">
            <v>V</v>
          </cell>
          <cell r="R950">
            <v>2.9999999999999997E-4</v>
          </cell>
          <cell r="T950">
            <v>39413</v>
          </cell>
          <cell r="U950" t="str">
            <v>*</v>
          </cell>
          <cell r="V950" t="str">
            <v>2007-11</v>
          </cell>
          <cell r="AH950" t="str">
            <v/>
          </cell>
          <cell r="AJ950" t="str">
            <v/>
          </cell>
          <cell r="AL950" t="str">
            <v/>
          </cell>
          <cell r="AM950">
            <v>0</v>
          </cell>
          <cell r="AN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</row>
        <row r="951">
          <cell r="C951" t="str">
            <v>DWG</v>
          </cell>
          <cell r="H951" t="str">
            <v>10-50-A3-ME-0088</v>
          </cell>
          <cell r="I951" t="str">
            <v xml:space="preserve">Condensate Water Tank Bottom Plate Arrangement </v>
          </cell>
          <cell r="N951">
            <v>0.05</v>
          </cell>
          <cell r="P951">
            <v>6.0800000000000003E-4</v>
          </cell>
          <cell r="Q951" t="str">
            <v>V</v>
          </cell>
          <cell r="R951">
            <v>2.9999999999999997E-4</v>
          </cell>
          <cell r="T951">
            <v>39413</v>
          </cell>
          <cell r="U951" t="str">
            <v>*</v>
          </cell>
          <cell r="V951" t="str">
            <v>2007-11</v>
          </cell>
          <cell r="AH951" t="str">
            <v/>
          </cell>
          <cell r="AJ951" t="str">
            <v/>
          </cell>
          <cell r="AL951" t="str">
            <v/>
          </cell>
          <cell r="AM951">
            <v>0</v>
          </cell>
          <cell r="AN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</row>
        <row r="952">
          <cell r="C952" t="str">
            <v>DWG</v>
          </cell>
          <cell r="H952" t="str">
            <v>10-50-A3-ME-0089</v>
          </cell>
          <cell r="I952" t="str">
            <v xml:space="preserve">Condensate Water Tank Roof Plate Arrangement </v>
          </cell>
          <cell r="N952">
            <v>0.05</v>
          </cell>
          <cell r="P952">
            <v>6.0800000000000003E-4</v>
          </cell>
          <cell r="Q952" t="str">
            <v>V</v>
          </cell>
          <cell r="R952">
            <v>2.9999999999999997E-4</v>
          </cell>
          <cell r="T952">
            <v>39413</v>
          </cell>
          <cell r="U952" t="str">
            <v>*</v>
          </cell>
          <cell r="V952" t="str">
            <v>2007-11</v>
          </cell>
          <cell r="AH952" t="str">
            <v/>
          </cell>
          <cell r="AJ952" t="str">
            <v/>
          </cell>
          <cell r="AL952" t="str">
            <v/>
          </cell>
          <cell r="AM952">
            <v>0</v>
          </cell>
          <cell r="AN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</row>
        <row r="953">
          <cell r="C953" t="str">
            <v>DWG</v>
          </cell>
          <cell r="H953" t="str">
            <v>10-50-A3-ME-0092</v>
          </cell>
          <cell r="I953" t="str">
            <v xml:space="preserve">Condensate Water Tank Shell Man way </v>
          </cell>
          <cell r="N953">
            <v>0.05</v>
          </cell>
          <cell r="P953">
            <v>6.0800000000000003E-4</v>
          </cell>
          <cell r="Q953" t="str">
            <v>V</v>
          </cell>
          <cell r="R953">
            <v>2.9999999999999997E-4</v>
          </cell>
          <cell r="T953">
            <v>39413</v>
          </cell>
          <cell r="U953" t="str">
            <v>*</v>
          </cell>
          <cell r="V953" t="str">
            <v>2007-11</v>
          </cell>
          <cell r="AH953" t="str">
            <v/>
          </cell>
          <cell r="AJ953" t="str">
            <v/>
          </cell>
          <cell r="AL953" t="str">
            <v/>
          </cell>
          <cell r="AM953">
            <v>0</v>
          </cell>
          <cell r="AN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</row>
        <row r="954">
          <cell r="C954" t="str">
            <v>DWG</v>
          </cell>
          <cell r="H954" t="str">
            <v>10-50-A3-ME-0093</v>
          </cell>
          <cell r="I954" t="str">
            <v xml:space="preserve">Condensate Water Tank Roof Man way </v>
          </cell>
          <cell r="N954">
            <v>0.05</v>
          </cell>
          <cell r="P954">
            <v>6.0800000000000003E-4</v>
          </cell>
          <cell r="Q954" t="str">
            <v>V</v>
          </cell>
          <cell r="R954">
            <v>2.9999999999999997E-4</v>
          </cell>
          <cell r="T954">
            <v>39413</v>
          </cell>
          <cell r="U954" t="str">
            <v>*</v>
          </cell>
          <cell r="V954" t="str">
            <v>2007-11</v>
          </cell>
          <cell r="AH954" t="str">
            <v/>
          </cell>
          <cell r="AJ954" t="str">
            <v/>
          </cell>
          <cell r="AL954" t="str">
            <v/>
          </cell>
          <cell r="AM954">
            <v>0</v>
          </cell>
          <cell r="AN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</row>
        <row r="955">
          <cell r="H955" t="str">
            <v>10-50-A2-ME-0090</v>
          </cell>
          <cell r="I955" t="str">
            <v>Condensate Water Tank Shell Nozzle Detail</v>
          </cell>
          <cell r="Q955" t="str">
            <v>V</v>
          </cell>
          <cell r="R955">
            <v>2.9999999999999997E-4</v>
          </cell>
          <cell r="T955">
            <v>39413</v>
          </cell>
          <cell r="U955" t="str">
            <v>*</v>
          </cell>
          <cell r="V955" t="str">
            <v>2007-11</v>
          </cell>
          <cell r="AM955">
            <v>0</v>
          </cell>
          <cell r="AN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</row>
        <row r="956">
          <cell r="C956" t="str">
            <v>DWG</v>
          </cell>
          <cell r="H956" t="str">
            <v>10-50-A2-ME-0110</v>
          </cell>
          <cell r="I956" t="str">
            <v xml:space="preserve">Condensate Water Tank  Roof Structure </v>
          </cell>
          <cell r="N956">
            <v>0.05</v>
          </cell>
          <cell r="P956">
            <v>6.0800000000000003E-4</v>
          </cell>
          <cell r="Q956" t="str">
            <v>V</v>
          </cell>
          <cell r="R956">
            <v>2.9999999999999997E-4</v>
          </cell>
          <cell r="T956">
            <v>39413</v>
          </cell>
          <cell r="U956" t="str">
            <v>*</v>
          </cell>
          <cell r="V956" t="str">
            <v>2007-11</v>
          </cell>
          <cell r="AM956">
            <v>0</v>
          </cell>
          <cell r="AN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</row>
        <row r="957">
          <cell r="C957" t="str">
            <v>DWG</v>
          </cell>
          <cell r="H957" t="str">
            <v>10-50-A3-ME-0096</v>
          </cell>
          <cell r="I957" t="str">
            <v>Condensate Water Tank Roof Nozzle Detail</v>
          </cell>
          <cell r="N957">
            <v>0.06</v>
          </cell>
          <cell r="P957">
            <v>7.2960000000000006E-4</v>
          </cell>
          <cell r="Q957" t="str">
            <v>V</v>
          </cell>
          <cell r="R957">
            <v>2.9999999999999997E-4</v>
          </cell>
          <cell r="T957">
            <v>39413</v>
          </cell>
          <cell r="U957" t="str">
            <v>*</v>
          </cell>
          <cell r="V957" t="str">
            <v>2007-11</v>
          </cell>
          <cell r="AM957">
            <v>0</v>
          </cell>
          <cell r="AN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</row>
        <row r="958">
          <cell r="C958" t="str">
            <v>DWG</v>
          </cell>
          <cell r="H958" t="str">
            <v>10-50-A3-ME-0094</v>
          </cell>
          <cell r="I958" t="str">
            <v xml:space="preserve">Condensate Water Tank Draw off Sump </v>
          </cell>
          <cell r="N958">
            <v>0.06</v>
          </cell>
          <cell r="P958">
            <v>7.2960000000000006E-4</v>
          </cell>
          <cell r="Q958" t="str">
            <v>V</v>
          </cell>
          <cell r="R958">
            <v>2.9999999999999997E-4</v>
          </cell>
          <cell r="T958">
            <v>39413</v>
          </cell>
          <cell r="U958" t="str">
            <v>*</v>
          </cell>
          <cell r="V958" t="str">
            <v>2007-11</v>
          </cell>
          <cell r="AH958" t="str">
            <v/>
          </cell>
          <cell r="AJ958" t="str">
            <v/>
          </cell>
          <cell r="AL958" t="str">
            <v/>
          </cell>
          <cell r="AM958">
            <v>0</v>
          </cell>
          <cell r="AN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</row>
        <row r="959">
          <cell r="C959" t="str">
            <v>DWG</v>
          </cell>
          <cell r="H959" t="str">
            <v>10-50-A2-ME-0095</v>
          </cell>
          <cell r="I959" t="str">
            <v xml:space="preserve">Condensate Water Tank Spiral Stairway </v>
          </cell>
          <cell r="N959">
            <v>0.06</v>
          </cell>
          <cell r="P959">
            <v>7.2960000000000006E-4</v>
          </cell>
          <cell r="Q959" t="str">
            <v>L</v>
          </cell>
          <cell r="R959">
            <v>2.9999999999999997E-4</v>
          </cell>
          <cell r="T959">
            <v>39469</v>
          </cell>
          <cell r="V959" t="str">
            <v>2008-01</v>
          </cell>
          <cell r="AH959" t="str">
            <v/>
          </cell>
          <cell r="AJ959" t="str">
            <v/>
          </cell>
          <cell r="AL959" t="str">
            <v/>
          </cell>
          <cell r="AM959">
            <v>0</v>
          </cell>
          <cell r="AN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</row>
        <row r="960">
          <cell r="C960" t="str">
            <v>DWG</v>
          </cell>
          <cell r="H960" t="str">
            <v>10-50-A2-ME-0091</v>
          </cell>
          <cell r="I960" t="str">
            <v>Condensate Water Tank Top Platform and Handrail</v>
          </cell>
          <cell r="N960">
            <v>0.06</v>
          </cell>
          <cell r="P960">
            <v>7.2960000000000006E-4</v>
          </cell>
          <cell r="Q960" t="str">
            <v>L</v>
          </cell>
          <cell r="R960">
            <v>2.9999999999999997E-4</v>
          </cell>
          <cell r="T960">
            <v>39469</v>
          </cell>
          <cell r="V960" t="str">
            <v>2008-01</v>
          </cell>
          <cell r="AM960">
            <v>0</v>
          </cell>
          <cell r="AN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</row>
        <row r="961">
          <cell r="C961" t="str">
            <v>DWG</v>
          </cell>
          <cell r="H961" t="str">
            <v>10-50-A3-ME-0098</v>
          </cell>
          <cell r="I961" t="str">
            <v>Condensate Water Tank Anchor Chair</v>
          </cell>
          <cell r="N961">
            <v>0.06</v>
          </cell>
          <cell r="P961">
            <v>7.2960000000000006E-4</v>
          </cell>
          <cell r="Q961" t="str">
            <v>V</v>
          </cell>
          <cell r="R961">
            <v>2.9999999999999997E-4</v>
          </cell>
          <cell r="T961">
            <v>39413</v>
          </cell>
          <cell r="U961" t="str">
            <v>*</v>
          </cell>
          <cell r="V961" t="str">
            <v>2007-11</v>
          </cell>
          <cell r="AM961">
            <v>0</v>
          </cell>
          <cell r="AN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</row>
        <row r="962">
          <cell r="C962" t="str">
            <v>DWG</v>
          </cell>
          <cell r="H962" t="str">
            <v>10-50-A3-ME-0099</v>
          </cell>
          <cell r="I962" t="str">
            <v xml:space="preserve">Condensate Water Tank Earth Lug </v>
          </cell>
          <cell r="N962">
            <v>0.05</v>
          </cell>
          <cell r="P962">
            <v>6.0800000000000003E-4</v>
          </cell>
          <cell r="Q962" t="str">
            <v>V</v>
          </cell>
          <cell r="R962">
            <v>2.9999999999999997E-4</v>
          </cell>
          <cell r="T962">
            <v>39413</v>
          </cell>
          <cell r="U962" t="str">
            <v>*</v>
          </cell>
          <cell r="V962" t="str">
            <v>2007-11</v>
          </cell>
          <cell r="AH962" t="str">
            <v/>
          </cell>
          <cell r="AJ962" t="str">
            <v/>
          </cell>
          <cell r="AL962" t="str">
            <v/>
          </cell>
          <cell r="AM962">
            <v>0</v>
          </cell>
          <cell r="AN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</row>
        <row r="963">
          <cell r="C963" t="str">
            <v>DWG</v>
          </cell>
          <cell r="H963" t="str">
            <v>10-50-A3-ME-0100</v>
          </cell>
          <cell r="I963" t="str">
            <v xml:space="preserve">Condensate Water Tank Name Plate </v>
          </cell>
          <cell r="N963">
            <v>0.05</v>
          </cell>
          <cell r="P963">
            <v>6.0800000000000003E-4</v>
          </cell>
          <cell r="Q963" t="str">
            <v>V</v>
          </cell>
          <cell r="R963">
            <v>2.9999999999999997E-4</v>
          </cell>
          <cell r="T963">
            <v>39413</v>
          </cell>
          <cell r="U963" t="str">
            <v>*</v>
          </cell>
          <cell r="V963" t="str">
            <v>2007-11</v>
          </cell>
          <cell r="AH963" t="str">
            <v/>
          </cell>
          <cell r="AJ963" t="str">
            <v/>
          </cell>
          <cell r="AL963" t="str">
            <v/>
          </cell>
          <cell r="AM963">
            <v>0</v>
          </cell>
          <cell r="AN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</row>
        <row r="964">
          <cell r="C964" t="str">
            <v>DWG</v>
          </cell>
          <cell r="H964" t="str">
            <v>10-50-A2-ME-0102</v>
          </cell>
          <cell r="I964" t="str">
            <v xml:space="preserve">Condensate Water Tank External Attachment Detail </v>
          </cell>
          <cell r="N964">
            <v>0.1</v>
          </cell>
          <cell r="P964">
            <v>1.2160000000000001E-3</v>
          </cell>
          <cell r="Q964" t="str">
            <v>V</v>
          </cell>
          <cell r="R964">
            <v>2.9999999999999997E-4</v>
          </cell>
          <cell r="T964">
            <v>39446</v>
          </cell>
          <cell r="U964" t="str">
            <v>*</v>
          </cell>
          <cell r="V964" t="str">
            <v>2007-12</v>
          </cell>
          <cell r="AH964" t="str">
            <v/>
          </cell>
          <cell r="AJ964" t="str">
            <v/>
          </cell>
          <cell r="AL964" t="str">
            <v/>
          </cell>
          <cell r="AM964">
            <v>0</v>
          </cell>
          <cell r="AN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</row>
        <row r="965">
          <cell r="C965" t="str">
            <v>DWG</v>
          </cell>
          <cell r="H965" t="str">
            <v>10-50-A3-ME-0104</v>
          </cell>
          <cell r="I965" t="str">
            <v xml:space="preserve">Condensate Water Tank Insulation Detail </v>
          </cell>
          <cell r="N965">
            <v>0.05</v>
          </cell>
          <cell r="P965">
            <v>6.0800000000000003E-4</v>
          </cell>
          <cell r="Q965" t="str">
            <v>V</v>
          </cell>
          <cell r="R965">
            <v>2.9999999999999997E-4</v>
          </cell>
          <cell r="T965">
            <v>39446</v>
          </cell>
          <cell r="U965" t="str">
            <v>*</v>
          </cell>
          <cell r="V965" t="str">
            <v>2007-12</v>
          </cell>
          <cell r="AH965" t="str">
            <v/>
          </cell>
          <cell r="AJ965" t="str">
            <v/>
          </cell>
          <cell r="AL965" t="str">
            <v/>
          </cell>
          <cell r="AM965">
            <v>0</v>
          </cell>
          <cell r="AN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</row>
        <row r="966">
          <cell r="G966" t="str">
            <v xml:space="preserve">Potable Water Tank </v>
          </cell>
          <cell r="M966">
            <v>7.5999999999999998E-2</v>
          </cell>
          <cell r="N966">
            <v>1.0000000000000004</v>
          </cell>
          <cell r="P966">
            <v>1.2160000000000001E-2</v>
          </cell>
          <cell r="R966">
            <v>6.4199999999999986E-3</v>
          </cell>
          <cell r="T966" t="str">
            <v>.</v>
          </cell>
          <cell r="U966" t="str">
            <v>.</v>
          </cell>
          <cell r="V966" t="str">
            <v>.</v>
          </cell>
          <cell r="AG966" t="str">
            <v>.</v>
          </cell>
          <cell r="AM966">
            <v>7.1299342105263161E-2</v>
          </cell>
          <cell r="AN966">
            <v>8.6700000000000004E-4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</row>
        <row r="967">
          <cell r="C967" t="str">
            <v>CLS</v>
          </cell>
          <cell r="H967" t="str">
            <v>10-50-CSH-ME-0034</v>
          </cell>
          <cell r="I967" t="str">
            <v>Potable Water Tank Calculation Sheets</v>
          </cell>
          <cell r="N967">
            <v>0.06</v>
          </cell>
          <cell r="P967">
            <v>7.2960000000000006E-4</v>
          </cell>
          <cell r="R967">
            <v>1.0200000000000001E-3</v>
          </cell>
          <cell r="V967" t="str">
            <v>ارسال شده</v>
          </cell>
          <cell r="W967" t="str">
            <v>0 1 23</v>
          </cell>
          <cell r="X967" t="str">
            <v>13044 247</v>
          </cell>
          <cell r="Y967" t="str">
            <v>02-05-07 23-06-07 02-07-0703-11-07</v>
          </cell>
          <cell r="Z967" t="str">
            <v>123-13-1077  F-0029F-0363</v>
          </cell>
          <cell r="AA967" t="str">
            <v>86-02-22 30-06-0722-11-07</v>
          </cell>
          <cell r="AG967" t="str">
            <v>GBT</v>
          </cell>
          <cell r="AH967" t="str">
            <v>x</v>
          </cell>
          <cell r="AI967" t="str">
            <v>x</v>
          </cell>
          <cell r="AJ967" t="str">
            <v>x</v>
          </cell>
          <cell r="AK967" t="str">
            <v>x</v>
          </cell>
          <cell r="AL967" t="str">
            <v/>
          </cell>
          <cell r="AM967">
            <v>0.85</v>
          </cell>
          <cell r="AN967">
            <v>8.6700000000000004E-4</v>
          </cell>
          <cell r="AQ967">
            <v>6.2016000000000003E-4</v>
          </cell>
          <cell r="AR967">
            <v>8.6700000000000004E-4</v>
          </cell>
          <cell r="AS967">
            <v>45</v>
          </cell>
          <cell r="AT967">
            <v>60</v>
          </cell>
          <cell r="AU967">
            <v>75</v>
          </cell>
          <cell r="AV967">
            <v>85</v>
          </cell>
          <cell r="AW967">
            <v>0</v>
          </cell>
          <cell r="AX967">
            <v>85</v>
          </cell>
        </row>
        <row r="968">
          <cell r="C968" t="str">
            <v>DWG</v>
          </cell>
          <cell r="H968" t="str">
            <v>10-50-A3-ME-0106</v>
          </cell>
          <cell r="I968" t="str">
            <v xml:space="preserve">Potable Water Tank General Assembly </v>
          </cell>
          <cell r="N968">
            <v>0.06</v>
          </cell>
          <cell r="P968">
            <v>7.2960000000000006E-4</v>
          </cell>
          <cell r="Q968" t="str">
            <v>V</v>
          </cell>
          <cell r="R968">
            <v>2.9999999999999997E-4</v>
          </cell>
          <cell r="T968">
            <v>39431</v>
          </cell>
          <cell r="U968" t="str">
            <v>*</v>
          </cell>
          <cell r="V968" t="str">
            <v>2007-12</v>
          </cell>
          <cell r="AH968" t="str">
            <v/>
          </cell>
          <cell r="AJ968" t="str">
            <v/>
          </cell>
          <cell r="AL968" t="str">
            <v/>
          </cell>
          <cell r="AM968">
            <v>0</v>
          </cell>
          <cell r="AN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</row>
        <row r="969">
          <cell r="C969" t="str">
            <v>DWG</v>
          </cell>
          <cell r="H969" t="str">
            <v>10-50-A3-ME-0121</v>
          </cell>
          <cell r="I969" t="str">
            <v xml:space="preserve">Potable Water Tank Orientation </v>
          </cell>
          <cell r="N969">
            <v>0.06</v>
          </cell>
          <cell r="P969">
            <v>7.2960000000000006E-4</v>
          </cell>
          <cell r="Q969" t="str">
            <v>L</v>
          </cell>
          <cell r="R969">
            <v>2.9999999999999997E-4</v>
          </cell>
          <cell r="T969">
            <v>39462</v>
          </cell>
          <cell r="V969" t="str">
            <v>2008-01</v>
          </cell>
          <cell r="AH969" t="str">
            <v/>
          </cell>
          <cell r="AJ969" t="str">
            <v/>
          </cell>
          <cell r="AL969" t="str">
            <v/>
          </cell>
          <cell r="AM969">
            <v>0</v>
          </cell>
          <cell r="AN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</row>
        <row r="970">
          <cell r="C970" t="str">
            <v>DWG</v>
          </cell>
          <cell r="H970" t="str">
            <v>10-50-A3-ME-0107</v>
          </cell>
          <cell r="I970" t="str">
            <v>Potable Water  Tank Shell Plate Arrangement Drawing</v>
          </cell>
          <cell r="N970">
            <v>0.06</v>
          </cell>
          <cell r="P970">
            <v>7.2960000000000006E-4</v>
          </cell>
          <cell r="Q970" t="str">
            <v>V</v>
          </cell>
          <cell r="R970">
            <v>2.9999999999999997E-4</v>
          </cell>
          <cell r="T970">
            <v>39431</v>
          </cell>
          <cell r="U970" t="str">
            <v>*</v>
          </cell>
          <cell r="V970" t="str">
            <v>2007-12</v>
          </cell>
          <cell r="AH970" t="str">
            <v/>
          </cell>
          <cell r="AJ970" t="str">
            <v/>
          </cell>
          <cell r="AL970" t="str">
            <v/>
          </cell>
          <cell r="AM970">
            <v>0</v>
          </cell>
          <cell r="AN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</row>
        <row r="971">
          <cell r="C971" t="str">
            <v>DWG</v>
          </cell>
          <cell r="H971" t="str">
            <v>10-50-A3-ME-0108</v>
          </cell>
          <cell r="I971" t="str">
            <v xml:space="preserve">Potable Water Tank Bottom Plate Arrangement </v>
          </cell>
          <cell r="N971">
            <v>0.06</v>
          </cell>
          <cell r="P971">
            <v>7.2960000000000006E-4</v>
          </cell>
          <cell r="Q971" t="str">
            <v>V</v>
          </cell>
          <cell r="R971">
            <v>2.9999999999999997E-4</v>
          </cell>
          <cell r="T971">
            <v>39431</v>
          </cell>
          <cell r="U971" t="str">
            <v>*</v>
          </cell>
          <cell r="V971" t="str">
            <v>2007-12</v>
          </cell>
          <cell r="AH971" t="str">
            <v/>
          </cell>
          <cell r="AJ971" t="str">
            <v/>
          </cell>
          <cell r="AL971" t="str">
            <v/>
          </cell>
          <cell r="AM971">
            <v>0</v>
          </cell>
          <cell r="AN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</row>
        <row r="972">
          <cell r="C972" t="str">
            <v>DWG</v>
          </cell>
          <cell r="H972" t="str">
            <v>10-50-A3-ME-0109</v>
          </cell>
          <cell r="I972" t="str">
            <v xml:space="preserve">Potable Water Tank Roof Plate Arrangement </v>
          </cell>
          <cell r="N972">
            <v>0.06</v>
          </cell>
          <cell r="P972">
            <v>7.2960000000000006E-4</v>
          </cell>
          <cell r="Q972" t="str">
            <v>V</v>
          </cell>
          <cell r="R972">
            <v>2.9999999999999997E-4</v>
          </cell>
          <cell r="T972">
            <v>39431</v>
          </cell>
          <cell r="U972" t="str">
            <v>*</v>
          </cell>
          <cell r="V972" t="str">
            <v>2007-12</v>
          </cell>
          <cell r="AH972" t="str">
            <v/>
          </cell>
          <cell r="AJ972" t="str">
            <v/>
          </cell>
          <cell r="AL972" t="str">
            <v/>
          </cell>
          <cell r="AM972">
            <v>0</v>
          </cell>
          <cell r="AN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</row>
        <row r="973">
          <cell r="H973" t="str">
            <v>10-50-A3-ME-0112</v>
          </cell>
          <cell r="I973" t="str">
            <v xml:space="preserve">Potable Water Tank Shell Man way </v>
          </cell>
          <cell r="Q973" t="str">
            <v>V</v>
          </cell>
          <cell r="R973">
            <v>2.9999999999999997E-4</v>
          </cell>
          <cell r="T973">
            <v>39431</v>
          </cell>
          <cell r="U973" t="str">
            <v>*</v>
          </cell>
          <cell r="V973" t="str">
            <v>2007-12</v>
          </cell>
          <cell r="AM973">
            <v>0</v>
          </cell>
          <cell r="AN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</row>
        <row r="974">
          <cell r="C974" t="str">
            <v>DWG</v>
          </cell>
          <cell r="H974" t="str">
            <v>10-50-A3-ME-0113</v>
          </cell>
          <cell r="I974" t="str">
            <v xml:space="preserve">Potable Water Tank Roof Man way </v>
          </cell>
          <cell r="N974">
            <v>0.06</v>
          </cell>
          <cell r="P974">
            <v>7.2960000000000006E-4</v>
          </cell>
          <cell r="Q974" t="str">
            <v>V</v>
          </cell>
          <cell r="R974">
            <v>2.9999999999999997E-4</v>
          </cell>
          <cell r="T974">
            <v>39431</v>
          </cell>
          <cell r="U974" t="str">
            <v>*</v>
          </cell>
          <cell r="V974" t="str">
            <v>2007-12</v>
          </cell>
          <cell r="AH974" t="str">
            <v/>
          </cell>
          <cell r="AJ974" t="str">
            <v/>
          </cell>
          <cell r="AL974" t="str">
            <v/>
          </cell>
          <cell r="AM974">
            <v>0</v>
          </cell>
          <cell r="AN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</row>
        <row r="975">
          <cell r="C975" t="str">
            <v>DWG</v>
          </cell>
          <cell r="H975" t="str">
            <v>10-50-A3-ME-0122</v>
          </cell>
          <cell r="I975" t="str">
            <v>Potable Water Tank Shell Nozzles Detail</v>
          </cell>
          <cell r="N975">
            <v>0.06</v>
          </cell>
          <cell r="P975">
            <v>7.2960000000000006E-4</v>
          </cell>
          <cell r="Q975" t="str">
            <v>V</v>
          </cell>
          <cell r="R975">
            <v>2.9999999999999997E-4</v>
          </cell>
          <cell r="T975">
            <v>39431</v>
          </cell>
          <cell r="U975" t="str">
            <v>*</v>
          </cell>
          <cell r="V975" t="str">
            <v>2007-12</v>
          </cell>
          <cell r="AH975" t="str">
            <v/>
          </cell>
          <cell r="AJ975" t="str">
            <v/>
          </cell>
          <cell r="AL975" t="str">
            <v/>
          </cell>
          <cell r="AM975">
            <v>0</v>
          </cell>
          <cell r="AN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</row>
        <row r="976">
          <cell r="C976" t="str">
            <v>DWG</v>
          </cell>
          <cell r="H976" t="str">
            <v>10-50-A3-ME-0111</v>
          </cell>
          <cell r="I976" t="str">
            <v>Potable Water Tank Roof Nozzles Detail</v>
          </cell>
          <cell r="N976">
            <v>0.06</v>
          </cell>
          <cell r="P976">
            <v>7.2960000000000006E-4</v>
          </cell>
          <cell r="Q976" t="str">
            <v>V</v>
          </cell>
          <cell r="R976">
            <v>2.9999999999999997E-4</v>
          </cell>
          <cell r="T976">
            <v>39431</v>
          </cell>
          <cell r="U976" t="str">
            <v>*</v>
          </cell>
          <cell r="V976" t="str">
            <v>2007-12</v>
          </cell>
          <cell r="AM976">
            <v>0</v>
          </cell>
          <cell r="AN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</row>
        <row r="977">
          <cell r="C977" t="str">
            <v>DWG</v>
          </cell>
          <cell r="H977" t="str">
            <v>10-50-A3-ME-0114</v>
          </cell>
          <cell r="I977" t="str">
            <v xml:space="preserve">Potable Water Tank Draw off Sump </v>
          </cell>
          <cell r="N977">
            <v>0.06</v>
          </cell>
          <cell r="P977">
            <v>7.2960000000000006E-4</v>
          </cell>
          <cell r="Q977" t="str">
            <v>V</v>
          </cell>
          <cell r="R977">
            <v>2.9999999999999997E-4</v>
          </cell>
          <cell r="T977">
            <v>39431</v>
          </cell>
          <cell r="U977" t="str">
            <v>*</v>
          </cell>
          <cell r="V977" t="str">
            <v>2007-12</v>
          </cell>
          <cell r="AM977">
            <v>0</v>
          </cell>
          <cell r="AN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</row>
        <row r="978">
          <cell r="C978" t="str">
            <v>DWG</v>
          </cell>
          <cell r="H978" t="str">
            <v>10-50-A2-ME-0115</v>
          </cell>
          <cell r="I978" t="str">
            <v>Potable Water Tank Spiral Stairway</v>
          </cell>
          <cell r="N978">
            <v>0.05</v>
          </cell>
          <cell r="P978">
            <v>6.0800000000000003E-4</v>
          </cell>
          <cell r="Q978" t="str">
            <v>L</v>
          </cell>
          <cell r="R978">
            <v>2.9999999999999997E-4</v>
          </cell>
          <cell r="T978">
            <v>39477</v>
          </cell>
          <cell r="V978" t="str">
            <v>2008-01</v>
          </cell>
          <cell r="AH978" t="str">
            <v/>
          </cell>
          <cell r="AJ978" t="str">
            <v/>
          </cell>
          <cell r="AL978" t="str">
            <v/>
          </cell>
          <cell r="AM978">
            <v>0</v>
          </cell>
          <cell r="AN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</row>
        <row r="979">
          <cell r="C979" t="str">
            <v>DWG</v>
          </cell>
          <cell r="H979" t="str">
            <v>10-50-A2-ME-0116</v>
          </cell>
          <cell r="I979" t="str">
            <v>Potable Water Tank Top Platform and Handrail</v>
          </cell>
          <cell r="N979">
            <v>0.05</v>
          </cell>
          <cell r="P979">
            <v>6.0800000000000003E-4</v>
          </cell>
          <cell r="Q979" t="str">
            <v>L</v>
          </cell>
          <cell r="R979">
            <v>2.9999999999999997E-4</v>
          </cell>
          <cell r="T979">
            <v>39477</v>
          </cell>
          <cell r="V979" t="str">
            <v>2008-01</v>
          </cell>
          <cell r="AH979" t="str">
            <v/>
          </cell>
          <cell r="AJ979" t="str">
            <v/>
          </cell>
          <cell r="AL979" t="str">
            <v/>
          </cell>
          <cell r="AM979">
            <v>0</v>
          </cell>
          <cell r="AN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</row>
        <row r="980">
          <cell r="C980" t="str">
            <v>DWG</v>
          </cell>
          <cell r="H980" t="str">
            <v>10-50-A2-ME-0129</v>
          </cell>
          <cell r="I980" t="str">
            <v>Potable Water Tank Roof Structure</v>
          </cell>
          <cell r="N980">
            <v>0.05</v>
          </cell>
          <cell r="P980">
            <v>6.0800000000000003E-4</v>
          </cell>
          <cell r="Q980" t="str">
            <v>V</v>
          </cell>
          <cell r="R980">
            <v>2.9999999999999997E-4</v>
          </cell>
          <cell r="T980">
            <v>39431</v>
          </cell>
          <cell r="U980" t="str">
            <v>*</v>
          </cell>
          <cell r="V980" t="str">
            <v>2007-12</v>
          </cell>
          <cell r="AM980">
            <v>0</v>
          </cell>
          <cell r="AN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</row>
        <row r="981">
          <cell r="C981" t="str">
            <v>DWG</v>
          </cell>
          <cell r="H981" t="str">
            <v>10-50-A3-ME-0118</v>
          </cell>
          <cell r="I981" t="str">
            <v xml:space="preserve">Potable Water Tank Anchor Chair </v>
          </cell>
          <cell r="N981">
            <v>0.05</v>
          </cell>
          <cell r="P981">
            <v>6.0800000000000003E-4</v>
          </cell>
          <cell r="Q981" t="str">
            <v>V</v>
          </cell>
          <cell r="R981">
            <v>2.9999999999999997E-4</v>
          </cell>
          <cell r="T981">
            <v>39431</v>
          </cell>
          <cell r="U981" t="str">
            <v>*</v>
          </cell>
          <cell r="V981" t="str">
            <v>2007-12</v>
          </cell>
          <cell r="AH981" t="str">
            <v/>
          </cell>
          <cell r="AJ981" t="str">
            <v/>
          </cell>
          <cell r="AL981" t="str">
            <v/>
          </cell>
          <cell r="AM981">
            <v>0</v>
          </cell>
          <cell r="AN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</row>
        <row r="982">
          <cell r="C982" t="str">
            <v>DWG</v>
          </cell>
          <cell r="H982" t="str">
            <v>10-50-A3-ME-0119</v>
          </cell>
          <cell r="I982" t="str">
            <v xml:space="preserve">Potable Water Tank Earth Lug </v>
          </cell>
          <cell r="N982">
            <v>0.05</v>
          </cell>
          <cell r="P982">
            <v>6.0800000000000003E-4</v>
          </cell>
          <cell r="Q982" t="str">
            <v>V</v>
          </cell>
          <cell r="R982">
            <v>2.9999999999999997E-4</v>
          </cell>
          <cell r="T982">
            <v>39431</v>
          </cell>
          <cell r="U982" t="str">
            <v>*</v>
          </cell>
          <cell r="V982" t="str">
            <v>2007-12</v>
          </cell>
          <cell r="AH982" t="str">
            <v/>
          </cell>
          <cell r="AJ982" t="str">
            <v/>
          </cell>
          <cell r="AL982" t="str">
            <v/>
          </cell>
          <cell r="AM982">
            <v>0</v>
          </cell>
          <cell r="AN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</row>
        <row r="983">
          <cell r="C983" t="str">
            <v>DWG</v>
          </cell>
          <cell r="H983" t="str">
            <v>10-50-A3-ME-0120</v>
          </cell>
          <cell r="I983" t="str">
            <v xml:space="preserve">Potable Water Tank Name Plate </v>
          </cell>
          <cell r="N983">
            <v>0.05</v>
          </cell>
          <cell r="P983">
            <v>6.0800000000000003E-4</v>
          </cell>
          <cell r="Q983" t="str">
            <v>V</v>
          </cell>
          <cell r="R983">
            <v>2.9999999999999997E-4</v>
          </cell>
          <cell r="T983">
            <v>39431</v>
          </cell>
          <cell r="U983" t="str">
            <v>*</v>
          </cell>
          <cell r="V983" t="str">
            <v>2007-12</v>
          </cell>
          <cell r="AH983" t="str">
            <v/>
          </cell>
          <cell r="AJ983" t="str">
            <v/>
          </cell>
          <cell r="AL983" t="str">
            <v/>
          </cell>
          <cell r="AM983">
            <v>0</v>
          </cell>
          <cell r="AN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</row>
        <row r="984">
          <cell r="C984" t="str">
            <v>DWG</v>
          </cell>
          <cell r="H984" t="str">
            <v>10-50-A2-ME-0123</v>
          </cell>
          <cell r="I984" t="str">
            <v xml:space="preserve">Potable Water Tank Steam Coil Detail </v>
          </cell>
          <cell r="N984">
            <v>0.05</v>
          </cell>
          <cell r="P984">
            <v>6.0800000000000003E-4</v>
          </cell>
          <cell r="Q984" t="str">
            <v>L</v>
          </cell>
          <cell r="R984">
            <v>2.9999999999999997E-4</v>
          </cell>
          <cell r="T984">
            <v>39449</v>
          </cell>
          <cell r="V984" t="str">
            <v>2008-01</v>
          </cell>
          <cell r="AH984" t="str">
            <v/>
          </cell>
          <cell r="AJ984" t="str">
            <v/>
          </cell>
          <cell r="AL984" t="str">
            <v/>
          </cell>
          <cell r="AM984">
            <v>0</v>
          </cell>
          <cell r="AN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</row>
        <row r="985">
          <cell r="C985" t="str">
            <v>DWG</v>
          </cell>
          <cell r="H985" t="str">
            <v>10-50-A2-ME-0124</v>
          </cell>
          <cell r="I985" t="str">
            <v>Potable Water Tank External Attachment Detail</v>
          </cell>
          <cell r="N985">
            <v>0.05</v>
          </cell>
          <cell r="P985">
            <v>6.0800000000000003E-4</v>
          </cell>
          <cell r="Q985" t="str">
            <v>L</v>
          </cell>
          <cell r="R985">
            <v>2.9999999999999997E-4</v>
          </cell>
          <cell r="T985">
            <v>39449</v>
          </cell>
          <cell r="V985" t="str">
            <v>2008-01</v>
          </cell>
          <cell r="AH985" t="str">
            <v/>
          </cell>
          <cell r="AJ985" t="str">
            <v/>
          </cell>
          <cell r="AL985" t="str">
            <v/>
          </cell>
          <cell r="AM985">
            <v>0</v>
          </cell>
          <cell r="AN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</row>
        <row r="986">
          <cell r="G986" t="str">
            <v xml:space="preserve">Propylene Storage Tank </v>
          </cell>
          <cell r="M986">
            <v>3.04E-2</v>
          </cell>
          <cell r="N986">
            <v>1</v>
          </cell>
          <cell r="P986">
            <v>4.8640000000000003E-3</v>
          </cell>
          <cell r="R986">
            <v>8.8000000000000005E-3</v>
          </cell>
          <cell r="T986" t="str">
            <v>.</v>
          </cell>
          <cell r="U986" t="str">
            <v>.</v>
          </cell>
          <cell r="V986" t="str">
            <v>.</v>
          </cell>
          <cell r="AG986" t="str">
            <v>.</v>
          </cell>
          <cell r="AM986">
            <v>0</v>
          </cell>
          <cell r="AN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</row>
        <row r="987">
          <cell r="C987" t="str">
            <v>CLS</v>
          </cell>
          <cell r="H987" t="str">
            <v>10-97-CSH-ME-0035</v>
          </cell>
          <cell r="I987" t="str">
            <v>Propylene storage Tank Calculation Sheet</v>
          </cell>
          <cell r="N987">
            <v>0.125</v>
          </cell>
          <cell r="P987">
            <v>6.0800000000000003E-4</v>
          </cell>
          <cell r="Q987" t="str">
            <v>I</v>
          </cell>
          <cell r="R987">
            <v>1.1000000000000001E-3</v>
          </cell>
          <cell r="T987">
            <v>39431</v>
          </cell>
          <cell r="U987" t="str">
            <v>*</v>
          </cell>
          <cell r="V987" t="str">
            <v>2007-12</v>
          </cell>
          <cell r="AH987" t="str">
            <v/>
          </cell>
          <cell r="AJ987" t="str">
            <v/>
          </cell>
          <cell r="AL987" t="str">
            <v/>
          </cell>
          <cell r="AM987">
            <v>0</v>
          </cell>
          <cell r="AN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</row>
        <row r="988">
          <cell r="C988" t="str">
            <v>DWG</v>
          </cell>
          <cell r="H988" t="str">
            <v>10-97-A1-ME-0001</v>
          </cell>
          <cell r="I988" t="str">
            <v xml:space="preserve">General assembly for propylene storage Tank </v>
          </cell>
          <cell r="N988">
            <v>0.125</v>
          </cell>
          <cell r="P988">
            <v>6.0800000000000003E-4</v>
          </cell>
          <cell r="Q988" t="str">
            <v>L</v>
          </cell>
          <cell r="R988">
            <v>1.1000000000000001E-3</v>
          </cell>
          <cell r="T988">
            <v>39472</v>
          </cell>
          <cell r="V988" t="str">
            <v>2008-01</v>
          </cell>
          <cell r="AH988" t="str">
            <v/>
          </cell>
          <cell r="AJ988" t="str">
            <v/>
          </cell>
          <cell r="AL988" t="str">
            <v/>
          </cell>
          <cell r="AM988">
            <v>0</v>
          </cell>
          <cell r="AN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</row>
        <row r="989">
          <cell r="C989" t="str">
            <v>DWG</v>
          </cell>
          <cell r="H989" t="str">
            <v>10-97-A1-ME-0002</v>
          </cell>
          <cell r="I989" t="str">
            <v>Shell arrangement for propylene storage Tank</v>
          </cell>
          <cell r="N989">
            <v>0.125</v>
          </cell>
          <cell r="P989">
            <v>6.0800000000000003E-4</v>
          </cell>
          <cell r="Q989" t="str">
            <v>L</v>
          </cell>
          <cell r="R989">
            <v>1.1000000000000001E-3</v>
          </cell>
          <cell r="T989">
            <v>39472</v>
          </cell>
          <cell r="V989" t="str">
            <v>2008-01</v>
          </cell>
          <cell r="AH989" t="str">
            <v/>
          </cell>
          <cell r="AJ989" t="str">
            <v/>
          </cell>
          <cell r="AL989" t="str">
            <v/>
          </cell>
          <cell r="AM989">
            <v>0</v>
          </cell>
          <cell r="AN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</row>
        <row r="990">
          <cell r="C990" t="str">
            <v>DWG</v>
          </cell>
          <cell r="H990" t="str">
            <v>10-97-A1-ME-0003</v>
          </cell>
          <cell r="I990" t="str">
            <v>Nozzles detail for propylene storage Tank</v>
          </cell>
          <cell r="N990">
            <v>0.125</v>
          </cell>
          <cell r="P990">
            <v>6.0800000000000003E-4</v>
          </cell>
          <cell r="Q990" t="str">
            <v>L</v>
          </cell>
          <cell r="R990">
            <v>1.1000000000000001E-3</v>
          </cell>
          <cell r="T990">
            <v>39472</v>
          </cell>
          <cell r="V990" t="str">
            <v>2008-01</v>
          </cell>
          <cell r="AH990" t="str">
            <v/>
          </cell>
          <cell r="AJ990" t="str">
            <v/>
          </cell>
          <cell r="AL990" t="str">
            <v/>
          </cell>
          <cell r="AM990">
            <v>0</v>
          </cell>
          <cell r="AN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</row>
        <row r="991">
          <cell r="C991" t="str">
            <v>DWG</v>
          </cell>
          <cell r="H991" t="str">
            <v>10-97-A1-ME-0004</v>
          </cell>
          <cell r="I991" t="str">
            <v>Nozzles ordination for propylene storage Tank</v>
          </cell>
          <cell r="N991">
            <v>0.125</v>
          </cell>
          <cell r="P991">
            <v>6.0800000000000003E-4</v>
          </cell>
          <cell r="Q991" t="str">
            <v>L</v>
          </cell>
          <cell r="R991">
            <v>1.1000000000000001E-3</v>
          </cell>
          <cell r="T991">
            <v>39472</v>
          </cell>
          <cell r="V991" t="str">
            <v>2008-01</v>
          </cell>
          <cell r="AH991" t="str">
            <v/>
          </cell>
          <cell r="AJ991" t="str">
            <v/>
          </cell>
          <cell r="AL991" t="str">
            <v/>
          </cell>
          <cell r="AM991">
            <v>0</v>
          </cell>
          <cell r="AN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</row>
        <row r="992">
          <cell r="C992" t="str">
            <v>DWG</v>
          </cell>
          <cell r="H992" t="str">
            <v>10-97-A1-ME-0005</v>
          </cell>
          <cell r="I992" t="str">
            <v>Leg assembly for propylene storage Tank</v>
          </cell>
          <cell r="N992">
            <v>0.125</v>
          </cell>
          <cell r="P992">
            <v>6.0800000000000003E-4</v>
          </cell>
          <cell r="Q992" t="str">
            <v>L</v>
          </cell>
          <cell r="R992">
            <v>1.1000000000000001E-3</v>
          </cell>
          <cell r="T992">
            <v>39472</v>
          </cell>
          <cell r="V992" t="str">
            <v>2008-01</v>
          </cell>
          <cell r="AH992" t="str">
            <v/>
          </cell>
          <cell r="AJ992" t="str">
            <v/>
          </cell>
          <cell r="AL992" t="str">
            <v/>
          </cell>
          <cell r="AM992">
            <v>0</v>
          </cell>
          <cell r="AN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</row>
        <row r="993">
          <cell r="C993" t="str">
            <v>DWG</v>
          </cell>
          <cell r="H993" t="str">
            <v>10-97-A1-ME-0006</v>
          </cell>
          <cell r="I993" t="str">
            <v>Ladder &amp; plat form for propylene storage Tank</v>
          </cell>
          <cell r="N993">
            <v>0.125</v>
          </cell>
          <cell r="P993">
            <v>6.0800000000000003E-4</v>
          </cell>
          <cell r="Q993" t="str">
            <v>L</v>
          </cell>
          <cell r="R993">
            <v>1.1000000000000001E-3</v>
          </cell>
          <cell r="T993">
            <v>39472</v>
          </cell>
          <cell r="V993" t="str">
            <v>2008-01</v>
          </cell>
          <cell r="AH993" t="str">
            <v/>
          </cell>
          <cell r="AJ993" t="str">
            <v/>
          </cell>
          <cell r="AL993" t="str">
            <v/>
          </cell>
          <cell r="AM993">
            <v>0</v>
          </cell>
          <cell r="AN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</row>
        <row r="994">
          <cell r="C994" t="str">
            <v>DWG</v>
          </cell>
          <cell r="H994" t="str">
            <v>10-97-A1-ME-0007</v>
          </cell>
          <cell r="I994" t="str">
            <v>Fire fighting for propylene storage Tank</v>
          </cell>
          <cell r="N994">
            <v>0.125</v>
          </cell>
          <cell r="P994">
            <v>6.0800000000000003E-4</v>
          </cell>
          <cell r="Q994" t="str">
            <v>L</v>
          </cell>
          <cell r="R994">
            <v>1.1000000000000001E-3</v>
          </cell>
          <cell r="T994">
            <v>39472</v>
          </cell>
          <cell r="V994" t="str">
            <v>2008-01</v>
          </cell>
          <cell r="AH994" t="str">
            <v/>
          </cell>
          <cell r="AJ994" t="str">
            <v/>
          </cell>
          <cell r="AL994" t="str">
            <v/>
          </cell>
          <cell r="AM994">
            <v>0</v>
          </cell>
          <cell r="AN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</row>
        <row r="995">
          <cell r="G995" t="str">
            <v>1-Butene Storage Tank</v>
          </cell>
          <cell r="M995">
            <v>3.04E-2</v>
          </cell>
          <cell r="N995">
            <v>1</v>
          </cell>
          <cell r="P995">
            <v>4.8640000000000003E-3</v>
          </cell>
          <cell r="R995">
            <v>8.8000000000000005E-3</v>
          </cell>
          <cell r="T995" t="str">
            <v>.</v>
          </cell>
          <cell r="U995" t="str">
            <v>.</v>
          </cell>
          <cell r="V995" t="str">
            <v>.</v>
          </cell>
          <cell r="AG995" t="str">
            <v>.</v>
          </cell>
          <cell r="AM995">
            <v>0</v>
          </cell>
          <cell r="AN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</row>
        <row r="996">
          <cell r="C996" t="str">
            <v>DWG</v>
          </cell>
          <cell r="H996" t="str">
            <v>10-97-CSH-ME-0036</v>
          </cell>
          <cell r="I996" t="str">
            <v>1-Butene storage Tank Calculation Sheet</v>
          </cell>
          <cell r="N996">
            <v>0.125</v>
          </cell>
          <cell r="P996">
            <v>6.0800000000000003E-4</v>
          </cell>
          <cell r="Q996" t="str">
            <v>I</v>
          </cell>
          <cell r="R996">
            <v>1.1000000000000001E-3</v>
          </cell>
          <cell r="T996">
            <v>39431</v>
          </cell>
          <cell r="U996" t="str">
            <v>*</v>
          </cell>
          <cell r="V996" t="str">
            <v>2007-12</v>
          </cell>
          <cell r="AH996" t="str">
            <v/>
          </cell>
          <cell r="AJ996" t="str">
            <v/>
          </cell>
          <cell r="AL996" t="str">
            <v/>
          </cell>
          <cell r="AM996">
            <v>0</v>
          </cell>
          <cell r="AN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</row>
        <row r="997">
          <cell r="C997" t="str">
            <v>DWG</v>
          </cell>
          <cell r="H997" t="str">
            <v>10-97-A1-ME-0010</v>
          </cell>
          <cell r="I997" t="str">
            <v>General assembly for 1-Butene Storage Tank</v>
          </cell>
          <cell r="N997">
            <v>0.125</v>
          </cell>
          <cell r="P997">
            <v>6.0800000000000003E-4</v>
          </cell>
          <cell r="Q997" t="str">
            <v>L</v>
          </cell>
          <cell r="R997">
            <v>1.1000000000000001E-3</v>
          </cell>
          <cell r="T997">
            <v>39462</v>
          </cell>
          <cell r="V997" t="str">
            <v>2008-01</v>
          </cell>
          <cell r="AH997" t="str">
            <v/>
          </cell>
          <cell r="AJ997" t="str">
            <v/>
          </cell>
          <cell r="AL997" t="str">
            <v/>
          </cell>
          <cell r="AM997">
            <v>0</v>
          </cell>
          <cell r="AN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</row>
        <row r="998">
          <cell r="C998" t="str">
            <v>DWG</v>
          </cell>
          <cell r="H998" t="str">
            <v>10-97-A1-ME-0011</v>
          </cell>
          <cell r="I998" t="str">
            <v>Shell arrangement for 1-Butene Storage Tank</v>
          </cell>
          <cell r="N998">
            <v>0.125</v>
          </cell>
          <cell r="P998">
            <v>6.0800000000000003E-4</v>
          </cell>
          <cell r="Q998" t="str">
            <v>L</v>
          </cell>
          <cell r="R998">
            <v>1.1000000000000001E-3</v>
          </cell>
          <cell r="T998">
            <v>39462</v>
          </cell>
          <cell r="V998" t="str">
            <v>2008-01</v>
          </cell>
          <cell r="AH998" t="str">
            <v/>
          </cell>
          <cell r="AJ998" t="str">
            <v/>
          </cell>
          <cell r="AL998" t="str">
            <v/>
          </cell>
          <cell r="AM998">
            <v>0</v>
          </cell>
          <cell r="AN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</row>
        <row r="999">
          <cell r="C999" t="str">
            <v>DWG</v>
          </cell>
          <cell r="H999" t="str">
            <v>10-97-A1-ME-0012</v>
          </cell>
          <cell r="I999" t="str">
            <v>Nozzles Detail for 1-Butene Storage Tank</v>
          </cell>
          <cell r="N999">
            <v>0.125</v>
          </cell>
          <cell r="P999">
            <v>6.0800000000000003E-4</v>
          </cell>
          <cell r="Q999" t="str">
            <v>L</v>
          </cell>
          <cell r="R999">
            <v>1.1000000000000001E-3</v>
          </cell>
          <cell r="T999">
            <v>39462</v>
          </cell>
          <cell r="V999" t="str">
            <v>2008-01</v>
          </cell>
          <cell r="AH999" t="str">
            <v/>
          </cell>
          <cell r="AJ999" t="str">
            <v/>
          </cell>
          <cell r="AL999" t="str">
            <v/>
          </cell>
          <cell r="AM999">
            <v>0</v>
          </cell>
          <cell r="AN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</row>
        <row r="1000">
          <cell r="C1000" t="str">
            <v>DWG</v>
          </cell>
          <cell r="H1000" t="str">
            <v>10-97-A1-ME-0013</v>
          </cell>
          <cell r="I1000" t="str">
            <v>Nozzles ordination for 1-Butene Storage Tank</v>
          </cell>
          <cell r="N1000">
            <v>0.125</v>
          </cell>
          <cell r="P1000">
            <v>6.0800000000000003E-4</v>
          </cell>
          <cell r="Q1000" t="str">
            <v>L</v>
          </cell>
          <cell r="R1000">
            <v>1.1000000000000001E-3</v>
          </cell>
          <cell r="T1000">
            <v>39462</v>
          </cell>
          <cell r="V1000" t="str">
            <v>2008-01</v>
          </cell>
          <cell r="AH1000" t="str">
            <v/>
          </cell>
          <cell r="AJ1000" t="str">
            <v/>
          </cell>
          <cell r="AL1000" t="str">
            <v/>
          </cell>
          <cell r="AM1000">
            <v>0</v>
          </cell>
          <cell r="AN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</row>
        <row r="1001">
          <cell r="C1001" t="str">
            <v>DWG</v>
          </cell>
          <cell r="H1001" t="str">
            <v>10-97-A1-ME-0014</v>
          </cell>
          <cell r="I1001" t="str">
            <v>Leg assembly for 1-Butene Storage Tank</v>
          </cell>
          <cell r="N1001">
            <v>0.125</v>
          </cell>
          <cell r="P1001">
            <v>6.0800000000000003E-4</v>
          </cell>
          <cell r="Q1001" t="str">
            <v>L</v>
          </cell>
          <cell r="R1001">
            <v>1.1000000000000001E-3</v>
          </cell>
          <cell r="T1001">
            <v>39462</v>
          </cell>
          <cell r="V1001" t="str">
            <v>2008-01</v>
          </cell>
          <cell r="AH1001" t="str">
            <v/>
          </cell>
          <cell r="AJ1001" t="str">
            <v/>
          </cell>
          <cell r="AL1001" t="str">
            <v/>
          </cell>
          <cell r="AM1001">
            <v>0</v>
          </cell>
          <cell r="AN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</row>
        <row r="1002">
          <cell r="C1002" t="str">
            <v>DWG</v>
          </cell>
          <cell r="H1002" t="str">
            <v>10-97-A1-ME-0015</v>
          </cell>
          <cell r="I1002" t="str">
            <v>Ladder &amp; plat form for 1-Butene Storage Tank</v>
          </cell>
          <cell r="N1002">
            <v>0.125</v>
          </cell>
          <cell r="P1002">
            <v>6.0800000000000003E-4</v>
          </cell>
          <cell r="Q1002" t="str">
            <v>L</v>
          </cell>
          <cell r="R1002">
            <v>1.1000000000000001E-3</v>
          </cell>
          <cell r="T1002">
            <v>39462</v>
          </cell>
          <cell r="V1002" t="str">
            <v>2008-01</v>
          </cell>
          <cell r="AH1002" t="str">
            <v/>
          </cell>
          <cell r="AJ1002" t="str">
            <v/>
          </cell>
          <cell r="AL1002" t="str">
            <v/>
          </cell>
          <cell r="AM1002">
            <v>0</v>
          </cell>
          <cell r="AN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</row>
        <row r="1003">
          <cell r="C1003" t="str">
            <v>DWG</v>
          </cell>
          <cell r="H1003" t="str">
            <v>10-97-A1-ME-0016</v>
          </cell>
          <cell r="I1003" t="str">
            <v>Fire fighting for 1-Butene Storage Tank</v>
          </cell>
          <cell r="N1003">
            <v>0.125</v>
          </cell>
          <cell r="P1003">
            <v>6.0800000000000003E-4</v>
          </cell>
          <cell r="Q1003" t="str">
            <v>L</v>
          </cell>
          <cell r="R1003">
            <v>1.1000000000000001E-3</v>
          </cell>
          <cell r="T1003">
            <v>39462</v>
          </cell>
          <cell r="V1003" t="str">
            <v>2008-01</v>
          </cell>
          <cell r="AH1003" t="str">
            <v/>
          </cell>
          <cell r="AJ1003" t="str">
            <v/>
          </cell>
          <cell r="AL1003" t="str">
            <v/>
          </cell>
          <cell r="AM1003">
            <v>0</v>
          </cell>
          <cell r="AN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</row>
        <row r="1004">
          <cell r="G1004" t="str">
            <v>Fuel Gas Drum</v>
          </cell>
          <cell r="M1004">
            <v>3.04E-2</v>
          </cell>
          <cell r="N1004">
            <v>1</v>
          </cell>
          <cell r="P1004">
            <v>4.8640000000000003E-3</v>
          </cell>
          <cell r="R1004">
            <v>3.7200000000000002E-3</v>
          </cell>
          <cell r="T1004" t="str">
            <v>.</v>
          </cell>
          <cell r="U1004" t="str">
            <v>.</v>
          </cell>
          <cell r="V1004" t="str">
            <v>.</v>
          </cell>
          <cell r="AG1004" t="str">
            <v>.</v>
          </cell>
          <cell r="AM1004">
            <v>0</v>
          </cell>
          <cell r="AN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</row>
        <row r="1005">
          <cell r="C1005" t="str">
            <v>CLS</v>
          </cell>
          <cell r="H1005" t="str">
            <v>10-95-CSH-PV-0001</v>
          </cell>
          <cell r="I1005" t="str">
            <v>Fuel Gas Drum Calculation Sheet</v>
          </cell>
          <cell r="N1005">
            <v>0.25</v>
          </cell>
          <cell r="P1005">
            <v>1.2160000000000001E-3</v>
          </cell>
          <cell r="R1005">
            <v>1.1000000000000001E-3</v>
          </cell>
          <cell r="T1005">
            <v>39401</v>
          </cell>
          <cell r="U1005" t="str">
            <v>*</v>
          </cell>
          <cell r="V1005" t="str">
            <v>2007-11</v>
          </cell>
          <cell r="AH1005" t="str">
            <v/>
          </cell>
          <cell r="AJ1005" t="str">
            <v/>
          </cell>
          <cell r="AL1005" t="str">
            <v/>
          </cell>
          <cell r="AM1005">
            <v>0</v>
          </cell>
          <cell r="AN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</row>
        <row r="1006">
          <cell r="C1006" t="str">
            <v>DWG</v>
          </cell>
          <cell r="H1006" t="str">
            <v>10-95-A3-ME-0030</v>
          </cell>
          <cell r="I1006" t="str">
            <v>General Assembly for Fuel gas Drum</v>
          </cell>
          <cell r="N1006">
            <v>0.25</v>
          </cell>
          <cell r="P1006">
            <v>1.2160000000000001E-3</v>
          </cell>
          <cell r="Q1006" t="str">
            <v>V</v>
          </cell>
          <cell r="R1006">
            <v>1.0200000000000001E-3</v>
          </cell>
          <cell r="T1006">
            <v>39441</v>
          </cell>
          <cell r="U1006" t="str">
            <v>*</v>
          </cell>
          <cell r="V1006" t="str">
            <v>2007-12</v>
          </cell>
          <cell r="AH1006" t="str">
            <v/>
          </cell>
          <cell r="AJ1006" t="str">
            <v/>
          </cell>
          <cell r="AL1006" t="str">
            <v/>
          </cell>
          <cell r="AM1006">
            <v>0</v>
          </cell>
          <cell r="AN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</row>
        <row r="1007">
          <cell r="C1007" t="str">
            <v>DWG</v>
          </cell>
          <cell r="H1007" t="str">
            <v>10-95-A3-ME-0031</v>
          </cell>
          <cell r="I1007" t="str">
            <v>Nozzles Detail for Fuel Gas Drum</v>
          </cell>
          <cell r="N1007">
            <v>0.25</v>
          </cell>
          <cell r="P1007">
            <v>1.2160000000000001E-3</v>
          </cell>
          <cell r="Q1007" t="str">
            <v>V</v>
          </cell>
          <cell r="R1007">
            <v>8.0000000000000004E-4</v>
          </cell>
          <cell r="T1007">
            <v>39441</v>
          </cell>
          <cell r="U1007" t="str">
            <v>*</v>
          </cell>
          <cell r="V1007" t="str">
            <v>2007-12</v>
          </cell>
          <cell r="AH1007" t="str">
            <v/>
          </cell>
          <cell r="AJ1007" t="str">
            <v/>
          </cell>
          <cell r="AL1007" t="str">
            <v/>
          </cell>
          <cell r="AM1007">
            <v>0</v>
          </cell>
          <cell r="AN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</row>
        <row r="1008">
          <cell r="C1008" t="str">
            <v>DWG</v>
          </cell>
          <cell r="H1008" t="str">
            <v>10-95-A3-ME-0032</v>
          </cell>
          <cell r="I1008" t="str">
            <v>External Attachment for Fuel Gas Drum</v>
          </cell>
          <cell r="N1008">
            <v>0.25</v>
          </cell>
          <cell r="P1008">
            <v>1.2160000000000001E-3</v>
          </cell>
          <cell r="Q1008" t="str">
            <v>V</v>
          </cell>
          <cell r="R1008">
            <v>8.0000000000000004E-4</v>
          </cell>
          <cell r="T1008">
            <v>39441</v>
          </cell>
          <cell r="U1008" t="str">
            <v>*</v>
          </cell>
          <cell r="V1008" t="str">
            <v>2007-12</v>
          </cell>
          <cell r="AH1008" t="str">
            <v/>
          </cell>
          <cell r="AJ1008" t="str">
            <v/>
          </cell>
          <cell r="AL1008" t="str">
            <v/>
          </cell>
          <cell r="AM1008">
            <v>0</v>
          </cell>
          <cell r="AN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</row>
        <row r="1009">
          <cell r="G1009" t="str">
            <v>Steam and Condensate System</v>
          </cell>
          <cell r="M1009">
            <v>3.4200000000000001E-2</v>
          </cell>
          <cell r="N1009" t="e">
            <v>#REF!</v>
          </cell>
          <cell r="P1009">
            <v>5.4720000000000012E-3</v>
          </cell>
          <cell r="R1009">
            <v>1.9499999999999999E-3</v>
          </cell>
          <cell r="T1009" t="str">
            <v>.</v>
          </cell>
          <cell r="U1009" t="str">
            <v>.</v>
          </cell>
          <cell r="V1009" t="str">
            <v>.</v>
          </cell>
          <cell r="AG1009" t="str">
            <v>.</v>
          </cell>
          <cell r="AM1009">
            <v>0.19462719298245609</v>
          </cell>
          <cell r="AN1009">
            <v>1.065E-3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</row>
        <row r="1010">
          <cell r="C1010" t="str">
            <v>TBA</v>
          </cell>
          <cell r="H1010" t="str">
            <v>10-TBA-ME-0002</v>
          </cell>
          <cell r="I1010" t="str">
            <v xml:space="preserve">TBA for 2.5 TPH High Pressure Boiler &amp; Auxiliaries </v>
          </cell>
          <cell r="N1010">
            <v>0.11</v>
          </cell>
          <cell r="P1010">
            <v>6.0192000000000015E-4</v>
          </cell>
          <cell r="V1010" t="str">
            <v>ارسال شده</v>
          </cell>
          <cell r="W1010">
            <v>0</v>
          </cell>
          <cell r="X1010">
            <v>29</v>
          </cell>
          <cell r="Y1010" t="str">
            <v>21-06-07</v>
          </cell>
          <cell r="Z1010" t="str">
            <v>F-0017</v>
          </cell>
          <cell r="AA1010" t="str">
            <v>24-06-07</v>
          </cell>
          <cell r="AG1010" t="str">
            <v>GBT</v>
          </cell>
          <cell r="AM1010">
            <v>0</v>
          </cell>
          <cell r="AN1010">
            <v>0</v>
          </cell>
          <cell r="AO1010" t="str">
            <v>Change to 10-TBA-HM-152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</row>
        <row r="1011">
          <cell r="C1011" t="str">
            <v>TBA</v>
          </cell>
          <cell r="H1011" t="str">
            <v>10-TBA-ME-0001</v>
          </cell>
          <cell r="I1011" t="str">
            <v xml:space="preserve">TBA for 50 TPH Tube Boiler &amp; Auxiliaries </v>
          </cell>
          <cell r="N1011">
            <v>0.11</v>
          </cell>
          <cell r="P1011">
            <v>6.0192000000000015E-4</v>
          </cell>
          <cell r="V1011" t="str">
            <v>ارسال شده</v>
          </cell>
          <cell r="W1011">
            <v>0</v>
          </cell>
          <cell r="X1011">
            <v>19</v>
          </cell>
          <cell r="Y1011" t="str">
            <v>12-06-07</v>
          </cell>
          <cell r="Z1011" t="str">
            <v>F-0041</v>
          </cell>
          <cell r="AA1011" t="str">
            <v>04-07-07</v>
          </cell>
          <cell r="AG1011" t="str">
            <v>GBT</v>
          </cell>
          <cell r="AM1011">
            <v>0</v>
          </cell>
          <cell r="AN1011">
            <v>0</v>
          </cell>
          <cell r="AO1011" t="str">
            <v>Change to 10-TBA-HM-152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</row>
        <row r="1012">
          <cell r="H1012" t="str">
            <v>10-REQ-HM-152</v>
          </cell>
          <cell r="I1012" t="str">
            <v>MR for Steam Unit</v>
          </cell>
          <cell r="R1012">
            <v>1.25E-3</v>
          </cell>
          <cell r="V1012" t="str">
            <v>ارسال شده</v>
          </cell>
          <cell r="W1012" t="str">
            <v>01</v>
          </cell>
          <cell r="X1012" t="str">
            <v>279454</v>
          </cell>
          <cell r="Y1012" t="str">
            <v>07-11-0711-12-07</v>
          </cell>
          <cell r="Z1012" t="str">
            <v>F-0341F-0548</v>
          </cell>
          <cell r="AA1012" t="str">
            <v>18-11-0723-12-07</v>
          </cell>
          <cell r="AG1012" t="str">
            <v>GBT</v>
          </cell>
          <cell r="AH1012" t="str">
            <v>x</v>
          </cell>
          <cell r="AI1012" t="str">
            <v>x</v>
          </cell>
          <cell r="AM1012">
            <v>0.6</v>
          </cell>
          <cell r="AN1012">
            <v>7.5000000000000002E-4</v>
          </cell>
          <cell r="AQ1012">
            <v>0</v>
          </cell>
          <cell r="AR1012">
            <v>7.5000000000000002E-4</v>
          </cell>
          <cell r="AS1012">
            <v>45</v>
          </cell>
          <cell r="AT1012">
            <v>60</v>
          </cell>
          <cell r="AU1012">
            <v>0</v>
          </cell>
          <cell r="AV1012">
            <v>0</v>
          </cell>
          <cell r="AW1012">
            <v>0</v>
          </cell>
          <cell r="AX1012">
            <v>60</v>
          </cell>
        </row>
        <row r="1013">
          <cell r="H1013" t="str">
            <v>10-TBA-HM-152</v>
          </cell>
          <cell r="I1013" t="str">
            <v>TBA for Steam Unit</v>
          </cell>
          <cell r="R1013">
            <v>6.9999999999999999E-4</v>
          </cell>
          <cell r="V1013" t="str">
            <v>ارسال شده</v>
          </cell>
          <cell r="W1013" t="str">
            <v>00</v>
          </cell>
          <cell r="X1013" t="str">
            <v>29&amp;19</v>
          </cell>
          <cell r="Y1013" t="str">
            <v>21-06-0712-06-07</v>
          </cell>
          <cell r="Z1013" t="str">
            <v>F-0017F-0041</v>
          </cell>
          <cell r="AA1013" t="str">
            <v>24-06-0704-07-07</v>
          </cell>
          <cell r="AG1013" t="str">
            <v>GBT</v>
          </cell>
          <cell r="AH1013" t="str">
            <v>x</v>
          </cell>
          <cell r="AM1013">
            <v>0.45</v>
          </cell>
          <cell r="AN1013">
            <v>3.1500000000000001E-4</v>
          </cell>
          <cell r="AQ1013">
            <v>0</v>
          </cell>
          <cell r="AR1013">
            <v>3.1500000000000001E-4</v>
          </cell>
          <cell r="AS1013">
            <v>45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45</v>
          </cell>
        </row>
        <row r="1014">
          <cell r="G1014" t="str">
            <v xml:space="preserve">Instrument Air and Plant  System </v>
          </cell>
          <cell r="M1014">
            <v>3.04E-2</v>
          </cell>
          <cell r="N1014">
            <v>1</v>
          </cell>
          <cell r="P1014">
            <v>4.8640000000000003E-3</v>
          </cell>
          <cell r="R1014">
            <v>9.0900000000000009E-3</v>
          </cell>
          <cell r="T1014" t="str">
            <v>.</v>
          </cell>
          <cell r="U1014" t="str">
            <v>.</v>
          </cell>
          <cell r="V1014" t="str">
            <v>.</v>
          </cell>
          <cell r="AG1014" t="str">
            <v>.</v>
          </cell>
          <cell r="AM1014">
            <v>0.76079358552631582</v>
          </cell>
          <cell r="AN1014">
            <v>3.7005000000000002E-3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</row>
        <row r="1015">
          <cell r="C1015" t="str">
            <v>DSH</v>
          </cell>
          <cell r="H1015" t="str">
            <v>10-40-DSH-ME-0020</v>
          </cell>
          <cell r="I1015" t="str">
            <v>Data Sheet for Air Compressor</v>
          </cell>
          <cell r="N1015">
            <v>0.25</v>
          </cell>
          <cell r="P1015">
            <v>1.2160000000000001E-3</v>
          </cell>
          <cell r="Q1015" t="str">
            <v>V</v>
          </cell>
          <cell r="R1015">
            <v>1.0200000000000001E-3</v>
          </cell>
          <cell r="T1015">
            <v>39436</v>
          </cell>
          <cell r="U1015" t="str">
            <v>*</v>
          </cell>
          <cell r="V1015" t="str">
            <v>2007-12</v>
          </cell>
          <cell r="AH1015" t="str">
            <v/>
          </cell>
          <cell r="AJ1015" t="str">
            <v/>
          </cell>
          <cell r="AL1015" t="str">
            <v/>
          </cell>
          <cell r="AM1015">
            <v>0</v>
          </cell>
          <cell r="AN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</row>
        <row r="1016">
          <cell r="C1016" t="str">
            <v>DSH</v>
          </cell>
          <cell r="H1016" t="str">
            <v>10-40-DSH-ME-0021</v>
          </cell>
          <cell r="I1016" t="str">
            <v>Data Sheet for Air Dryer Package</v>
          </cell>
          <cell r="N1016">
            <v>0.25</v>
          </cell>
          <cell r="P1016">
            <v>1.2160000000000001E-3</v>
          </cell>
          <cell r="Q1016" t="str">
            <v>V</v>
          </cell>
          <cell r="R1016">
            <v>1.0200000000000001E-3</v>
          </cell>
          <cell r="T1016">
            <v>39441</v>
          </cell>
          <cell r="U1016" t="str">
            <v>*</v>
          </cell>
          <cell r="V1016" t="str">
            <v>2007-12</v>
          </cell>
          <cell r="AH1016" t="str">
            <v/>
          </cell>
          <cell r="AJ1016" t="str">
            <v/>
          </cell>
          <cell r="AL1016" t="str">
            <v/>
          </cell>
          <cell r="AM1016">
            <v>0</v>
          </cell>
          <cell r="AN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</row>
        <row r="1017">
          <cell r="H1017" t="str">
            <v>10-40-DSH-ME-0022</v>
          </cell>
          <cell r="I1017" t="str">
            <v>Data sheet for Emergency Air compressor</v>
          </cell>
          <cell r="Q1017" t="str">
            <v>V</v>
          </cell>
          <cell r="R1017">
            <v>1.0200000000000001E-3</v>
          </cell>
          <cell r="S1017" t="str">
            <v>Add</v>
          </cell>
          <cell r="AM1017">
            <v>0</v>
          </cell>
          <cell r="AN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</row>
        <row r="1018">
          <cell r="C1018" t="str">
            <v>MR</v>
          </cell>
          <cell r="H1018" t="str">
            <v>10-REQ-PA-801</v>
          </cell>
          <cell r="I1018" t="str">
            <v>MR for Nitrogen Generation and Air Plan and Instrument (ASU)</v>
          </cell>
          <cell r="N1018">
            <v>0.25</v>
          </cell>
          <cell r="P1018">
            <v>1.2160000000000001E-3</v>
          </cell>
          <cell r="R1018">
            <v>1.25E-3</v>
          </cell>
          <cell r="V1018" t="str">
            <v>ارسال شده</v>
          </cell>
          <cell r="W1018" t="str">
            <v>012</v>
          </cell>
          <cell r="X1018" t="str">
            <v>191330455</v>
          </cell>
          <cell r="Y1018" t="str">
            <v>25-10-0719-11-0711-12-07</v>
          </cell>
          <cell r="Z1018" t="str">
            <v>F-0251F-0400F-0549</v>
          </cell>
          <cell r="AA1018" t="str">
            <v>29-10-0729-11-0723-12-07</v>
          </cell>
          <cell r="AG1018" t="str">
            <v>GBT</v>
          </cell>
          <cell r="AH1018" t="str">
            <v>x</v>
          </cell>
          <cell r="AI1018" t="str">
            <v>x</v>
          </cell>
          <cell r="AJ1018" t="str">
            <v>x</v>
          </cell>
          <cell r="AL1018" t="str">
            <v/>
          </cell>
          <cell r="AM1018">
            <v>0.75</v>
          </cell>
          <cell r="AN1018">
            <v>9.3749999999999997E-4</v>
          </cell>
          <cell r="AQ1018">
            <v>9.1200000000000005E-4</v>
          </cell>
          <cell r="AR1018">
            <v>9.3749999999999997E-4</v>
          </cell>
          <cell r="AS1018">
            <v>45</v>
          </cell>
          <cell r="AT1018">
            <v>60</v>
          </cell>
          <cell r="AU1018">
            <v>75</v>
          </cell>
          <cell r="AV1018">
            <v>0</v>
          </cell>
          <cell r="AW1018">
            <v>0</v>
          </cell>
          <cell r="AX1018">
            <v>75</v>
          </cell>
        </row>
        <row r="1019">
          <cell r="C1019" t="str">
            <v>TBA</v>
          </cell>
          <cell r="H1019" t="str">
            <v>10-TBA-PA-801</v>
          </cell>
          <cell r="I1019" t="str">
            <v>TBA for Nitrogen Generation and Air Plan and Instrument (ASU)</v>
          </cell>
          <cell r="N1019">
            <v>0.25</v>
          </cell>
          <cell r="P1019">
            <v>1.2160000000000001E-3</v>
          </cell>
          <cell r="R1019">
            <v>6.9999999999999999E-4</v>
          </cell>
          <cell r="T1019">
            <v>39475</v>
          </cell>
          <cell r="V1019" t="str">
            <v>2008-01</v>
          </cell>
          <cell r="W1019">
            <v>0</v>
          </cell>
          <cell r="X1019">
            <v>58</v>
          </cell>
          <cell r="Y1019" t="str">
            <v>21-07-07</v>
          </cell>
          <cell r="Z1019" t="str">
            <v>F-0092</v>
          </cell>
          <cell r="AA1019" t="str">
            <v>26-07-07</v>
          </cell>
          <cell r="AG1019" t="str">
            <v>GBT</v>
          </cell>
          <cell r="AH1019" t="str">
            <v>x</v>
          </cell>
          <cell r="AJ1019" t="str">
            <v/>
          </cell>
          <cell r="AL1019" t="str">
            <v/>
          </cell>
          <cell r="AM1019">
            <v>0.45</v>
          </cell>
          <cell r="AN1019">
            <v>3.1500000000000001E-4</v>
          </cell>
          <cell r="AQ1019">
            <v>5.4720000000000007E-4</v>
          </cell>
          <cell r="AR1019">
            <v>3.1500000000000001E-4</v>
          </cell>
          <cell r="AS1019">
            <v>45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45</v>
          </cell>
        </row>
        <row r="1020">
          <cell r="H1020" t="str">
            <v>10-40-CSH-PV-0002</v>
          </cell>
          <cell r="I1020" t="str">
            <v>Calculation Sheet for Air Receiver A/B</v>
          </cell>
          <cell r="R1020">
            <v>1.0200000000000001E-3</v>
          </cell>
          <cell r="V1020" t="str">
            <v>ارسال شده</v>
          </cell>
          <cell r="W1020" t="str">
            <v>01</v>
          </cell>
          <cell r="X1020" t="str">
            <v>228520</v>
          </cell>
          <cell r="Y1020" t="str">
            <v>30-10-0726-12-07</v>
          </cell>
          <cell r="Z1020" t="str">
            <v>F-0404</v>
          </cell>
          <cell r="AA1020" t="str">
            <v>29-11-07</v>
          </cell>
          <cell r="AG1020" t="str">
            <v>KRPC</v>
          </cell>
          <cell r="AH1020" t="str">
            <v>x</v>
          </cell>
          <cell r="AI1020" t="str">
            <v>x</v>
          </cell>
          <cell r="AM1020">
            <v>0.6</v>
          </cell>
          <cell r="AN1020">
            <v>6.1200000000000002E-4</v>
          </cell>
          <cell r="AO1020" t="str">
            <v>T</v>
          </cell>
          <cell r="AQ1020">
            <v>0</v>
          </cell>
          <cell r="AR1020">
            <v>6.1200000000000002E-4</v>
          </cell>
          <cell r="AS1020">
            <v>45</v>
          </cell>
          <cell r="AT1020">
            <v>60</v>
          </cell>
          <cell r="AU1020">
            <v>0</v>
          </cell>
          <cell r="AV1020">
            <v>0</v>
          </cell>
          <cell r="AW1020">
            <v>0</v>
          </cell>
          <cell r="AX1020">
            <v>60</v>
          </cell>
        </row>
        <row r="1021">
          <cell r="H1021" t="str">
            <v>10-40-DSH-PV-0002</v>
          </cell>
          <cell r="I1021" t="str">
            <v>Data Sheet for  Air Receiver A/B</v>
          </cell>
          <cell r="R1021">
            <v>1.0200000000000001E-3</v>
          </cell>
          <cell r="V1021" t="str">
            <v>ارسال شده</v>
          </cell>
          <cell r="W1021" t="str">
            <v>01</v>
          </cell>
          <cell r="X1021" t="str">
            <v>213523</v>
          </cell>
          <cell r="Y1021" t="str">
            <v>28-10-0726-12-07</v>
          </cell>
          <cell r="Z1021" t="str">
            <v>F-0412&amp;0399</v>
          </cell>
          <cell r="AA1021" t="str">
            <v>01-12-07</v>
          </cell>
          <cell r="AG1021" t="str">
            <v>KRPC</v>
          </cell>
          <cell r="AH1021" t="str">
            <v>x</v>
          </cell>
          <cell r="AI1021" t="str">
            <v>x</v>
          </cell>
          <cell r="AM1021">
            <v>0.6</v>
          </cell>
          <cell r="AN1021">
            <v>6.1200000000000002E-4</v>
          </cell>
          <cell r="AO1021" t="str">
            <v>T</v>
          </cell>
          <cell r="AQ1021">
            <v>0</v>
          </cell>
          <cell r="AR1021">
            <v>6.1200000000000002E-4</v>
          </cell>
          <cell r="AS1021">
            <v>45</v>
          </cell>
          <cell r="AT1021">
            <v>60</v>
          </cell>
          <cell r="AU1021">
            <v>0</v>
          </cell>
          <cell r="AV1021">
            <v>0</v>
          </cell>
          <cell r="AW1021">
            <v>0</v>
          </cell>
          <cell r="AX1021">
            <v>60</v>
          </cell>
        </row>
        <row r="1022">
          <cell r="H1022" t="str">
            <v>10-40-CSH-PV-0003</v>
          </cell>
          <cell r="I1022" t="str">
            <v>Calculation Sheet for Emergency Air Receiver</v>
          </cell>
          <cell r="R1022">
            <v>1.0200000000000001E-3</v>
          </cell>
          <cell r="V1022" t="str">
            <v>ارسال شده</v>
          </cell>
          <cell r="W1022" t="str">
            <v>01</v>
          </cell>
          <cell r="X1022" t="str">
            <v>229521</v>
          </cell>
          <cell r="Y1022" t="str">
            <v>30-10-0726-12-07</v>
          </cell>
          <cell r="Z1022" t="str">
            <v>F-0336</v>
          </cell>
          <cell r="AA1022" t="str">
            <v>22-11-07</v>
          </cell>
          <cell r="AG1022" t="str">
            <v>KRPC</v>
          </cell>
          <cell r="AH1022" t="str">
            <v>x</v>
          </cell>
          <cell r="AI1022" t="str">
            <v>x</v>
          </cell>
          <cell r="AM1022">
            <v>0.6</v>
          </cell>
          <cell r="AN1022">
            <v>6.1200000000000002E-4</v>
          </cell>
          <cell r="AO1022" t="str">
            <v>T</v>
          </cell>
          <cell r="AQ1022">
            <v>0</v>
          </cell>
          <cell r="AR1022">
            <v>6.1200000000000002E-4</v>
          </cell>
          <cell r="AS1022">
            <v>45</v>
          </cell>
          <cell r="AT1022">
            <v>60</v>
          </cell>
          <cell r="AU1022">
            <v>0</v>
          </cell>
          <cell r="AV1022">
            <v>0</v>
          </cell>
          <cell r="AW1022">
            <v>0</v>
          </cell>
          <cell r="AX1022">
            <v>60</v>
          </cell>
        </row>
        <row r="1023">
          <cell r="H1023" t="str">
            <v>10-40-DSH-PV-0003</v>
          </cell>
          <cell r="I1023" t="str">
            <v>Data Sheet for Emergency Air Receiver</v>
          </cell>
          <cell r="R1023">
            <v>1.0200000000000001E-3</v>
          </cell>
          <cell r="V1023" t="str">
            <v>ارسال شده</v>
          </cell>
          <cell r="W1023" t="str">
            <v>01</v>
          </cell>
          <cell r="X1023" t="str">
            <v>211522</v>
          </cell>
          <cell r="Y1023" t="str">
            <v>28-10-0726-12-07</v>
          </cell>
          <cell r="Z1023" t="str">
            <v>F-0412&amp;0409</v>
          </cell>
          <cell r="AA1023" t="str">
            <v>01-12-07</v>
          </cell>
          <cell r="AG1023" t="str">
            <v>KRPC</v>
          </cell>
          <cell r="AH1023" t="str">
            <v>x</v>
          </cell>
          <cell r="AI1023" t="str">
            <v>x</v>
          </cell>
          <cell r="AM1023">
            <v>0.6</v>
          </cell>
          <cell r="AN1023">
            <v>6.1200000000000002E-4</v>
          </cell>
          <cell r="AO1023" t="str">
            <v>T</v>
          </cell>
          <cell r="AQ1023">
            <v>0</v>
          </cell>
          <cell r="AR1023">
            <v>6.1200000000000002E-4</v>
          </cell>
          <cell r="AS1023">
            <v>45</v>
          </cell>
          <cell r="AT1023">
            <v>60</v>
          </cell>
          <cell r="AU1023">
            <v>0</v>
          </cell>
          <cell r="AV1023">
            <v>0</v>
          </cell>
          <cell r="AW1023">
            <v>0</v>
          </cell>
          <cell r="AX1023">
            <v>60</v>
          </cell>
        </row>
        <row r="1024">
          <cell r="G1024" t="str">
            <v>Water Treatment Plant (RW, DM, PW, SW, RO)</v>
          </cell>
          <cell r="M1024">
            <v>1.14E-2</v>
          </cell>
          <cell r="N1024">
            <v>0.66600000000000004</v>
          </cell>
          <cell r="P1024">
            <v>1.8240000000000003E-3</v>
          </cell>
          <cell r="R1024">
            <v>1.9499999999999999E-3</v>
          </cell>
          <cell r="T1024" t="str">
            <v>.</v>
          </cell>
          <cell r="U1024" t="str">
            <v>.</v>
          </cell>
          <cell r="V1024" t="str">
            <v>.</v>
          </cell>
          <cell r="AG1024" t="str">
            <v>.</v>
          </cell>
          <cell r="AM1024">
            <v>0.30838815789473684</v>
          </cell>
          <cell r="AN1024">
            <v>5.6250000000000007E-4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</row>
        <row r="1025">
          <cell r="C1025" t="str">
            <v>MR</v>
          </cell>
          <cell r="H1025" t="str">
            <v>10-REQ-PA-802</v>
          </cell>
          <cell r="I1025" t="str">
            <v>MR for Water Treatment Unit</v>
          </cell>
          <cell r="N1025">
            <v>0.33300000000000002</v>
          </cell>
          <cell r="P1025">
            <v>6.0739200000000011E-4</v>
          </cell>
          <cell r="R1025">
            <v>1.25E-3</v>
          </cell>
          <cell r="V1025" t="str">
            <v>ارسال شده</v>
          </cell>
          <cell r="W1025" t="str">
            <v>0</v>
          </cell>
          <cell r="X1025">
            <v>299</v>
          </cell>
          <cell r="Y1025" t="str">
            <v>12-11-07</v>
          </cell>
          <cell r="Z1025" t="str">
            <v>F-0426</v>
          </cell>
          <cell r="AA1025" t="str">
            <v>02-12-07</v>
          </cell>
          <cell r="AG1025" t="str">
            <v>GBT</v>
          </cell>
          <cell r="AH1025" t="str">
            <v>x</v>
          </cell>
          <cell r="AJ1025" t="str">
            <v/>
          </cell>
          <cell r="AL1025" t="str">
            <v/>
          </cell>
          <cell r="AM1025">
            <v>0.45</v>
          </cell>
          <cell r="AN1025">
            <v>5.6250000000000007E-4</v>
          </cell>
          <cell r="AQ1025">
            <v>2.7332640000000003E-4</v>
          </cell>
          <cell r="AR1025">
            <v>5.6250000000000007E-4</v>
          </cell>
          <cell r="AS1025">
            <v>45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45</v>
          </cell>
        </row>
        <row r="1026">
          <cell r="C1026" t="str">
            <v>TBA</v>
          </cell>
          <cell r="H1026" t="str">
            <v>10-TBA-PA-802</v>
          </cell>
          <cell r="I1026" t="str">
            <v>TBA for Water Treatment Unit</v>
          </cell>
          <cell r="N1026">
            <v>0.33300000000000002</v>
          </cell>
          <cell r="P1026">
            <v>6.0739200000000011E-4</v>
          </cell>
          <cell r="Q1026" t="str">
            <v>C</v>
          </cell>
          <cell r="R1026">
            <v>6.9999999999999999E-4</v>
          </cell>
          <cell r="T1026">
            <v>39427</v>
          </cell>
          <cell r="U1026" t="str">
            <v>*</v>
          </cell>
          <cell r="V1026" t="str">
            <v>2007-12</v>
          </cell>
          <cell r="AH1026" t="str">
            <v/>
          </cell>
          <cell r="AJ1026" t="str">
            <v/>
          </cell>
          <cell r="AL1026" t="str">
            <v/>
          </cell>
          <cell r="AM1026">
            <v>0</v>
          </cell>
          <cell r="AN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</row>
        <row r="1027">
          <cell r="G1027" t="str">
            <v>Air Separation (N2 Generation) System</v>
          </cell>
          <cell r="M1027">
            <v>2.2800000000000001E-2</v>
          </cell>
          <cell r="N1027">
            <v>0.33300000000000002</v>
          </cell>
          <cell r="P1027">
            <v>3.6480000000000006E-3</v>
          </cell>
          <cell r="R1027">
            <v>0</v>
          </cell>
          <cell r="T1027" t="str">
            <v>.</v>
          </cell>
          <cell r="U1027" t="str">
            <v>.</v>
          </cell>
          <cell r="V1027" t="str">
            <v>.</v>
          </cell>
          <cell r="AG1027" t="str">
            <v>.</v>
          </cell>
          <cell r="AM1027">
            <v>0</v>
          </cell>
          <cell r="AN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</row>
        <row r="1028">
          <cell r="C1028" t="str">
            <v>TBA</v>
          </cell>
          <cell r="H1028" t="str">
            <v>10-TBA-PA-803</v>
          </cell>
          <cell r="I1028" t="str">
            <v>TBA for Air Separation Unit</v>
          </cell>
          <cell r="N1028">
            <v>0.33300000000000002</v>
          </cell>
          <cell r="P1028">
            <v>1.2147840000000002E-3</v>
          </cell>
          <cell r="R1028">
            <v>0</v>
          </cell>
          <cell r="S1028" t="str">
            <v>Delete</v>
          </cell>
          <cell r="V1028" t="str">
            <v>ارسال شده</v>
          </cell>
          <cell r="W1028">
            <v>0</v>
          </cell>
          <cell r="X1028">
            <v>58</v>
          </cell>
          <cell r="Y1028" t="str">
            <v>21-07-07</v>
          </cell>
          <cell r="Z1028" t="str">
            <v>F-0092</v>
          </cell>
          <cell r="AA1028" t="str">
            <v>26-07-07</v>
          </cell>
          <cell r="AG1028" t="str">
            <v>GBT</v>
          </cell>
          <cell r="AJ1028" t="str">
            <v/>
          </cell>
          <cell r="AL1028" t="str">
            <v/>
          </cell>
          <cell r="AM1028">
            <v>0</v>
          </cell>
          <cell r="AN1028">
            <v>0</v>
          </cell>
          <cell r="AO1028" t="str">
            <v>Change to 10-TBA-PA-801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</row>
        <row r="1029">
          <cell r="G1029" t="str">
            <v>Waste Water Treatment Plant</v>
          </cell>
          <cell r="M1029">
            <v>1.14E-2</v>
          </cell>
          <cell r="N1029">
            <v>0.66600000000000004</v>
          </cell>
          <cell r="P1029">
            <v>1.8240000000000003E-3</v>
          </cell>
          <cell r="R1029">
            <v>1.9499999999999999E-3</v>
          </cell>
          <cell r="T1029" t="str">
            <v>.</v>
          </cell>
          <cell r="U1029" t="str">
            <v>.</v>
          </cell>
          <cell r="V1029" t="str">
            <v>.</v>
          </cell>
          <cell r="AG1029" t="str">
            <v>.</v>
          </cell>
          <cell r="AM1029">
            <v>0</v>
          </cell>
          <cell r="AN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</row>
        <row r="1030">
          <cell r="C1030" t="str">
            <v>MR</v>
          </cell>
          <cell r="H1030" t="str">
            <v>10-REQ-PA-804</v>
          </cell>
          <cell r="I1030" t="str">
            <v>MR for  Waste Water Treatment Unit</v>
          </cell>
          <cell r="N1030">
            <v>0.33300000000000002</v>
          </cell>
          <cell r="P1030">
            <v>6.0739200000000011E-4</v>
          </cell>
          <cell r="Q1030" t="str">
            <v>I</v>
          </cell>
          <cell r="R1030">
            <v>1.25E-3</v>
          </cell>
          <cell r="T1030">
            <v>39465</v>
          </cell>
          <cell r="V1030" t="str">
            <v>2008-01</v>
          </cell>
          <cell r="AH1030" t="str">
            <v/>
          </cell>
          <cell r="AJ1030" t="str">
            <v/>
          </cell>
          <cell r="AL1030" t="str">
            <v/>
          </cell>
          <cell r="AM1030">
            <v>0</v>
          </cell>
          <cell r="AN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</row>
        <row r="1031">
          <cell r="C1031" t="str">
            <v>TBA</v>
          </cell>
          <cell r="H1031" t="str">
            <v>10-TBA-PA-804</v>
          </cell>
          <cell r="I1031" t="str">
            <v>TBA for  Waste Water Treatment Unit</v>
          </cell>
          <cell r="N1031">
            <v>0.33300000000000002</v>
          </cell>
          <cell r="P1031">
            <v>6.0739200000000011E-4</v>
          </cell>
          <cell r="Q1031" t="str">
            <v>I</v>
          </cell>
          <cell r="R1031">
            <v>6.9999999999999999E-4</v>
          </cell>
          <cell r="T1031">
            <v>39483</v>
          </cell>
          <cell r="V1031" t="str">
            <v>2008-02</v>
          </cell>
          <cell r="AH1031" t="str">
            <v/>
          </cell>
          <cell r="AJ1031" t="str">
            <v/>
          </cell>
          <cell r="AL1031" t="str">
            <v/>
          </cell>
          <cell r="AM1031">
            <v>0</v>
          </cell>
          <cell r="AN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</row>
        <row r="1032">
          <cell r="G1032" t="str">
            <v>Cooling Water System</v>
          </cell>
          <cell r="M1032">
            <v>2.6599999999999999E-2</v>
          </cell>
          <cell r="N1032">
            <v>0.6</v>
          </cell>
          <cell r="P1032">
            <v>4.2560000000000002E-3</v>
          </cell>
          <cell r="R1032">
            <v>1.9110000000000002E-2</v>
          </cell>
          <cell r="T1032" t="str">
            <v>.</v>
          </cell>
          <cell r="U1032" t="str">
            <v>.</v>
          </cell>
          <cell r="V1032" t="str">
            <v>.</v>
          </cell>
          <cell r="AG1032" t="str">
            <v>.</v>
          </cell>
          <cell r="AM1032">
            <v>1.8489191729323309</v>
          </cell>
          <cell r="AN1032">
            <v>7.869000000000001E-3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</row>
        <row r="1033">
          <cell r="C1033" t="str">
            <v>DSH</v>
          </cell>
          <cell r="H1033" t="str">
            <v>10-70-DSH-RE-0012</v>
          </cell>
          <cell r="I1033" t="str">
            <v>Data Sheet for  Cooling Water Circulating Pump</v>
          </cell>
          <cell r="N1033">
            <v>0.15</v>
          </cell>
          <cell r="P1033">
            <v>6.3840000000000001E-4</v>
          </cell>
          <cell r="R1033">
            <v>1.0200000000000001E-3</v>
          </cell>
          <cell r="V1033" t="str">
            <v>ارسال شده</v>
          </cell>
          <cell r="W1033" t="str">
            <v>012</v>
          </cell>
          <cell r="X1033" t="str">
            <v>99152332</v>
          </cell>
          <cell r="Y1033" t="str">
            <v>06-09-0714-10-0720-11-07</v>
          </cell>
          <cell r="Z1033" t="str">
            <v>F-0184F-0215F-0485</v>
          </cell>
          <cell r="AA1033" t="str">
            <v>08-09-0715-10-0709-12-07</v>
          </cell>
          <cell r="AB1033" t="str">
            <v>G-0169</v>
          </cell>
          <cell r="AC1033" t="str">
            <v>14-10-07</v>
          </cell>
          <cell r="AD1033" t="str">
            <v>FF-371,351</v>
          </cell>
          <cell r="AG1033" t="str">
            <v>GBT</v>
          </cell>
          <cell r="AH1033" t="str">
            <v>x</v>
          </cell>
          <cell r="AI1033" t="str">
            <v>x</v>
          </cell>
          <cell r="AJ1033" t="str">
            <v>x</v>
          </cell>
          <cell r="AL1033" t="str">
            <v/>
          </cell>
          <cell r="AM1033">
            <v>0.75</v>
          </cell>
          <cell r="AN1033">
            <v>7.6500000000000005E-4</v>
          </cell>
          <cell r="AQ1033">
            <v>4.7880000000000004E-4</v>
          </cell>
          <cell r="AR1033">
            <v>7.6500000000000005E-4</v>
          </cell>
          <cell r="AS1033">
            <v>45</v>
          </cell>
          <cell r="AT1033">
            <v>60</v>
          </cell>
          <cell r="AU1033">
            <v>75</v>
          </cell>
          <cell r="AV1033">
            <v>0</v>
          </cell>
          <cell r="AW1033">
            <v>0</v>
          </cell>
          <cell r="AX1033">
            <v>75</v>
          </cell>
        </row>
        <row r="1034">
          <cell r="C1034" t="str">
            <v>DSH</v>
          </cell>
          <cell r="H1034" t="str">
            <v>10-70-DSH-RE-0020</v>
          </cell>
          <cell r="I1034" t="str">
            <v xml:space="preserve">Data Sheet for  Cooling Water Tower </v>
          </cell>
          <cell r="N1034">
            <v>0.15</v>
          </cell>
          <cell r="P1034">
            <v>6.3840000000000001E-4</v>
          </cell>
          <cell r="R1034">
            <v>1.0200000000000001E-3</v>
          </cell>
          <cell r="V1034" t="str">
            <v>ارسال شده</v>
          </cell>
          <cell r="W1034">
            <v>0</v>
          </cell>
          <cell r="X1034">
            <v>334</v>
          </cell>
          <cell r="Y1034" t="str">
            <v>20-11-07</v>
          </cell>
          <cell r="Z1034" t="str">
            <v>F-0484</v>
          </cell>
          <cell r="AA1034" t="str">
            <v>09-12-07</v>
          </cell>
          <cell r="AG1034" t="str">
            <v>GBT</v>
          </cell>
          <cell r="AH1034" t="str">
            <v>x</v>
          </cell>
          <cell r="AJ1034" t="str">
            <v/>
          </cell>
          <cell r="AL1034" t="str">
            <v/>
          </cell>
          <cell r="AM1034">
            <v>0.45</v>
          </cell>
          <cell r="AN1034">
            <v>4.5900000000000004E-4</v>
          </cell>
          <cell r="AO1034" t="str">
            <v>با رديف 1075 تكراري</v>
          </cell>
          <cell r="AQ1034">
            <v>2.8728E-4</v>
          </cell>
          <cell r="AR1034">
            <v>4.5900000000000004E-4</v>
          </cell>
          <cell r="AS1034">
            <v>45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45</v>
          </cell>
        </row>
        <row r="1035">
          <cell r="H1035" t="str">
            <v>10-70-DSH-RE-0019</v>
          </cell>
          <cell r="I1035" t="str">
            <v>Data sheet for DM water circulation pump</v>
          </cell>
          <cell r="R1035">
            <v>1.0200000000000001E-3</v>
          </cell>
          <cell r="V1035" t="str">
            <v>ارسال شده</v>
          </cell>
          <cell r="W1035">
            <v>0</v>
          </cell>
          <cell r="X1035">
            <v>342</v>
          </cell>
          <cell r="Y1035" t="str">
            <v>20-11-07</v>
          </cell>
          <cell r="Z1035" t="str">
            <v>F-0517</v>
          </cell>
          <cell r="AA1035" t="str">
            <v>12-12-07</v>
          </cell>
          <cell r="AG1035" t="str">
            <v>GBT</v>
          </cell>
          <cell r="AH1035" t="str">
            <v>x</v>
          </cell>
          <cell r="AM1035">
            <v>0.45</v>
          </cell>
          <cell r="AN1035">
            <v>4.5900000000000004E-4</v>
          </cell>
          <cell r="AQ1035">
            <v>0</v>
          </cell>
          <cell r="AR1035">
            <v>4.5900000000000004E-4</v>
          </cell>
          <cell r="AS1035">
            <v>45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45</v>
          </cell>
        </row>
        <row r="1036">
          <cell r="H1036" t="str">
            <v>10-70-DSH-MP-0001</v>
          </cell>
          <cell r="I1036" t="str">
            <v>Data Sheet for Sulfuric Acid injection Package</v>
          </cell>
          <cell r="R1036">
            <v>1.0200000000000001E-3</v>
          </cell>
          <cell r="V1036" t="str">
            <v>ارسال شده</v>
          </cell>
          <cell r="W1036">
            <v>0</v>
          </cell>
          <cell r="X1036">
            <v>340</v>
          </cell>
          <cell r="Y1036" t="str">
            <v>20-11-07</v>
          </cell>
          <cell r="Z1036" t="str">
            <v>F-0486</v>
          </cell>
          <cell r="AA1036" t="str">
            <v>09-12-07</v>
          </cell>
          <cell r="AG1036" t="str">
            <v>GBT</v>
          </cell>
          <cell r="AH1036" t="str">
            <v>x</v>
          </cell>
          <cell r="AM1036">
            <v>0.45</v>
          </cell>
          <cell r="AN1036">
            <v>4.5900000000000004E-4</v>
          </cell>
          <cell r="AQ1036">
            <v>0</v>
          </cell>
          <cell r="AR1036">
            <v>4.5900000000000004E-4</v>
          </cell>
          <cell r="AS1036">
            <v>45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45</v>
          </cell>
        </row>
        <row r="1037">
          <cell r="H1037" t="str">
            <v>10-70-DSH-MP-0002</v>
          </cell>
          <cell r="I1037" t="str">
            <v>Data Sheet for Corrosion Inhibitor Injection Package</v>
          </cell>
          <cell r="R1037">
            <v>1.0200000000000001E-3</v>
          </cell>
          <cell r="V1037" t="str">
            <v>ارسال شده</v>
          </cell>
          <cell r="W1037">
            <v>0</v>
          </cell>
          <cell r="X1037">
            <v>331</v>
          </cell>
          <cell r="Y1037" t="str">
            <v>20-11-07</v>
          </cell>
          <cell r="Z1037" t="str">
            <v>F-0486</v>
          </cell>
          <cell r="AA1037" t="str">
            <v>09-12-07</v>
          </cell>
          <cell r="AG1037" t="str">
            <v>GBT</v>
          </cell>
          <cell r="AH1037" t="str">
            <v>x</v>
          </cell>
          <cell r="AM1037">
            <v>0.45</v>
          </cell>
          <cell r="AN1037">
            <v>4.5900000000000004E-4</v>
          </cell>
          <cell r="AQ1037">
            <v>0</v>
          </cell>
          <cell r="AR1037">
            <v>4.5900000000000004E-4</v>
          </cell>
          <cell r="AS1037">
            <v>45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45</v>
          </cell>
        </row>
        <row r="1038">
          <cell r="H1038" t="str">
            <v>10-70-DSH-MP-0003</v>
          </cell>
          <cell r="I1038" t="str">
            <v>Data Sheet for Dispersent injection Package</v>
          </cell>
          <cell r="R1038">
            <v>1E-3</v>
          </cell>
          <cell r="V1038" t="str">
            <v>ارسال شده</v>
          </cell>
          <cell r="W1038">
            <v>0</v>
          </cell>
          <cell r="X1038">
            <v>336</v>
          </cell>
          <cell r="Y1038" t="str">
            <v>20-11-07</v>
          </cell>
          <cell r="Z1038" t="str">
            <v>F-0486</v>
          </cell>
          <cell r="AA1038" t="str">
            <v>09-12-07</v>
          </cell>
          <cell r="AG1038" t="str">
            <v>GBT</v>
          </cell>
          <cell r="AH1038" t="str">
            <v>x</v>
          </cell>
          <cell r="AM1038">
            <v>0.45</v>
          </cell>
          <cell r="AN1038">
            <v>4.5000000000000004E-4</v>
          </cell>
          <cell r="AQ1038">
            <v>0</v>
          </cell>
          <cell r="AR1038">
            <v>4.5000000000000004E-4</v>
          </cell>
          <cell r="AS1038">
            <v>45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45</v>
          </cell>
        </row>
        <row r="1039">
          <cell r="H1039" t="str">
            <v>10-70-DSH-MP-0004</v>
          </cell>
          <cell r="I1039" t="str">
            <v>Data Sheet for Sodium Hypochlorite (BIOCIDE) injection Package</v>
          </cell>
          <cell r="R1039">
            <v>1.0200000000000001E-3</v>
          </cell>
          <cell r="V1039" t="str">
            <v>ارسال شده</v>
          </cell>
          <cell r="W1039">
            <v>0</v>
          </cell>
          <cell r="X1039">
            <v>333</v>
          </cell>
          <cell r="Y1039" t="str">
            <v>20-11-07</v>
          </cell>
          <cell r="Z1039" t="str">
            <v>F-0486</v>
          </cell>
          <cell r="AA1039" t="str">
            <v>09-12-07</v>
          </cell>
          <cell r="AG1039" t="str">
            <v>GBT</v>
          </cell>
          <cell r="AH1039" t="str">
            <v>x</v>
          </cell>
          <cell r="AM1039">
            <v>0.45</v>
          </cell>
          <cell r="AN1039">
            <v>4.5900000000000004E-4</v>
          </cell>
          <cell r="AQ1039">
            <v>0</v>
          </cell>
          <cell r="AR1039">
            <v>4.5900000000000004E-4</v>
          </cell>
          <cell r="AS1039">
            <v>45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45</v>
          </cell>
        </row>
        <row r="1040">
          <cell r="H1040" t="str">
            <v>10-70-DSH-MP-0005</v>
          </cell>
          <cell r="I1040" t="str">
            <v>Data Sheet for Chemical  Injection Package Biocide</v>
          </cell>
          <cell r="R1040">
            <v>1.0200000000000001E-3</v>
          </cell>
          <cell r="V1040" t="str">
            <v>ارسال شده</v>
          </cell>
          <cell r="W1040">
            <v>0</v>
          </cell>
          <cell r="X1040">
            <v>335</v>
          </cell>
          <cell r="Y1040" t="str">
            <v>20-11-07</v>
          </cell>
          <cell r="Z1040" t="str">
            <v>F-0486</v>
          </cell>
          <cell r="AA1040" t="str">
            <v>09-12-07</v>
          </cell>
          <cell r="AG1040" t="str">
            <v>GBT</v>
          </cell>
          <cell r="AH1040" t="str">
            <v>x</v>
          </cell>
          <cell r="AM1040">
            <v>0.45</v>
          </cell>
          <cell r="AN1040">
            <v>4.5900000000000004E-4</v>
          </cell>
          <cell r="AQ1040">
            <v>0</v>
          </cell>
          <cell r="AR1040">
            <v>4.5900000000000004E-4</v>
          </cell>
          <cell r="AS1040">
            <v>45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45</v>
          </cell>
        </row>
        <row r="1041">
          <cell r="H1041" t="str">
            <v>10-70-DSH-RE-0017</v>
          </cell>
          <cell r="I1041" t="str">
            <v>Data Sheet for DM Water Chiller</v>
          </cell>
          <cell r="Q1041" t="str">
            <v>I</v>
          </cell>
          <cell r="R1041">
            <v>1.0200000000000001E-3</v>
          </cell>
          <cell r="T1041">
            <v>39421</v>
          </cell>
          <cell r="U1041" t="str">
            <v>*</v>
          </cell>
          <cell r="V1041" t="str">
            <v>2007-12</v>
          </cell>
          <cell r="AM1041">
            <v>0</v>
          </cell>
          <cell r="AN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</row>
        <row r="1042">
          <cell r="C1042" t="str">
            <v>MR</v>
          </cell>
          <cell r="H1042" t="str">
            <v>10-REQ-ME-252</v>
          </cell>
          <cell r="I1042" t="str">
            <v xml:space="preserve">MR for  Cooling Tower </v>
          </cell>
          <cell r="N1042">
            <v>0.1</v>
          </cell>
          <cell r="P1042">
            <v>4.2560000000000005E-4</v>
          </cell>
          <cell r="R1042">
            <v>5.1999999999999998E-3</v>
          </cell>
          <cell r="V1042" t="str">
            <v>ارسال شده</v>
          </cell>
          <cell r="W1042" t="str">
            <v>012</v>
          </cell>
          <cell r="X1042" t="str">
            <v>74269385</v>
          </cell>
          <cell r="Y1042" t="str">
            <v>06-08-0705-11-0726-11-07</v>
          </cell>
          <cell r="Z1042" t="str">
            <v>F-0147F-0324F-0482</v>
          </cell>
          <cell r="AA1042" t="str">
            <v>16-08-0712-11-0709-12-07</v>
          </cell>
          <cell r="AG1042" t="str">
            <v>GBT</v>
          </cell>
          <cell r="AH1042" t="str">
            <v>x</v>
          </cell>
          <cell r="AI1042" t="str">
            <v>x</v>
          </cell>
          <cell r="AJ1042" t="str">
            <v>x</v>
          </cell>
          <cell r="AL1042" t="str">
            <v/>
          </cell>
          <cell r="AM1042">
            <v>0.75</v>
          </cell>
          <cell r="AN1042">
            <v>3.8999999999999998E-3</v>
          </cell>
          <cell r="AQ1042">
            <v>3.1920000000000006E-4</v>
          </cell>
          <cell r="AR1042">
            <v>3.8999999999999998E-3</v>
          </cell>
          <cell r="AS1042">
            <v>45</v>
          </cell>
          <cell r="AT1042">
            <v>60</v>
          </cell>
          <cell r="AU1042">
            <v>75</v>
          </cell>
          <cell r="AV1042">
            <v>0</v>
          </cell>
          <cell r="AW1042">
            <v>0</v>
          </cell>
          <cell r="AX1042">
            <v>75</v>
          </cell>
        </row>
        <row r="1043">
          <cell r="C1043" t="str">
            <v>TBA</v>
          </cell>
          <cell r="H1043" t="str">
            <v>10-TBA-ME-252</v>
          </cell>
          <cell r="I1043" t="str">
            <v xml:space="preserve">TBA for Cooling Tower </v>
          </cell>
          <cell r="N1043">
            <v>0.1</v>
          </cell>
          <cell r="P1043">
            <v>4.2560000000000005E-4</v>
          </cell>
          <cell r="Q1043" t="str">
            <v>C</v>
          </cell>
          <cell r="R1043">
            <v>2.8E-3</v>
          </cell>
          <cell r="T1043">
            <v>39290</v>
          </cell>
          <cell r="U1043" t="str">
            <v>*</v>
          </cell>
          <cell r="V1043" t="str">
            <v>2007-10</v>
          </cell>
          <cell r="AH1043" t="str">
            <v/>
          </cell>
          <cell r="AJ1043" t="str">
            <v/>
          </cell>
          <cell r="AL1043" t="str">
            <v/>
          </cell>
          <cell r="AM1043">
            <v>0</v>
          </cell>
          <cell r="AN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</row>
        <row r="1044">
          <cell r="H1044" t="str">
            <v>10-REQ-RE-255</v>
          </cell>
          <cell r="I1044" t="str">
            <v>MR for Cooling Tower Chiller</v>
          </cell>
          <cell r="Q1044" t="str">
            <v>I</v>
          </cell>
          <cell r="R1044">
            <v>1.25E-3</v>
          </cell>
          <cell r="T1044">
            <v>39428</v>
          </cell>
          <cell r="U1044" t="str">
            <v>*</v>
          </cell>
          <cell r="V1044" t="str">
            <v>2007-12</v>
          </cell>
          <cell r="AM1044">
            <v>0</v>
          </cell>
          <cell r="AN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</row>
        <row r="1045">
          <cell r="H1045" t="str">
            <v>10-TBA-RE-255</v>
          </cell>
          <cell r="I1045" t="str">
            <v>TBA for Cooling Tower Chiller</v>
          </cell>
          <cell r="Q1045" t="str">
            <v>I</v>
          </cell>
          <cell r="R1045">
            <v>6.9999999999999999E-4</v>
          </cell>
          <cell r="T1045">
            <v>39428</v>
          </cell>
          <cell r="U1045" t="str">
            <v>*</v>
          </cell>
          <cell r="V1045" t="str">
            <v>2007-12</v>
          </cell>
          <cell r="AM1045">
            <v>0</v>
          </cell>
          <cell r="AN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</row>
        <row r="1046">
          <cell r="H1046" t="str">
            <v>10-REQ-RE-251</v>
          </cell>
          <cell r="I1046" t="str">
            <v>Material Requisition for Cooling Tower Pumps (water + DM)</v>
          </cell>
          <cell r="N1046">
            <v>0.1</v>
          </cell>
          <cell r="P1046">
            <v>4.2560000000000005E-4</v>
          </cell>
          <cell r="V1046" t="str">
            <v>ارسال شده</v>
          </cell>
          <cell r="W1046" t="str">
            <v>012</v>
          </cell>
          <cell r="X1046" t="str">
            <v>103126280</v>
          </cell>
          <cell r="Y1046" t="str">
            <v>06-09-0707-10-0707-11-07</v>
          </cell>
          <cell r="Z1046" t="str">
            <v>F-0185F-0214F-0315</v>
          </cell>
          <cell r="AA1046" t="str">
            <v>08-09-0715-10-0715-11-07</v>
          </cell>
          <cell r="AB1046" t="str">
            <v>G-0155</v>
          </cell>
          <cell r="AC1046" t="str">
            <v>07-10-07</v>
          </cell>
          <cell r="AG1046" t="str">
            <v>GBT</v>
          </cell>
          <cell r="AH1046" t="str">
            <v>x</v>
          </cell>
          <cell r="AI1046" t="str">
            <v>x</v>
          </cell>
          <cell r="AJ1046" t="str">
            <v>x</v>
          </cell>
          <cell r="AM1046">
            <v>0.6</v>
          </cell>
          <cell r="AN1046">
            <v>0</v>
          </cell>
          <cell r="AQ1046">
            <v>2.5535999999999999E-4</v>
          </cell>
          <cell r="AR1046">
            <v>0</v>
          </cell>
          <cell r="AS1046">
            <v>45</v>
          </cell>
          <cell r="AT1046">
            <v>60</v>
          </cell>
          <cell r="AU1046">
            <v>75</v>
          </cell>
          <cell r="AV1046">
            <v>0</v>
          </cell>
          <cell r="AW1046">
            <v>0</v>
          </cell>
          <cell r="AX1046">
            <v>75</v>
          </cell>
        </row>
        <row r="1047">
          <cell r="H1047" t="str">
            <v>10-REQ-RE-254</v>
          </cell>
          <cell r="I1047" t="str">
            <v>MR for Cooling Tower Injection Packages</v>
          </cell>
          <cell r="V1047" t="str">
            <v>ارسال شده</v>
          </cell>
          <cell r="W1047">
            <v>0</v>
          </cell>
          <cell r="X1047">
            <v>270</v>
          </cell>
          <cell r="Y1047" t="str">
            <v>05-11-07</v>
          </cell>
          <cell r="Z1047" t="str">
            <v>F-0299</v>
          </cell>
          <cell r="AA1047" t="str">
            <v>12-11-07</v>
          </cell>
          <cell r="AG1047" t="str">
            <v>GBT</v>
          </cell>
          <cell r="AH1047" t="str">
            <v>x</v>
          </cell>
          <cell r="AM1047">
            <v>0.45</v>
          </cell>
          <cell r="AN1047">
            <v>0</v>
          </cell>
          <cell r="AQ1047">
            <v>0</v>
          </cell>
          <cell r="AR1047">
            <v>0</v>
          </cell>
          <cell r="AS1047">
            <v>45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45</v>
          </cell>
        </row>
        <row r="1048">
          <cell r="G1048" t="str">
            <v>Flare System</v>
          </cell>
          <cell r="M1048">
            <v>1.52E-2</v>
          </cell>
          <cell r="N1048">
            <v>1</v>
          </cell>
          <cell r="P1048">
            <v>2.4320000000000001E-3</v>
          </cell>
          <cell r="R1048">
            <v>6.0300000000000006E-3</v>
          </cell>
          <cell r="T1048" t="str">
            <v>.</v>
          </cell>
          <cell r="U1048" t="str">
            <v>.</v>
          </cell>
          <cell r="V1048" t="str">
            <v>.</v>
          </cell>
          <cell r="AG1048" t="str">
            <v>.</v>
          </cell>
          <cell r="AM1048">
            <v>0.7327302631578948</v>
          </cell>
          <cell r="AN1048">
            <v>1.7820000000000002E-3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</row>
        <row r="1049">
          <cell r="C1049" t="str">
            <v>LIS</v>
          </cell>
          <cell r="H1049" t="str">
            <v>10-90-DSH-ME-0024</v>
          </cell>
          <cell r="I1049" t="str">
            <v>Data Sheet for Flare Stack &amp; Ignition Package</v>
          </cell>
          <cell r="N1049">
            <v>0.34</v>
          </cell>
          <cell r="P1049">
            <v>8.2688000000000011E-4</v>
          </cell>
          <cell r="R1049">
            <v>1.0200000000000001E-3</v>
          </cell>
          <cell r="S1049" t="str">
            <v>Delete</v>
          </cell>
          <cell r="T1049">
            <v>39457</v>
          </cell>
          <cell r="V1049" t="str">
            <v>2008-01</v>
          </cell>
          <cell r="AH1049" t="str">
            <v/>
          </cell>
          <cell r="AJ1049" t="str">
            <v/>
          </cell>
          <cell r="AL1049" t="str">
            <v/>
          </cell>
          <cell r="AM1049">
            <v>0</v>
          </cell>
          <cell r="AN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</row>
        <row r="1050">
          <cell r="C1050" t="str">
            <v>MR</v>
          </cell>
          <cell r="H1050" t="str">
            <v>10-REQ-ME-253</v>
          </cell>
          <cell r="I1050" t="str">
            <v>MR for Flare Assembly</v>
          </cell>
          <cell r="N1050">
            <v>0.33</v>
          </cell>
          <cell r="P1050">
            <v>8.0256000000000012E-4</v>
          </cell>
          <cell r="R1050">
            <v>1.25E-3</v>
          </cell>
          <cell r="V1050" t="str">
            <v>ارسال شده</v>
          </cell>
          <cell r="W1050" t="str">
            <v>01</v>
          </cell>
          <cell r="X1050" t="str">
            <v>74283</v>
          </cell>
          <cell r="Y1050" t="str">
            <v>06-08-0707-11-07</v>
          </cell>
          <cell r="Z1050" t="str">
            <v>F-0147F-0339</v>
          </cell>
          <cell r="AA1050" t="str">
            <v>16-08-0718-11-07</v>
          </cell>
          <cell r="AG1050" t="str">
            <v>GBT</v>
          </cell>
          <cell r="AH1050" t="str">
            <v>x</v>
          </cell>
          <cell r="AI1050" t="str">
            <v>x</v>
          </cell>
          <cell r="AJ1050" t="str">
            <v/>
          </cell>
          <cell r="AL1050" t="str">
            <v/>
          </cell>
          <cell r="AM1050">
            <v>0.6</v>
          </cell>
          <cell r="AN1050">
            <v>7.5000000000000002E-4</v>
          </cell>
          <cell r="AQ1050">
            <v>4.8153600000000007E-4</v>
          </cell>
          <cell r="AR1050">
            <v>7.5000000000000002E-4</v>
          </cell>
          <cell r="AS1050">
            <v>45</v>
          </cell>
          <cell r="AT1050">
            <v>60</v>
          </cell>
          <cell r="AU1050">
            <v>0</v>
          </cell>
          <cell r="AV1050">
            <v>0</v>
          </cell>
          <cell r="AW1050">
            <v>0</v>
          </cell>
          <cell r="AX1050">
            <v>60</v>
          </cell>
        </row>
        <row r="1051">
          <cell r="H1051" t="str">
            <v>10-90-CSH-PV-0001</v>
          </cell>
          <cell r="I1051" t="str">
            <v xml:space="preserve">Calculation Sheet for Flare KO Drum </v>
          </cell>
          <cell r="Q1051" t="str">
            <v>I</v>
          </cell>
          <cell r="R1051">
            <v>6.9999999999999999E-4</v>
          </cell>
          <cell r="V1051" t="str">
            <v>ارسال شده</v>
          </cell>
          <cell r="W1051" t="str">
            <v>01</v>
          </cell>
          <cell r="X1051" t="str">
            <v>208451</v>
          </cell>
          <cell r="Y1051" t="str">
            <v>28-10-0711-12-07</v>
          </cell>
          <cell r="Z1051" t="str">
            <v>F-0390</v>
          </cell>
          <cell r="AA1051" t="str">
            <v>22-11-07</v>
          </cell>
          <cell r="AG1051" t="str">
            <v>KRPC</v>
          </cell>
          <cell r="AH1051" t="str">
            <v>x</v>
          </cell>
          <cell r="AI1051" t="str">
            <v>x</v>
          </cell>
          <cell r="AM1051">
            <v>0.6</v>
          </cell>
          <cell r="AN1051">
            <v>4.1999999999999996E-4</v>
          </cell>
          <cell r="AQ1051">
            <v>0</v>
          </cell>
          <cell r="AR1051">
            <v>4.1999999999999996E-4</v>
          </cell>
          <cell r="AS1051">
            <v>45</v>
          </cell>
          <cell r="AT1051">
            <v>60</v>
          </cell>
          <cell r="AU1051">
            <v>0</v>
          </cell>
          <cell r="AV1051">
            <v>0</v>
          </cell>
          <cell r="AW1051">
            <v>0</v>
          </cell>
          <cell r="AX1051">
            <v>60</v>
          </cell>
        </row>
        <row r="1052">
          <cell r="H1052" t="str">
            <v>10-90-DSH-PV-0001</v>
          </cell>
          <cell r="I1052" t="str">
            <v xml:space="preserve">Data Sheet for Flare KO drum </v>
          </cell>
          <cell r="R1052">
            <v>1.0200000000000001E-3</v>
          </cell>
          <cell r="V1052" t="str">
            <v>ارسال شده</v>
          </cell>
          <cell r="W1052" t="str">
            <v>01</v>
          </cell>
          <cell r="X1052" t="str">
            <v>212457</v>
          </cell>
          <cell r="Y1052" t="str">
            <v>28-10-0711-12-07</v>
          </cell>
          <cell r="Z1052" t="str">
            <v>F-0412&amp;0403</v>
          </cell>
          <cell r="AA1052" t="str">
            <v>01-12-07</v>
          </cell>
          <cell r="AG1052" t="str">
            <v>KRPC</v>
          </cell>
          <cell r="AH1052" t="str">
            <v>x</v>
          </cell>
          <cell r="AI1052" t="str">
            <v>x</v>
          </cell>
          <cell r="AM1052">
            <v>0.6</v>
          </cell>
          <cell r="AN1052">
            <v>6.1200000000000002E-4</v>
          </cell>
          <cell r="AQ1052">
            <v>0</v>
          </cell>
          <cell r="AR1052">
            <v>6.1200000000000002E-4</v>
          </cell>
          <cell r="AS1052">
            <v>45</v>
          </cell>
          <cell r="AT1052">
            <v>60</v>
          </cell>
          <cell r="AU1052">
            <v>0</v>
          </cell>
          <cell r="AV1052">
            <v>0</v>
          </cell>
          <cell r="AW1052">
            <v>0</v>
          </cell>
          <cell r="AX1052">
            <v>60</v>
          </cell>
        </row>
        <row r="1053">
          <cell r="H1053" t="str">
            <v>10-90-DSH-RE-0024</v>
          </cell>
          <cell r="I1053" t="str">
            <v>Data Sheet for flare KO Drum pump</v>
          </cell>
          <cell r="R1053">
            <v>1.0200000000000001E-3</v>
          </cell>
          <cell r="T1053">
            <v>39435</v>
          </cell>
          <cell r="U1053" t="str">
            <v>*</v>
          </cell>
          <cell r="V1053" t="str">
            <v>2007-12</v>
          </cell>
          <cell r="AM1053">
            <v>0</v>
          </cell>
          <cell r="AN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</row>
        <row r="1054">
          <cell r="C1054" t="str">
            <v>TBA</v>
          </cell>
          <cell r="H1054" t="str">
            <v>10-TBA-ME-253</v>
          </cell>
          <cell r="I1054" t="str">
            <v>TBA for Flare Assembly</v>
          </cell>
          <cell r="N1054">
            <v>0.33</v>
          </cell>
          <cell r="P1054">
            <v>8.0256000000000012E-4</v>
          </cell>
          <cell r="Q1054" t="str">
            <v>I</v>
          </cell>
          <cell r="R1054">
            <v>1.0200000000000001E-3</v>
          </cell>
          <cell r="T1054">
            <v>39432</v>
          </cell>
          <cell r="U1054" t="str">
            <v>*</v>
          </cell>
          <cell r="V1054" t="str">
            <v>2007-12</v>
          </cell>
          <cell r="AH1054" t="str">
            <v/>
          </cell>
          <cell r="AJ1054" t="str">
            <v/>
          </cell>
          <cell r="AL1054" t="str">
            <v/>
          </cell>
          <cell r="AM1054">
            <v>0</v>
          </cell>
          <cell r="AN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</row>
        <row r="1055">
          <cell r="G1055" t="str">
            <v>Fire Fighting System</v>
          </cell>
          <cell r="M1055">
            <v>1.14E-2</v>
          </cell>
          <cell r="N1055">
            <v>1</v>
          </cell>
          <cell r="P1055">
            <v>1.8240000000000003E-3</v>
          </cell>
          <cell r="R1055">
            <v>6.0100000000000006E-3</v>
          </cell>
          <cell r="T1055" t="str">
            <v>.</v>
          </cell>
          <cell r="U1055" t="str">
            <v>.</v>
          </cell>
          <cell r="V1055" t="str">
            <v>.</v>
          </cell>
          <cell r="AG1055" t="str">
            <v>.</v>
          </cell>
          <cell r="AM1055">
            <v>1.310032894736842</v>
          </cell>
          <cell r="AN1055">
            <v>2.3895000000000001E-3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</row>
        <row r="1056">
          <cell r="H1056" t="str">
            <v>10-80-DSH-RE-0026</v>
          </cell>
          <cell r="I1056" t="str">
            <v>Data sheet for Diesel Engine Driver</v>
          </cell>
          <cell r="R1056">
            <v>1.0200000000000001E-3</v>
          </cell>
          <cell r="V1056" t="str">
            <v>ارسال شده</v>
          </cell>
          <cell r="W1056">
            <v>0</v>
          </cell>
          <cell r="X1056">
            <v>235</v>
          </cell>
          <cell r="Y1056" t="str">
            <v>03-11-07</v>
          </cell>
          <cell r="Z1056" t="str">
            <v>F-0327</v>
          </cell>
          <cell r="AA1056" t="str">
            <v>18-11-07</v>
          </cell>
          <cell r="AG1056" t="str">
            <v>GBT</v>
          </cell>
          <cell r="AH1056" t="str">
            <v>x</v>
          </cell>
          <cell r="AM1056">
            <v>0.45</v>
          </cell>
          <cell r="AN1056">
            <v>4.5900000000000004E-4</v>
          </cell>
          <cell r="AQ1056">
            <v>0</v>
          </cell>
          <cell r="AR1056">
            <v>4.5900000000000004E-4</v>
          </cell>
          <cell r="AS1056">
            <v>45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45</v>
          </cell>
        </row>
        <row r="1057">
          <cell r="H1057" t="str">
            <v>10-80-DSH-RE-0027</v>
          </cell>
          <cell r="I1057" t="str">
            <v>Data Sheet for Fire Water Jockey Pump</v>
          </cell>
          <cell r="R1057">
            <v>1.0200000000000001E-3</v>
          </cell>
          <cell r="V1057" t="str">
            <v>ارسال شده</v>
          </cell>
          <cell r="W1057">
            <v>0</v>
          </cell>
          <cell r="X1057">
            <v>341</v>
          </cell>
          <cell r="Y1057" t="str">
            <v>20-11-07</v>
          </cell>
          <cell r="Z1057" t="str">
            <v>F-0517</v>
          </cell>
          <cell r="AA1057" t="str">
            <v>12-12-07</v>
          </cell>
          <cell r="AG1057" t="str">
            <v>GBT</v>
          </cell>
          <cell r="AH1057" t="str">
            <v>x</v>
          </cell>
          <cell r="AM1057">
            <v>0.45</v>
          </cell>
          <cell r="AN1057">
            <v>4.5900000000000004E-4</v>
          </cell>
          <cell r="AQ1057">
            <v>0</v>
          </cell>
          <cell r="AR1057">
            <v>4.5900000000000004E-4</v>
          </cell>
          <cell r="AS1057">
            <v>45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45</v>
          </cell>
        </row>
        <row r="1058">
          <cell r="H1058" t="str">
            <v>10-80-DSH-RE-0028</v>
          </cell>
          <cell r="I1058" t="str">
            <v>Data Sheet for Main Fire Water Pump, Diesel Driven</v>
          </cell>
          <cell r="R1058">
            <v>1.0200000000000001E-3</v>
          </cell>
          <cell r="V1058" t="str">
            <v>ارسال شده</v>
          </cell>
          <cell r="W1058">
            <v>0</v>
          </cell>
          <cell r="X1058">
            <v>237</v>
          </cell>
          <cell r="Y1058" t="str">
            <v>03-11-07</v>
          </cell>
          <cell r="Z1058" t="str">
            <v>F-0368</v>
          </cell>
          <cell r="AA1058" t="str">
            <v>22-11-07</v>
          </cell>
          <cell r="AG1058" t="str">
            <v>GBT</v>
          </cell>
          <cell r="AH1058" t="str">
            <v>x</v>
          </cell>
          <cell r="AM1058">
            <v>0.45</v>
          </cell>
          <cell r="AN1058">
            <v>4.5900000000000004E-4</v>
          </cell>
          <cell r="AQ1058">
            <v>0</v>
          </cell>
          <cell r="AR1058">
            <v>4.5900000000000004E-4</v>
          </cell>
          <cell r="AS1058">
            <v>45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45</v>
          </cell>
        </row>
        <row r="1059">
          <cell r="C1059" t="str">
            <v>DSH</v>
          </cell>
          <cell r="H1059" t="str">
            <v xml:space="preserve">   10-80-DSH-RE-0025</v>
          </cell>
          <cell r="I1059" t="str">
            <v>Data Sheet for Main Fire Water Pump, Electrical Driven</v>
          </cell>
          <cell r="N1059">
            <v>0.33400000000000002</v>
          </cell>
          <cell r="P1059">
            <v>6.092160000000001E-4</v>
          </cell>
          <cell r="R1059">
            <v>1E-3</v>
          </cell>
          <cell r="V1059" t="str">
            <v>ارسال شده</v>
          </cell>
          <cell r="W1059">
            <v>0</v>
          </cell>
          <cell r="X1059">
            <v>236</v>
          </cell>
          <cell r="Y1059" t="str">
            <v>03-11-07</v>
          </cell>
          <cell r="Z1059" t="str">
            <v>F-0286</v>
          </cell>
          <cell r="AA1059" t="str">
            <v>10-11-07</v>
          </cell>
          <cell r="AG1059" t="str">
            <v>GBT</v>
          </cell>
          <cell r="AH1059" t="str">
            <v>x</v>
          </cell>
          <cell r="AJ1059" t="str">
            <v/>
          </cell>
          <cell r="AL1059" t="str">
            <v/>
          </cell>
          <cell r="AM1059">
            <v>0.45</v>
          </cell>
          <cell r="AN1059">
            <v>4.5000000000000004E-4</v>
          </cell>
          <cell r="AQ1059">
            <v>2.7414720000000004E-4</v>
          </cell>
          <cell r="AR1059">
            <v>4.5000000000000004E-4</v>
          </cell>
          <cell r="AS1059">
            <v>45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45</v>
          </cell>
        </row>
        <row r="1060">
          <cell r="C1060" t="str">
            <v>MR</v>
          </cell>
          <cell r="H1060" t="str">
            <v xml:space="preserve">   10-REQ-RE-256</v>
          </cell>
          <cell r="I1060" t="str">
            <v>MR for  Fire Water Pump</v>
          </cell>
          <cell r="N1060">
            <v>0.33300000000000002</v>
          </cell>
          <cell r="P1060">
            <v>6.0739200000000011E-4</v>
          </cell>
          <cell r="R1060">
            <v>1.25E-3</v>
          </cell>
          <cell r="V1060" t="str">
            <v>ارسال شده</v>
          </cell>
          <cell r="W1060">
            <v>0</v>
          </cell>
          <cell r="X1060">
            <v>268</v>
          </cell>
          <cell r="Y1060" t="str">
            <v>05-11-07</v>
          </cell>
          <cell r="Z1060" t="str">
            <v>F-0340</v>
          </cell>
          <cell r="AA1060" t="str">
            <v>18-11-07</v>
          </cell>
          <cell r="AG1060" t="str">
            <v>GBT</v>
          </cell>
          <cell r="AH1060" t="str">
            <v>x</v>
          </cell>
          <cell r="AJ1060" t="str">
            <v/>
          </cell>
          <cell r="AL1060" t="str">
            <v/>
          </cell>
          <cell r="AM1060">
            <v>0.45</v>
          </cell>
          <cell r="AN1060">
            <v>5.6250000000000007E-4</v>
          </cell>
          <cell r="AQ1060">
            <v>2.7332640000000003E-4</v>
          </cell>
          <cell r="AR1060">
            <v>5.6250000000000007E-4</v>
          </cell>
          <cell r="AS1060">
            <v>45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45</v>
          </cell>
        </row>
        <row r="1061">
          <cell r="C1061" t="str">
            <v>TBA</v>
          </cell>
          <cell r="H1061" t="str">
            <v>10-TBA-RE-256</v>
          </cell>
          <cell r="I1061" t="str">
            <v>TBA for  Fire Water Pump</v>
          </cell>
          <cell r="N1061">
            <v>0.33300000000000002</v>
          </cell>
          <cell r="P1061">
            <v>6.0739200000000011E-4</v>
          </cell>
          <cell r="Q1061" t="str">
            <v>C</v>
          </cell>
          <cell r="R1061">
            <v>6.9999999999999999E-4</v>
          </cell>
          <cell r="T1061">
            <v>39431</v>
          </cell>
          <cell r="U1061" t="str">
            <v>*</v>
          </cell>
          <cell r="V1061" t="str">
            <v>2007-12</v>
          </cell>
          <cell r="AH1061" t="str">
            <v/>
          </cell>
          <cell r="AJ1061" t="str">
            <v/>
          </cell>
          <cell r="AL1061" t="str">
            <v/>
          </cell>
          <cell r="AM1061">
            <v>0</v>
          </cell>
          <cell r="AN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</row>
        <row r="1062">
          <cell r="G1062" t="str">
            <v>Fuel Gas System</v>
          </cell>
          <cell r="M1062">
            <v>2.2800000000000001E-2</v>
          </cell>
          <cell r="N1062">
            <v>1</v>
          </cell>
          <cell r="P1062">
            <v>3.6480000000000006E-3</v>
          </cell>
          <cell r="R1062">
            <v>1.9499999999999999E-3</v>
          </cell>
          <cell r="T1062" t="str">
            <v>.</v>
          </cell>
          <cell r="U1062" t="str">
            <v>.</v>
          </cell>
          <cell r="V1062" t="str">
            <v>.</v>
          </cell>
          <cell r="AG1062" t="str">
            <v>.</v>
          </cell>
          <cell r="AM1062">
            <v>0</v>
          </cell>
          <cell r="AN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</row>
        <row r="1063">
          <cell r="C1063" t="str">
            <v>MR</v>
          </cell>
          <cell r="H1063" t="str">
            <v>10-REQ-PA-255</v>
          </cell>
          <cell r="I1063" t="str">
            <v>MR for Fuel Gas Filter package</v>
          </cell>
          <cell r="N1063">
            <v>0.33400000000000002</v>
          </cell>
          <cell r="P1063">
            <v>1.2184320000000002E-3</v>
          </cell>
          <cell r="Q1063" t="str">
            <v>I</v>
          </cell>
          <cell r="R1063">
            <v>1.25E-3</v>
          </cell>
          <cell r="T1063">
            <v>39472</v>
          </cell>
          <cell r="V1063" t="str">
            <v>2008-01</v>
          </cell>
          <cell r="AH1063" t="str">
            <v/>
          </cell>
          <cell r="AJ1063" t="str">
            <v/>
          </cell>
          <cell r="AL1063" t="str">
            <v/>
          </cell>
          <cell r="AM1063">
            <v>0</v>
          </cell>
          <cell r="AN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</row>
        <row r="1064">
          <cell r="C1064" t="str">
            <v>TBA</v>
          </cell>
          <cell r="H1064" t="str">
            <v>10-TBA-PA-255</v>
          </cell>
          <cell r="I1064" t="str">
            <v>TBA for Fuel Gas Filter package</v>
          </cell>
          <cell r="N1064">
            <v>0.33300000000000002</v>
          </cell>
          <cell r="P1064">
            <v>1.2147840000000002E-3</v>
          </cell>
          <cell r="Q1064" t="str">
            <v>L</v>
          </cell>
          <cell r="R1064">
            <v>6.9999999999999999E-4</v>
          </cell>
          <cell r="T1064">
            <v>39479</v>
          </cell>
          <cell r="V1064" t="str">
            <v>2008-02</v>
          </cell>
          <cell r="AH1064" t="str">
            <v/>
          </cell>
          <cell r="AJ1064" t="str">
            <v/>
          </cell>
          <cell r="AL1064" t="str">
            <v/>
          </cell>
          <cell r="AM1064">
            <v>0</v>
          </cell>
          <cell r="AN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</row>
        <row r="1065">
          <cell r="C1065" t="str">
            <v>LIS</v>
          </cell>
          <cell r="H1065" t="str">
            <v>10-95-CSH-PV-0001</v>
          </cell>
          <cell r="I1065" t="str">
            <v xml:space="preserve">Calculation Sheet for Fuel Gas  KO Drum </v>
          </cell>
          <cell r="N1065">
            <v>0.33300000000000002</v>
          </cell>
          <cell r="P1065">
            <v>1.2147840000000002E-3</v>
          </cell>
          <cell r="V1065" t="str">
            <v>ارسال شده</v>
          </cell>
          <cell r="W1065" t="str">
            <v>01</v>
          </cell>
          <cell r="X1065" t="str">
            <v>231449</v>
          </cell>
          <cell r="Y1065" t="str">
            <v>30-10-0711-12-07</v>
          </cell>
          <cell r="Z1065" t="str">
            <v>F-0406</v>
          </cell>
          <cell r="AA1065" t="str">
            <v>29-11-07</v>
          </cell>
          <cell r="AG1065" t="str">
            <v>KRPC</v>
          </cell>
          <cell r="AH1065" t="str">
            <v>x</v>
          </cell>
          <cell r="AI1065" t="str">
            <v>x</v>
          </cell>
          <cell r="AJ1065" t="str">
            <v/>
          </cell>
          <cell r="AL1065" t="str">
            <v/>
          </cell>
          <cell r="AM1065">
            <v>0.6</v>
          </cell>
          <cell r="AN1065">
            <v>0</v>
          </cell>
          <cell r="AQ1065">
            <v>7.2887040000000009E-4</v>
          </cell>
          <cell r="AR1065">
            <v>0</v>
          </cell>
          <cell r="AS1065">
            <v>45</v>
          </cell>
          <cell r="AT1065">
            <v>60</v>
          </cell>
          <cell r="AU1065">
            <v>0</v>
          </cell>
          <cell r="AV1065">
            <v>0</v>
          </cell>
          <cell r="AW1065">
            <v>0</v>
          </cell>
          <cell r="AX1065">
            <v>60</v>
          </cell>
        </row>
        <row r="1066">
          <cell r="G1066" t="str">
            <v xml:space="preserve"> Fuel Oil System</v>
          </cell>
          <cell r="M1066">
            <v>1.14E-2</v>
          </cell>
          <cell r="N1066">
            <v>0</v>
          </cell>
          <cell r="P1066">
            <v>1.8240000000000003E-3</v>
          </cell>
          <cell r="R1066">
            <v>3.0200000000000001E-3</v>
          </cell>
          <cell r="T1066" t="str">
            <v>.</v>
          </cell>
          <cell r="U1066" t="str">
            <v>.</v>
          </cell>
          <cell r="V1066" t="str">
            <v>.</v>
          </cell>
          <cell r="AG1066" t="str">
            <v>.</v>
          </cell>
          <cell r="AM1066">
            <v>0</v>
          </cell>
          <cell r="AN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</row>
        <row r="1067">
          <cell r="H1067" t="str">
            <v>10-96-DSH-RE-0016</v>
          </cell>
          <cell r="I1067" t="str">
            <v>Data Sheet for  Gas Oil Unloading Pump</v>
          </cell>
          <cell r="Q1067" t="str">
            <v>I</v>
          </cell>
          <cell r="R1067">
            <v>1.0200000000000001E-3</v>
          </cell>
          <cell r="T1067">
            <v>39421</v>
          </cell>
          <cell r="U1067" t="str">
            <v>*</v>
          </cell>
          <cell r="V1067" t="str">
            <v>2007-12</v>
          </cell>
          <cell r="AM1067">
            <v>0</v>
          </cell>
          <cell r="AN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</row>
        <row r="1068">
          <cell r="H1068" t="str">
            <v>10-96-DSH-RE-0017</v>
          </cell>
          <cell r="I1068" t="str">
            <v>Data Sheet for  Gas Oil Forwarding Pump 10-P-9502 A/B</v>
          </cell>
          <cell r="Q1068" t="str">
            <v>I</v>
          </cell>
          <cell r="R1068">
            <v>1E-3</v>
          </cell>
          <cell r="T1068">
            <v>39421</v>
          </cell>
          <cell r="U1068" t="str">
            <v>*</v>
          </cell>
          <cell r="V1068" t="str">
            <v>2007-12</v>
          </cell>
          <cell r="AM1068">
            <v>0</v>
          </cell>
          <cell r="AN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</row>
        <row r="1069">
          <cell r="H1069" t="str">
            <v>10-96-DSH-RE-0018</v>
          </cell>
          <cell r="I1069" t="str">
            <v>Data Sheet for  Gas Oil Forwarding Pump 10-P-9503 A/B</v>
          </cell>
          <cell r="Q1069" t="str">
            <v>I</v>
          </cell>
          <cell r="R1069">
            <v>1E-3</v>
          </cell>
          <cell r="T1069">
            <v>39421</v>
          </cell>
          <cell r="U1069" t="str">
            <v>*</v>
          </cell>
          <cell r="V1069" t="str">
            <v>2007-12</v>
          </cell>
          <cell r="AM1069">
            <v>0</v>
          </cell>
          <cell r="AN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</row>
        <row r="1070">
          <cell r="G1070" t="str">
            <v>Hydrogen Generation Unit</v>
          </cell>
          <cell r="M1070">
            <v>2.2800000000000001E-2</v>
          </cell>
          <cell r="N1070">
            <v>0.66639999999999999</v>
          </cell>
          <cell r="P1070">
            <v>3.6480000000000006E-3</v>
          </cell>
          <cell r="R1070">
            <v>1.9499999999999999E-3</v>
          </cell>
          <cell r="T1070" t="str">
            <v>.</v>
          </cell>
          <cell r="U1070" t="str">
            <v>.</v>
          </cell>
          <cell r="V1070" t="str">
            <v>.</v>
          </cell>
          <cell r="AG1070" t="str">
            <v>.</v>
          </cell>
          <cell r="AM1070">
            <v>0.34333881578947362</v>
          </cell>
          <cell r="AN1070">
            <v>1.2524999999999999E-3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</row>
        <row r="1071">
          <cell r="C1071" t="str">
            <v>MR</v>
          </cell>
          <cell r="H1071" t="str">
            <v>10-REQ-PA-805</v>
          </cell>
          <cell r="I1071" t="str">
            <v>MR for Hydrogen Unit</v>
          </cell>
          <cell r="N1071">
            <v>0.1666</v>
          </cell>
          <cell r="P1071">
            <v>6.0775680000000015E-4</v>
          </cell>
          <cell r="R1071">
            <v>1.25E-3</v>
          </cell>
          <cell r="V1071" t="str">
            <v>ارسال شده</v>
          </cell>
          <cell r="W1071" t="str">
            <v>012</v>
          </cell>
          <cell r="X1071" t="str">
            <v>190329450</v>
          </cell>
          <cell r="Y1071" t="str">
            <v>25-10-0719-11-0711-12-07</v>
          </cell>
          <cell r="Z1071" t="str">
            <v>F-0250F-0398</v>
          </cell>
          <cell r="AA1071" t="str">
            <v>29-10-0729-11-07</v>
          </cell>
          <cell r="AG1071" t="str">
            <v>KRPC</v>
          </cell>
          <cell r="AH1071" t="str">
            <v>x</v>
          </cell>
          <cell r="AI1071" t="str">
            <v>x</v>
          </cell>
          <cell r="AJ1071" t="str">
            <v>x</v>
          </cell>
          <cell r="AL1071" t="str">
            <v/>
          </cell>
          <cell r="AM1071">
            <v>0.75</v>
          </cell>
          <cell r="AN1071">
            <v>9.3749999999999997E-4</v>
          </cell>
          <cell r="AQ1071">
            <v>4.5581760000000011E-4</v>
          </cell>
          <cell r="AR1071">
            <v>9.3749999999999997E-4</v>
          </cell>
          <cell r="AS1071">
            <v>45</v>
          </cell>
          <cell r="AT1071">
            <v>60</v>
          </cell>
          <cell r="AU1071">
            <v>75</v>
          </cell>
          <cell r="AV1071">
            <v>0</v>
          </cell>
          <cell r="AW1071">
            <v>0</v>
          </cell>
          <cell r="AX1071">
            <v>75</v>
          </cell>
        </row>
        <row r="1072">
          <cell r="C1072" t="str">
            <v>TBA</v>
          </cell>
          <cell r="H1072" t="str">
            <v>10-TBA-PA-805</v>
          </cell>
          <cell r="I1072" t="str">
            <v>TBA for Hydrogen Unit</v>
          </cell>
          <cell r="N1072">
            <v>0.1666</v>
          </cell>
          <cell r="P1072">
            <v>6.0775680000000015E-4</v>
          </cell>
          <cell r="R1072">
            <v>6.9999999999999999E-4</v>
          </cell>
          <cell r="V1072" t="str">
            <v>ارسال شده</v>
          </cell>
          <cell r="W1072">
            <v>0</v>
          </cell>
          <cell r="X1072">
            <v>58</v>
          </cell>
          <cell r="Y1072" t="str">
            <v>21-07-07</v>
          </cell>
          <cell r="Z1072" t="str">
            <v>F-0113</v>
          </cell>
          <cell r="AA1072" t="str">
            <v>02-08-07</v>
          </cell>
          <cell r="AG1072" t="str">
            <v>GBT</v>
          </cell>
          <cell r="AH1072" t="str">
            <v>x</v>
          </cell>
          <cell r="AJ1072" t="str">
            <v/>
          </cell>
          <cell r="AL1072" t="str">
            <v/>
          </cell>
          <cell r="AM1072">
            <v>0.45</v>
          </cell>
          <cell r="AN1072">
            <v>3.1500000000000001E-4</v>
          </cell>
          <cell r="AQ1072">
            <v>2.7349056000000008E-4</v>
          </cell>
          <cell r="AR1072">
            <v>3.1500000000000001E-4</v>
          </cell>
          <cell r="AS1072">
            <v>45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45</v>
          </cell>
        </row>
        <row r="1073">
          <cell r="C1073" t="str">
            <v>MR</v>
          </cell>
          <cell r="H1073" t="str">
            <v>10-REQ-RE-201</v>
          </cell>
          <cell r="I1073" t="str">
            <v>MR for Water Service Pump</v>
          </cell>
          <cell r="N1073">
            <v>0.1666</v>
          </cell>
          <cell r="P1073">
            <v>6.0775680000000015E-4</v>
          </cell>
          <cell r="S1073" t="str">
            <v>Delete</v>
          </cell>
          <cell r="T1073">
            <v>39454</v>
          </cell>
          <cell r="V1073" t="str">
            <v>2008-01</v>
          </cell>
          <cell r="AH1073" t="str">
            <v/>
          </cell>
          <cell r="AJ1073" t="str">
            <v/>
          </cell>
          <cell r="AL1073" t="str">
            <v/>
          </cell>
          <cell r="AM1073">
            <v>0</v>
          </cell>
          <cell r="AN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</row>
        <row r="1074">
          <cell r="C1074" t="str">
            <v>TBA</v>
          </cell>
          <cell r="H1074" t="str">
            <v>10-TBA-RE-201</v>
          </cell>
          <cell r="I1074" t="str">
            <v>TBA for Water Service Pump</v>
          </cell>
          <cell r="N1074">
            <v>0.1666</v>
          </cell>
          <cell r="P1074">
            <v>6.0775680000000015E-4</v>
          </cell>
          <cell r="S1074" t="str">
            <v>Delete</v>
          </cell>
          <cell r="T1074">
            <v>39477</v>
          </cell>
          <cell r="V1074" t="str">
            <v>2008-01</v>
          </cell>
          <cell r="AH1074" t="str">
            <v/>
          </cell>
          <cell r="AJ1074" t="str">
            <v/>
          </cell>
          <cell r="AL1074" t="str">
            <v/>
          </cell>
          <cell r="AM1074">
            <v>0</v>
          </cell>
          <cell r="AN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</row>
        <row r="1075">
          <cell r="G1075" t="str">
            <v>Propylene /1-Butene/Ethylen Line</v>
          </cell>
          <cell r="M1075">
            <v>1.9099999999999999E-2</v>
          </cell>
          <cell r="N1075" t="e">
            <v>#REF!</v>
          </cell>
          <cell r="P1075">
            <v>3.0560000000000001E-3</v>
          </cell>
          <cell r="R1075">
            <v>4.0000000000000001E-3</v>
          </cell>
          <cell r="T1075" t="str">
            <v>..</v>
          </cell>
          <cell r="U1075" t="str">
            <v>.</v>
          </cell>
          <cell r="V1075" t="str">
            <v>.</v>
          </cell>
          <cell r="AG1075" t="str">
            <v>.</v>
          </cell>
          <cell r="AM1075">
            <v>0</v>
          </cell>
          <cell r="AN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</row>
        <row r="1076">
          <cell r="H1076" t="str">
            <v>10-97-DSH-RE-0001</v>
          </cell>
          <cell r="I1076" t="str">
            <v>Data Sheet for Butene Unloading pump</v>
          </cell>
          <cell r="Q1076" t="str">
            <v>L</v>
          </cell>
          <cell r="R1076">
            <v>1E-3</v>
          </cell>
          <cell r="S1076" t="str">
            <v>Add</v>
          </cell>
          <cell r="T1076">
            <v>39456</v>
          </cell>
          <cell r="V1076" t="str">
            <v>2008-01</v>
          </cell>
          <cell r="AM1076">
            <v>0</v>
          </cell>
          <cell r="AN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</row>
        <row r="1077">
          <cell r="H1077" t="str">
            <v>10-97-DSH-RE-0002</v>
          </cell>
          <cell r="I1077" t="str">
            <v>Data Sheet for Buetene Forwarding pump</v>
          </cell>
          <cell r="Q1077" t="str">
            <v>L</v>
          </cell>
          <cell r="R1077">
            <v>1E-3</v>
          </cell>
          <cell r="S1077" t="str">
            <v>Add</v>
          </cell>
          <cell r="T1077">
            <v>39456</v>
          </cell>
          <cell r="V1077" t="str">
            <v>2008-01</v>
          </cell>
          <cell r="AM1077">
            <v>0</v>
          </cell>
          <cell r="AN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</row>
        <row r="1078">
          <cell r="H1078" t="str">
            <v>10-97-DSH-RE-0003</v>
          </cell>
          <cell r="I1078" t="str">
            <v>Data Sheet for Propylene Unloading pump</v>
          </cell>
          <cell r="Q1078" t="str">
            <v>L</v>
          </cell>
          <cell r="R1078">
            <v>1E-3</v>
          </cell>
          <cell r="S1078" t="str">
            <v>Add</v>
          </cell>
          <cell r="T1078">
            <v>39457</v>
          </cell>
          <cell r="V1078" t="str">
            <v>2008-01</v>
          </cell>
          <cell r="AM1078">
            <v>0</v>
          </cell>
          <cell r="AN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</row>
        <row r="1079">
          <cell r="H1079" t="str">
            <v>10-97-DSH-RE-0004</v>
          </cell>
          <cell r="I1079" t="str">
            <v>Data Sheet for Propylene Forwarding pump</v>
          </cell>
          <cell r="Q1079" t="str">
            <v>L</v>
          </cell>
          <cell r="R1079">
            <v>1E-3</v>
          </cell>
          <cell r="S1079" t="str">
            <v>Add</v>
          </cell>
          <cell r="T1079">
            <v>39457</v>
          </cell>
          <cell r="V1079" t="str">
            <v>2008-01</v>
          </cell>
          <cell r="AM1079">
            <v>0</v>
          </cell>
          <cell r="AN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</row>
        <row r="1080">
          <cell r="G1080" t="str">
            <v>Diesel Generator Package</v>
          </cell>
          <cell r="M1080">
            <v>7.6E-3</v>
          </cell>
          <cell r="N1080">
            <v>1</v>
          </cell>
          <cell r="P1080">
            <v>1.2160000000000001E-3</v>
          </cell>
          <cell r="R1080">
            <v>1E-3</v>
          </cell>
          <cell r="T1080" t="str">
            <v>.</v>
          </cell>
          <cell r="U1080" t="str">
            <v>.</v>
          </cell>
          <cell r="V1080" t="str">
            <v>.</v>
          </cell>
          <cell r="AG1080" t="str">
            <v>.</v>
          </cell>
          <cell r="AM1080">
            <v>0</v>
          </cell>
          <cell r="AN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</row>
        <row r="1081">
          <cell r="C1081" t="str">
            <v>DSH</v>
          </cell>
          <cell r="H1081" t="str">
            <v>10-XX-DSH-MP-0008</v>
          </cell>
          <cell r="I1081" t="str">
            <v>Data Sheet for Emergency Diesel Engine</v>
          </cell>
          <cell r="N1081">
            <v>1</v>
          </cell>
          <cell r="P1081">
            <v>1.2160000000000001E-3</v>
          </cell>
          <cell r="Q1081" t="str">
            <v>I</v>
          </cell>
          <cell r="R1081">
            <v>1E-3</v>
          </cell>
          <cell r="T1081">
            <v>39405</v>
          </cell>
          <cell r="U1081" t="str">
            <v>*</v>
          </cell>
          <cell r="V1081" t="str">
            <v>2007-11</v>
          </cell>
          <cell r="AH1081" t="str">
            <v/>
          </cell>
          <cell r="AJ1081" t="str">
            <v/>
          </cell>
          <cell r="AL1081" t="str">
            <v/>
          </cell>
          <cell r="AM1081">
            <v>0</v>
          </cell>
          <cell r="AN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</row>
        <row r="1082">
          <cell r="G1082" t="str">
            <v xml:space="preserve"> Process Pump  (API610)</v>
          </cell>
          <cell r="M1082">
            <v>1.52E-2</v>
          </cell>
          <cell r="N1082" t="e">
            <v>#REF!</v>
          </cell>
          <cell r="P1082">
            <v>2.4320000000000001E-3</v>
          </cell>
          <cell r="R1082">
            <v>1.9499999999999999E-3</v>
          </cell>
          <cell r="T1082" t="str">
            <v>.</v>
          </cell>
          <cell r="U1082" t="str">
            <v>.</v>
          </cell>
          <cell r="V1082" t="str">
            <v>.</v>
          </cell>
          <cell r="AG1082" t="str">
            <v>.</v>
          </cell>
          <cell r="AM1082">
            <v>0.23129111842105265</v>
          </cell>
          <cell r="AN1082">
            <v>5.6250000000000007E-4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</row>
        <row r="1083">
          <cell r="C1083" t="str">
            <v>MR</v>
          </cell>
          <cell r="H1083" t="str">
            <v>10-REQ-ME-258</v>
          </cell>
          <cell r="I1083" t="str">
            <v>MR for Process Pump (API610)</v>
          </cell>
          <cell r="N1083">
            <v>0.34</v>
          </cell>
          <cell r="P1083">
            <v>8.2688000000000011E-4</v>
          </cell>
          <cell r="R1083">
            <v>1.25E-3</v>
          </cell>
          <cell r="S1083" t="str">
            <v>Add</v>
          </cell>
          <cell r="V1083" t="str">
            <v>ارسال شده</v>
          </cell>
          <cell r="W1083">
            <v>0</v>
          </cell>
          <cell r="X1083">
            <v>284</v>
          </cell>
          <cell r="Y1083" t="str">
            <v>12-11-07</v>
          </cell>
          <cell r="Z1083" t="str">
            <v>F-0388</v>
          </cell>
          <cell r="AA1083" t="str">
            <v>22-11-07</v>
          </cell>
          <cell r="AG1083" t="str">
            <v>GBT</v>
          </cell>
          <cell r="AH1083" t="str">
            <v>x</v>
          </cell>
          <cell r="AJ1083" t="str">
            <v/>
          </cell>
          <cell r="AL1083" t="str">
            <v/>
          </cell>
          <cell r="AM1083">
            <v>0.45</v>
          </cell>
          <cell r="AN1083">
            <v>5.6250000000000007E-4</v>
          </cell>
          <cell r="AQ1083">
            <v>3.7209600000000004E-4</v>
          </cell>
          <cell r="AR1083">
            <v>5.6250000000000007E-4</v>
          </cell>
          <cell r="AS1083">
            <v>45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45</v>
          </cell>
        </row>
        <row r="1084">
          <cell r="C1084" t="str">
            <v>TBA</v>
          </cell>
          <cell r="H1084" t="str">
            <v>10-TBA-ME-258</v>
          </cell>
          <cell r="I1084" t="str">
            <v>TBA for Process Pump (API610)</v>
          </cell>
          <cell r="N1084">
            <v>0.33</v>
          </cell>
          <cell r="P1084">
            <v>8.0256000000000012E-4</v>
          </cell>
          <cell r="Q1084" t="str">
            <v>C</v>
          </cell>
          <cell r="R1084">
            <v>6.9999999999999999E-4</v>
          </cell>
          <cell r="S1084" t="str">
            <v>Add</v>
          </cell>
          <cell r="T1084">
            <v>39416</v>
          </cell>
          <cell r="U1084" t="str">
            <v>*</v>
          </cell>
          <cell r="V1084" t="str">
            <v>2007-11</v>
          </cell>
          <cell r="AH1084" t="str">
            <v/>
          </cell>
          <cell r="AJ1084" t="str">
            <v/>
          </cell>
          <cell r="AL1084" t="str">
            <v/>
          </cell>
          <cell r="AM1084">
            <v>0</v>
          </cell>
          <cell r="AN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</row>
        <row r="1085">
          <cell r="G1085" t="str">
            <v>Cranes</v>
          </cell>
          <cell r="M1085">
            <v>1.52E-2</v>
          </cell>
          <cell r="N1085">
            <v>1</v>
          </cell>
          <cell r="P1085">
            <v>2.4320000000000001E-3</v>
          </cell>
          <cell r="R1085">
            <v>2.9499999999999999E-3</v>
          </cell>
          <cell r="T1085" t="str">
            <v>.</v>
          </cell>
          <cell r="U1085" t="str">
            <v>.</v>
          </cell>
          <cell r="V1085" t="str">
            <v>.</v>
          </cell>
          <cell r="AG1085" t="str">
            <v>.</v>
          </cell>
          <cell r="AM1085">
            <v>0</v>
          </cell>
          <cell r="AN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</row>
        <row r="1086">
          <cell r="C1086" t="str">
            <v>MR</v>
          </cell>
          <cell r="H1086" t="str">
            <v>10-REQ-ME-257</v>
          </cell>
          <cell r="I1086" t="str">
            <v>MR for Cranes</v>
          </cell>
          <cell r="N1086">
            <v>0.34</v>
          </cell>
          <cell r="P1086">
            <v>8.2688000000000011E-4</v>
          </cell>
          <cell r="Q1086" t="str">
            <v>L</v>
          </cell>
          <cell r="R1086">
            <v>1.25E-3</v>
          </cell>
          <cell r="T1086">
            <v>39449</v>
          </cell>
          <cell r="V1086" t="str">
            <v>2008-01</v>
          </cell>
          <cell r="AH1086" t="str">
            <v/>
          </cell>
          <cell r="AJ1086" t="str">
            <v/>
          </cell>
          <cell r="AL1086" t="str">
            <v/>
          </cell>
          <cell r="AM1086">
            <v>0</v>
          </cell>
          <cell r="AN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</row>
        <row r="1087">
          <cell r="C1087" t="str">
            <v>TBA</v>
          </cell>
          <cell r="H1087" t="str">
            <v>10-TBA-ME-257</v>
          </cell>
          <cell r="I1087" t="str">
            <v>TBA for Cranes</v>
          </cell>
          <cell r="N1087">
            <v>0.33</v>
          </cell>
          <cell r="P1087">
            <v>8.0256000000000012E-4</v>
          </cell>
          <cell r="Q1087" t="str">
            <v>L</v>
          </cell>
          <cell r="R1087">
            <v>6.9999999999999999E-4</v>
          </cell>
          <cell r="T1087">
            <v>39476</v>
          </cell>
          <cell r="V1087" t="str">
            <v>2008-01</v>
          </cell>
          <cell r="AH1087" t="str">
            <v/>
          </cell>
          <cell r="AJ1087" t="str">
            <v/>
          </cell>
          <cell r="AL1087" t="str">
            <v/>
          </cell>
          <cell r="AM1087">
            <v>0</v>
          </cell>
          <cell r="AN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</row>
        <row r="1088">
          <cell r="C1088" t="str">
            <v>DSH</v>
          </cell>
          <cell r="H1088" t="str">
            <v>10-XX-DSH-ME-0014</v>
          </cell>
          <cell r="I1088" t="str">
            <v>Data Sheet for Crane</v>
          </cell>
          <cell r="N1088">
            <v>0.33</v>
          </cell>
          <cell r="Q1088" t="str">
            <v>I</v>
          </cell>
          <cell r="R1088">
            <v>1E-3</v>
          </cell>
          <cell r="T1088">
            <v>39446</v>
          </cell>
          <cell r="U1088" t="str">
            <v>*</v>
          </cell>
          <cell r="V1088" t="str">
            <v>2007-12</v>
          </cell>
          <cell r="AM1088">
            <v>0</v>
          </cell>
          <cell r="AN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</row>
        <row r="1089">
          <cell r="C1089" t="str">
            <v>MIS</v>
          </cell>
          <cell r="G1089" t="str">
            <v>Miscellaneous</v>
          </cell>
          <cell r="M1089">
            <v>0.02</v>
          </cell>
          <cell r="N1089">
            <v>1</v>
          </cell>
          <cell r="P1089">
            <v>3.2000000000000002E-3</v>
          </cell>
          <cell r="R1089">
            <v>8.0000000000000002E-3</v>
          </cell>
          <cell r="T1089" t="str">
            <v>.</v>
          </cell>
          <cell r="U1089" t="str">
            <v>.</v>
          </cell>
          <cell r="V1089" t="str">
            <v>.</v>
          </cell>
          <cell r="AH1089" t="str">
            <v/>
          </cell>
          <cell r="AJ1089" t="str">
            <v/>
          </cell>
          <cell r="AL1089" t="str">
            <v/>
          </cell>
          <cell r="AM1089">
            <v>0</v>
          </cell>
          <cell r="AN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</row>
        <row r="1090">
          <cell r="F1090" t="str">
            <v>Process</v>
          </cell>
          <cell r="L1090">
            <v>0.05</v>
          </cell>
          <cell r="M1090">
            <v>0.99980000000000013</v>
          </cell>
          <cell r="P1090">
            <v>4.0000000000000008E-2</v>
          </cell>
          <cell r="R1090">
            <v>3.8600000000000002E-2</v>
          </cell>
          <cell r="T1090" t="str">
            <v>.</v>
          </cell>
          <cell r="U1090" t="str">
            <v>.</v>
          </cell>
          <cell r="V1090" t="str">
            <v>.</v>
          </cell>
          <cell r="W1090" t="str">
            <v>.</v>
          </cell>
          <cell r="X1090" t="str">
            <v>.</v>
          </cell>
          <cell r="Y1090" t="str">
            <v>.</v>
          </cell>
          <cell r="Z1090" t="str">
            <v>.</v>
          </cell>
          <cell r="AA1090" t="str">
            <v>.</v>
          </cell>
          <cell r="AG1090" t="str">
            <v>.</v>
          </cell>
          <cell r="AH1090" t="str">
            <v>.</v>
          </cell>
          <cell r="AI1090" t="str">
            <v>.</v>
          </cell>
          <cell r="AJ1090" t="str">
            <v>.</v>
          </cell>
          <cell r="AK1090" t="str">
            <v>.</v>
          </cell>
          <cell r="AL1090" t="str">
            <v>.</v>
          </cell>
          <cell r="AM1090">
            <v>6.9749999999999979E-2</v>
          </cell>
          <cell r="AN1090">
            <v>2.7899999999999999E-3</v>
          </cell>
          <cell r="AO1090" t="str">
            <v>.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</row>
        <row r="1091">
          <cell r="G1091" t="str">
            <v>General Documents</v>
          </cell>
          <cell r="M1091">
            <v>0.51439999999999997</v>
          </cell>
          <cell r="N1091">
            <v>0.76</v>
          </cell>
          <cell r="P1091">
            <v>2.0576000000000001E-2</v>
          </cell>
          <cell r="R1091">
            <v>1.52E-2</v>
          </cell>
          <cell r="T1091" t="str">
            <v>.</v>
          </cell>
          <cell r="U1091" t="str">
            <v>.</v>
          </cell>
          <cell r="V1091" t="str">
            <v>.</v>
          </cell>
          <cell r="AG1091" t="str">
            <v>.</v>
          </cell>
          <cell r="AM1091">
            <v>0</v>
          </cell>
          <cell r="AN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</row>
        <row r="1092">
          <cell r="C1092" t="str">
            <v>LIS</v>
          </cell>
          <cell r="H1092" t="str">
            <v>10-XX-EQL-PR-0001</v>
          </cell>
          <cell r="I1092" t="str">
            <v xml:space="preserve">Equipment List </v>
          </cell>
          <cell r="N1092">
            <v>0.08</v>
          </cell>
          <cell r="P1092">
            <v>1.6460800000000001E-3</v>
          </cell>
          <cell r="Q1092" t="str">
            <v>L</v>
          </cell>
          <cell r="R1092">
            <v>1.1999999999999999E-3</v>
          </cell>
          <cell r="T1092">
            <v>39461</v>
          </cell>
          <cell r="V1092" t="str">
            <v>2008-01</v>
          </cell>
          <cell r="AH1092" t="str">
            <v/>
          </cell>
          <cell r="AJ1092" t="str">
            <v/>
          </cell>
          <cell r="AL1092" t="str">
            <v/>
          </cell>
          <cell r="AM1092">
            <v>0</v>
          </cell>
          <cell r="AN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</row>
        <row r="1093">
          <cell r="C1093" t="str">
            <v>LIS</v>
          </cell>
          <cell r="H1093" t="str">
            <v>10-XX-LST-PR-0002</v>
          </cell>
          <cell r="I1093" t="str">
            <v>Utility Summery</v>
          </cell>
          <cell r="N1093">
            <v>0.08</v>
          </cell>
          <cell r="P1093">
            <v>1.6460800000000001E-3</v>
          </cell>
          <cell r="Q1093" t="str">
            <v>L</v>
          </cell>
          <cell r="R1093">
            <v>1.1999999999999999E-3</v>
          </cell>
          <cell r="T1093">
            <v>39459</v>
          </cell>
          <cell r="V1093" t="str">
            <v>2008-01</v>
          </cell>
          <cell r="AH1093" t="str">
            <v/>
          </cell>
          <cell r="AJ1093" t="str">
            <v/>
          </cell>
          <cell r="AL1093" t="str">
            <v/>
          </cell>
          <cell r="AM1093">
            <v>0</v>
          </cell>
          <cell r="AN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</row>
        <row r="1094">
          <cell r="C1094" t="str">
            <v>LIS</v>
          </cell>
          <cell r="H1094" t="str">
            <v>10-XX-LST-PR-0003</v>
          </cell>
          <cell r="I1094" t="str">
            <v>Chemical Consumption List</v>
          </cell>
          <cell r="N1094">
            <v>0.12</v>
          </cell>
          <cell r="P1094">
            <v>2.46912E-3</v>
          </cell>
          <cell r="Q1094" t="str">
            <v>L</v>
          </cell>
          <cell r="R1094">
            <v>8.0000000000000004E-4</v>
          </cell>
          <cell r="T1094">
            <v>39461</v>
          </cell>
          <cell r="V1094" t="str">
            <v>2008-01</v>
          </cell>
          <cell r="AH1094" t="str">
            <v/>
          </cell>
          <cell r="AJ1094" t="str">
            <v/>
          </cell>
          <cell r="AL1094" t="str">
            <v/>
          </cell>
          <cell r="AM1094">
            <v>0</v>
          </cell>
          <cell r="AN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</row>
        <row r="1095">
          <cell r="C1095" t="str">
            <v>PHS</v>
          </cell>
          <cell r="H1095" t="str">
            <v>10-XX-PHS-PR-0001</v>
          </cell>
          <cell r="I1095" t="str">
            <v>DCS Control Philosophy</v>
          </cell>
          <cell r="N1095">
            <v>0.12</v>
          </cell>
          <cell r="P1095">
            <v>2.46912E-3</v>
          </cell>
          <cell r="Q1095" t="str">
            <v>L</v>
          </cell>
          <cell r="R1095">
            <v>3.0000000000000001E-3</v>
          </cell>
          <cell r="T1095">
            <v>39449</v>
          </cell>
          <cell r="V1095" t="str">
            <v>2008-01</v>
          </cell>
          <cell r="AH1095" t="str">
            <v/>
          </cell>
          <cell r="AJ1095" t="str">
            <v/>
          </cell>
          <cell r="AL1095" t="str">
            <v/>
          </cell>
          <cell r="AM1095">
            <v>0</v>
          </cell>
          <cell r="AN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</row>
        <row r="1096">
          <cell r="C1096" t="str">
            <v>PHS</v>
          </cell>
          <cell r="H1096" t="str">
            <v>10-XX-PHS-PR-0002</v>
          </cell>
          <cell r="I1096" t="str">
            <v>ESD Control Philosophy</v>
          </cell>
          <cell r="N1096">
            <v>0.12</v>
          </cell>
          <cell r="P1096">
            <v>2.46912E-3</v>
          </cell>
          <cell r="Q1096" t="str">
            <v>L</v>
          </cell>
          <cell r="R1096">
            <v>3.0000000000000001E-3</v>
          </cell>
          <cell r="T1096">
            <v>39452</v>
          </cell>
          <cell r="V1096" t="str">
            <v>2008-01</v>
          </cell>
          <cell r="AH1096" t="str">
            <v/>
          </cell>
          <cell r="AJ1096" t="str">
            <v/>
          </cell>
          <cell r="AL1096" t="str">
            <v/>
          </cell>
          <cell r="AM1096">
            <v>0</v>
          </cell>
          <cell r="AN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</row>
        <row r="1097">
          <cell r="C1097" t="str">
            <v>RPT</v>
          </cell>
          <cell r="H1097" t="str">
            <v>10-XX-OPM-PR-0001</v>
          </cell>
          <cell r="I1097" t="str">
            <v>Operating Manual</v>
          </cell>
          <cell r="N1097">
            <v>0.24</v>
          </cell>
          <cell r="P1097">
            <v>4.93824E-3</v>
          </cell>
          <cell r="Q1097" t="str">
            <v>L</v>
          </cell>
          <cell r="R1097">
            <v>6.0000000000000001E-3</v>
          </cell>
          <cell r="T1097">
            <v>39461</v>
          </cell>
          <cell r="V1097" t="str">
            <v>2008-01</v>
          </cell>
          <cell r="AH1097" t="str">
            <v/>
          </cell>
          <cell r="AJ1097" t="str">
            <v/>
          </cell>
          <cell r="AL1097" t="str">
            <v/>
          </cell>
          <cell r="AM1097">
            <v>0</v>
          </cell>
          <cell r="AN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</row>
        <row r="1098">
          <cell r="G1098" t="str">
            <v>Steam Plant</v>
          </cell>
          <cell r="M1098">
            <v>4.1200000000000001E-2</v>
          </cell>
          <cell r="N1098">
            <v>1</v>
          </cell>
          <cell r="P1098">
            <v>1.6480000000000002E-3</v>
          </cell>
          <cell r="R1098">
            <v>2.8E-3</v>
          </cell>
          <cell r="T1098" t="str">
            <v>.</v>
          </cell>
          <cell r="U1098" t="str">
            <v>.</v>
          </cell>
          <cell r="V1098" t="str">
            <v>.</v>
          </cell>
          <cell r="AG1098" t="str">
            <v>.</v>
          </cell>
          <cell r="AM1098">
            <v>0.16383495145631066</v>
          </cell>
          <cell r="AN1098">
            <v>2.7E-4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</row>
        <row r="1099">
          <cell r="C1099" t="str">
            <v>VDT</v>
          </cell>
          <cell r="H1099" t="str">
            <v>10-10-VDT-PR-0001</v>
          </cell>
          <cell r="I1099" t="str">
            <v>Vendor Document</v>
          </cell>
          <cell r="N1099">
            <v>1</v>
          </cell>
          <cell r="P1099">
            <v>1.6480000000000002E-3</v>
          </cell>
          <cell r="Q1099" t="str">
            <v>L</v>
          </cell>
          <cell r="R1099">
            <v>2.2000000000000001E-3</v>
          </cell>
          <cell r="T1099">
            <v>39493</v>
          </cell>
          <cell r="V1099" t="str">
            <v>2008-02</v>
          </cell>
          <cell r="AH1099" t="str">
            <v/>
          </cell>
          <cell r="AJ1099" t="str">
            <v/>
          </cell>
          <cell r="AL1099" t="str">
            <v/>
          </cell>
          <cell r="AM1099">
            <v>0</v>
          </cell>
          <cell r="AN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</row>
        <row r="1100">
          <cell r="H1100" t="str">
            <v>10-10-CSH-PR-0001</v>
          </cell>
          <cell r="I1100" t="str">
            <v>Hydraulic Calculation for Lines</v>
          </cell>
          <cell r="R1100">
            <v>5.9999999999999995E-4</v>
          </cell>
          <cell r="S1100" t="str">
            <v>Add</v>
          </cell>
          <cell r="V1100" t="str">
            <v>ارسال شده</v>
          </cell>
          <cell r="W1100">
            <v>0</v>
          </cell>
          <cell r="X1100">
            <v>346</v>
          </cell>
          <cell r="Y1100" t="str">
            <v>20-11-07</v>
          </cell>
          <cell r="Z1100" t="str">
            <v>F-0498</v>
          </cell>
          <cell r="AA1100" t="str">
            <v>11-12-07</v>
          </cell>
          <cell r="AG1100" t="str">
            <v>GBT</v>
          </cell>
          <cell r="AH1100" t="str">
            <v>x</v>
          </cell>
          <cell r="AM1100">
            <v>0.45</v>
          </cell>
          <cell r="AN1100">
            <v>2.7E-4</v>
          </cell>
          <cell r="AQ1100">
            <v>0</v>
          </cell>
          <cell r="AR1100">
            <v>2.7E-4</v>
          </cell>
          <cell r="AS1100">
            <v>45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45</v>
          </cell>
        </row>
        <row r="1101">
          <cell r="G1101" t="str">
            <v>Hydrogen Generation Unit</v>
          </cell>
          <cell r="M1101">
            <v>4.1200000000000001E-2</v>
          </cell>
          <cell r="N1101">
            <v>1</v>
          </cell>
          <cell r="P1101">
            <v>1.6480000000000002E-3</v>
          </cell>
          <cell r="R1101">
            <v>2.8E-3</v>
          </cell>
          <cell r="T1101" t="str">
            <v>.</v>
          </cell>
          <cell r="U1101" t="str">
            <v>.</v>
          </cell>
          <cell r="V1101" t="str">
            <v>.</v>
          </cell>
          <cell r="AG1101" t="str">
            <v>.</v>
          </cell>
          <cell r="AM1101">
            <v>0.16383495145631066</v>
          </cell>
          <cell r="AN1101">
            <v>2.7E-4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</row>
        <row r="1102">
          <cell r="C1102" t="str">
            <v>VDT</v>
          </cell>
          <cell r="H1102" t="str">
            <v>10-20-VDT-PR-0001</v>
          </cell>
          <cell r="I1102" t="str">
            <v>Vendor Document</v>
          </cell>
          <cell r="N1102">
            <v>1</v>
          </cell>
          <cell r="P1102">
            <v>1.6480000000000002E-3</v>
          </cell>
          <cell r="Q1102" t="str">
            <v>L</v>
          </cell>
          <cell r="R1102">
            <v>2.2000000000000001E-3</v>
          </cell>
          <cell r="T1102">
            <v>39493</v>
          </cell>
          <cell r="V1102" t="str">
            <v>2008-02</v>
          </cell>
          <cell r="AH1102" t="str">
            <v/>
          </cell>
          <cell r="AJ1102" t="str">
            <v/>
          </cell>
          <cell r="AL1102" t="str">
            <v/>
          </cell>
          <cell r="AM1102">
            <v>0</v>
          </cell>
          <cell r="AN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</row>
        <row r="1103">
          <cell r="H1103" t="str">
            <v>10-20-CSH-PR-0001</v>
          </cell>
          <cell r="I1103" t="str">
            <v>Hydraulic Calculation for Lines</v>
          </cell>
          <cell r="R1103">
            <v>5.9999999999999995E-4</v>
          </cell>
          <cell r="S1103" t="str">
            <v>Add</v>
          </cell>
          <cell r="V1103" t="str">
            <v>ارسال شده</v>
          </cell>
          <cell r="W1103">
            <v>0</v>
          </cell>
          <cell r="X1103">
            <v>319</v>
          </cell>
          <cell r="Y1103" t="str">
            <v>17-11-07</v>
          </cell>
          <cell r="Z1103" t="str">
            <v>F-0357</v>
          </cell>
          <cell r="AA1103" t="str">
            <v>22-11-07</v>
          </cell>
          <cell r="AG1103" t="str">
            <v>GBT</v>
          </cell>
          <cell r="AH1103" t="str">
            <v>x</v>
          </cell>
          <cell r="AM1103">
            <v>0.45</v>
          </cell>
          <cell r="AN1103">
            <v>2.7E-4</v>
          </cell>
          <cell r="AQ1103">
            <v>0</v>
          </cell>
          <cell r="AR1103">
            <v>2.7E-4</v>
          </cell>
          <cell r="AS1103">
            <v>45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45</v>
          </cell>
        </row>
        <row r="1104">
          <cell r="G1104" t="str">
            <v>Nitrogen Generation Unit</v>
          </cell>
          <cell r="M1104">
            <v>4.1200000000000001E-2</v>
          </cell>
          <cell r="N1104">
            <v>1</v>
          </cell>
          <cell r="P1104">
            <v>1.6480000000000002E-3</v>
          </cell>
          <cell r="R1104">
            <v>2.2000000000000001E-3</v>
          </cell>
          <cell r="T1104" t="str">
            <v>.</v>
          </cell>
          <cell r="U1104" t="str">
            <v>.</v>
          </cell>
          <cell r="V1104" t="str">
            <v>.</v>
          </cell>
          <cell r="AG1104" t="str">
            <v>.</v>
          </cell>
          <cell r="AM1104">
            <v>0.16383495145631066</v>
          </cell>
          <cell r="AN1104">
            <v>2.7E-4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</row>
        <row r="1105">
          <cell r="C1105" t="str">
            <v>VDT</v>
          </cell>
          <cell r="H1105" t="str">
            <v>10-30-VDT-PR-0001</v>
          </cell>
          <cell r="I1105" t="str">
            <v>Vendor Document</v>
          </cell>
          <cell r="N1105">
            <v>1</v>
          </cell>
          <cell r="P1105">
            <v>1.6480000000000002E-3</v>
          </cell>
          <cell r="Q1105" t="str">
            <v>L</v>
          </cell>
          <cell r="R1105">
            <v>1.6000000000000001E-3</v>
          </cell>
          <cell r="T1105">
            <v>39493</v>
          </cell>
          <cell r="V1105" t="str">
            <v>2008-02</v>
          </cell>
          <cell r="AH1105" t="str">
            <v/>
          </cell>
          <cell r="AJ1105" t="str">
            <v/>
          </cell>
          <cell r="AL1105" t="str">
            <v/>
          </cell>
          <cell r="AM1105">
            <v>0</v>
          </cell>
          <cell r="AN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</row>
        <row r="1106">
          <cell r="H1106" t="str">
            <v>10-30-CSH-PR-0001</v>
          </cell>
          <cell r="I1106" t="str">
            <v>Hydraulic Calculation for Lines</v>
          </cell>
          <cell r="R1106">
            <v>5.9999999999999995E-4</v>
          </cell>
          <cell r="S1106" t="str">
            <v>Add</v>
          </cell>
          <cell r="V1106" t="str">
            <v>ارسال شده</v>
          </cell>
          <cell r="W1106">
            <v>0</v>
          </cell>
          <cell r="X1106">
            <v>317</v>
          </cell>
          <cell r="Y1106" t="str">
            <v>17-11-07</v>
          </cell>
          <cell r="Z1106" t="str">
            <v>F-0357</v>
          </cell>
          <cell r="AA1106" t="str">
            <v>22-11-07</v>
          </cell>
          <cell r="AG1106" t="str">
            <v>GBT</v>
          </cell>
          <cell r="AH1106" t="str">
            <v>x</v>
          </cell>
          <cell r="AM1106">
            <v>0.45</v>
          </cell>
          <cell r="AN1106">
            <v>2.7E-4</v>
          </cell>
          <cell r="AQ1106">
            <v>0</v>
          </cell>
          <cell r="AR1106">
            <v>2.7E-4</v>
          </cell>
          <cell r="AS1106">
            <v>45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45</v>
          </cell>
        </row>
        <row r="1107">
          <cell r="G1107" t="str">
            <v>Instrument Air and Plant Air Unit</v>
          </cell>
          <cell r="M1107">
            <v>4.1200000000000001E-2</v>
          </cell>
          <cell r="N1107">
            <v>1</v>
          </cell>
          <cell r="P1107">
            <v>1.6480000000000002E-3</v>
          </cell>
          <cell r="R1107">
            <v>2.2000000000000001E-3</v>
          </cell>
          <cell r="T1107" t="str">
            <v>.</v>
          </cell>
          <cell r="U1107" t="str">
            <v>.</v>
          </cell>
          <cell r="V1107" t="str">
            <v>.</v>
          </cell>
          <cell r="AG1107" t="str">
            <v>.</v>
          </cell>
          <cell r="AM1107">
            <v>0.16383495145631066</v>
          </cell>
          <cell r="AN1107">
            <v>2.7E-4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</row>
        <row r="1108">
          <cell r="C1108" t="str">
            <v>VDT</v>
          </cell>
          <cell r="H1108" t="str">
            <v>10-40-VDT-PR-0001</v>
          </cell>
          <cell r="I1108" t="str">
            <v>Vendor Document</v>
          </cell>
          <cell r="N1108">
            <v>1</v>
          </cell>
          <cell r="P1108">
            <v>1.6480000000000002E-3</v>
          </cell>
          <cell r="Q1108" t="str">
            <v>L</v>
          </cell>
          <cell r="R1108">
            <v>1.6000000000000001E-3</v>
          </cell>
          <cell r="T1108">
            <v>39493</v>
          </cell>
          <cell r="V1108" t="str">
            <v>2008-02</v>
          </cell>
          <cell r="AH1108" t="str">
            <v/>
          </cell>
          <cell r="AJ1108" t="str">
            <v/>
          </cell>
          <cell r="AL1108" t="str">
            <v/>
          </cell>
          <cell r="AM1108">
            <v>0</v>
          </cell>
          <cell r="AN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</row>
        <row r="1109">
          <cell r="H1109" t="str">
            <v>10-40-CSH-PR-0001</v>
          </cell>
          <cell r="I1109" t="str">
            <v>Hydraulic Calculation for Lines</v>
          </cell>
          <cell r="R1109">
            <v>5.9999999999999995E-4</v>
          </cell>
          <cell r="S1109" t="str">
            <v>Add</v>
          </cell>
          <cell r="V1109" t="str">
            <v>ارسال شده</v>
          </cell>
          <cell r="W1109">
            <v>0</v>
          </cell>
          <cell r="X1109">
            <v>339</v>
          </cell>
          <cell r="Y1109" t="str">
            <v>20-11-07</v>
          </cell>
          <cell r="Z1109" t="str">
            <v>F-0498</v>
          </cell>
          <cell r="AA1109" t="str">
            <v>11-12-07</v>
          </cell>
          <cell r="AG1109" t="str">
            <v>GBT</v>
          </cell>
          <cell r="AH1109" t="str">
            <v>x</v>
          </cell>
          <cell r="AM1109">
            <v>0.45</v>
          </cell>
          <cell r="AN1109">
            <v>2.7E-4</v>
          </cell>
          <cell r="AQ1109">
            <v>0</v>
          </cell>
          <cell r="AR1109">
            <v>2.7E-4</v>
          </cell>
          <cell r="AS1109">
            <v>45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45</v>
          </cell>
        </row>
        <row r="1110">
          <cell r="G1110" t="str">
            <v>Water Treatment Unit</v>
          </cell>
          <cell r="M1110">
            <v>4.1200000000000001E-2</v>
          </cell>
          <cell r="N1110" t="e">
            <v>#VALUE!</v>
          </cell>
          <cell r="P1110">
            <v>1.6480000000000002E-3</v>
          </cell>
          <cell r="R1110">
            <v>2.6999999999999997E-3</v>
          </cell>
          <cell r="T1110" t="str">
            <v>.</v>
          </cell>
          <cell r="U1110" t="str">
            <v>.</v>
          </cell>
          <cell r="V1110" t="str">
            <v>.</v>
          </cell>
          <cell r="AG1110" t="str">
            <v>.</v>
          </cell>
          <cell r="AM1110">
            <v>0.16383495145631066</v>
          </cell>
          <cell r="AN1110">
            <v>2.7E-4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</row>
        <row r="1111">
          <cell r="C1111" t="str">
            <v>VDT</v>
          </cell>
          <cell r="H1111" t="str">
            <v>10-50-VDT-PR-0001</v>
          </cell>
          <cell r="I1111" t="str">
            <v>Vendor Document</v>
          </cell>
          <cell r="N1111">
            <v>0.5</v>
          </cell>
          <cell r="P1111">
            <v>8.2400000000000008E-4</v>
          </cell>
          <cell r="Q1111" t="str">
            <v>L</v>
          </cell>
          <cell r="R1111">
            <v>2.0999999999999999E-3</v>
          </cell>
          <cell r="T1111">
            <v>39493</v>
          </cell>
          <cell r="V1111" t="str">
            <v>2008-02</v>
          </cell>
          <cell r="AH1111" t="str">
            <v/>
          </cell>
          <cell r="AJ1111" t="str">
            <v/>
          </cell>
          <cell r="AL1111" t="str">
            <v/>
          </cell>
          <cell r="AM1111">
            <v>0</v>
          </cell>
          <cell r="AN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</row>
        <row r="1112">
          <cell r="H1112" t="str">
            <v>10-50-CSH-PR-0001</v>
          </cell>
          <cell r="I1112" t="str">
            <v>Hydraulic Calculation for Lines</v>
          </cell>
          <cell r="N1112">
            <v>0.5</v>
          </cell>
          <cell r="R1112">
            <v>5.9999999999999995E-4</v>
          </cell>
          <cell r="S1112" t="str">
            <v>Add</v>
          </cell>
          <cell r="V1112" t="str">
            <v>ارسال شده</v>
          </cell>
          <cell r="W1112">
            <v>0</v>
          </cell>
          <cell r="X1112">
            <v>318</v>
          </cell>
          <cell r="Y1112" t="str">
            <v>17-11-07</v>
          </cell>
          <cell r="Z1112" t="str">
            <v>F-0357</v>
          </cell>
          <cell r="AA1112" t="str">
            <v>22-11-07</v>
          </cell>
          <cell r="AG1112" t="str">
            <v>GBT</v>
          </cell>
          <cell r="AH1112" t="str">
            <v>x</v>
          </cell>
          <cell r="AM1112">
            <v>0.45</v>
          </cell>
          <cell r="AN1112">
            <v>2.7E-4</v>
          </cell>
          <cell r="AQ1112">
            <v>0</v>
          </cell>
          <cell r="AR1112">
            <v>2.7E-4</v>
          </cell>
          <cell r="AS1112">
            <v>45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45</v>
          </cell>
        </row>
        <row r="1113">
          <cell r="G1113" t="str">
            <v>Waste Water Treatment Unit</v>
          </cell>
          <cell r="M1113">
            <v>4.1200000000000001E-2</v>
          </cell>
          <cell r="N1113">
            <v>1</v>
          </cell>
          <cell r="P1113">
            <v>1.6480000000000002E-3</v>
          </cell>
          <cell r="R1113">
            <v>2.8999999999999998E-3</v>
          </cell>
          <cell r="T1113" t="str">
            <v>.</v>
          </cell>
          <cell r="U1113" t="str">
            <v>.</v>
          </cell>
          <cell r="V1113" t="str">
            <v>.</v>
          </cell>
          <cell r="AG1113" t="str">
            <v>.</v>
          </cell>
          <cell r="AM1113">
            <v>0</v>
          </cell>
          <cell r="AN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</row>
        <row r="1114">
          <cell r="C1114" t="str">
            <v>VDT</v>
          </cell>
          <cell r="H1114" t="str">
            <v>10-60-VDT-PR-0001</v>
          </cell>
          <cell r="I1114" t="str">
            <v>Vendor Document</v>
          </cell>
          <cell r="N1114">
            <v>0.5</v>
          </cell>
          <cell r="P1114">
            <v>8.2400000000000008E-4</v>
          </cell>
          <cell r="Q1114" t="str">
            <v>L</v>
          </cell>
          <cell r="R1114">
            <v>2.0999999999999999E-3</v>
          </cell>
          <cell r="T1114">
            <v>39493</v>
          </cell>
          <cell r="V1114" t="str">
            <v>2008-02</v>
          </cell>
          <cell r="AH1114" t="str">
            <v/>
          </cell>
          <cell r="AJ1114" t="str">
            <v/>
          </cell>
          <cell r="AL1114" t="str">
            <v/>
          </cell>
          <cell r="AM1114">
            <v>0</v>
          </cell>
          <cell r="AN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</row>
        <row r="1115">
          <cell r="H1115" t="str">
            <v>10-60-CSH-PR-0001</v>
          </cell>
          <cell r="I1115" t="str">
            <v>Hydraulic Calculation for Lines</v>
          </cell>
          <cell r="N1115">
            <v>0.5</v>
          </cell>
          <cell r="Q1115" t="str">
            <v>I</v>
          </cell>
          <cell r="R1115">
            <v>8.0000000000000004E-4</v>
          </cell>
          <cell r="S1115" t="str">
            <v>Add</v>
          </cell>
          <cell r="AM1115">
            <v>0</v>
          </cell>
          <cell r="AN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</row>
        <row r="1116">
          <cell r="G1116" t="str">
            <v>Cooling Water Unit</v>
          </cell>
          <cell r="M1116">
            <v>4.1200000000000001E-2</v>
          </cell>
          <cell r="N1116">
            <v>1</v>
          </cell>
          <cell r="P1116">
            <v>1.6480000000000002E-3</v>
          </cell>
          <cell r="R1116">
            <v>2.8E-3</v>
          </cell>
          <cell r="T1116" t="str">
            <v>.</v>
          </cell>
          <cell r="U1116" t="str">
            <v>.</v>
          </cell>
          <cell r="V1116" t="str">
            <v>.</v>
          </cell>
          <cell r="AG1116" t="str">
            <v>.</v>
          </cell>
          <cell r="AM1116">
            <v>0.16383495145631066</v>
          </cell>
          <cell r="AN1116">
            <v>2.7E-4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</row>
        <row r="1117">
          <cell r="C1117" t="str">
            <v>VDT</v>
          </cell>
          <cell r="H1117" t="str">
            <v>10-70-VDT-PR-0001</v>
          </cell>
          <cell r="I1117" t="str">
            <v>Vendor Document</v>
          </cell>
          <cell r="N1117">
            <v>0.5</v>
          </cell>
          <cell r="P1117">
            <v>8.2400000000000008E-4</v>
          </cell>
          <cell r="Q1117" t="str">
            <v>L</v>
          </cell>
          <cell r="R1117">
            <v>2.2000000000000001E-3</v>
          </cell>
          <cell r="T1117">
            <v>39493</v>
          </cell>
          <cell r="V1117" t="str">
            <v>2008-02</v>
          </cell>
          <cell r="AH1117" t="str">
            <v/>
          </cell>
          <cell r="AJ1117" t="str">
            <v/>
          </cell>
          <cell r="AL1117" t="str">
            <v/>
          </cell>
          <cell r="AM1117">
            <v>0</v>
          </cell>
          <cell r="AN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</row>
        <row r="1118">
          <cell r="H1118" t="str">
            <v>10-70-CSH-PR-0001</v>
          </cell>
          <cell r="I1118" t="str">
            <v>Hydraulic Calculation for Lines</v>
          </cell>
          <cell r="N1118">
            <v>0.5</v>
          </cell>
          <cell r="R1118">
            <v>5.9999999999999995E-4</v>
          </cell>
          <cell r="S1118" t="str">
            <v>Add</v>
          </cell>
          <cell r="V1118" t="str">
            <v>ارسال شده</v>
          </cell>
          <cell r="W1118">
            <v>0</v>
          </cell>
          <cell r="X1118">
            <v>345</v>
          </cell>
          <cell r="Y1118" t="str">
            <v>20-11-07</v>
          </cell>
          <cell r="AG1118" t="str">
            <v>KRPC</v>
          </cell>
          <cell r="AH1118" t="str">
            <v>x</v>
          </cell>
          <cell r="AM1118">
            <v>0.45</v>
          </cell>
          <cell r="AN1118">
            <v>2.7E-4</v>
          </cell>
          <cell r="AQ1118">
            <v>0</v>
          </cell>
          <cell r="AR1118">
            <v>2.7E-4</v>
          </cell>
          <cell r="AS1118">
            <v>45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45</v>
          </cell>
        </row>
        <row r="1119">
          <cell r="G1119" t="str">
            <v>Flare Unit</v>
          </cell>
          <cell r="M1119">
            <v>0.182</v>
          </cell>
          <cell r="N1119">
            <v>1</v>
          </cell>
          <cell r="P1119">
            <v>7.2800000000000009E-3</v>
          </cell>
          <cell r="R1119">
            <v>2.5999999999999999E-3</v>
          </cell>
          <cell r="T1119" t="str">
            <v>.</v>
          </cell>
          <cell r="U1119" t="str">
            <v>.</v>
          </cell>
          <cell r="V1119" t="str">
            <v>.</v>
          </cell>
          <cell r="AG1119" t="str">
            <v>.</v>
          </cell>
          <cell r="AM1119">
            <v>3.7087912087912081E-2</v>
          </cell>
          <cell r="AN1119">
            <v>2.7E-4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</row>
        <row r="1120">
          <cell r="C1120" t="str">
            <v>RPT</v>
          </cell>
          <cell r="H1120" t="str">
            <v>10-90-RPT-PR-0001</v>
          </cell>
          <cell r="I1120" t="str">
            <v>Flare Sizing and Calculation Report</v>
          </cell>
          <cell r="N1120">
            <v>0.4</v>
          </cell>
          <cell r="P1120">
            <v>2.9120000000000005E-3</v>
          </cell>
          <cell r="T1120">
            <v>39449</v>
          </cell>
          <cell r="V1120" t="str">
            <v>2008-01</v>
          </cell>
          <cell r="AH1120" t="str">
            <v/>
          </cell>
          <cell r="AJ1120" t="str">
            <v/>
          </cell>
          <cell r="AL1120" t="str">
            <v/>
          </cell>
          <cell r="AM1120">
            <v>0</v>
          </cell>
          <cell r="AN1120">
            <v>0</v>
          </cell>
          <cell r="AQ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</row>
        <row r="1121">
          <cell r="C1121" t="str">
            <v>LIS</v>
          </cell>
          <cell r="H1121" t="str">
            <v>10-90-LST-PR-0001</v>
          </cell>
          <cell r="I1121" t="str">
            <v>Flare Load Summary</v>
          </cell>
          <cell r="N1121">
            <v>0.2</v>
          </cell>
          <cell r="P1121">
            <v>1.4560000000000003E-3</v>
          </cell>
          <cell r="Q1121" t="str">
            <v>L</v>
          </cell>
          <cell r="R1121">
            <v>8.0000000000000004E-4</v>
          </cell>
          <cell r="T1121">
            <v>39449</v>
          </cell>
          <cell r="V1121" t="str">
            <v>2008-01</v>
          </cell>
          <cell r="AH1121" t="str">
            <v/>
          </cell>
          <cell r="AJ1121" t="str">
            <v/>
          </cell>
          <cell r="AL1121" t="str">
            <v/>
          </cell>
          <cell r="AM1121">
            <v>0</v>
          </cell>
          <cell r="AN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</row>
        <row r="1122">
          <cell r="C1122" t="str">
            <v>VDT</v>
          </cell>
          <cell r="H1122" t="str">
            <v>10-90-VDT-PR-0001</v>
          </cell>
          <cell r="I1122" t="str">
            <v>Vendor Document</v>
          </cell>
          <cell r="N1122">
            <v>0.2</v>
          </cell>
          <cell r="P1122">
            <v>1.4560000000000003E-3</v>
          </cell>
          <cell r="Q1122" t="str">
            <v>L</v>
          </cell>
          <cell r="R1122">
            <v>1.1999999999999999E-3</v>
          </cell>
          <cell r="T1122">
            <v>39493</v>
          </cell>
          <cell r="V1122" t="str">
            <v>2008-02</v>
          </cell>
          <cell r="AH1122" t="str">
            <v/>
          </cell>
          <cell r="AJ1122" t="str">
            <v/>
          </cell>
          <cell r="AL1122" t="str">
            <v/>
          </cell>
          <cell r="AM1122">
            <v>0</v>
          </cell>
          <cell r="AN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</row>
        <row r="1123">
          <cell r="H1123" t="str">
            <v>10-90-CSH-PR-0001</v>
          </cell>
          <cell r="I1123" t="str">
            <v>Calculation Report</v>
          </cell>
          <cell r="N1123">
            <v>0.2</v>
          </cell>
          <cell r="R1123">
            <v>5.9999999999999995E-4</v>
          </cell>
          <cell r="V1123" t="str">
            <v>ارسال شده</v>
          </cell>
          <cell r="W1123">
            <v>0</v>
          </cell>
          <cell r="X1123">
            <v>467</v>
          </cell>
          <cell r="Y1123" t="str">
            <v>13-12-07</v>
          </cell>
          <cell r="AG1123" t="str">
            <v>KRPC</v>
          </cell>
          <cell r="AH1123" t="str">
            <v>x</v>
          </cell>
          <cell r="AM1123">
            <v>0.45</v>
          </cell>
          <cell r="AN1123">
            <v>2.7E-4</v>
          </cell>
          <cell r="AQ1123">
            <v>0</v>
          </cell>
          <cell r="AR1123">
            <v>2.7E-4</v>
          </cell>
          <cell r="AS1123">
            <v>45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45</v>
          </cell>
        </row>
        <row r="1124">
          <cell r="G1124" t="str">
            <v>Fuel  System</v>
          </cell>
          <cell r="M1124">
            <v>4.1200000000000001E-2</v>
          </cell>
          <cell r="N1124">
            <v>1</v>
          </cell>
          <cell r="P1124">
            <v>1.6480000000000002E-3</v>
          </cell>
          <cell r="R1124">
            <v>5.9999999999999995E-4</v>
          </cell>
          <cell r="T1124" t="str">
            <v>.</v>
          </cell>
          <cell r="U1124" t="str">
            <v>.</v>
          </cell>
          <cell r="V1124" t="str">
            <v>.</v>
          </cell>
          <cell r="AG1124" t="str">
            <v>.</v>
          </cell>
          <cell r="AM1124">
            <v>0.16383495145631066</v>
          </cell>
          <cell r="AN1124">
            <v>2.7E-4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</row>
        <row r="1125">
          <cell r="H1125" t="str">
            <v>10-95-CSH-PR-0001</v>
          </cell>
          <cell r="I1125" t="str">
            <v>Hydraulic Calculation for Lines</v>
          </cell>
          <cell r="N1125">
            <v>1</v>
          </cell>
          <cell r="R1125">
            <v>5.9999999999999995E-4</v>
          </cell>
          <cell r="S1125" t="str">
            <v>Add</v>
          </cell>
          <cell r="V1125" t="str">
            <v>ارسال شده</v>
          </cell>
          <cell r="W1125">
            <v>0</v>
          </cell>
          <cell r="X1125">
            <v>377</v>
          </cell>
          <cell r="Y1125" t="str">
            <v>26-11-07</v>
          </cell>
          <cell r="Z1125" t="str">
            <v>F-0498</v>
          </cell>
          <cell r="AA1125" t="str">
            <v>11-12-07</v>
          </cell>
          <cell r="AG1125" t="str">
            <v>GBT</v>
          </cell>
          <cell r="AH1125" t="str">
            <v>x</v>
          </cell>
          <cell r="AM1125">
            <v>0.45</v>
          </cell>
          <cell r="AN1125">
            <v>2.7E-4</v>
          </cell>
          <cell r="AQ1125">
            <v>0</v>
          </cell>
          <cell r="AR1125">
            <v>2.7E-4</v>
          </cell>
          <cell r="AS1125">
            <v>45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45</v>
          </cell>
        </row>
        <row r="1126">
          <cell r="G1126" t="str">
            <v>Propylen/1- Buten/ Ethylene Line</v>
          </cell>
          <cell r="M1126">
            <v>4.1200000000000001E-2</v>
          </cell>
          <cell r="N1126">
            <v>1</v>
          </cell>
          <cell r="P1126">
            <v>1.6480000000000002E-3</v>
          </cell>
          <cell r="R1126">
            <v>1.1999999999999999E-3</v>
          </cell>
          <cell r="T1126" t="str">
            <v>.</v>
          </cell>
          <cell r="U1126" t="str">
            <v>.</v>
          </cell>
          <cell r="V1126" t="str">
            <v>.</v>
          </cell>
          <cell r="AG1126" t="str">
            <v>.</v>
          </cell>
          <cell r="AM1126">
            <v>0.38228155339805814</v>
          </cell>
          <cell r="AN1126">
            <v>6.2999999999999992E-4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</row>
        <row r="1127">
          <cell r="C1127" t="str">
            <v>VDT</v>
          </cell>
          <cell r="H1127" t="str">
            <v>10-97-CSH-PR-0001</v>
          </cell>
          <cell r="I1127" t="str">
            <v>Hydraulic Calculation for Lines</v>
          </cell>
          <cell r="N1127">
            <v>0.5</v>
          </cell>
          <cell r="P1127">
            <v>8.2400000000000008E-4</v>
          </cell>
          <cell r="R1127">
            <v>5.9999999999999995E-4</v>
          </cell>
          <cell r="V1127" t="str">
            <v>ارسال شده</v>
          </cell>
          <cell r="W1127">
            <v>0</v>
          </cell>
          <cell r="X1127">
            <v>338</v>
          </cell>
          <cell r="Y1127" t="str">
            <v>20-11-07</v>
          </cell>
          <cell r="Z1127" t="str">
            <v>F-0498</v>
          </cell>
          <cell r="AA1127" t="str">
            <v>11-12-07</v>
          </cell>
          <cell r="AG1127" t="str">
            <v>GBT</v>
          </cell>
          <cell r="AH1127" t="str">
            <v>x</v>
          </cell>
          <cell r="AJ1127" t="str">
            <v/>
          </cell>
          <cell r="AL1127" t="str">
            <v/>
          </cell>
          <cell r="AM1127">
            <v>0.45</v>
          </cell>
          <cell r="AN1127">
            <v>2.7E-4</v>
          </cell>
          <cell r="AQ1127">
            <v>3.7080000000000007E-4</v>
          </cell>
          <cell r="AR1127">
            <v>2.7E-4</v>
          </cell>
          <cell r="AS1127">
            <v>45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45</v>
          </cell>
        </row>
        <row r="1128">
          <cell r="H1128" t="str">
            <v>10-97-CSH-PR-0002</v>
          </cell>
          <cell r="I1128" t="str">
            <v>Calculation Sheets for Pressur Design of Storage Tanks</v>
          </cell>
          <cell r="N1128">
            <v>0.5</v>
          </cell>
          <cell r="R1128">
            <v>5.9999999999999995E-4</v>
          </cell>
          <cell r="S1128" t="str">
            <v>Add</v>
          </cell>
          <cell r="V1128" t="str">
            <v>ارسال شده</v>
          </cell>
          <cell r="W1128" t="str">
            <v>01</v>
          </cell>
          <cell r="X1128" t="str">
            <v>386463</v>
          </cell>
          <cell r="Y1128" t="str">
            <v>26-11-0711-12-07</v>
          </cell>
          <cell r="Z1128" t="str">
            <v>F-0462</v>
          </cell>
          <cell r="AA1128" t="str">
            <v>05-12-07</v>
          </cell>
          <cell r="AG1128" t="str">
            <v>KRPC</v>
          </cell>
          <cell r="AH1128" t="str">
            <v>x</v>
          </cell>
          <cell r="AI1128" t="str">
            <v>x</v>
          </cell>
          <cell r="AM1128">
            <v>0.6</v>
          </cell>
          <cell r="AN1128">
            <v>3.5999999999999997E-4</v>
          </cell>
          <cell r="AQ1128">
            <v>0</v>
          </cell>
          <cell r="AR1128">
            <v>3.5999999999999997E-4</v>
          </cell>
          <cell r="AS1128">
            <v>45</v>
          </cell>
          <cell r="AT1128">
            <v>60</v>
          </cell>
          <cell r="AU1128">
            <v>0</v>
          </cell>
          <cell r="AV1128">
            <v>0</v>
          </cell>
          <cell r="AW1128">
            <v>0</v>
          </cell>
          <cell r="AX1128">
            <v>60</v>
          </cell>
        </row>
        <row r="1129">
          <cell r="G1129" t="str">
            <v>Miscellaneous</v>
          </cell>
          <cell r="M1129">
            <v>1.4999999999999999E-2</v>
          </cell>
          <cell r="N1129">
            <v>1</v>
          </cell>
          <cell r="P1129">
            <v>6.0000000000000006E-4</v>
          </cell>
          <cell r="R1129">
            <v>6.0000000000000006E-4</v>
          </cell>
          <cell r="T1129" t="str">
            <v>.</v>
          </cell>
          <cell r="U1129" t="str">
            <v>.</v>
          </cell>
          <cell r="V1129" t="str">
            <v>.</v>
          </cell>
          <cell r="AM1129">
            <v>0</v>
          </cell>
          <cell r="AN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</row>
        <row r="1130">
          <cell r="F1130" t="str">
            <v>HSE</v>
          </cell>
          <cell r="L1130">
            <v>0.05</v>
          </cell>
          <cell r="M1130">
            <v>1.0004000000000004</v>
          </cell>
          <cell r="P1130">
            <v>4.0000000000000008E-2</v>
          </cell>
          <cell r="R1130">
            <v>3.8000000000000013E-2</v>
          </cell>
          <cell r="T1130" t="str">
            <v>.</v>
          </cell>
          <cell r="U1130" t="str">
            <v>.</v>
          </cell>
          <cell r="V1130" t="str">
            <v>.</v>
          </cell>
          <cell r="W1130" t="str">
            <v>.</v>
          </cell>
          <cell r="X1130" t="str">
            <v>.</v>
          </cell>
          <cell r="Y1130" t="str">
            <v>.</v>
          </cell>
          <cell r="Z1130" t="str">
            <v>.</v>
          </cell>
          <cell r="AA1130" t="str">
            <v>.</v>
          </cell>
          <cell r="AG1130" t="str">
            <v>.</v>
          </cell>
          <cell r="AH1130" t="str">
            <v>.</v>
          </cell>
          <cell r="AI1130" t="str">
            <v>.</v>
          </cell>
          <cell r="AJ1130" t="str">
            <v>.</v>
          </cell>
          <cell r="AK1130" t="str">
            <v>.</v>
          </cell>
          <cell r="AL1130" t="str">
            <v>.</v>
          </cell>
          <cell r="AM1130">
            <v>6.2437499999999979E-2</v>
          </cell>
          <cell r="AN1130">
            <v>2.4974999999999997E-3</v>
          </cell>
          <cell r="AO1130" t="str">
            <v>.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</row>
        <row r="1131">
          <cell r="C1131" t="str">
            <v>DWG</v>
          </cell>
          <cell r="H1131" t="str">
            <v>10-80-A0-SA-0006</v>
          </cell>
          <cell r="I1131" t="str">
            <v>Piping Plan for Fire Water Distribution Network.</v>
          </cell>
          <cell r="M1131">
            <v>2.5000000000000001E-2</v>
          </cell>
          <cell r="P1131">
            <v>1.0000000000000002E-3</v>
          </cell>
          <cell r="Q1131" t="str">
            <v>D(PR)</v>
          </cell>
          <cell r="R1131">
            <v>2.0999999999999999E-3</v>
          </cell>
          <cell r="T1131">
            <v>39417</v>
          </cell>
          <cell r="U1131" t="str">
            <v>*</v>
          </cell>
          <cell r="V1131" t="str">
            <v>2007-12</v>
          </cell>
          <cell r="AH1131" t="str">
            <v/>
          </cell>
          <cell r="AJ1131" t="str">
            <v/>
          </cell>
          <cell r="AL1131" t="str">
            <v/>
          </cell>
          <cell r="AM1131">
            <v>0</v>
          </cell>
          <cell r="AN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</row>
        <row r="1132">
          <cell r="C1132" t="str">
            <v>DWG</v>
          </cell>
          <cell r="H1132" t="str">
            <v>10-80-A0-SA-0007</v>
          </cell>
          <cell r="I1132" t="str">
            <v>Hydrant Coverage Area Plot Plan.</v>
          </cell>
          <cell r="M1132">
            <v>2.1399999999999999E-2</v>
          </cell>
          <cell r="P1132">
            <v>8.5599999999999999E-4</v>
          </cell>
          <cell r="Q1132" t="str">
            <v>D(PR)</v>
          </cell>
          <cell r="R1132">
            <v>1.8E-3</v>
          </cell>
          <cell r="T1132">
            <v>39406</v>
          </cell>
          <cell r="U1132" t="str">
            <v>*</v>
          </cell>
          <cell r="V1132" t="str">
            <v>2007-11</v>
          </cell>
          <cell r="AH1132" t="str">
            <v/>
          </cell>
          <cell r="AJ1132" t="str">
            <v/>
          </cell>
          <cell r="AL1132" t="str">
            <v/>
          </cell>
          <cell r="AM1132">
            <v>0</v>
          </cell>
          <cell r="AN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</row>
        <row r="1133">
          <cell r="C1133" t="str">
            <v>DWG</v>
          </cell>
          <cell r="H1133" t="str">
            <v>10-80-A0-SA-0008</v>
          </cell>
          <cell r="I1133" t="str">
            <v>Safety Device / Extinguisher out Door Arrangement Drawing.</v>
          </cell>
          <cell r="M1133">
            <v>2.5000000000000001E-2</v>
          </cell>
          <cell r="P1133">
            <v>1.0000000000000002E-3</v>
          </cell>
          <cell r="Q1133" t="str">
            <v>D(PI)</v>
          </cell>
          <cell r="R1133">
            <v>1.8E-3</v>
          </cell>
          <cell r="T1133">
            <v>39408</v>
          </cell>
          <cell r="U1133" t="str">
            <v>*</v>
          </cell>
          <cell r="V1133" t="str">
            <v>2007-11</v>
          </cell>
          <cell r="AH1133" t="str">
            <v/>
          </cell>
          <cell r="AJ1133" t="str">
            <v/>
          </cell>
          <cell r="AL1133" t="str">
            <v/>
          </cell>
          <cell r="AM1133">
            <v>0</v>
          </cell>
          <cell r="AN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</row>
        <row r="1134">
          <cell r="C1134" t="str">
            <v>DWG</v>
          </cell>
          <cell r="H1134" t="str">
            <v>10-80-A1-SA-0009</v>
          </cell>
          <cell r="I1134" t="str">
            <v>Cooling &amp; foam System , Piping Plan for Gas Oil Tank.</v>
          </cell>
          <cell r="M1134">
            <v>3.5700000000000003E-2</v>
          </cell>
          <cell r="P1134">
            <v>1.4280000000000002E-3</v>
          </cell>
          <cell r="Q1134" t="str">
            <v>L</v>
          </cell>
          <cell r="R1134">
            <v>1.8E-3</v>
          </cell>
          <cell r="T1134">
            <v>39488</v>
          </cell>
          <cell r="V1134" t="str">
            <v>2008-02</v>
          </cell>
          <cell r="AH1134" t="str">
            <v/>
          </cell>
          <cell r="AJ1134" t="str">
            <v/>
          </cell>
          <cell r="AL1134" t="str">
            <v/>
          </cell>
          <cell r="AM1134">
            <v>0</v>
          </cell>
          <cell r="AN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</row>
        <row r="1135">
          <cell r="C1135" t="str">
            <v>DWG</v>
          </cell>
          <cell r="H1135" t="str">
            <v>10-80-A2-SA-0012</v>
          </cell>
          <cell r="I1135" t="str">
            <v>Cooling &amp; Foam System Piping Isometric for Gas Oil Tank.</v>
          </cell>
          <cell r="M1135">
            <v>3.5700000000000003E-2</v>
          </cell>
          <cell r="P1135">
            <v>1.4280000000000002E-3</v>
          </cell>
          <cell r="Q1135" t="str">
            <v>L</v>
          </cell>
          <cell r="R1135">
            <v>1.2999999999999999E-3</v>
          </cell>
          <cell r="T1135">
            <v>39498</v>
          </cell>
          <cell r="V1135" t="str">
            <v>2008-02</v>
          </cell>
          <cell r="AH1135" t="str">
            <v/>
          </cell>
          <cell r="AJ1135" t="str">
            <v/>
          </cell>
          <cell r="AL1135" t="str">
            <v/>
          </cell>
          <cell r="AM1135">
            <v>0</v>
          </cell>
          <cell r="AN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</row>
        <row r="1136">
          <cell r="C1136" t="str">
            <v>DSH</v>
          </cell>
          <cell r="H1136" t="str">
            <v>10-80-DSH-SA-0001</v>
          </cell>
          <cell r="I1136" t="str">
            <v>Data Sheet for Water Hydrant</v>
          </cell>
          <cell r="M1136">
            <v>0.02</v>
          </cell>
          <cell r="P1136">
            <v>8.0000000000000004E-4</v>
          </cell>
          <cell r="R1136">
            <v>6.4999999999999997E-4</v>
          </cell>
          <cell r="V1136" t="str">
            <v>ارسال شده</v>
          </cell>
          <cell r="W1136">
            <v>0</v>
          </cell>
          <cell r="X1136">
            <v>87</v>
          </cell>
          <cell r="Y1136" t="str">
            <v>18-08-07</v>
          </cell>
          <cell r="Z1136" t="str">
            <v>F-0157</v>
          </cell>
          <cell r="AA1136" t="str">
            <v>19-08-07</v>
          </cell>
          <cell r="AG1136" t="str">
            <v>GBT</v>
          </cell>
          <cell r="AH1136" t="str">
            <v>x</v>
          </cell>
          <cell r="AJ1136" t="str">
            <v/>
          </cell>
          <cell r="AL1136" t="str">
            <v/>
          </cell>
          <cell r="AM1136">
            <v>0.45</v>
          </cell>
          <cell r="AN1136">
            <v>2.9250000000000001E-4</v>
          </cell>
          <cell r="AQ1136">
            <v>3.6000000000000002E-4</v>
          </cell>
          <cell r="AR1136">
            <v>2.9250000000000001E-4</v>
          </cell>
          <cell r="AS1136">
            <v>45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45</v>
          </cell>
        </row>
        <row r="1137">
          <cell r="C1137" t="str">
            <v>DSH</v>
          </cell>
          <cell r="H1137" t="str">
            <v>10-80-DSH-SA-0003</v>
          </cell>
          <cell r="I1137" t="str">
            <v>Data Sheet for CO2 Portable Extinguisher.</v>
          </cell>
          <cell r="M1137">
            <v>0.02</v>
          </cell>
          <cell r="P1137">
            <v>8.0000000000000004E-4</v>
          </cell>
          <cell r="R1137">
            <v>6.4999999999999997E-4</v>
          </cell>
          <cell r="V1137" t="str">
            <v>ارسال شده</v>
          </cell>
          <cell r="W1137">
            <v>0</v>
          </cell>
          <cell r="X1137">
            <v>18</v>
          </cell>
          <cell r="Y1137" t="str">
            <v>12-06-07</v>
          </cell>
          <cell r="Z1137" t="str">
            <v>F-0142</v>
          </cell>
          <cell r="AA1137" t="str">
            <v>09-08-07</v>
          </cell>
          <cell r="AG1137" t="str">
            <v>GBT</v>
          </cell>
          <cell r="AH1137" t="str">
            <v>x</v>
          </cell>
          <cell r="AJ1137" t="str">
            <v/>
          </cell>
          <cell r="AL1137" t="str">
            <v/>
          </cell>
          <cell r="AM1137">
            <v>0.45</v>
          </cell>
          <cell r="AN1137">
            <v>2.9250000000000001E-4</v>
          </cell>
          <cell r="AQ1137">
            <v>3.6000000000000002E-4</v>
          </cell>
          <cell r="AR1137">
            <v>2.9250000000000001E-4</v>
          </cell>
          <cell r="AS1137">
            <v>45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45</v>
          </cell>
        </row>
        <row r="1138">
          <cell r="C1138" t="str">
            <v>DSH</v>
          </cell>
          <cell r="H1138" t="str">
            <v>10-80-DSH-SA-0004</v>
          </cell>
          <cell r="I1138" t="str">
            <v>Data Sheet for Water Hose Reel Wall Mounted</v>
          </cell>
          <cell r="M1138">
            <v>0.02</v>
          </cell>
          <cell r="P1138">
            <v>8.0000000000000004E-4</v>
          </cell>
          <cell r="Q1138" t="str">
            <v>I</v>
          </cell>
          <cell r="R1138">
            <v>6.4999999999999997E-4</v>
          </cell>
          <cell r="T1138">
            <v>39413</v>
          </cell>
          <cell r="U1138" t="str">
            <v>*</v>
          </cell>
          <cell r="V1138" t="str">
            <v>2007-11</v>
          </cell>
          <cell r="AH1138" t="str">
            <v/>
          </cell>
          <cell r="AJ1138" t="str">
            <v/>
          </cell>
          <cell r="AL1138" t="str">
            <v/>
          </cell>
          <cell r="AM1138">
            <v>0</v>
          </cell>
          <cell r="AN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</row>
        <row r="1139">
          <cell r="C1139" t="str">
            <v>DSH</v>
          </cell>
          <cell r="H1139" t="str">
            <v>10-80-DSH-SA-0005</v>
          </cell>
          <cell r="I1139" t="str">
            <v>Data Sheet for Foam System .</v>
          </cell>
          <cell r="M1139">
            <v>0.02</v>
          </cell>
          <cell r="P1139">
            <v>8.0000000000000004E-4</v>
          </cell>
          <cell r="Q1139" t="str">
            <v>D(PR)</v>
          </cell>
          <cell r="R1139">
            <v>6.4999999999999997E-4</v>
          </cell>
          <cell r="T1139">
            <v>39411</v>
          </cell>
          <cell r="U1139" t="str">
            <v>*</v>
          </cell>
          <cell r="V1139" t="str">
            <v>2007-11</v>
          </cell>
          <cell r="AH1139" t="str">
            <v/>
          </cell>
          <cell r="AJ1139" t="str">
            <v/>
          </cell>
          <cell r="AL1139" t="str">
            <v/>
          </cell>
          <cell r="AM1139">
            <v>0</v>
          </cell>
          <cell r="AN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</row>
        <row r="1140">
          <cell r="C1140" t="str">
            <v>DSH</v>
          </cell>
          <cell r="H1140" t="str">
            <v>10-80-DSH-SA-0006</v>
          </cell>
          <cell r="I1140" t="str">
            <v>Data Sheet for deluge System.</v>
          </cell>
          <cell r="M1140">
            <v>0.02</v>
          </cell>
          <cell r="P1140">
            <v>8.0000000000000004E-4</v>
          </cell>
          <cell r="Q1140" t="str">
            <v>D(PR)</v>
          </cell>
          <cell r="R1140">
            <v>6.4999999999999997E-4</v>
          </cell>
          <cell r="T1140">
            <v>39413</v>
          </cell>
          <cell r="U1140" t="str">
            <v>*</v>
          </cell>
          <cell r="V1140" t="str">
            <v>2007-11</v>
          </cell>
          <cell r="AH1140" t="str">
            <v/>
          </cell>
          <cell r="AJ1140" t="str">
            <v/>
          </cell>
          <cell r="AL1140" t="str">
            <v/>
          </cell>
          <cell r="AM1140">
            <v>0</v>
          </cell>
          <cell r="AN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</row>
        <row r="1141">
          <cell r="C1141" t="str">
            <v>DSH</v>
          </cell>
          <cell r="H1141" t="str">
            <v>10-80-DSH-SA-0013</v>
          </cell>
          <cell r="I1141" t="str">
            <v>Data Sheet for Water Hose Reel Stand Mounted</v>
          </cell>
          <cell r="M1141">
            <v>0.02</v>
          </cell>
          <cell r="P1141">
            <v>8.0000000000000004E-4</v>
          </cell>
          <cell r="R1141">
            <v>1E-3</v>
          </cell>
          <cell r="T1141">
            <v>39400</v>
          </cell>
          <cell r="U1141" t="str">
            <v>*</v>
          </cell>
          <cell r="V1141" t="str">
            <v>2007-11</v>
          </cell>
          <cell r="AH1141" t="str">
            <v/>
          </cell>
          <cell r="AJ1141" t="str">
            <v/>
          </cell>
          <cell r="AL1141" t="str">
            <v/>
          </cell>
          <cell r="AM1141">
            <v>0</v>
          </cell>
          <cell r="AN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</row>
        <row r="1142">
          <cell r="H1142" t="str">
            <v>10-80-DSH-SA-0014</v>
          </cell>
          <cell r="I1142" t="str">
            <v>Data Sheet for Aragonite Fire Extinguishing System</v>
          </cell>
          <cell r="M1142">
            <v>0.02</v>
          </cell>
          <cell r="Q1142" t="str">
            <v>I</v>
          </cell>
          <cell r="R1142">
            <v>6.4999999999999997E-4</v>
          </cell>
          <cell r="S1142" t="str">
            <v>Add</v>
          </cell>
          <cell r="V1142" t="str">
            <v>ارسال شده</v>
          </cell>
          <cell r="W1142">
            <v>0</v>
          </cell>
          <cell r="X1142">
            <v>187</v>
          </cell>
          <cell r="Y1142" t="str">
            <v>25-10-07</v>
          </cell>
          <cell r="Z1142" t="str">
            <v>F-0295</v>
          </cell>
          <cell r="AA1142" t="str">
            <v>12-11-07</v>
          </cell>
          <cell r="AG1142" t="str">
            <v>GBT</v>
          </cell>
          <cell r="AH1142" t="str">
            <v>x</v>
          </cell>
          <cell r="AM1142">
            <v>0.45</v>
          </cell>
          <cell r="AN1142">
            <v>2.9250000000000001E-4</v>
          </cell>
          <cell r="AQ1142">
            <v>0</v>
          </cell>
          <cell r="AR1142">
            <v>2.9250000000000001E-4</v>
          </cell>
          <cell r="AS1142">
            <v>45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45</v>
          </cell>
        </row>
        <row r="1143">
          <cell r="C1143" t="str">
            <v>DSH</v>
          </cell>
          <cell r="H1143" t="str">
            <v>10-80-DSH-SA-0007</v>
          </cell>
          <cell r="I1143" t="str">
            <v>Data Sheet for Water Monitor</v>
          </cell>
          <cell r="M1143">
            <v>0.02</v>
          </cell>
          <cell r="P1143">
            <v>8.0000000000000004E-4</v>
          </cell>
          <cell r="R1143">
            <v>6.4999999999999997E-4</v>
          </cell>
          <cell r="V1143" t="str">
            <v>ارسال شده</v>
          </cell>
          <cell r="W1143">
            <v>0</v>
          </cell>
          <cell r="X1143">
            <v>87</v>
          </cell>
          <cell r="Y1143" t="str">
            <v>18-08-07</v>
          </cell>
          <cell r="Z1143" t="str">
            <v>F-0157</v>
          </cell>
          <cell r="AA1143" t="str">
            <v>19-08-07</v>
          </cell>
          <cell r="AG1143" t="str">
            <v>GBT</v>
          </cell>
          <cell r="AH1143" t="str">
            <v>x</v>
          </cell>
          <cell r="AJ1143" t="str">
            <v/>
          </cell>
          <cell r="AL1143" t="str">
            <v/>
          </cell>
          <cell r="AM1143">
            <v>0.45</v>
          </cell>
          <cell r="AN1143">
            <v>2.9250000000000001E-4</v>
          </cell>
          <cell r="AQ1143">
            <v>3.6000000000000002E-4</v>
          </cell>
          <cell r="AR1143">
            <v>2.9250000000000001E-4</v>
          </cell>
          <cell r="AS1143">
            <v>45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45</v>
          </cell>
        </row>
        <row r="1144">
          <cell r="C1144" t="str">
            <v>DSH</v>
          </cell>
          <cell r="H1144" t="str">
            <v>10-80-DSH-SA-0008</v>
          </cell>
          <cell r="I1144" t="str">
            <v>Data Sheet for CO2 Wheeled Extinguisher</v>
          </cell>
          <cell r="M1144">
            <v>0.02</v>
          </cell>
          <cell r="P1144">
            <v>8.0000000000000004E-4</v>
          </cell>
          <cell r="R1144">
            <v>6.4999999999999997E-4</v>
          </cell>
          <cell r="V1144" t="str">
            <v>ارسال شده</v>
          </cell>
          <cell r="W1144">
            <v>0</v>
          </cell>
          <cell r="X1144">
            <v>18</v>
          </cell>
          <cell r="Y1144" t="str">
            <v>12-06-07</v>
          </cell>
          <cell r="Z1144" t="str">
            <v>F-0142</v>
          </cell>
          <cell r="AA1144" t="str">
            <v>09-08-07</v>
          </cell>
          <cell r="AG1144" t="str">
            <v>GBT</v>
          </cell>
          <cell r="AH1144" t="str">
            <v>x</v>
          </cell>
          <cell r="AJ1144" t="str">
            <v/>
          </cell>
          <cell r="AL1144" t="str">
            <v/>
          </cell>
          <cell r="AM1144">
            <v>0.45</v>
          </cell>
          <cell r="AN1144">
            <v>2.9250000000000001E-4</v>
          </cell>
          <cell r="AQ1144">
            <v>3.6000000000000002E-4</v>
          </cell>
          <cell r="AR1144">
            <v>2.9250000000000001E-4</v>
          </cell>
          <cell r="AS1144">
            <v>45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45</v>
          </cell>
        </row>
        <row r="1145">
          <cell r="C1145" t="str">
            <v>DSH</v>
          </cell>
          <cell r="H1145" t="str">
            <v>10-80-DSH-SA-0009</v>
          </cell>
          <cell r="I1145" t="str">
            <v>Data Sheet for Dry Chemical Portable Extinguisher</v>
          </cell>
          <cell r="M1145">
            <v>0.02</v>
          </cell>
          <cell r="P1145">
            <v>8.0000000000000004E-4</v>
          </cell>
          <cell r="R1145">
            <v>6.4999999999999997E-4</v>
          </cell>
          <cell r="V1145" t="str">
            <v>ارسال شده</v>
          </cell>
          <cell r="W1145">
            <v>0</v>
          </cell>
          <cell r="X1145">
            <v>18</v>
          </cell>
          <cell r="Y1145" t="str">
            <v>12-06-07</v>
          </cell>
          <cell r="Z1145" t="str">
            <v>F-0142</v>
          </cell>
          <cell r="AA1145" t="str">
            <v>09-08-07</v>
          </cell>
          <cell r="AG1145" t="str">
            <v>GBT</v>
          </cell>
          <cell r="AH1145" t="str">
            <v>x</v>
          </cell>
          <cell r="AJ1145" t="str">
            <v/>
          </cell>
          <cell r="AL1145" t="str">
            <v/>
          </cell>
          <cell r="AM1145">
            <v>0.45</v>
          </cell>
          <cell r="AN1145">
            <v>2.9250000000000001E-4</v>
          </cell>
          <cell r="AQ1145">
            <v>3.6000000000000002E-4</v>
          </cell>
          <cell r="AR1145">
            <v>2.9250000000000001E-4</v>
          </cell>
          <cell r="AS1145">
            <v>45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45</v>
          </cell>
        </row>
        <row r="1146">
          <cell r="C1146" t="str">
            <v>DSH</v>
          </cell>
          <cell r="H1146" t="str">
            <v>10-80-DSH-SA-0010</v>
          </cell>
          <cell r="I1146" t="str">
            <v>Data Sheet for Dry Chemical Wheeled Extinguisher</v>
          </cell>
          <cell r="M1146">
            <v>0.02</v>
          </cell>
          <cell r="P1146">
            <v>8.0000000000000004E-4</v>
          </cell>
          <cell r="R1146">
            <v>6.4999999999999997E-4</v>
          </cell>
          <cell r="V1146" t="str">
            <v>ارسال شده</v>
          </cell>
          <cell r="W1146">
            <v>0</v>
          </cell>
          <cell r="X1146">
            <v>18</v>
          </cell>
          <cell r="Y1146" t="str">
            <v>12-06-07</v>
          </cell>
          <cell r="Z1146" t="str">
            <v>F-0142</v>
          </cell>
          <cell r="AA1146" t="str">
            <v>09-08-07</v>
          </cell>
          <cell r="AG1146" t="str">
            <v>GBT</v>
          </cell>
          <cell r="AH1146" t="str">
            <v>x</v>
          </cell>
          <cell r="AJ1146" t="str">
            <v/>
          </cell>
          <cell r="AL1146" t="str">
            <v/>
          </cell>
          <cell r="AM1146">
            <v>0.45</v>
          </cell>
          <cell r="AN1146">
            <v>2.9250000000000001E-4</v>
          </cell>
          <cell r="AQ1146">
            <v>3.6000000000000002E-4</v>
          </cell>
          <cell r="AR1146">
            <v>2.9250000000000001E-4</v>
          </cell>
          <cell r="AS1146">
            <v>45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45</v>
          </cell>
        </row>
        <row r="1147">
          <cell r="C1147" t="str">
            <v>DSH</v>
          </cell>
          <cell r="H1147" t="str">
            <v>10-80-DSH-SA-0011</v>
          </cell>
          <cell r="I1147" t="str">
            <v>Data Sheet for Hose Box</v>
          </cell>
          <cell r="M1147">
            <v>1.4999999999999999E-2</v>
          </cell>
          <cell r="P1147">
            <v>6.0000000000000006E-4</v>
          </cell>
          <cell r="Q1147" t="str">
            <v>I</v>
          </cell>
          <cell r="R1147">
            <v>6.4999999999999997E-4</v>
          </cell>
          <cell r="T1147">
            <v>39408</v>
          </cell>
          <cell r="U1147" t="str">
            <v>*</v>
          </cell>
          <cell r="V1147" t="str">
            <v>2007-11</v>
          </cell>
          <cell r="AH1147" t="str">
            <v/>
          </cell>
          <cell r="AJ1147" t="str">
            <v/>
          </cell>
          <cell r="AL1147" t="str">
            <v/>
          </cell>
          <cell r="AM1147">
            <v>0</v>
          </cell>
          <cell r="AN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</row>
        <row r="1148">
          <cell r="C1148" t="str">
            <v>DSH</v>
          </cell>
          <cell r="H1148" t="str">
            <v>10-80-DSH-SA-0012</v>
          </cell>
          <cell r="I1148" t="str">
            <v>Data Sheet for Safety Shower and Eye Wash</v>
          </cell>
          <cell r="M1148">
            <v>1.4999999999999999E-2</v>
          </cell>
          <cell r="P1148">
            <v>6.0000000000000006E-4</v>
          </cell>
          <cell r="Q1148" t="str">
            <v>I</v>
          </cell>
          <cell r="R1148">
            <v>6.4999999999999997E-4</v>
          </cell>
          <cell r="T1148">
            <v>39412</v>
          </cell>
          <cell r="U1148" t="str">
            <v>*</v>
          </cell>
          <cell r="V1148" t="str">
            <v>2007-11</v>
          </cell>
          <cell r="AH1148" t="str">
            <v/>
          </cell>
          <cell r="AJ1148" t="str">
            <v/>
          </cell>
          <cell r="AL1148" t="str">
            <v/>
          </cell>
          <cell r="AM1148">
            <v>0</v>
          </cell>
          <cell r="AN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</row>
        <row r="1149">
          <cell r="C1149" t="str">
            <v>CLS</v>
          </cell>
          <cell r="H1149" t="str">
            <v>10-80-CSH-SA-0001</v>
          </cell>
          <cell r="I1149" t="str">
            <v>Fire Water Hydraulic Calculation.</v>
          </cell>
          <cell r="M1149">
            <v>2.8400000000000002E-2</v>
          </cell>
          <cell r="P1149">
            <v>1.1360000000000003E-3</v>
          </cell>
          <cell r="Q1149" t="str">
            <v>D(PR,PI)</v>
          </cell>
          <cell r="R1149">
            <v>3.0000000000000001E-3</v>
          </cell>
          <cell r="T1149">
            <v>39417</v>
          </cell>
          <cell r="U1149" t="str">
            <v>*</v>
          </cell>
          <cell r="V1149" t="str">
            <v>2007-12</v>
          </cell>
          <cell r="AH1149" t="str">
            <v/>
          </cell>
          <cell r="AJ1149" t="str">
            <v/>
          </cell>
          <cell r="AL1149" t="str">
            <v/>
          </cell>
          <cell r="AM1149">
            <v>0</v>
          </cell>
          <cell r="AN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</row>
        <row r="1150">
          <cell r="C1150" t="str">
            <v>CLS</v>
          </cell>
          <cell r="H1150" t="str">
            <v>10-80-CSH-SA-0002</v>
          </cell>
          <cell r="I1150" t="str">
            <v>Cooling &amp; Foam System Hydraulic Calculation.</v>
          </cell>
          <cell r="M1150">
            <v>0.02</v>
          </cell>
          <cell r="P1150">
            <v>8.0000000000000004E-4</v>
          </cell>
          <cell r="Q1150" t="str">
            <v>D(PR,PI)</v>
          </cell>
          <cell r="R1150">
            <v>1.5E-3</v>
          </cell>
          <cell r="T1150">
            <v>39426</v>
          </cell>
          <cell r="U1150" t="str">
            <v>*</v>
          </cell>
          <cell r="V1150" t="str">
            <v>2007-12</v>
          </cell>
          <cell r="AH1150" t="str">
            <v/>
          </cell>
          <cell r="AJ1150" t="str">
            <v/>
          </cell>
          <cell r="AL1150" t="str">
            <v/>
          </cell>
          <cell r="AM1150">
            <v>0</v>
          </cell>
          <cell r="AN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</row>
        <row r="1151">
          <cell r="C1151" t="str">
            <v>DWG</v>
          </cell>
          <cell r="H1151" t="str">
            <v>10-80-A2-SA-0015</v>
          </cell>
          <cell r="I1151" t="str">
            <v>Fire Extinguisher Arrangement and Piping Plan for Stand Pipe System in Central Control Building.</v>
          </cell>
          <cell r="M1151">
            <v>1.4999999999999999E-2</v>
          </cell>
          <cell r="P1151">
            <v>6.0000000000000006E-4</v>
          </cell>
          <cell r="Q1151" t="str">
            <v>D(CI)</v>
          </cell>
          <cell r="R1151">
            <v>5.0000000000000001E-4</v>
          </cell>
          <cell r="T1151">
            <v>39406</v>
          </cell>
          <cell r="U1151" t="str">
            <v>*</v>
          </cell>
          <cell r="V1151" t="str">
            <v>2007-11</v>
          </cell>
          <cell r="AH1151" t="str">
            <v/>
          </cell>
          <cell r="AJ1151" t="str">
            <v/>
          </cell>
          <cell r="AL1151" t="str">
            <v/>
          </cell>
          <cell r="AM1151">
            <v>0</v>
          </cell>
          <cell r="AN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</row>
        <row r="1152">
          <cell r="C1152" t="str">
            <v>DWG</v>
          </cell>
          <cell r="H1152" t="str">
            <v>10-80-A2-SA-0016</v>
          </cell>
          <cell r="I1152" t="str">
            <v>Isometric Piping for stand Pipe System in Central Control Building.</v>
          </cell>
          <cell r="M1152">
            <v>1.4999999999999999E-2</v>
          </cell>
          <cell r="P1152">
            <v>6.0000000000000006E-4</v>
          </cell>
          <cell r="Q1152" t="str">
            <v>D(CI)</v>
          </cell>
          <cell r="R1152">
            <v>4.0999999999999999E-4</v>
          </cell>
          <cell r="T1152">
            <v>39423</v>
          </cell>
          <cell r="U1152" t="str">
            <v>*</v>
          </cell>
          <cell r="V1152" t="str">
            <v>2007-12</v>
          </cell>
          <cell r="AH1152" t="str">
            <v/>
          </cell>
          <cell r="AJ1152" t="str">
            <v/>
          </cell>
          <cell r="AL1152" t="str">
            <v/>
          </cell>
          <cell r="AM1152">
            <v>0</v>
          </cell>
          <cell r="AN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</row>
        <row r="1153">
          <cell r="C1153" t="str">
            <v>DWG</v>
          </cell>
          <cell r="H1153" t="str">
            <v>10-80-A3-SA-0017</v>
          </cell>
          <cell r="I1153" t="str">
            <v>Fire Extinguisher Arrangement and Piping Plan for Stand Pipe System in Fire Station Building.</v>
          </cell>
          <cell r="M1153">
            <v>0.02</v>
          </cell>
          <cell r="P1153">
            <v>8.0000000000000004E-4</v>
          </cell>
          <cell r="Q1153" t="str">
            <v>D(CI)</v>
          </cell>
          <cell r="R1153">
            <v>5.0000000000000001E-4</v>
          </cell>
          <cell r="T1153">
            <v>39421</v>
          </cell>
          <cell r="U1153" t="str">
            <v>*</v>
          </cell>
          <cell r="V1153" t="str">
            <v>2007-12</v>
          </cell>
          <cell r="AH1153" t="str">
            <v/>
          </cell>
          <cell r="AJ1153" t="str">
            <v/>
          </cell>
          <cell r="AL1153" t="str">
            <v/>
          </cell>
          <cell r="AM1153">
            <v>0</v>
          </cell>
          <cell r="AN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</row>
        <row r="1154">
          <cell r="C1154" t="str">
            <v>DWG</v>
          </cell>
          <cell r="H1154" t="str">
            <v>10-80-A3-SA-0018</v>
          </cell>
          <cell r="I1154" t="str">
            <v>Isometric Piping for Stand Pipe System in fire Station building.</v>
          </cell>
          <cell r="M1154">
            <v>0.02</v>
          </cell>
          <cell r="P1154">
            <v>8.0000000000000004E-4</v>
          </cell>
          <cell r="Q1154" t="str">
            <v>D(CI)</v>
          </cell>
          <cell r="R1154">
            <v>4.0999999999999999E-4</v>
          </cell>
          <cell r="T1154">
            <v>39431</v>
          </cell>
          <cell r="U1154" t="str">
            <v>*</v>
          </cell>
          <cell r="V1154" t="str">
            <v>2007-12</v>
          </cell>
          <cell r="AH1154" t="str">
            <v/>
          </cell>
          <cell r="AJ1154" t="str">
            <v/>
          </cell>
          <cell r="AL1154" t="str">
            <v/>
          </cell>
          <cell r="AM1154">
            <v>0</v>
          </cell>
          <cell r="AN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</row>
        <row r="1155">
          <cell r="C1155" t="str">
            <v>DWG</v>
          </cell>
          <cell r="H1155" t="str">
            <v>10-80-A3-SA-0019</v>
          </cell>
          <cell r="I1155" t="str">
            <v>Fire Extinguisher Arrangement and Piping Plan for stand Pipe System in laboratory Building.</v>
          </cell>
          <cell r="M1155">
            <v>0.02</v>
          </cell>
          <cell r="P1155">
            <v>8.0000000000000004E-4</v>
          </cell>
          <cell r="Q1155" t="str">
            <v>D(CI)</v>
          </cell>
          <cell r="R1155">
            <v>5.0000000000000001E-4</v>
          </cell>
          <cell r="T1155">
            <v>39436</v>
          </cell>
          <cell r="U1155" t="str">
            <v>*</v>
          </cell>
          <cell r="V1155" t="str">
            <v>2007-12</v>
          </cell>
          <cell r="AH1155" t="str">
            <v/>
          </cell>
          <cell r="AJ1155" t="str">
            <v/>
          </cell>
          <cell r="AL1155" t="str">
            <v/>
          </cell>
          <cell r="AM1155">
            <v>0</v>
          </cell>
          <cell r="AN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</row>
        <row r="1156">
          <cell r="C1156" t="str">
            <v>DWG</v>
          </cell>
          <cell r="H1156" t="str">
            <v>10-80-A3-SA-0020</v>
          </cell>
          <cell r="I1156" t="str">
            <v>Isometric Piping for Stand Pipe System in laboratory Building.</v>
          </cell>
          <cell r="M1156">
            <v>1.7999999999999999E-2</v>
          </cell>
          <cell r="P1156">
            <v>7.2000000000000005E-4</v>
          </cell>
          <cell r="Q1156" t="str">
            <v>D(CI)</v>
          </cell>
          <cell r="R1156">
            <v>4.0999999999999999E-4</v>
          </cell>
          <cell r="T1156">
            <v>39437</v>
          </cell>
          <cell r="U1156" t="str">
            <v>*</v>
          </cell>
          <cell r="V1156" t="str">
            <v>2007-12</v>
          </cell>
          <cell r="AH1156" t="str">
            <v/>
          </cell>
          <cell r="AJ1156" t="str">
            <v/>
          </cell>
          <cell r="AL1156" t="str">
            <v/>
          </cell>
          <cell r="AM1156">
            <v>0</v>
          </cell>
          <cell r="AN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</row>
        <row r="1157">
          <cell r="C1157" t="str">
            <v>DWG</v>
          </cell>
          <cell r="H1157" t="str">
            <v>10-80-A3-SA-0021</v>
          </cell>
          <cell r="I1157" t="str">
            <v>Isometric Piping for Power Transformers Cooling System</v>
          </cell>
          <cell r="M1157">
            <v>1.7899999999999999E-2</v>
          </cell>
          <cell r="P1157">
            <v>7.1600000000000006E-4</v>
          </cell>
          <cell r="Q1157" t="str">
            <v>D(CI)</v>
          </cell>
          <cell r="R1157">
            <v>6.4999999999999997E-4</v>
          </cell>
          <cell r="T1157">
            <v>39446</v>
          </cell>
          <cell r="U1157" t="str">
            <v>*</v>
          </cell>
          <cell r="V1157" t="str">
            <v>2007-12</v>
          </cell>
          <cell r="AH1157" t="str">
            <v/>
          </cell>
          <cell r="AJ1157" t="str">
            <v/>
          </cell>
          <cell r="AL1157" t="str">
            <v/>
          </cell>
          <cell r="AM1157">
            <v>0</v>
          </cell>
          <cell r="AN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</row>
        <row r="1158">
          <cell r="C1158" t="str">
            <v>DWG</v>
          </cell>
          <cell r="H1158" t="str">
            <v>10-80-A3-SA-0025</v>
          </cell>
          <cell r="I1158" t="str">
            <v>Fire Extinguisher Arrangement and Piping Plan for Stand Pipe System in Boiler Room/Pump House</v>
          </cell>
          <cell r="M1158">
            <v>1.43E-2</v>
          </cell>
          <cell r="P1158">
            <v>5.7200000000000003E-4</v>
          </cell>
          <cell r="Q1158" t="str">
            <v>L</v>
          </cell>
          <cell r="R1158">
            <v>5.0000000000000001E-4</v>
          </cell>
          <cell r="T1158">
            <v>39452</v>
          </cell>
          <cell r="V1158" t="str">
            <v>2008-01</v>
          </cell>
          <cell r="AH1158" t="str">
            <v/>
          </cell>
          <cell r="AJ1158" t="str">
            <v/>
          </cell>
          <cell r="AL1158" t="str">
            <v/>
          </cell>
          <cell r="AM1158">
            <v>0</v>
          </cell>
          <cell r="AN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</row>
        <row r="1159">
          <cell r="C1159" t="str">
            <v>DWG</v>
          </cell>
          <cell r="H1159" t="str">
            <v>10-80-A3-SA-0026</v>
          </cell>
          <cell r="I1159" t="str">
            <v>Isometric Piping for Stand Pipe System in Boiler Room/Pump House</v>
          </cell>
          <cell r="M1159">
            <v>1.0699999999999999E-2</v>
          </cell>
          <cell r="P1159">
            <v>4.28E-4</v>
          </cell>
          <cell r="Q1159" t="str">
            <v>L</v>
          </cell>
          <cell r="R1159">
            <v>4.0999999999999999E-4</v>
          </cell>
          <cell r="T1159">
            <v>39457</v>
          </cell>
          <cell r="V1159" t="str">
            <v>2008-01</v>
          </cell>
          <cell r="AH1159" t="str">
            <v/>
          </cell>
          <cell r="AJ1159" t="str">
            <v/>
          </cell>
          <cell r="AL1159" t="str">
            <v/>
          </cell>
          <cell r="AM1159">
            <v>0</v>
          </cell>
          <cell r="AN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</row>
        <row r="1160">
          <cell r="C1160" t="str">
            <v>DWG</v>
          </cell>
          <cell r="H1160" t="str">
            <v>10-80-A3-SA-0027</v>
          </cell>
          <cell r="I1160" t="str">
            <v>Fire Extinguisher Arrangement and Piping Plan for Stand Pipe System in Pretreatment  building.</v>
          </cell>
          <cell r="M1160">
            <v>1.43E-2</v>
          </cell>
          <cell r="P1160">
            <v>5.7200000000000003E-4</v>
          </cell>
          <cell r="Q1160" t="str">
            <v>L</v>
          </cell>
          <cell r="R1160">
            <v>5.0000000000000001E-4</v>
          </cell>
          <cell r="T1160">
            <v>39454</v>
          </cell>
          <cell r="V1160" t="str">
            <v>2008-01</v>
          </cell>
          <cell r="AH1160" t="str">
            <v/>
          </cell>
          <cell r="AJ1160" t="str">
            <v/>
          </cell>
          <cell r="AL1160" t="str">
            <v/>
          </cell>
          <cell r="AM1160">
            <v>0</v>
          </cell>
          <cell r="AN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</row>
        <row r="1161">
          <cell r="C1161" t="str">
            <v>DWG</v>
          </cell>
          <cell r="H1161" t="str">
            <v>10-80-A3-SA-0028</v>
          </cell>
          <cell r="I1161" t="str">
            <v>Isometric Piping for Stand Pipe System in Pretreatment Building.</v>
          </cell>
          <cell r="M1161">
            <v>1.0699999999999999E-2</v>
          </cell>
          <cell r="P1161">
            <v>4.28E-4</v>
          </cell>
          <cell r="Q1161" t="str">
            <v>L</v>
          </cell>
          <cell r="R1161">
            <v>4.0999999999999999E-4</v>
          </cell>
          <cell r="T1161">
            <v>39462</v>
          </cell>
          <cell r="V1161" t="str">
            <v>2008-01</v>
          </cell>
          <cell r="AH1161" t="str">
            <v/>
          </cell>
          <cell r="AJ1161" t="str">
            <v/>
          </cell>
          <cell r="AL1161" t="str">
            <v/>
          </cell>
          <cell r="AM1161">
            <v>0</v>
          </cell>
          <cell r="AN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</row>
        <row r="1162">
          <cell r="C1162" t="str">
            <v>DWG</v>
          </cell>
          <cell r="H1162" t="str">
            <v>10-80-A3-SA-0029</v>
          </cell>
          <cell r="I1162" t="str">
            <v>Fire Extinguisher Arrangement and Piping Plan for Stand Pipe System in Posttreatment Building.</v>
          </cell>
          <cell r="M1162">
            <v>1.43E-2</v>
          </cell>
          <cell r="P1162">
            <v>5.7200000000000003E-4</v>
          </cell>
          <cell r="Q1162" t="str">
            <v>L</v>
          </cell>
          <cell r="R1162">
            <v>5.0000000000000001E-4</v>
          </cell>
          <cell r="T1162">
            <v>39465</v>
          </cell>
          <cell r="V1162" t="str">
            <v>2008-01</v>
          </cell>
          <cell r="AH1162" t="str">
            <v/>
          </cell>
          <cell r="AJ1162" t="str">
            <v/>
          </cell>
          <cell r="AL1162" t="str">
            <v/>
          </cell>
          <cell r="AM1162">
            <v>0</v>
          </cell>
          <cell r="AN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</row>
        <row r="1163">
          <cell r="C1163" t="str">
            <v>DWG</v>
          </cell>
          <cell r="H1163" t="str">
            <v>10-80-A3-SA-0030</v>
          </cell>
          <cell r="I1163" t="str">
            <v>Isometric Piping for Stand Pipe System in Posttreatment Building.</v>
          </cell>
          <cell r="M1163">
            <v>1.0699999999999999E-2</v>
          </cell>
          <cell r="P1163">
            <v>4.28E-4</v>
          </cell>
          <cell r="Q1163" t="str">
            <v>L</v>
          </cell>
          <cell r="R1163">
            <v>4.0999999999999999E-4</v>
          </cell>
          <cell r="T1163">
            <v>39467</v>
          </cell>
          <cell r="V1163" t="str">
            <v>2008-01</v>
          </cell>
          <cell r="AH1163" t="str">
            <v/>
          </cell>
          <cell r="AJ1163" t="str">
            <v/>
          </cell>
          <cell r="AL1163" t="str">
            <v/>
          </cell>
          <cell r="AM1163">
            <v>0</v>
          </cell>
          <cell r="AN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</row>
        <row r="1164">
          <cell r="C1164" t="str">
            <v>DWG</v>
          </cell>
          <cell r="H1164" t="str">
            <v>10-80-A3-SA-0031</v>
          </cell>
          <cell r="I1164" t="str">
            <v>Fire Extinguisher Arrangement and Piping Plan for Stand Pipe System in Waste Water Treatment Building</v>
          </cell>
          <cell r="M1164">
            <v>1.43E-2</v>
          </cell>
          <cell r="P1164">
            <v>5.7200000000000003E-4</v>
          </cell>
          <cell r="Q1164" t="str">
            <v>L</v>
          </cell>
          <cell r="R1164">
            <v>5.0000000000000001E-4</v>
          </cell>
          <cell r="T1164">
            <v>39466</v>
          </cell>
          <cell r="V1164" t="str">
            <v>2008-01</v>
          </cell>
          <cell r="AH1164" t="str">
            <v/>
          </cell>
          <cell r="AJ1164" t="str">
            <v/>
          </cell>
          <cell r="AL1164" t="str">
            <v/>
          </cell>
          <cell r="AM1164">
            <v>0</v>
          </cell>
          <cell r="AN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</row>
        <row r="1165">
          <cell r="C1165" t="str">
            <v>DWG</v>
          </cell>
          <cell r="H1165" t="str">
            <v>10-80-A3-SA-0032</v>
          </cell>
          <cell r="I1165" t="str">
            <v>Isometric Piping for Stand Pipe System in waste Water Treatment Building</v>
          </cell>
          <cell r="M1165">
            <v>1.0699999999999999E-2</v>
          </cell>
          <cell r="P1165">
            <v>4.28E-4</v>
          </cell>
          <cell r="Q1165" t="str">
            <v>L</v>
          </cell>
          <cell r="R1165">
            <v>4.0999999999999999E-4</v>
          </cell>
          <cell r="T1165">
            <v>39468</v>
          </cell>
          <cell r="V1165" t="str">
            <v>2008-01</v>
          </cell>
          <cell r="AH1165" t="str">
            <v/>
          </cell>
          <cell r="AJ1165" t="str">
            <v/>
          </cell>
          <cell r="AL1165" t="str">
            <v/>
          </cell>
          <cell r="AM1165">
            <v>0</v>
          </cell>
          <cell r="AN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</row>
        <row r="1166">
          <cell r="C1166" t="str">
            <v>DWG</v>
          </cell>
          <cell r="H1166" t="str">
            <v>10-80-A3-SA-0035</v>
          </cell>
          <cell r="I1166" t="str">
            <v>Fire Extinguisher Arrangement and Piping Plan for stand Pipe System in Gas Oil pump House.</v>
          </cell>
          <cell r="M1166">
            <v>1.43E-2</v>
          </cell>
          <cell r="P1166">
            <v>5.7200000000000003E-4</v>
          </cell>
          <cell r="Q1166" t="str">
            <v>L</v>
          </cell>
          <cell r="R1166">
            <v>5.0000000000000001E-4</v>
          </cell>
          <cell r="T1166">
            <v>39470</v>
          </cell>
          <cell r="V1166" t="str">
            <v>2008-01</v>
          </cell>
          <cell r="AH1166" t="str">
            <v/>
          </cell>
          <cell r="AJ1166" t="str">
            <v/>
          </cell>
          <cell r="AL1166" t="str">
            <v/>
          </cell>
          <cell r="AM1166">
            <v>0</v>
          </cell>
          <cell r="AN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</row>
        <row r="1167">
          <cell r="C1167" t="str">
            <v>DWG</v>
          </cell>
          <cell r="H1167" t="str">
            <v>10-80-A3-SA-0036</v>
          </cell>
          <cell r="I1167" t="str">
            <v>Isometric Piping for Stand Pipe System in Gas Oil Pump House</v>
          </cell>
          <cell r="M1167">
            <v>1.0699999999999999E-2</v>
          </cell>
          <cell r="P1167">
            <v>4.28E-4</v>
          </cell>
          <cell r="Q1167" t="str">
            <v>L</v>
          </cell>
          <cell r="R1167">
            <v>4.0999999999999999E-4</v>
          </cell>
          <cell r="T1167">
            <v>39474</v>
          </cell>
          <cell r="V1167" t="str">
            <v>2008-01</v>
          </cell>
          <cell r="AH1167" t="str">
            <v/>
          </cell>
          <cell r="AJ1167" t="str">
            <v/>
          </cell>
          <cell r="AL1167" t="str">
            <v/>
          </cell>
          <cell r="AM1167">
            <v>0</v>
          </cell>
          <cell r="AN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</row>
        <row r="1168">
          <cell r="C1168" t="str">
            <v>DWG</v>
          </cell>
          <cell r="H1168" t="str">
            <v>10-80-A3-SA-0037</v>
          </cell>
          <cell r="I1168" t="str">
            <v>Fire Extinguisher Arrangement and Piping Plan for Stand Pipe System in Fire Fighting Pump House.</v>
          </cell>
          <cell r="M1168">
            <v>1.43E-2</v>
          </cell>
          <cell r="P1168">
            <v>5.7200000000000003E-4</v>
          </cell>
          <cell r="Q1168" t="str">
            <v>L</v>
          </cell>
          <cell r="R1168">
            <v>5.0000000000000001E-4</v>
          </cell>
          <cell r="T1168">
            <v>39477</v>
          </cell>
          <cell r="V1168" t="str">
            <v>2008-01</v>
          </cell>
          <cell r="AH1168" t="str">
            <v/>
          </cell>
          <cell r="AJ1168" t="str">
            <v/>
          </cell>
          <cell r="AL1168" t="str">
            <v/>
          </cell>
          <cell r="AM1168">
            <v>0</v>
          </cell>
          <cell r="AN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</row>
        <row r="1169">
          <cell r="C1169" t="str">
            <v>DWG</v>
          </cell>
          <cell r="H1169" t="str">
            <v>10-80-A3-SA-0038</v>
          </cell>
          <cell r="I1169" t="str">
            <v>Isometric Piping for Stand Pipe System in fire Fighting Pump House.</v>
          </cell>
          <cell r="M1169">
            <v>1.0800000000000001E-2</v>
          </cell>
          <cell r="P1169">
            <v>4.3200000000000004E-4</v>
          </cell>
          <cell r="Q1169" t="str">
            <v>L</v>
          </cell>
          <cell r="R1169">
            <v>4.0999999999999999E-4</v>
          </cell>
          <cell r="T1169">
            <v>39479</v>
          </cell>
          <cell r="V1169" t="str">
            <v>2008-02</v>
          </cell>
          <cell r="AH1169" t="str">
            <v/>
          </cell>
          <cell r="AJ1169" t="str">
            <v/>
          </cell>
          <cell r="AL1169" t="str">
            <v/>
          </cell>
          <cell r="AM1169">
            <v>0</v>
          </cell>
          <cell r="AN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</row>
        <row r="1170">
          <cell r="C1170" t="str">
            <v>DWG</v>
          </cell>
          <cell r="H1170" t="str">
            <v>10-REQ-SA-651</v>
          </cell>
          <cell r="I1170" t="str">
            <v xml:space="preserve">MR for Argonite Automatic Fire Extinguishing system Automatic Fire Fighting Gas </v>
          </cell>
          <cell r="M1170">
            <v>3.5700000000000003E-2</v>
          </cell>
          <cell r="P1170">
            <v>1.4280000000000002E-3</v>
          </cell>
          <cell r="R1170">
            <v>1E-3</v>
          </cell>
          <cell r="V1170" t="str">
            <v>ارسال شده</v>
          </cell>
          <cell r="W1170">
            <v>0</v>
          </cell>
          <cell r="X1170">
            <v>195</v>
          </cell>
          <cell r="Y1170" t="str">
            <v>27-10-07</v>
          </cell>
          <cell r="Z1170" t="str">
            <v>F-0293</v>
          </cell>
          <cell r="AA1170" t="str">
            <v>11-11-07</v>
          </cell>
          <cell r="AG1170" t="str">
            <v>GBT</v>
          </cell>
          <cell r="AH1170" t="str">
            <v>x</v>
          </cell>
          <cell r="AJ1170" t="str">
            <v/>
          </cell>
          <cell r="AL1170" t="str">
            <v/>
          </cell>
          <cell r="AM1170">
            <v>0.45</v>
          </cell>
          <cell r="AN1170">
            <v>4.5000000000000004E-4</v>
          </cell>
          <cell r="AQ1170">
            <v>6.4260000000000012E-4</v>
          </cell>
          <cell r="AR1170">
            <v>4.5000000000000004E-4</v>
          </cell>
          <cell r="AS1170">
            <v>45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45</v>
          </cell>
        </row>
        <row r="1171">
          <cell r="C1171" t="str">
            <v>TBA</v>
          </cell>
          <cell r="H1171" t="str">
            <v>10-TBA-SA 651</v>
          </cell>
          <cell r="I1171" t="str">
            <v xml:space="preserve">TBA Argonite Automatic Fire Extinguishing system Automatic Fire Fighting Gas </v>
          </cell>
          <cell r="M1171">
            <v>3.5999999999999997E-2</v>
          </cell>
          <cell r="P1171">
            <v>1.4400000000000001E-3</v>
          </cell>
          <cell r="Q1171" t="str">
            <v>C</v>
          </cell>
          <cell r="R1171">
            <v>3.4000000000000002E-4</v>
          </cell>
          <cell r="T1171">
            <v>39436</v>
          </cell>
          <cell r="U1171" t="str">
            <v>*</v>
          </cell>
          <cell r="V1171" t="str">
            <v>2007-12</v>
          </cell>
          <cell r="AM1171">
            <v>0</v>
          </cell>
          <cell r="AN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</row>
        <row r="1172">
          <cell r="C1172" t="str">
            <v>MR</v>
          </cell>
          <cell r="H1172" t="str">
            <v>10-REQ-SA-652</v>
          </cell>
          <cell r="I1172" t="str">
            <v>Condensate Water/Foam System MR</v>
          </cell>
          <cell r="M1172">
            <v>3.5999999999999997E-2</v>
          </cell>
          <cell r="P1172">
            <v>1.4400000000000001E-3</v>
          </cell>
          <cell r="Q1172" t="str">
            <v>L</v>
          </cell>
          <cell r="R1172">
            <v>1E-3</v>
          </cell>
          <cell r="T1172">
            <v>39448</v>
          </cell>
          <cell r="V1172" t="str">
            <v>2008-01</v>
          </cell>
          <cell r="AM1172">
            <v>0</v>
          </cell>
          <cell r="AN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</row>
        <row r="1173">
          <cell r="C1173" t="str">
            <v>TBA</v>
          </cell>
          <cell r="H1173" t="str">
            <v>10-TBA-SA 652</v>
          </cell>
          <cell r="I1173" t="str">
            <v xml:space="preserve"> TBA for Condensate Water/Foam System</v>
          </cell>
          <cell r="M1173">
            <v>3.5999999999999997E-2</v>
          </cell>
          <cell r="P1173">
            <v>1.4400000000000001E-3</v>
          </cell>
          <cell r="Q1173" t="str">
            <v>L</v>
          </cell>
          <cell r="R1173">
            <v>3.4000000000000002E-4</v>
          </cell>
          <cell r="T1173">
            <v>39462</v>
          </cell>
          <cell r="V1173" t="str">
            <v>2008-01</v>
          </cell>
          <cell r="AM1173">
            <v>0</v>
          </cell>
          <cell r="AN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</row>
        <row r="1174">
          <cell r="C1174" t="str">
            <v>DWG</v>
          </cell>
          <cell r="G1174" t="str">
            <v>10-80-A2-SA-0006</v>
          </cell>
          <cell r="I1174" t="str">
            <v>F&amp;G layout By Safty</v>
          </cell>
          <cell r="M1174">
            <v>3.5999999999999997E-2</v>
          </cell>
          <cell r="P1174">
            <v>1.4400000000000001E-3</v>
          </cell>
          <cell r="Q1174" t="str">
            <v>I</v>
          </cell>
          <cell r="R1174">
            <v>5.0000000000000001E-4</v>
          </cell>
          <cell r="T1174">
            <v>39416</v>
          </cell>
          <cell r="U1174" t="str">
            <v>*</v>
          </cell>
          <cell r="V1174" t="str">
            <v>2007-11</v>
          </cell>
          <cell r="AM1174">
            <v>0</v>
          </cell>
          <cell r="AN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</row>
        <row r="1175">
          <cell r="C1175" t="str">
            <v>DWG</v>
          </cell>
          <cell r="H1175" t="str">
            <v>10-80-A3-SA-0047</v>
          </cell>
          <cell r="I1175" t="str">
            <v>Power Transformers Cooling System Piping Plan</v>
          </cell>
          <cell r="M1175">
            <v>2.1399999999999999E-2</v>
          </cell>
          <cell r="P1175">
            <v>8.5599999999999999E-4</v>
          </cell>
          <cell r="Q1175" t="str">
            <v>L</v>
          </cell>
          <cell r="R1175">
            <v>6.4999999999999997E-4</v>
          </cell>
          <cell r="T1175">
            <v>39480</v>
          </cell>
          <cell r="V1175" t="str">
            <v>2008-02</v>
          </cell>
          <cell r="AH1175" t="str">
            <v/>
          </cell>
          <cell r="AJ1175" t="str">
            <v/>
          </cell>
          <cell r="AL1175" t="str">
            <v/>
          </cell>
          <cell r="AM1175">
            <v>0</v>
          </cell>
          <cell r="AN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</row>
        <row r="1176">
          <cell r="C1176" t="str">
            <v>LIS</v>
          </cell>
          <cell r="H1176" t="str">
            <v>10-80-EQL-SA-0001</v>
          </cell>
          <cell r="I1176" t="str">
            <v>Equipment List for Fire Fighting System</v>
          </cell>
          <cell r="M1176">
            <v>2.1399999999999999E-2</v>
          </cell>
          <cell r="P1176">
            <v>8.5599999999999999E-4</v>
          </cell>
          <cell r="Q1176" t="str">
            <v>L</v>
          </cell>
          <cell r="R1176">
            <v>6.4999999999999997E-4</v>
          </cell>
          <cell r="T1176">
            <v>39488</v>
          </cell>
          <cell r="V1176" t="str">
            <v>2008-02</v>
          </cell>
          <cell r="AH1176" t="str">
            <v/>
          </cell>
          <cell r="AJ1176" t="str">
            <v/>
          </cell>
          <cell r="AL1176" t="str">
            <v/>
          </cell>
          <cell r="AM1176">
            <v>0</v>
          </cell>
          <cell r="AN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</row>
        <row r="1177">
          <cell r="C1177" t="str">
            <v>LIS</v>
          </cell>
          <cell r="H1177" t="str">
            <v>10-80-LST-SA-0002</v>
          </cell>
          <cell r="I1177" t="str">
            <v>Line list for Fire Water System</v>
          </cell>
          <cell r="M1177">
            <v>2.5000000000000001E-2</v>
          </cell>
          <cell r="P1177">
            <v>1.0000000000000002E-3</v>
          </cell>
          <cell r="Q1177" t="str">
            <v>L</v>
          </cell>
          <cell r="R1177">
            <v>9.3999999999999997E-4</v>
          </cell>
          <cell r="T1177">
            <v>39489</v>
          </cell>
          <cell r="V1177" t="str">
            <v>2008-02</v>
          </cell>
          <cell r="AH1177" t="str">
            <v/>
          </cell>
          <cell r="AJ1177" t="str">
            <v/>
          </cell>
          <cell r="AL1177" t="str">
            <v/>
          </cell>
          <cell r="AM1177">
            <v>0</v>
          </cell>
          <cell r="AN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</row>
        <row r="1178">
          <cell r="C1178" t="str">
            <v>LIS</v>
          </cell>
          <cell r="H1178" t="str">
            <v>10-80-LST-SA-0003</v>
          </cell>
          <cell r="I1178" t="str">
            <v>Valve list for Fire Water System</v>
          </cell>
          <cell r="M1178">
            <v>1.43E-2</v>
          </cell>
          <cell r="P1178">
            <v>5.7200000000000003E-4</v>
          </cell>
          <cell r="Q1178" t="str">
            <v>L</v>
          </cell>
          <cell r="R1178">
            <v>5.0000000000000001E-4</v>
          </cell>
          <cell r="T1178">
            <v>39493</v>
          </cell>
          <cell r="V1178" t="str">
            <v>2008-02</v>
          </cell>
          <cell r="AH1178" t="str">
            <v/>
          </cell>
          <cell r="AJ1178" t="str">
            <v/>
          </cell>
          <cell r="AL1178" t="str">
            <v/>
          </cell>
          <cell r="AM1178">
            <v>0</v>
          </cell>
          <cell r="AN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</row>
        <row r="1179">
          <cell r="C1179" t="str">
            <v>MTO</v>
          </cell>
          <cell r="H1179" t="str">
            <v>10-80-MTO-SA-0001</v>
          </cell>
          <cell r="I1179" t="str">
            <v>MTO for Fire Fighting Piping Materials</v>
          </cell>
          <cell r="M1179">
            <v>2.1399999999999999E-2</v>
          </cell>
          <cell r="P1179">
            <v>8.5599999999999999E-4</v>
          </cell>
          <cell r="Q1179" t="str">
            <v>L</v>
          </cell>
          <cell r="R1179">
            <v>1.14E-3</v>
          </cell>
          <cell r="T1179">
            <v>39498</v>
          </cell>
          <cell r="V1179" t="str">
            <v>2008-02</v>
          </cell>
          <cell r="AH1179" t="str">
            <v/>
          </cell>
          <cell r="AJ1179" t="str">
            <v/>
          </cell>
          <cell r="AL1179" t="str">
            <v/>
          </cell>
          <cell r="AM1179">
            <v>0</v>
          </cell>
          <cell r="AN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</row>
        <row r="1180">
          <cell r="I1180" t="str">
            <v>MISCELL</v>
          </cell>
          <cell r="R1180">
            <v>2E-3</v>
          </cell>
        </row>
        <row r="1181">
          <cell r="F1181" t="str">
            <v>Civil</v>
          </cell>
          <cell r="L1181">
            <v>0.25</v>
          </cell>
          <cell r="M1181">
            <v>1</v>
          </cell>
          <cell r="P1181">
            <v>0.2</v>
          </cell>
          <cell r="R1181">
            <v>0.19940265174490174</v>
          </cell>
          <cell r="T1181" t="str">
            <v>.</v>
          </cell>
          <cell r="U1181" t="str">
            <v>.</v>
          </cell>
          <cell r="V1181" t="str">
            <v>.</v>
          </cell>
          <cell r="W1181" t="str">
            <v>.</v>
          </cell>
          <cell r="X1181" t="str">
            <v>.</v>
          </cell>
          <cell r="Y1181" t="str">
            <v>.</v>
          </cell>
          <cell r="Z1181" t="str">
            <v>.</v>
          </cell>
          <cell r="AA1181" t="str">
            <v>.</v>
          </cell>
          <cell r="AG1181" t="str">
            <v>.</v>
          </cell>
          <cell r="AH1181" t="str">
            <v>.</v>
          </cell>
          <cell r="AI1181" t="str">
            <v>.</v>
          </cell>
          <cell r="AJ1181" t="str">
            <v>.</v>
          </cell>
          <cell r="AK1181" t="str">
            <v>.</v>
          </cell>
          <cell r="AL1181" t="str">
            <v>.</v>
          </cell>
          <cell r="AM1181">
            <v>3.0682499999999998E-2</v>
          </cell>
          <cell r="AN1181">
            <v>6.1364999999999996E-3</v>
          </cell>
          <cell r="AO1181" t="str">
            <v>.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</row>
        <row r="1182">
          <cell r="C1182" t="str">
            <v>DWG</v>
          </cell>
          <cell r="G1182" t="str">
            <v>Hydrogen Plant</v>
          </cell>
          <cell r="M1182">
            <v>0.06</v>
          </cell>
          <cell r="N1182">
            <v>1</v>
          </cell>
          <cell r="P1182">
            <v>1.2E-2</v>
          </cell>
          <cell r="R1182">
            <v>7.012651744901662E-3</v>
          </cell>
          <cell r="T1182" t="str">
            <v>.</v>
          </cell>
          <cell r="U1182" t="str">
            <v>.</v>
          </cell>
          <cell r="V1182" t="str">
            <v>.</v>
          </cell>
          <cell r="AG1182" t="str">
            <v>.</v>
          </cell>
          <cell r="AH1182" t="str">
            <v/>
          </cell>
          <cell r="AJ1182" t="str">
            <v/>
          </cell>
          <cell r="AL1182" t="str">
            <v/>
          </cell>
          <cell r="AM1182">
            <v>0</v>
          </cell>
          <cell r="AN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</row>
        <row r="1183">
          <cell r="C1183" t="str">
            <v>DWG</v>
          </cell>
          <cell r="H1183" t="str">
            <v>Hydrogen MCC/ control building</v>
          </cell>
          <cell r="N1183">
            <v>0.25</v>
          </cell>
          <cell r="O1183">
            <v>1</v>
          </cell>
          <cell r="P1183">
            <v>3.0000000000000001E-3</v>
          </cell>
          <cell r="R1183">
            <v>1.42E-3</v>
          </cell>
          <cell r="T1183" t="str">
            <v>.</v>
          </cell>
          <cell r="U1183" t="str">
            <v>.</v>
          </cell>
          <cell r="V1183" t="str">
            <v>.</v>
          </cell>
          <cell r="AG1183" t="str">
            <v>.</v>
          </cell>
          <cell r="AH1183" t="str">
            <v/>
          </cell>
          <cell r="AJ1183" t="str">
            <v/>
          </cell>
          <cell r="AL1183" t="str">
            <v/>
          </cell>
          <cell r="AM1183">
            <v>0</v>
          </cell>
          <cell r="AN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</row>
        <row r="1184">
          <cell r="C1184" t="str">
            <v>DWG</v>
          </cell>
          <cell r="H1184" t="str">
            <v>10-20-A1-BL-0001</v>
          </cell>
          <cell r="I1184" t="str">
            <v>Architectural drawings</v>
          </cell>
          <cell r="O1184">
            <v>0.3</v>
          </cell>
          <cell r="P1184">
            <v>0</v>
          </cell>
          <cell r="Q1184" t="str">
            <v>V</v>
          </cell>
          <cell r="R1184">
            <v>3.4000000000000002E-4</v>
          </cell>
          <cell r="T1184">
            <v>39426</v>
          </cell>
          <cell r="U1184" t="str">
            <v>*</v>
          </cell>
          <cell r="V1184" t="str">
            <v>2007-12</v>
          </cell>
          <cell r="AH1184" t="str">
            <v/>
          </cell>
          <cell r="AJ1184" t="str">
            <v/>
          </cell>
          <cell r="AL1184" t="str">
            <v/>
          </cell>
          <cell r="AM1184">
            <v>0</v>
          </cell>
          <cell r="AN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</row>
        <row r="1185">
          <cell r="C1185" t="str">
            <v>DWG</v>
          </cell>
          <cell r="H1185" t="str">
            <v>10-20-A1-ST-0001</v>
          </cell>
          <cell r="I1185" t="str">
            <v>Structural drawings</v>
          </cell>
          <cell r="O1185">
            <v>0.3</v>
          </cell>
          <cell r="P1185">
            <v>0</v>
          </cell>
          <cell r="Q1185" t="str">
            <v>V</v>
          </cell>
          <cell r="R1185">
            <v>5.4000000000000001E-4</v>
          </cell>
          <cell r="T1185">
            <v>39446</v>
          </cell>
          <cell r="U1185" t="str">
            <v>*</v>
          </cell>
          <cell r="V1185" t="str">
            <v>2007-12</v>
          </cell>
          <cell r="AH1185" t="str">
            <v/>
          </cell>
          <cell r="AJ1185" t="str">
            <v/>
          </cell>
          <cell r="AL1185" t="str">
            <v/>
          </cell>
          <cell r="AM1185">
            <v>0</v>
          </cell>
          <cell r="AN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</row>
        <row r="1186">
          <cell r="C1186" t="str">
            <v>CLS</v>
          </cell>
          <cell r="H1186" t="str">
            <v>10-20-CSH-ST-0001</v>
          </cell>
          <cell r="I1186" t="str">
            <v>Calculation Sheet For Hydrogen MCC/ ControlBuilding</v>
          </cell>
          <cell r="O1186">
            <v>0.4</v>
          </cell>
          <cell r="P1186">
            <v>0</v>
          </cell>
          <cell r="Q1186" t="str">
            <v>V</v>
          </cell>
          <cell r="R1186">
            <v>5.4000000000000001E-4</v>
          </cell>
          <cell r="T1186">
            <v>39446</v>
          </cell>
          <cell r="U1186" t="str">
            <v>*</v>
          </cell>
          <cell r="V1186" t="str">
            <v>2007-12</v>
          </cell>
          <cell r="AM1186">
            <v>0</v>
          </cell>
          <cell r="AN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</row>
        <row r="1187">
          <cell r="C1187" t="str">
            <v>DWG</v>
          </cell>
          <cell r="H1187" t="str">
            <v>Equipments Foundations</v>
          </cell>
          <cell r="N1187">
            <v>0.3</v>
          </cell>
          <cell r="O1187">
            <v>0.99999999999999989</v>
          </cell>
          <cell r="P1187">
            <v>3.5999999999999999E-3</v>
          </cell>
          <cell r="R1187">
            <v>2.9726517449016618E-3</v>
          </cell>
          <cell r="T1187" t="str">
            <v>.</v>
          </cell>
          <cell r="U1187" t="str">
            <v>.</v>
          </cell>
          <cell r="V1187" t="str">
            <v>.</v>
          </cell>
          <cell r="AG1187" t="str">
            <v>.</v>
          </cell>
          <cell r="AH1187" t="str">
            <v/>
          </cell>
          <cell r="AJ1187" t="str">
            <v/>
          </cell>
          <cell r="AL1187" t="str">
            <v/>
          </cell>
          <cell r="AM1187">
            <v>0</v>
          </cell>
          <cell r="AN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</row>
        <row r="1188">
          <cell r="C1188" t="str">
            <v>DWG</v>
          </cell>
          <cell r="H1188" t="str">
            <v>10-20-A1-ST-0002</v>
          </cell>
          <cell r="I1188" t="str">
            <v>Reformer foundation plan &amp; details</v>
          </cell>
          <cell r="O1188">
            <v>0.1</v>
          </cell>
          <cell r="P1188">
            <v>3.6000000000000002E-4</v>
          </cell>
          <cell r="Q1188" t="str">
            <v>V</v>
          </cell>
          <cell r="R1188">
            <v>2.5000000000000001E-4</v>
          </cell>
          <cell r="T1188">
            <v>39426</v>
          </cell>
          <cell r="U1188" t="str">
            <v>*</v>
          </cell>
          <cell r="V1188" t="str">
            <v>2007-12</v>
          </cell>
          <cell r="AH1188" t="str">
            <v/>
          </cell>
          <cell r="AJ1188" t="str">
            <v/>
          </cell>
          <cell r="AL1188" t="str">
            <v/>
          </cell>
          <cell r="AM1188">
            <v>0</v>
          </cell>
          <cell r="AN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</row>
        <row r="1189">
          <cell r="C1189" t="str">
            <v>DWG</v>
          </cell>
          <cell r="H1189" t="str">
            <v>10-20-CSH-ST-0002</v>
          </cell>
          <cell r="I1189" t="str">
            <v>Calculation Sheet ForReformer foundation</v>
          </cell>
          <cell r="O1189">
            <v>0.1</v>
          </cell>
          <cell r="P1189">
            <v>3.6000000000000002E-4</v>
          </cell>
          <cell r="Q1189" t="str">
            <v>V</v>
          </cell>
          <cell r="R1189">
            <v>2.5000000000000001E-4</v>
          </cell>
          <cell r="T1189">
            <v>39426</v>
          </cell>
          <cell r="U1189" t="str">
            <v>*</v>
          </cell>
          <cell r="V1189" t="str">
            <v>2007-12</v>
          </cell>
          <cell r="AH1189" t="str">
            <v/>
          </cell>
          <cell r="AJ1189" t="str">
            <v/>
          </cell>
          <cell r="AL1189" t="str">
            <v/>
          </cell>
          <cell r="AM1189">
            <v>0</v>
          </cell>
          <cell r="AN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</row>
        <row r="1190">
          <cell r="C1190" t="str">
            <v>DWG</v>
          </cell>
          <cell r="H1190" t="str">
            <v>10-20-A1-ST-0003</v>
          </cell>
          <cell r="I1190" t="str">
            <v>Waste Heat Boiler foundation plan &amp; details</v>
          </cell>
          <cell r="O1190">
            <v>0.1</v>
          </cell>
          <cell r="P1190">
            <v>3.6000000000000002E-4</v>
          </cell>
          <cell r="Q1190" t="str">
            <v>V</v>
          </cell>
          <cell r="R1190">
            <v>3.4000000000000002E-4</v>
          </cell>
          <cell r="T1190">
            <v>39431</v>
          </cell>
          <cell r="U1190" t="str">
            <v>*</v>
          </cell>
          <cell r="V1190" t="str">
            <v>2007-12</v>
          </cell>
          <cell r="AH1190" t="str">
            <v/>
          </cell>
          <cell r="AJ1190" t="str">
            <v/>
          </cell>
          <cell r="AL1190" t="str">
            <v/>
          </cell>
          <cell r="AM1190">
            <v>0</v>
          </cell>
          <cell r="AN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</row>
        <row r="1191">
          <cell r="C1191" t="str">
            <v>DWG</v>
          </cell>
          <cell r="H1191" t="str">
            <v>10-20-CSH-ST-0003</v>
          </cell>
          <cell r="I1191" t="str">
            <v>Calculation Sheet ForWaste Heat Boiler foundation</v>
          </cell>
          <cell r="O1191">
            <v>0.1</v>
          </cell>
          <cell r="P1191">
            <v>3.6000000000000002E-4</v>
          </cell>
          <cell r="Q1191" t="str">
            <v>V</v>
          </cell>
          <cell r="R1191">
            <v>3.4000000000000002E-4</v>
          </cell>
          <cell r="T1191">
            <v>39431</v>
          </cell>
          <cell r="U1191" t="str">
            <v>*</v>
          </cell>
          <cell r="V1191" t="str">
            <v>2007-12</v>
          </cell>
          <cell r="AH1191" t="str">
            <v/>
          </cell>
          <cell r="AJ1191" t="str">
            <v/>
          </cell>
          <cell r="AL1191" t="str">
            <v/>
          </cell>
          <cell r="AM1191">
            <v>0</v>
          </cell>
          <cell r="AN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</row>
        <row r="1192">
          <cell r="C1192" t="str">
            <v>DWG</v>
          </cell>
          <cell r="H1192" t="str">
            <v>10-20-A1-ST-0004</v>
          </cell>
          <cell r="I1192" t="str">
            <v>PSA unit (A/B/C/D)  foundation plan &amp; details</v>
          </cell>
          <cell r="O1192">
            <v>0.1</v>
          </cell>
          <cell r="P1192">
            <v>3.6000000000000002E-4</v>
          </cell>
          <cell r="Q1192" t="str">
            <v>V</v>
          </cell>
          <cell r="R1192">
            <v>3.4000000000000002E-4</v>
          </cell>
          <cell r="T1192">
            <v>39436</v>
          </cell>
          <cell r="U1192" t="str">
            <v>*</v>
          </cell>
          <cell r="V1192" t="str">
            <v>2007-12</v>
          </cell>
          <cell r="AM1192">
            <v>0</v>
          </cell>
          <cell r="AN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</row>
        <row r="1193">
          <cell r="C1193" t="str">
            <v>DWG</v>
          </cell>
          <cell r="H1193" t="str">
            <v>10-20-CSH-ST-0004</v>
          </cell>
          <cell r="I1193" t="str">
            <v>Calculation Sheet For PSA unit (A/B/C/D)  foundation</v>
          </cell>
          <cell r="O1193">
            <v>0.1</v>
          </cell>
          <cell r="P1193">
            <v>3.6000000000000002E-4</v>
          </cell>
          <cell r="Q1193" t="str">
            <v>V</v>
          </cell>
          <cell r="R1193">
            <v>3.4000000000000002E-4</v>
          </cell>
          <cell r="T1193">
            <v>39436</v>
          </cell>
          <cell r="U1193" t="str">
            <v>*</v>
          </cell>
          <cell r="V1193" t="str">
            <v>2007-12</v>
          </cell>
          <cell r="AM1193">
            <v>0</v>
          </cell>
          <cell r="AN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</row>
        <row r="1194">
          <cell r="C1194" t="str">
            <v>DWG</v>
          </cell>
          <cell r="H1194" t="str">
            <v>10-20-A1-ST-0005</v>
          </cell>
          <cell r="I1194" t="str">
            <v>Tail Gas Vessel  foundation plan &amp; details</v>
          </cell>
          <cell r="O1194">
            <v>0.1</v>
          </cell>
          <cell r="P1194">
            <v>3.6000000000000002E-4</v>
          </cell>
          <cell r="Q1194" t="str">
            <v>V</v>
          </cell>
          <cell r="R1194">
            <v>2.5000000000000001E-4</v>
          </cell>
          <cell r="T1194">
            <v>39441</v>
          </cell>
          <cell r="U1194" t="str">
            <v>*</v>
          </cell>
          <cell r="V1194" t="str">
            <v>2007-12</v>
          </cell>
          <cell r="AM1194">
            <v>0</v>
          </cell>
          <cell r="AN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</row>
        <row r="1195">
          <cell r="C1195" t="str">
            <v>CLS</v>
          </cell>
          <cell r="H1195" t="str">
            <v>10-20-CSH-ST-0005</v>
          </cell>
          <cell r="I1195" t="str">
            <v>Calculation Sheet For Tail Gas Vessel  foundation</v>
          </cell>
          <cell r="O1195">
            <v>0.1</v>
          </cell>
          <cell r="P1195">
            <v>3.6000000000000002E-4</v>
          </cell>
          <cell r="Q1195" t="str">
            <v>V</v>
          </cell>
          <cell r="R1195">
            <v>1.8265174490166206E-4</v>
          </cell>
          <cell r="T1195">
            <v>39441</v>
          </cell>
          <cell r="U1195" t="str">
            <v>*</v>
          </cell>
          <cell r="V1195" t="str">
            <v>2007-12</v>
          </cell>
          <cell r="AM1195">
            <v>0</v>
          </cell>
          <cell r="AN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</row>
        <row r="1196">
          <cell r="C1196" t="str">
            <v>DWG</v>
          </cell>
          <cell r="H1196" t="str">
            <v>10-20-A1-ST-0006</v>
          </cell>
          <cell r="I1196" t="str">
            <v>Compressors (A/B) foundation plan &amp; details</v>
          </cell>
          <cell r="O1196">
            <v>0.1</v>
          </cell>
          <cell r="P1196">
            <v>3.6000000000000002E-4</v>
          </cell>
          <cell r="Q1196" t="str">
            <v>V</v>
          </cell>
          <cell r="R1196">
            <v>3.4000000000000002E-4</v>
          </cell>
          <cell r="T1196">
            <v>39446</v>
          </cell>
          <cell r="U1196" t="str">
            <v>*</v>
          </cell>
          <cell r="V1196" t="str">
            <v>2007-12</v>
          </cell>
          <cell r="AM1196">
            <v>0</v>
          </cell>
          <cell r="AN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</row>
        <row r="1197">
          <cell r="C1197" t="str">
            <v>CLS</v>
          </cell>
          <cell r="H1197" t="str">
            <v>10-20-CSH-ST-0006</v>
          </cell>
          <cell r="I1197" t="str">
            <v>Calculation Sheet For Compressors (A/B) foundation</v>
          </cell>
          <cell r="O1197">
            <v>0.1</v>
          </cell>
          <cell r="P1197">
            <v>3.6000000000000002E-4</v>
          </cell>
          <cell r="Q1197" t="str">
            <v>V</v>
          </cell>
          <cell r="R1197">
            <v>3.4000000000000002E-4</v>
          </cell>
          <cell r="T1197">
            <v>39446</v>
          </cell>
          <cell r="U1197" t="str">
            <v>*</v>
          </cell>
          <cell r="V1197" t="str">
            <v>2007-12</v>
          </cell>
          <cell r="AM1197">
            <v>0</v>
          </cell>
          <cell r="AN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</row>
        <row r="1198">
          <cell r="C1198" t="str">
            <v>DWG</v>
          </cell>
          <cell r="H1198" t="str">
            <v>Steel Structures</v>
          </cell>
          <cell r="N1198">
            <v>0.35</v>
          </cell>
          <cell r="O1198">
            <v>0.99999999999999989</v>
          </cell>
          <cell r="P1198">
            <v>4.1999999999999997E-3</v>
          </cell>
          <cell r="R1198">
            <v>1E-3</v>
          </cell>
          <cell r="T1198" t="str">
            <v>.</v>
          </cell>
          <cell r="U1198" t="str">
            <v>.</v>
          </cell>
          <cell r="V1198" t="str">
            <v>.</v>
          </cell>
          <cell r="AG1198" t="str">
            <v>.</v>
          </cell>
          <cell r="AH1198" t="str">
            <v/>
          </cell>
          <cell r="AJ1198" t="str">
            <v/>
          </cell>
          <cell r="AL1198" t="str">
            <v/>
          </cell>
          <cell r="AM1198">
            <v>0</v>
          </cell>
          <cell r="AN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</row>
        <row r="1199">
          <cell r="C1199" t="str">
            <v>DWG</v>
          </cell>
          <cell r="H1199" t="str">
            <v>10-20-A1-ST-0008</v>
          </cell>
          <cell r="I1199" t="str">
            <v>Shelter plan &amp; details</v>
          </cell>
          <cell r="O1199">
            <v>0.3</v>
          </cell>
          <cell r="P1199">
            <v>1.2599999999999998E-3</v>
          </cell>
          <cell r="Q1199" t="str">
            <v>L</v>
          </cell>
          <cell r="R1199">
            <v>2.5000000000000001E-4</v>
          </cell>
          <cell r="T1199">
            <v>39457</v>
          </cell>
          <cell r="V1199" t="str">
            <v>2008-01</v>
          </cell>
          <cell r="AH1199" t="str">
            <v/>
          </cell>
          <cell r="AJ1199" t="str">
            <v/>
          </cell>
          <cell r="AL1199" t="str">
            <v/>
          </cell>
          <cell r="AM1199">
            <v>0</v>
          </cell>
          <cell r="AN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</row>
        <row r="1200">
          <cell r="C1200" t="str">
            <v>CLS</v>
          </cell>
          <cell r="H1200" t="str">
            <v>10-20-CSH-ST-0008</v>
          </cell>
          <cell r="I1200" t="str">
            <v xml:space="preserve">Calculation Sheet For Shelter </v>
          </cell>
          <cell r="O1200">
            <v>0.3</v>
          </cell>
          <cell r="P1200">
            <v>1.2599999999999998E-3</v>
          </cell>
          <cell r="Q1200" t="str">
            <v>L</v>
          </cell>
          <cell r="R1200">
            <v>2.5000000000000001E-4</v>
          </cell>
          <cell r="T1200">
            <v>39457</v>
          </cell>
          <cell r="V1200" t="str">
            <v>2008-01</v>
          </cell>
          <cell r="AM1200">
            <v>0</v>
          </cell>
          <cell r="AN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</row>
        <row r="1201">
          <cell r="C1201" t="str">
            <v>DWG</v>
          </cell>
          <cell r="H1201" t="str">
            <v>10-20-A1-ST-0009</v>
          </cell>
          <cell r="I1201" t="str">
            <v>Platform plan &amp; details</v>
          </cell>
          <cell r="O1201">
            <v>0.3</v>
          </cell>
          <cell r="P1201">
            <v>1.2599999999999998E-3</v>
          </cell>
          <cell r="Q1201" t="str">
            <v>L</v>
          </cell>
          <cell r="R1201">
            <v>2.5000000000000001E-4</v>
          </cell>
          <cell r="T1201">
            <v>39462</v>
          </cell>
          <cell r="V1201" t="str">
            <v>2008-01</v>
          </cell>
          <cell r="AM1201">
            <v>0</v>
          </cell>
          <cell r="AN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</row>
        <row r="1202">
          <cell r="C1202" t="str">
            <v>DWG</v>
          </cell>
          <cell r="H1202" t="str">
            <v>10-20-CSH-ST-0009</v>
          </cell>
          <cell r="I1202" t="str">
            <v>Calculation Sheet For Platform</v>
          </cell>
          <cell r="O1202">
            <v>0.1</v>
          </cell>
          <cell r="P1202">
            <v>4.2000000000000002E-4</v>
          </cell>
          <cell r="Q1202" t="str">
            <v>L</v>
          </cell>
          <cell r="R1202">
            <v>2.5000000000000001E-4</v>
          </cell>
          <cell r="T1202">
            <v>39462</v>
          </cell>
          <cell r="V1202" t="str">
            <v>2008-01</v>
          </cell>
          <cell r="AH1202" t="str">
            <v/>
          </cell>
          <cell r="AJ1202" t="str">
            <v/>
          </cell>
          <cell r="AL1202" t="str">
            <v/>
          </cell>
          <cell r="AM1202">
            <v>0</v>
          </cell>
          <cell r="AN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</row>
        <row r="1203">
          <cell r="C1203" t="str">
            <v>DWG</v>
          </cell>
          <cell r="H1203" t="str">
            <v>Civil Works</v>
          </cell>
          <cell r="N1203">
            <v>0.1</v>
          </cell>
          <cell r="O1203">
            <v>1</v>
          </cell>
          <cell r="P1203">
            <v>1.2000000000000001E-3</v>
          </cell>
          <cell r="R1203">
            <v>1.6199999999999999E-3</v>
          </cell>
          <cell r="T1203" t="str">
            <v>.</v>
          </cell>
          <cell r="U1203" t="str">
            <v>.</v>
          </cell>
          <cell r="V1203" t="str">
            <v>.</v>
          </cell>
          <cell r="AG1203" t="str">
            <v>.</v>
          </cell>
          <cell r="AH1203" t="str">
            <v/>
          </cell>
          <cell r="AJ1203" t="str">
            <v/>
          </cell>
          <cell r="AL1203" t="str">
            <v/>
          </cell>
          <cell r="AM1203">
            <v>0</v>
          </cell>
          <cell r="AN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</row>
        <row r="1204">
          <cell r="C1204" t="str">
            <v>DWG</v>
          </cell>
          <cell r="H1204" t="str">
            <v>10-20-A1-CI-0001</v>
          </cell>
          <cell r="I1204" t="str">
            <v>Paving plan &amp; details</v>
          </cell>
          <cell r="O1204">
            <v>0.3</v>
          </cell>
          <cell r="P1204">
            <v>3.6000000000000002E-4</v>
          </cell>
          <cell r="Q1204" t="str">
            <v>L</v>
          </cell>
          <cell r="R1204">
            <v>5.4000000000000001E-4</v>
          </cell>
          <cell r="T1204">
            <v>39467</v>
          </cell>
          <cell r="V1204" t="str">
            <v>2008-01</v>
          </cell>
          <cell r="AH1204" t="str">
            <v/>
          </cell>
          <cell r="AJ1204" t="str">
            <v/>
          </cell>
          <cell r="AL1204" t="str">
            <v/>
          </cell>
          <cell r="AM1204">
            <v>0</v>
          </cell>
          <cell r="AN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</row>
        <row r="1205">
          <cell r="C1205" t="str">
            <v>DWG</v>
          </cell>
          <cell r="H1205" t="str">
            <v>10-20-A1-CI-0002</v>
          </cell>
          <cell r="I1205" t="str">
            <v>Concrete Cable Trench plan&amp; details</v>
          </cell>
          <cell r="O1205">
            <v>0.4</v>
          </cell>
          <cell r="P1205">
            <v>4.8000000000000007E-4</v>
          </cell>
          <cell r="Q1205" t="str">
            <v>L</v>
          </cell>
          <cell r="R1205">
            <v>5.4000000000000001E-4</v>
          </cell>
          <cell r="T1205">
            <v>39467</v>
          </cell>
          <cell r="V1205" t="str">
            <v>2008-01</v>
          </cell>
          <cell r="AH1205" t="str">
            <v/>
          </cell>
          <cell r="AJ1205" t="str">
            <v/>
          </cell>
          <cell r="AL1205" t="str">
            <v/>
          </cell>
          <cell r="AM1205">
            <v>0</v>
          </cell>
          <cell r="AN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</row>
        <row r="1206">
          <cell r="C1206" t="str">
            <v>DWG</v>
          </cell>
          <cell r="H1206" t="str">
            <v>10-20-A1-CI-0003</v>
          </cell>
          <cell r="I1206" t="str">
            <v>Concrete Duct Bank plan &amp; details</v>
          </cell>
          <cell r="O1206">
            <v>0.3</v>
          </cell>
          <cell r="P1206">
            <v>3.6000000000000002E-4</v>
          </cell>
          <cell r="Q1206" t="str">
            <v>L</v>
          </cell>
          <cell r="R1206">
            <v>5.4000000000000001E-4</v>
          </cell>
          <cell r="T1206">
            <v>39472</v>
          </cell>
          <cell r="V1206" t="str">
            <v>2008-01</v>
          </cell>
          <cell r="AH1206" t="str">
            <v/>
          </cell>
          <cell r="AJ1206" t="str">
            <v/>
          </cell>
          <cell r="AL1206" t="str">
            <v/>
          </cell>
          <cell r="AM1206">
            <v>0</v>
          </cell>
          <cell r="AN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</row>
        <row r="1207">
          <cell r="C1207" t="str">
            <v>DWG</v>
          </cell>
          <cell r="G1207" t="str">
            <v>Plant &amp; Instrument Air + Air Separation Unit</v>
          </cell>
          <cell r="M1207">
            <v>9.5000000000000001E-2</v>
          </cell>
          <cell r="N1207">
            <v>1</v>
          </cell>
          <cell r="P1207">
            <v>1.9000000000000003E-2</v>
          </cell>
          <cell r="R1207">
            <v>9.9500000000000005E-3</v>
          </cell>
          <cell r="T1207" t="str">
            <v>.</v>
          </cell>
          <cell r="U1207" t="str">
            <v>.</v>
          </cell>
          <cell r="V1207" t="str">
            <v>.</v>
          </cell>
          <cell r="AG1207" t="str">
            <v>.</v>
          </cell>
          <cell r="AH1207" t="str">
            <v/>
          </cell>
          <cell r="AJ1207" t="str">
            <v/>
          </cell>
          <cell r="AL1207" t="str">
            <v/>
          </cell>
          <cell r="AM1207">
            <v>0</v>
          </cell>
          <cell r="AN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</row>
        <row r="1208">
          <cell r="C1208" t="str">
            <v>DWG</v>
          </cell>
          <cell r="H1208" t="str">
            <v>N2 and air MCC and control room</v>
          </cell>
          <cell r="N1208">
            <v>0.25</v>
          </cell>
          <cell r="O1208">
            <v>1</v>
          </cell>
          <cell r="P1208">
            <v>4.7500000000000007E-3</v>
          </cell>
          <cell r="R1208">
            <v>1.42E-3</v>
          </cell>
          <cell r="T1208" t="str">
            <v>.</v>
          </cell>
          <cell r="U1208" t="str">
            <v>.</v>
          </cell>
          <cell r="V1208" t="str">
            <v>.</v>
          </cell>
          <cell r="AG1208" t="str">
            <v>.</v>
          </cell>
          <cell r="AH1208" t="str">
            <v/>
          </cell>
          <cell r="AJ1208" t="str">
            <v/>
          </cell>
          <cell r="AL1208" t="str">
            <v/>
          </cell>
          <cell r="AM1208">
            <v>0</v>
          </cell>
          <cell r="AN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</row>
        <row r="1209">
          <cell r="C1209" t="str">
            <v>DWG</v>
          </cell>
          <cell r="H1209" t="str">
            <v>10-40-A1-BL-0001</v>
          </cell>
          <cell r="I1209" t="str">
            <v>Architectural drawings</v>
          </cell>
          <cell r="O1209">
            <v>0.34</v>
          </cell>
          <cell r="P1209">
            <v>1.6150000000000003E-3</v>
          </cell>
          <cell r="Q1209" t="str">
            <v>V</v>
          </cell>
          <cell r="R1209">
            <v>3.4000000000000002E-4</v>
          </cell>
          <cell r="T1209">
            <v>39431</v>
          </cell>
          <cell r="U1209" t="str">
            <v>*</v>
          </cell>
          <cell r="V1209" t="str">
            <v>2007-12</v>
          </cell>
          <cell r="AH1209" t="str">
            <v/>
          </cell>
          <cell r="AJ1209" t="str">
            <v/>
          </cell>
          <cell r="AL1209" t="str">
            <v/>
          </cell>
          <cell r="AM1209">
            <v>0</v>
          </cell>
          <cell r="AN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</row>
        <row r="1210">
          <cell r="C1210" t="str">
            <v>DWG</v>
          </cell>
          <cell r="H1210" t="str">
            <v>10-40-A1-ST-0001</v>
          </cell>
          <cell r="I1210" t="str">
            <v>Structural Drawings</v>
          </cell>
          <cell r="O1210">
            <v>0.33</v>
          </cell>
          <cell r="P1210">
            <v>1.5675000000000003E-3</v>
          </cell>
          <cell r="Q1210" t="str">
            <v>L</v>
          </cell>
          <cell r="R1210">
            <v>5.4000000000000001E-4</v>
          </cell>
          <cell r="T1210">
            <v>39452</v>
          </cell>
          <cell r="V1210" t="str">
            <v>2008-01</v>
          </cell>
          <cell r="AM1210">
            <v>0</v>
          </cell>
          <cell r="AN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</row>
        <row r="1211">
          <cell r="C1211" t="str">
            <v>DWG</v>
          </cell>
          <cell r="H1211" t="str">
            <v>10-40-CSH-ST-0001</v>
          </cell>
          <cell r="I1211" t="str">
            <v>Calculation Sheet For N2And air MCC/Control Room</v>
          </cell>
          <cell r="O1211">
            <v>0.33</v>
          </cell>
          <cell r="P1211">
            <v>1.5675000000000003E-3</v>
          </cell>
          <cell r="Q1211" t="str">
            <v>L</v>
          </cell>
          <cell r="R1211">
            <v>5.4000000000000001E-4</v>
          </cell>
          <cell r="T1211">
            <v>39452</v>
          </cell>
          <cell r="V1211" t="str">
            <v>2008-01</v>
          </cell>
          <cell r="AH1211" t="str">
            <v/>
          </cell>
          <cell r="AJ1211" t="str">
            <v/>
          </cell>
          <cell r="AL1211" t="str">
            <v/>
          </cell>
          <cell r="AM1211">
            <v>0</v>
          </cell>
          <cell r="AN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</row>
        <row r="1212">
          <cell r="C1212" t="str">
            <v>DWG</v>
          </cell>
          <cell r="H1212" t="str">
            <v>Equipment Foundations</v>
          </cell>
          <cell r="N1212">
            <v>0.3</v>
          </cell>
          <cell r="O1212">
            <v>1.0000000000000002</v>
          </cell>
          <cell r="P1212">
            <v>5.7000000000000011E-3</v>
          </cell>
          <cell r="R1212">
            <v>6.2400000000000016E-3</v>
          </cell>
          <cell r="T1212" t="str">
            <v>.</v>
          </cell>
          <cell r="U1212" t="str">
            <v>.</v>
          </cell>
          <cell r="V1212" t="str">
            <v>.</v>
          </cell>
          <cell r="AG1212" t="str">
            <v>.</v>
          </cell>
          <cell r="AH1212" t="str">
            <v/>
          </cell>
          <cell r="AJ1212" t="str">
            <v/>
          </cell>
          <cell r="AL1212" t="str">
            <v/>
          </cell>
          <cell r="AM1212">
            <v>0</v>
          </cell>
          <cell r="AN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</row>
        <row r="1213">
          <cell r="C1213" t="str">
            <v>DWG</v>
          </cell>
          <cell r="H1213" t="str">
            <v>10-40-A1-ST-0002</v>
          </cell>
          <cell r="I1213" t="str">
            <v>Low Pressure Compressors (A/B/C) foundation plan &amp; details</v>
          </cell>
          <cell r="O1213">
            <v>4.2999999999999997E-2</v>
          </cell>
          <cell r="P1213">
            <v>2.4510000000000005E-4</v>
          </cell>
          <cell r="Q1213" t="str">
            <v>V</v>
          </cell>
          <cell r="R1213">
            <v>3.4000000000000002E-4</v>
          </cell>
          <cell r="T1213">
            <v>39424</v>
          </cell>
          <cell r="U1213" t="str">
            <v>*</v>
          </cell>
          <cell r="V1213" t="str">
            <v>2007-12</v>
          </cell>
          <cell r="AJ1213" t="str">
            <v/>
          </cell>
          <cell r="AL1213" t="str">
            <v/>
          </cell>
          <cell r="AM1213">
            <v>0</v>
          </cell>
          <cell r="AN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</row>
        <row r="1214">
          <cell r="C1214" t="str">
            <v>DWG</v>
          </cell>
          <cell r="H1214" t="str">
            <v>10-40-CSH-ST-0002</v>
          </cell>
          <cell r="I1214" t="str">
            <v>Calculation Sheet For Low Pressure Compressors (A/B/C) foundation</v>
          </cell>
          <cell r="O1214">
            <v>4.2999999999999997E-2</v>
          </cell>
          <cell r="P1214">
            <v>2.4510000000000005E-4</v>
          </cell>
          <cell r="Q1214" t="str">
            <v>V</v>
          </cell>
          <cell r="R1214">
            <v>3.4000000000000002E-4</v>
          </cell>
          <cell r="T1214">
            <v>39424</v>
          </cell>
          <cell r="U1214" t="str">
            <v>*</v>
          </cell>
          <cell r="V1214" t="str">
            <v>2007-12</v>
          </cell>
          <cell r="AH1214" t="str">
            <v/>
          </cell>
          <cell r="AJ1214" t="str">
            <v/>
          </cell>
          <cell r="AL1214" t="str">
            <v/>
          </cell>
          <cell r="AM1214">
            <v>0</v>
          </cell>
          <cell r="AN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</row>
        <row r="1215">
          <cell r="C1215" t="str">
            <v>DWG</v>
          </cell>
          <cell r="H1215" t="str">
            <v>10-40-A1-ST-0003</v>
          </cell>
          <cell r="I1215" t="str">
            <v>Raw Air Storage Tanks (A/B) foundation plan &amp; details</v>
          </cell>
          <cell r="O1215">
            <v>4.2999999999999997E-2</v>
          </cell>
          <cell r="P1215">
            <v>2.4510000000000005E-4</v>
          </cell>
          <cell r="Q1215" t="str">
            <v>V</v>
          </cell>
          <cell r="R1215">
            <v>2.5000000000000001E-4</v>
          </cell>
          <cell r="T1215">
            <v>39431</v>
          </cell>
          <cell r="U1215" t="str">
            <v>*</v>
          </cell>
          <cell r="V1215" t="str">
            <v>2007-12</v>
          </cell>
          <cell r="AH1215" t="str">
            <v/>
          </cell>
          <cell r="AJ1215" t="str">
            <v/>
          </cell>
          <cell r="AL1215" t="str">
            <v/>
          </cell>
          <cell r="AM1215">
            <v>0</v>
          </cell>
          <cell r="AN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</row>
        <row r="1216">
          <cell r="C1216" t="str">
            <v>DWG</v>
          </cell>
          <cell r="H1216" t="str">
            <v>10-40-CSH-ST-0003</v>
          </cell>
          <cell r="I1216" t="str">
            <v>Calculation Sheet For Raw Air Storage Tanks (A/B) foundation</v>
          </cell>
          <cell r="O1216">
            <v>4.2999999999999997E-2</v>
          </cell>
          <cell r="P1216">
            <v>2.4510000000000005E-4</v>
          </cell>
          <cell r="Q1216" t="str">
            <v>V</v>
          </cell>
          <cell r="R1216">
            <v>2.5000000000000001E-4</v>
          </cell>
          <cell r="T1216">
            <v>39431</v>
          </cell>
          <cell r="U1216" t="str">
            <v>*</v>
          </cell>
          <cell r="V1216" t="str">
            <v>2007-12</v>
          </cell>
          <cell r="AH1216" t="str">
            <v/>
          </cell>
          <cell r="AJ1216" t="str">
            <v/>
          </cell>
          <cell r="AL1216" t="str">
            <v/>
          </cell>
          <cell r="AM1216">
            <v>0</v>
          </cell>
          <cell r="AN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</row>
        <row r="1217">
          <cell r="C1217" t="str">
            <v>DWG</v>
          </cell>
          <cell r="H1217" t="str">
            <v>10-40-A1-ST-0004</v>
          </cell>
          <cell r="I1217" t="str">
            <v>Instrument Air Dryers (A/B) foundation plan &amp; details</v>
          </cell>
          <cell r="O1217">
            <v>4.2999999999999997E-2</v>
          </cell>
          <cell r="P1217">
            <v>2.4510000000000005E-4</v>
          </cell>
          <cell r="Q1217" t="str">
            <v>V</v>
          </cell>
          <cell r="R1217">
            <v>2.5000000000000001E-4</v>
          </cell>
          <cell r="T1217">
            <v>39438</v>
          </cell>
          <cell r="U1217" t="str">
            <v>*</v>
          </cell>
          <cell r="V1217" t="str">
            <v>2007-12</v>
          </cell>
          <cell r="AM1217">
            <v>0</v>
          </cell>
          <cell r="AN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</row>
        <row r="1218">
          <cell r="C1218" t="str">
            <v>CLS</v>
          </cell>
          <cell r="H1218" t="str">
            <v>10-20-40-CSH-0004</v>
          </cell>
          <cell r="I1218" t="str">
            <v>Calculation Sheet For Instrument Air Dryers (A/B) foundation</v>
          </cell>
          <cell r="O1218">
            <v>4.2999999999999997E-2</v>
          </cell>
          <cell r="P1218">
            <v>2.4510000000000005E-4</v>
          </cell>
          <cell r="Q1218" t="str">
            <v>V</v>
          </cell>
          <cell r="R1218">
            <v>2.5000000000000001E-4</v>
          </cell>
          <cell r="T1218">
            <v>39438</v>
          </cell>
          <cell r="U1218" t="str">
            <v>*</v>
          </cell>
          <cell r="V1218" t="str">
            <v>2007-12</v>
          </cell>
          <cell r="AM1218">
            <v>0</v>
          </cell>
          <cell r="AN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</row>
        <row r="1219">
          <cell r="C1219" t="str">
            <v>DWG</v>
          </cell>
          <cell r="H1219" t="str">
            <v>10-40-A1-ST-0005</v>
          </cell>
          <cell r="I1219" t="str">
            <v>High Pressure Compressor foundation plan &amp; details</v>
          </cell>
          <cell r="O1219">
            <v>4.2999999999999997E-2</v>
          </cell>
          <cell r="P1219">
            <v>2.4510000000000005E-4</v>
          </cell>
          <cell r="Q1219" t="str">
            <v>V</v>
          </cell>
          <cell r="R1219">
            <v>2.5000000000000001E-4</v>
          </cell>
          <cell r="T1219">
            <v>39441</v>
          </cell>
          <cell r="U1219" t="str">
            <v>*</v>
          </cell>
          <cell r="V1219" t="str">
            <v>2007-12</v>
          </cell>
          <cell r="AM1219">
            <v>0</v>
          </cell>
          <cell r="AN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</row>
        <row r="1220">
          <cell r="C1220" t="str">
            <v>CLS</v>
          </cell>
          <cell r="H1220" t="str">
            <v>10-40-CSH-ST-0005</v>
          </cell>
          <cell r="I1220" t="str">
            <v>Calculation Sheet For High Pressure Compressor foundation</v>
          </cell>
          <cell r="O1220">
            <v>4.2000000000000003E-2</v>
          </cell>
          <cell r="P1220">
            <v>2.3940000000000007E-4</v>
          </cell>
          <cell r="Q1220" t="str">
            <v>V</v>
          </cell>
          <cell r="R1220">
            <v>2.5000000000000001E-4</v>
          </cell>
          <cell r="T1220">
            <v>39441</v>
          </cell>
          <cell r="U1220" t="str">
            <v>*</v>
          </cell>
          <cell r="V1220" t="str">
            <v>2007-12</v>
          </cell>
          <cell r="AM1220">
            <v>0</v>
          </cell>
          <cell r="AN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</row>
        <row r="1221">
          <cell r="C1221" t="str">
            <v>DWG</v>
          </cell>
          <cell r="H1221" t="str">
            <v>10-40-A1-ST-0006</v>
          </cell>
          <cell r="I1221" t="str">
            <v>High Pressure Storage Tank foundation plan &amp; details</v>
          </cell>
          <cell r="O1221">
            <v>4.2000000000000003E-2</v>
          </cell>
          <cell r="P1221">
            <v>2.3940000000000007E-4</v>
          </cell>
          <cell r="Q1221" t="str">
            <v>L</v>
          </cell>
          <cell r="R1221">
            <v>2.5000000000000001E-4</v>
          </cell>
          <cell r="T1221">
            <v>39477</v>
          </cell>
          <cell r="V1221" t="str">
            <v>2008-01</v>
          </cell>
          <cell r="AM1221">
            <v>0</v>
          </cell>
          <cell r="AN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</row>
        <row r="1222">
          <cell r="C1222" t="str">
            <v>CLS</v>
          </cell>
          <cell r="H1222" t="str">
            <v>10-40-CSH-ST-0006</v>
          </cell>
          <cell r="I1222" t="str">
            <v>Calculation Sheet For High Pressure Storage Tank foundation</v>
          </cell>
          <cell r="O1222">
            <v>4.1000000000000002E-2</v>
          </cell>
          <cell r="P1222">
            <v>2.3370000000000004E-4</v>
          </cell>
          <cell r="Q1222" t="str">
            <v>L</v>
          </cell>
          <cell r="R1222">
            <v>2.0000000000000001E-4</v>
          </cell>
          <cell r="T1222">
            <v>39477</v>
          </cell>
          <cell r="V1222" t="str">
            <v>2008-01</v>
          </cell>
          <cell r="AM1222">
            <v>0</v>
          </cell>
          <cell r="AN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</row>
        <row r="1223">
          <cell r="C1223" t="str">
            <v>DWG</v>
          </cell>
          <cell r="H1223" t="str">
            <v>10-40-A1-ST-0007</v>
          </cell>
          <cell r="I1223" t="str">
            <v>Air Chiller foundation plan &amp; details</v>
          </cell>
          <cell r="O1223">
            <v>4.1000000000000002E-2</v>
          </cell>
          <cell r="P1223">
            <v>2.3370000000000004E-4</v>
          </cell>
          <cell r="Q1223" t="str">
            <v>L</v>
          </cell>
          <cell r="R1223">
            <v>2.0000000000000001E-4</v>
          </cell>
          <cell r="T1223">
            <v>39452</v>
          </cell>
          <cell r="V1223" t="str">
            <v>2008-01</v>
          </cell>
          <cell r="AM1223">
            <v>0</v>
          </cell>
          <cell r="AN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</row>
        <row r="1224">
          <cell r="C1224" t="str">
            <v>CLS</v>
          </cell>
          <cell r="H1224" t="str">
            <v>10-40-CSH-ST-0007</v>
          </cell>
          <cell r="I1224" t="str">
            <v xml:space="preserve">Calculation Sheet For Air Chiller foundation </v>
          </cell>
          <cell r="O1224">
            <v>4.1000000000000002E-2</v>
          </cell>
          <cell r="P1224">
            <v>2.3370000000000004E-4</v>
          </cell>
          <cell r="Q1224" t="str">
            <v>L</v>
          </cell>
          <cell r="R1224">
            <v>2.0000000000000001E-4</v>
          </cell>
          <cell r="T1224">
            <v>39452</v>
          </cell>
          <cell r="V1224" t="str">
            <v>2008-01</v>
          </cell>
          <cell r="AM1224">
            <v>0</v>
          </cell>
          <cell r="AN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</row>
        <row r="1225">
          <cell r="C1225" t="str">
            <v>DWG</v>
          </cell>
          <cell r="H1225" t="str">
            <v>10-40-A1-ST-0008</v>
          </cell>
          <cell r="I1225" t="str">
            <v>Molecular Sieve Dryer foundation plan &amp; details</v>
          </cell>
          <cell r="O1225">
            <v>4.1000000000000002E-2</v>
          </cell>
          <cell r="P1225">
            <v>2.3370000000000004E-4</v>
          </cell>
          <cell r="Q1225" t="str">
            <v>L</v>
          </cell>
          <cell r="R1225">
            <v>2.0000000000000001E-4</v>
          </cell>
          <cell r="T1225">
            <v>39457</v>
          </cell>
          <cell r="V1225" t="str">
            <v>2008-01</v>
          </cell>
          <cell r="AM1225">
            <v>0</v>
          </cell>
          <cell r="AN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</row>
        <row r="1226">
          <cell r="C1226" t="str">
            <v>CLS</v>
          </cell>
          <cell r="H1226" t="str">
            <v>10-40-CSH-ST-0008</v>
          </cell>
          <cell r="I1226" t="str">
            <v>Calculation Sheet For Molecular Sieve Dryer foundation</v>
          </cell>
          <cell r="O1226">
            <v>4.1000000000000002E-2</v>
          </cell>
          <cell r="P1226">
            <v>2.3370000000000004E-4</v>
          </cell>
          <cell r="Q1226" t="str">
            <v>L</v>
          </cell>
          <cell r="R1226">
            <v>2.0000000000000001E-4</v>
          </cell>
          <cell r="T1226">
            <v>39457</v>
          </cell>
          <cell r="V1226" t="str">
            <v>2008-01</v>
          </cell>
          <cell r="AM1226">
            <v>0</v>
          </cell>
          <cell r="AN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</row>
        <row r="1227">
          <cell r="C1227" t="str">
            <v>DWG</v>
          </cell>
          <cell r="H1227" t="str">
            <v>10-40-A1-ST-0009</v>
          </cell>
          <cell r="I1227" t="str">
            <v>Cold Box foundation plan &amp; details</v>
          </cell>
          <cell r="O1227">
            <v>4.1000000000000002E-2</v>
          </cell>
          <cell r="P1227">
            <v>2.3370000000000004E-4</v>
          </cell>
          <cell r="Q1227" t="str">
            <v>L</v>
          </cell>
          <cell r="R1227">
            <v>2.0000000000000001E-4</v>
          </cell>
          <cell r="T1227">
            <v>39462</v>
          </cell>
          <cell r="V1227" t="str">
            <v>2008-01</v>
          </cell>
          <cell r="AM1227">
            <v>0</v>
          </cell>
          <cell r="AN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</row>
        <row r="1228">
          <cell r="C1228" t="str">
            <v>CLS</v>
          </cell>
          <cell r="H1228" t="str">
            <v>10-40-CSH-ST-0009</v>
          </cell>
          <cell r="I1228" t="str">
            <v>Calculation Sheet For Cold Box foundation</v>
          </cell>
          <cell r="O1228">
            <v>4.1000000000000002E-2</v>
          </cell>
          <cell r="P1228">
            <v>2.3370000000000004E-4</v>
          </cell>
          <cell r="Q1228" t="str">
            <v>L</v>
          </cell>
          <cell r="R1228">
            <v>3.4000000000000002E-4</v>
          </cell>
          <cell r="T1228">
            <v>39462</v>
          </cell>
          <cell r="V1228" t="str">
            <v>2008-01</v>
          </cell>
          <cell r="AM1228">
            <v>0</v>
          </cell>
          <cell r="AN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</row>
        <row r="1229">
          <cell r="C1229" t="str">
            <v>DWG</v>
          </cell>
          <cell r="H1229" t="str">
            <v>10-40-A1-ST-0010</v>
          </cell>
          <cell r="I1229" t="str">
            <v>GAN Storage Tank foundation plan &amp; details</v>
          </cell>
          <cell r="O1229">
            <v>4.1000000000000002E-2</v>
          </cell>
          <cell r="P1229">
            <v>2.3370000000000004E-4</v>
          </cell>
          <cell r="Q1229" t="str">
            <v>L</v>
          </cell>
          <cell r="R1229">
            <v>3.4000000000000002E-4</v>
          </cell>
          <cell r="T1229">
            <v>39467</v>
          </cell>
          <cell r="V1229" t="str">
            <v>2008-01</v>
          </cell>
          <cell r="AM1229">
            <v>0</v>
          </cell>
          <cell r="AN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</row>
        <row r="1230">
          <cell r="C1230" t="str">
            <v>DWG</v>
          </cell>
          <cell r="H1230" t="str">
            <v>10-40-CSH-ST-0010</v>
          </cell>
          <cell r="I1230" t="str">
            <v>Calculation Sheet For GAN Storage Tank foundation</v>
          </cell>
          <cell r="O1230">
            <v>4.1000000000000002E-2</v>
          </cell>
          <cell r="P1230">
            <v>2.3370000000000004E-4</v>
          </cell>
          <cell r="Q1230" t="str">
            <v>L</v>
          </cell>
          <cell r="R1230">
            <v>3.4000000000000002E-4</v>
          </cell>
          <cell r="T1230">
            <v>39467</v>
          </cell>
          <cell r="V1230" t="str">
            <v>2008-01</v>
          </cell>
          <cell r="AH1230" t="str">
            <v/>
          </cell>
          <cell r="AJ1230" t="str">
            <v/>
          </cell>
          <cell r="AL1230" t="str">
            <v/>
          </cell>
          <cell r="AM1230">
            <v>0</v>
          </cell>
          <cell r="AN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</row>
        <row r="1231">
          <cell r="C1231" t="str">
            <v>DWG</v>
          </cell>
          <cell r="H1231" t="str">
            <v>10-40-A1-ST-0011</v>
          </cell>
          <cell r="I1231" t="str">
            <v>LIN Storage Tanks (A/B/C/D) foundation plan &amp; details</v>
          </cell>
          <cell r="O1231">
            <v>4.1000000000000002E-2</v>
          </cell>
          <cell r="P1231">
            <v>2.3370000000000004E-4</v>
          </cell>
          <cell r="Q1231" t="str">
            <v>L</v>
          </cell>
          <cell r="R1231">
            <v>3.4000000000000002E-4</v>
          </cell>
          <cell r="T1231">
            <v>39472</v>
          </cell>
          <cell r="V1231" t="str">
            <v>2008-01</v>
          </cell>
          <cell r="AH1231" t="str">
            <v/>
          </cell>
          <cell r="AJ1231" t="str">
            <v/>
          </cell>
          <cell r="AL1231" t="str">
            <v/>
          </cell>
          <cell r="AM1231">
            <v>0</v>
          </cell>
          <cell r="AN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</row>
        <row r="1232">
          <cell r="C1232" t="str">
            <v>DWG</v>
          </cell>
          <cell r="H1232" t="str">
            <v>10-40-CSH-ST-0011</v>
          </cell>
          <cell r="I1232" t="str">
            <v>Calculation Sheet For LIN Storage Tanks (A/B/C/D) foundation</v>
          </cell>
          <cell r="O1232">
            <v>4.1000000000000002E-2</v>
          </cell>
          <cell r="P1232">
            <v>2.3370000000000004E-4</v>
          </cell>
          <cell r="Q1232" t="str">
            <v>L</v>
          </cell>
          <cell r="R1232">
            <v>2.5000000000000001E-4</v>
          </cell>
          <cell r="T1232">
            <v>39472</v>
          </cell>
          <cell r="V1232" t="str">
            <v>2008-01</v>
          </cell>
          <cell r="AH1232" t="str">
            <v/>
          </cell>
          <cell r="AJ1232" t="str">
            <v/>
          </cell>
          <cell r="AL1232" t="str">
            <v/>
          </cell>
          <cell r="AM1232">
            <v>0</v>
          </cell>
          <cell r="AN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</row>
        <row r="1233">
          <cell r="C1233" t="str">
            <v>DWG</v>
          </cell>
          <cell r="H1233" t="str">
            <v>10-40-A1-ST-0012</v>
          </cell>
          <cell r="I1233" t="str">
            <v>LIN Air Vaporizers (A/B) foundation plan &amp; details</v>
          </cell>
          <cell r="O1233">
            <v>4.1000000000000002E-2</v>
          </cell>
          <cell r="P1233">
            <v>2.3370000000000004E-4</v>
          </cell>
          <cell r="Q1233" t="str">
            <v>L</v>
          </cell>
          <cell r="R1233">
            <v>2.5000000000000001E-4</v>
          </cell>
          <cell r="T1233">
            <v>39477</v>
          </cell>
          <cell r="V1233" t="str">
            <v>2008-01</v>
          </cell>
          <cell r="AH1233" t="str">
            <v/>
          </cell>
          <cell r="AJ1233" t="str">
            <v/>
          </cell>
          <cell r="AL1233" t="str">
            <v/>
          </cell>
          <cell r="AM1233">
            <v>0</v>
          </cell>
          <cell r="AN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</row>
        <row r="1234">
          <cell r="C1234" t="str">
            <v>DWG</v>
          </cell>
          <cell r="H1234" t="str">
            <v>10-40-CSH-ST-0012</v>
          </cell>
          <cell r="I1234" t="str">
            <v>Calculation Sheet For LIN Air Vaporizers (A/B) foundation</v>
          </cell>
          <cell r="O1234">
            <v>4.1000000000000002E-2</v>
          </cell>
          <cell r="P1234">
            <v>2.3370000000000004E-4</v>
          </cell>
          <cell r="Q1234" t="str">
            <v>L</v>
          </cell>
          <cell r="R1234">
            <v>2.5000000000000001E-4</v>
          </cell>
          <cell r="T1234">
            <v>39477</v>
          </cell>
          <cell r="V1234" t="str">
            <v>2008-01</v>
          </cell>
          <cell r="AH1234" t="str">
            <v/>
          </cell>
          <cell r="AJ1234" t="str">
            <v/>
          </cell>
          <cell r="AL1234" t="str">
            <v/>
          </cell>
          <cell r="AM1234">
            <v>0</v>
          </cell>
          <cell r="AN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</row>
        <row r="1235">
          <cell r="C1235" t="str">
            <v>DWG</v>
          </cell>
          <cell r="H1235" t="str">
            <v>10-40-A1-ST-0013</v>
          </cell>
          <cell r="I1235" t="str">
            <v>LIN Steam Vaporizer foundation plan &amp; details</v>
          </cell>
          <cell r="O1235">
            <v>4.1000000000000002E-2</v>
          </cell>
          <cell r="P1235">
            <v>2.3370000000000004E-4</v>
          </cell>
          <cell r="Q1235" t="str">
            <v>L</v>
          </cell>
          <cell r="R1235">
            <v>2.5000000000000001E-4</v>
          </cell>
          <cell r="T1235">
            <v>39483</v>
          </cell>
          <cell r="V1235" t="str">
            <v>2008-02</v>
          </cell>
          <cell r="AH1235" t="str">
            <v/>
          </cell>
          <cell r="AJ1235" t="str">
            <v/>
          </cell>
          <cell r="AL1235" t="str">
            <v/>
          </cell>
          <cell r="AM1235">
            <v>0</v>
          </cell>
          <cell r="AN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</row>
        <row r="1236">
          <cell r="C1236" t="str">
            <v>DWG</v>
          </cell>
          <cell r="H1236" t="str">
            <v>10-40-CSH-ST-0013</v>
          </cell>
          <cell r="I1236" t="str">
            <v>Calculation Sheet For LIN Steam Vaporizer foundation</v>
          </cell>
          <cell r="O1236">
            <v>4.1000000000000002E-2</v>
          </cell>
          <cell r="P1236">
            <v>2.3370000000000004E-4</v>
          </cell>
          <cell r="Q1236" t="str">
            <v>L</v>
          </cell>
          <cell r="R1236">
            <v>2.5000000000000001E-4</v>
          </cell>
          <cell r="T1236">
            <v>39483</v>
          </cell>
          <cell r="V1236" t="str">
            <v>2008-02</v>
          </cell>
          <cell r="AH1236" t="str">
            <v/>
          </cell>
          <cell r="AJ1236" t="str">
            <v/>
          </cell>
          <cell r="AL1236" t="str">
            <v/>
          </cell>
          <cell r="AM1236">
            <v>0</v>
          </cell>
          <cell r="AN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</row>
        <row r="1237">
          <cell r="C1237" t="str">
            <v>DWG</v>
          </cell>
          <cell r="H1237" t="str">
            <v>Steel Structures</v>
          </cell>
          <cell r="N1237">
            <v>0.35</v>
          </cell>
          <cell r="O1237">
            <v>1</v>
          </cell>
          <cell r="P1237">
            <v>6.6500000000000005E-3</v>
          </cell>
          <cell r="R1237">
            <v>1E-3</v>
          </cell>
          <cell r="T1237" t="str">
            <v>.</v>
          </cell>
          <cell r="U1237" t="str">
            <v>.</v>
          </cell>
          <cell r="V1237" t="str">
            <v>.</v>
          </cell>
          <cell r="AG1237" t="str">
            <v>.</v>
          </cell>
          <cell r="AH1237" t="str">
            <v/>
          </cell>
          <cell r="AJ1237" t="str">
            <v/>
          </cell>
          <cell r="AL1237" t="str">
            <v/>
          </cell>
          <cell r="AM1237">
            <v>0</v>
          </cell>
          <cell r="AN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</row>
        <row r="1238">
          <cell r="C1238" t="str">
            <v>DWG</v>
          </cell>
          <cell r="H1238" t="str">
            <v>10-40-A1-ST-0015</v>
          </cell>
          <cell r="I1238" t="str">
            <v>Shelter plan &amp; details</v>
          </cell>
          <cell r="O1238">
            <v>0.25</v>
          </cell>
          <cell r="P1238">
            <v>1.6625000000000001E-3</v>
          </cell>
          <cell r="Q1238" t="str">
            <v>L</v>
          </cell>
          <cell r="R1238">
            <v>2.5000000000000001E-4</v>
          </cell>
          <cell r="T1238">
            <v>39488</v>
          </cell>
          <cell r="V1238" t="str">
            <v>2008-02</v>
          </cell>
          <cell r="AH1238" t="str">
            <v/>
          </cell>
          <cell r="AJ1238" t="str">
            <v/>
          </cell>
          <cell r="AL1238" t="str">
            <v/>
          </cell>
          <cell r="AM1238">
            <v>0</v>
          </cell>
          <cell r="AN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</row>
        <row r="1239">
          <cell r="C1239" t="str">
            <v>CLS</v>
          </cell>
          <cell r="H1239" t="str">
            <v>10-40-CSH-ST-0015</v>
          </cell>
          <cell r="I1239" t="str">
            <v>Calculation Sheet For Shelter</v>
          </cell>
          <cell r="O1239">
            <v>0.25</v>
          </cell>
          <cell r="P1239">
            <v>1.6625000000000001E-3</v>
          </cell>
          <cell r="Q1239" t="str">
            <v>L</v>
          </cell>
          <cell r="R1239">
            <v>2.5000000000000001E-4</v>
          </cell>
          <cell r="T1239">
            <v>39488</v>
          </cell>
          <cell r="V1239" t="str">
            <v>2008-02</v>
          </cell>
          <cell r="AM1239">
            <v>0</v>
          </cell>
          <cell r="AN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</row>
        <row r="1240">
          <cell r="C1240" t="str">
            <v>DWG</v>
          </cell>
          <cell r="H1240" t="str">
            <v>10-40-A1-ST-0016</v>
          </cell>
          <cell r="I1240" t="str">
            <v>Platform plan &amp; details</v>
          </cell>
          <cell r="O1240">
            <v>0.25</v>
          </cell>
          <cell r="P1240">
            <v>1.6625000000000001E-3</v>
          </cell>
          <cell r="Q1240" t="str">
            <v>L</v>
          </cell>
          <cell r="R1240">
            <v>2.5000000000000001E-4</v>
          </cell>
          <cell r="T1240">
            <v>39493</v>
          </cell>
          <cell r="V1240" t="str">
            <v>2008-02</v>
          </cell>
          <cell r="AM1240">
            <v>0</v>
          </cell>
          <cell r="AN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</row>
        <row r="1241">
          <cell r="C1241" t="str">
            <v>DWG</v>
          </cell>
          <cell r="H1241" t="str">
            <v>10-40-CSH-ST-0016</v>
          </cell>
          <cell r="I1241" t="str">
            <v>Calculation Sheet For Platform</v>
          </cell>
          <cell r="O1241">
            <v>0.25</v>
          </cell>
          <cell r="P1241">
            <v>1.6625000000000001E-3</v>
          </cell>
          <cell r="Q1241" t="str">
            <v>L</v>
          </cell>
          <cell r="R1241">
            <v>2.5000000000000001E-4</v>
          </cell>
          <cell r="T1241">
            <v>39493</v>
          </cell>
          <cell r="V1241" t="str">
            <v>2008-02</v>
          </cell>
          <cell r="AH1241" t="str">
            <v/>
          </cell>
          <cell r="AJ1241" t="str">
            <v/>
          </cell>
          <cell r="AL1241" t="str">
            <v/>
          </cell>
          <cell r="AM1241">
            <v>0</v>
          </cell>
          <cell r="AN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</row>
        <row r="1242">
          <cell r="C1242" t="str">
            <v>DWG</v>
          </cell>
          <cell r="H1242" t="str">
            <v>Civil Works</v>
          </cell>
          <cell r="N1242">
            <v>0.1</v>
          </cell>
          <cell r="O1242">
            <v>1</v>
          </cell>
          <cell r="P1242">
            <v>1.9000000000000004E-3</v>
          </cell>
          <cell r="R1242">
            <v>1.2899999999999999E-3</v>
          </cell>
          <cell r="T1242" t="str">
            <v>.</v>
          </cell>
          <cell r="U1242" t="str">
            <v>.</v>
          </cell>
          <cell r="V1242" t="str">
            <v>.</v>
          </cell>
          <cell r="AG1242" t="str">
            <v>.</v>
          </cell>
          <cell r="AH1242" t="str">
            <v/>
          </cell>
          <cell r="AJ1242" t="str">
            <v/>
          </cell>
          <cell r="AL1242" t="str">
            <v/>
          </cell>
          <cell r="AM1242">
            <v>0</v>
          </cell>
          <cell r="AN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</row>
        <row r="1243">
          <cell r="C1243" t="str">
            <v>DWG</v>
          </cell>
          <cell r="H1243" t="str">
            <v>10-40-A1-CI-0001</v>
          </cell>
          <cell r="I1243" t="str">
            <v>Paving plan &amp; details</v>
          </cell>
          <cell r="O1243">
            <v>0.3</v>
          </cell>
          <cell r="P1243">
            <v>5.7000000000000009E-4</v>
          </cell>
          <cell r="Q1243" t="str">
            <v>L</v>
          </cell>
          <cell r="R1243">
            <v>4.2999999999999999E-4</v>
          </cell>
          <cell r="T1243">
            <v>39498</v>
          </cell>
          <cell r="V1243" t="str">
            <v>2008-02</v>
          </cell>
          <cell r="AH1243" t="str">
            <v/>
          </cell>
          <cell r="AJ1243" t="str">
            <v/>
          </cell>
          <cell r="AL1243" t="str">
            <v/>
          </cell>
          <cell r="AM1243">
            <v>0</v>
          </cell>
          <cell r="AN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</row>
        <row r="1244">
          <cell r="C1244" t="str">
            <v>DWG</v>
          </cell>
          <cell r="H1244" t="str">
            <v>10-40-A1-CI-0002</v>
          </cell>
          <cell r="I1244" t="str">
            <v>Concrete Cable Trench plan&amp; details</v>
          </cell>
          <cell r="O1244">
            <v>0.4</v>
          </cell>
          <cell r="P1244">
            <v>7.6000000000000026E-4</v>
          </cell>
          <cell r="Q1244" t="str">
            <v>L</v>
          </cell>
          <cell r="R1244">
            <v>4.2999999999999999E-4</v>
          </cell>
          <cell r="T1244">
            <v>39498</v>
          </cell>
          <cell r="V1244" t="str">
            <v>2008-02</v>
          </cell>
          <cell r="AH1244" t="str">
            <v/>
          </cell>
          <cell r="AJ1244" t="str">
            <v/>
          </cell>
          <cell r="AL1244" t="str">
            <v/>
          </cell>
          <cell r="AM1244">
            <v>0</v>
          </cell>
          <cell r="AN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</row>
        <row r="1245">
          <cell r="C1245" t="str">
            <v>DWG</v>
          </cell>
          <cell r="H1245" t="str">
            <v>10-40-A1-CI-0003</v>
          </cell>
          <cell r="I1245" t="str">
            <v>Concrete Duct Bank plan &amp; details</v>
          </cell>
          <cell r="O1245">
            <v>0.3</v>
          </cell>
          <cell r="P1245">
            <v>5.7000000000000009E-4</v>
          </cell>
          <cell r="Q1245" t="str">
            <v>L</v>
          </cell>
          <cell r="R1245">
            <v>4.2999999999999999E-4</v>
          </cell>
          <cell r="T1245">
            <v>39498</v>
          </cell>
          <cell r="V1245" t="str">
            <v>2008-02</v>
          </cell>
          <cell r="AH1245" t="str">
            <v/>
          </cell>
          <cell r="AJ1245" t="str">
            <v/>
          </cell>
          <cell r="AL1245" t="str">
            <v/>
          </cell>
          <cell r="AM1245">
            <v>0</v>
          </cell>
          <cell r="AN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</row>
        <row r="1246">
          <cell r="C1246" t="str">
            <v>DWG</v>
          </cell>
          <cell r="G1246" t="str">
            <v>Gas Reducing Station</v>
          </cell>
          <cell r="M1246">
            <v>0.06</v>
          </cell>
          <cell r="N1246">
            <v>1</v>
          </cell>
          <cell r="P1246">
            <v>1.2E-2</v>
          </cell>
          <cell r="R1246">
            <v>3.0400000000000002E-3</v>
          </cell>
          <cell r="T1246" t="str">
            <v>.</v>
          </cell>
          <cell r="U1246" t="str">
            <v>.</v>
          </cell>
          <cell r="V1246" t="str">
            <v>.</v>
          </cell>
          <cell r="AG1246" t="str">
            <v>.</v>
          </cell>
          <cell r="AM1246">
            <v>0</v>
          </cell>
          <cell r="AN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</row>
        <row r="1247">
          <cell r="C1247" t="str">
            <v>DWG</v>
          </cell>
          <cell r="H1247" t="str">
            <v>Equipment Foundations</v>
          </cell>
          <cell r="N1247">
            <v>0.25</v>
          </cell>
          <cell r="O1247">
            <v>1</v>
          </cell>
          <cell r="P1247">
            <v>3.0000000000000001E-3</v>
          </cell>
          <cell r="R1247">
            <v>1.1800000000000001E-3</v>
          </cell>
          <cell r="T1247" t="str">
            <v>.</v>
          </cell>
          <cell r="U1247" t="str">
            <v>.</v>
          </cell>
          <cell r="V1247" t="str">
            <v>.</v>
          </cell>
          <cell r="AG1247" t="str">
            <v>.</v>
          </cell>
          <cell r="AH1247" t="str">
            <v/>
          </cell>
          <cell r="AJ1247" t="str">
            <v/>
          </cell>
          <cell r="AL1247" t="str">
            <v/>
          </cell>
          <cell r="AM1247">
            <v>0</v>
          </cell>
          <cell r="AN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</row>
        <row r="1248">
          <cell r="C1248" t="str">
            <v>DWG</v>
          </cell>
          <cell r="H1248" t="str">
            <v>10-95-A1-ST-0001</v>
          </cell>
          <cell r="I1248" t="str">
            <v xml:space="preserve">K.O. Drum (A/B) foundation plan &amp; details </v>
          </cell>
          <cell r="O1248">
            <v>0.18</v>
          </cell>
          <cell r="P1248">
            <v>5.4000000000000001E-4</v>
          </cell>
          <cell r="Q1248" t="str">
            <v>L</v>
          </cell>
          <cell r="R1248">
            <v>3.4000000000000002E-4</v>
          </cell>
          <cell r="T1248">
            <v>39472</v>
          </cell>
          <cell r="V1248" t="str">
            <v>2008-01</v>
          </cell>
          <cell r="AH1248" t="str">
            <v/>
          </cell>
          <cell r="AJ1248" t="str">
            <v/>
          </cell>
          <cell r="AL1248" t="str">
            <v/>
          </cell>
          <cell r="AM1248">
            <v>0</v>
          </cell>
          <cell r="AN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</row>
        <row r="1249">
          <cell r="C1249" t="str">
            <v>CLS</v>
          </cell>
          <cell r="H1249" t="str">
            <v>10-95-CSH-ST-0001</v>
          </cell>
          <cell r="I1249" t="str">
            <v xml:space="preserve">Calculation Sheet For K.O. Drum (A/B) foundation </v>
          </cell>
          <cell r="O1249">
            <v>0.18</v>
          </cell>
          <cell r="P1249">
            <v>5.4000000000000001E-4</v>
          </cell>
          <cell r="Q1249" t="str">
            <v>L</v>
          </cell>
          <cell r="R1249">
            <v>3.4000000000000002E-4</v>
          </cell>
          <cell r="T1249">
            <v>39472</v>
          </cell>
          <cell r="V1249" t="str">
            <v>2008-01</v>
          </cell>
          <cell r="AM1249">
            <v>0</v>
          </cell>
          <cell r="AN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</row>
        <row r="1250">
          <cell r="C1250" t="str">
            <v>DWG</v>
          </cell>
          <cell r="H1250" t="str">
            <v>10-95-A1-ST-0002</v>
          </cell>
          <cell r="I1250" t="str">
            <v>Cartridge Filter (A/B) foundation plan &amp; details</v>
          </cell>
          <cell r="O1250">
            <v>0.16</v>
          </cell>
          <cell r="P1250">
            <v>4.8000000000000001E-4</v>
          </cell>
          <cell r="Q1250" t="str">
            <v>L</v>
          </cell>
          <cell r="R1250">
            <v>2.5000000000000001E-4</v>
          </cell>
          <cell r="T1250">
            <v>39477</v>
          </cell>
          <cell r="V1250" t="str">
            <v>2008-01</v>
          </cell>
          <cell r="AM1250">
            <v>0</v>
          </cell>
          <cell r="AN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</row>
        <row r="1251">
          <cell r="C1251" t="str">
            <v>CLS</v>
          </cell>
          <cell r="H1251" t="str">
            <v>10-95-CSH-ST-0002</v>
          </cell>
          <cell r="I1251" t="str">
            <v xml:space="preserve">Calculation Sheet For Cartridge Filter (A/B) foundation </v>
          </cell>
          <cell r="O1251">
            <v>0.16</v>
          </cell>
          <cell r="P1251">
            <v>4.8000000000000001E-4</v>
          </cell>
          <cell r="Q1251" t="str">
            <v>L</v>
          </cell>
          <cell r="R1251">
            <v>2.5000000000000001E-4</v>
          </cell>
          <cell r="T1251">
            <v>39477</v>
          </cell>
          <cell r="V1251" t="str">
            <v>2008-01</v>
          </cell>
          <cell r="AM1251">
            <v>0</v>
          </cell>
          <cell r="AN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</row>
        <row r="1252">
          <cell r="C1252" t="str">
            <v>DWG</v>
          </cell>
          <cell r="H1252" t="str">
            <v>10-95-A1-ST-0003</v>
          </cell>
          <cell r="I1252" t="str">
            <v xml:space="preserve">Cartridge Filter (A/B) foundation </v>
          </cell>
          <cell r="O1252">
            <v>0.16</v>
          </cell>
          <cell r="P1252">
            <v>4.8000000000000001E-4</v>
          </cell>
          <cell r="T1252">
            <v>39483</v>
          </cell>
          <cell r="V1252" t="str">
            <v>2008-02</v>
          </cell>
          <cell r="AH1252" t="str">
            <v/>
          </cell>
          <cell r="AJ1252" t="str">
            <v/>
          </cell>
          <cell r="AL1252" t="str">
            <v/>
          </cell>
          <cell r="AM1252">
            <v>0</v>
          </cell>
          <cell r="AN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</row>
        <row r="1253">
          <cell r="C1253" t="str">
            <v>DWG</v>
          </cell>
          <cell r="H1253" t="str">
            <v>10-95-CSH-ST-0003</v>
          </cell>
          <cell r="I1253" t="str">
            <v xml:space="preserve">Calculation Sheet For Cartridge Filter (A/B) foundation </v>
          </cell>
          <cell r="O1253">
            <v>0.16</v>
          </cell>
          <cell r="P1253">
            <v>4.8000000000000001E-4</v>
          </cell>
          <cell r="T1253">
            <v>39483</v>
          </cell>
          <cell r="V1253" t="str">
            <v>2008-02</v>
          </cell>
          <cell r="AH1253" t="str">
            <v/>
          </cell>
          <cell r="AJ1253" t="str">
            <v/>
          </cell>
          <cell r="AL1253" t="str">
            <v/>
          </cell>
          <cell r="AM1253">
            <v>0</v>
          </cell>
          <cell r="AN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</row>
        <row r="1254">
          <cell r="C1254" t="str">
            <v>DWG</v>
          </cell>
          <cell r="H1254" t="str">
            <v>Steel Structures</v>
          </cell>
          <cell r="N1254">
            <v>0.3</v>
          </cell>
          <cell r="O1254">
            <v>1</v>
          </cell>
          <cell r="P1254">
            <v>3.5999999999999999E-3</v>
          </cell>
          <cell r="R1254">
            <v>5.0000000000000001E-4</v>
          </cell>
          <cell r="T1254" t="str">
            <v>.</v>
          </cell>
          <cell r="U1254" t="str">
            <v>.</v>
          </cell>
          <cell r="V1254" t="str">
            <v>.</v>
          </cell>
          <cell r="AG1254" t="str">
            <v>.</v>
          </cell>
          <cell r="AH1254" t="str">
            <v/>
          </cell>
          <cell r="AJ1254" t="str">
            <v/>
          </cell>
          <cell r="AL1254" t="str">
            <v/>
          </cell>
          <cell r="AM1254">
            <v>0</v>
          </cell>
          <cell r="AN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</row>
        <row r="1255">
          <cell r="C1255" t="str">
            <v>DWG</v>
          </cell>
          <cell r="H1255" t="str">
            <v>10-95-A1-ST-0004</v>
          </cell>
          <cell r="I1255" t="str">
            <v>Shelter plan &amp; details</v>
          </cell>
          <cell r="O1255">
            <v>0.5</v>
          </cell>
          <cell r="P1255">
            <v>1.8E-3</v>
          </cell>
          <cell r="Q1255" t="str">
            <v>L</v>
          </cell>
          <cell r="R1255">
            <v>2.5000000000000001E-4</v>
          </cell>
          <cell r="T1255">
            <v>39488</v>
          </cell>
          <cell r="V1255" t="str">
            <v>2008-02</v>
          </cell>
          <cell r="AM1255">
            <v>0</v>
          </cell>
          <cell r="AN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</row>
        <row r="1256">
          <cell r="C1256" t="str">
            <v>DWG</v>
          </cell>
          <cell r="H1256" t="str">
            <v>10-95-CSH-ST-0004</v>
          </cell>
          <cell r="I1256" t="str">
            <v>Calculation Sheet For Shelter</v>
          </cell>
          <cell r="O1256">
            <v>0.5</v>
          </cell>
          <cell r="P1256">
            <v>1.8E-3</v>
          </cell>
          <cell r="Q1256" t="str">
            <v>L</v>
          </cell>
          <cell r="R1256">
            <v>2.5000000000000001E-4</v>
          </cell>
          <cell r="T1256">
            <v>39488</v>
          </cell>
          <cell r="V1256" t="str">
            <v>2008-02</v>
          </cell>
          <cell r="AH1256" t="str">
            <v/>
          </cell>
          <cell r="AJ1256" t="str">
            <v/>
          </cell>
          <cell r="AL1256" t="str">
            <v/>
          </cell>
          <cell r="AM1256">
            <v>0</v>
          </cell>
          <cell r="AN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</row>
        <row r="1257">
          <cell r="C1257" t="str">
            <v>DWG</v>
          </cell>
          <cell r="H1257" t="str">
            <v>Concrete Structures</v>
          </cell>
          <cell r="N1257">
            <v>0.35</v>
          </cell>
          <cell r="O1257">
            <v>1</v>
          </cell>
          <cell r="P1257">
            <v>4.1999999999999997E-3</v>
          </cell>
          <cell r="R1257">
            <v>5.0000000000000001E-4</v>
          </cell>
          <cell r="T1257" t="str">
            <v>.</v>
          </cell>
          <cell r="U1257" t="str">
            <v>.</v>
          </cell>
          <cell r="V1257" t="str">
            <v>.</v>
          </cell>
          <cell r="AG1257" t="str">
            <v>.</v>
          </cell>
          <cell r="AH1257" t="str">
            <v/>
          </cell>
          <cell r="AJ1257" t="str">
            <v/>
          </cell>
          <cell r="AL1257" t="str">
            <v/>
          </cell>
          <cell r="AM1257">
            <v>0</v>
          </cell>
          <cell r="AN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</row>
        <row r="1258">
          <cell r="C1258" t="str">
            <v>DWG</v>
          </cell>
          <cell r="H1258" t="str">
            <v>10-95-A1-ST-0005</v>
          </cell>
          <cell r="I1258" t="str">
            <v>Pipe Support Plan Sections and details</v>
          </cell>
          <cell r="O1258">
            <v>0.5</v>
          </cell>
          <cell r="P1258">
            <v>2.0999999999999999E-3</v>
          </cell>
          <cell r="Q1258" t="str">
            <v>L</v>
          </cell>
          <cell r="R1258">
            <v>2.5000000000000001E-4</v>
          </cell>
          <cell r="T1258">
            <v>39493</v>
          </cell>
          <cell r="V1258" t="str">
            <v>2008-02</v>
          </cell>
          <cell r="AM1258">
            <v>0</v>
          </cell>
          <cell r="AN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</row>
        <row r="1259">
          <cell r="C1259" t="str">
            <v>DWG</v>
          </cell>
          <cell r="H1259" t="str">
            <v>10-95-CSH-ST-0005</v>
          </cell>
          <cell r="I1259" t="str">
            <v>Calculation Sheet ForPipe Support</v>
          </cell>
          <cell r="O1259">
            <v>0.5</v>
          </cell>
          <cell r="P1259">
            <v>2.0999999999999999E-3</v>
          </cell>
          <cell r="Q1259" t="str">
            <v>L</v>
          </cell>
          <cell r="R1259">
            <v>2.5000000000000001E-4</v>
          </cell>
          <cell r="T1259">
            <v>39493</v>
          </cell>
          <cell r="V1259" t="str">
            <v>2008-02</v>
          </cell>
          <cell r="AH1259" t="str">
            <v/>
          </cell>
          <cell r="AJ1259" t="str">
            <v/>
          </cell>
          <cell r="AL1259" t="str">
            <v/>
          </cell>
          <cell r="AM1259">
            <v>0</v>
          </cell>
          <cell r="AN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</row>
        <row r="1260">
          <cell r="C1260" t="str">
            <v>DWG</v>
          </cell>
          <cell r="H1260" t="str">
            <v>Civil Works</v>
          </cell>
          <cell r="N1260">
            <v>0.1</v>
          </cell>
          <cell r="O1260">
            <v>1</v>
          </cell>
          <cell r="P1260">
            <v>1.2000000000000001E-3</v>
          </cell>
          <cell r="R1260">
            <v>8.5999999999999998E-4</v>
          </cell>
          <cell r="T1260" t="str">
            <v>.</v>
          </cell>
          <cell r="U1260" t="str">
            <v>.</v>
          </cell>
          <cell r="V1260" t="str">
            <v>.</v>
          </cell>
          <cell r="AG1260" t="str">
            <v>.</v>
          </cell>
          <cell r="AH1260" t="str">
            <v/>
          </cell>
          <cell r="AJ1260" t="str">
            <v/>
          </cell>
          <cell r="AL1260" t="str">
            <v/>
          </cell>
          <cell r="AM1260">
            <v>0</v>
          </cell>
          <cell r="AN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</row>
        <row r="1261">
          <cell r="C1261" t="str">
            <v>DWG</v>
          </cell>
          <cell r="H1261" t="str">
            <v>10-95-A1-CI-0001</v>
          </cell>
          <cell r="I1261" t="str">
            <v>Paving plan &amp; details</v>
          </cell>
          <cell r="O1261">
            <v>0.5</v>
          </cell>
          <cell r="P1261">
            <v>6.0000000000000006E-4</v>
          </cell>
          <cell r="Q1261" t="str">
            <v>L</v>
          </cell>
          <cell r="R1261">
            <v>4.2999999999999999E-4</v>
          </cell>
          <cell r="T1261">
            <v>39498</v>
          </cell>
          <cell r="V1261" t="str">
            <v>2008-02</v>
          </cell>
          <cell r="AH1261" t="str">
            <v/>
          </cell>
          <cell r="AJ1261" t="str">
            <v/>
          </cell>
          <cell r="AL1261" t="str">
            <v/>
          </cell>
          <cell r="AM1261">
            <v>0</v>
          </cell>
          <cell r="AN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</row>
        <row r="1262">
          <cell r="C1262" t="str">
            <v>DWG</v>
          </cell>
          <cell r="H1262" t="str">
            <v>10-95-A1-CI-0002</v>
          </cell>
          <cell r="I1262" t="str">
            <v>Concrete Cable Trench plan&amp; details</v>
          </cell>
          <cell r="O1262">
            <v>0.5</v>
          </cell>
          <cell r="P1262">
            <v>6.0000000000000006E-4</v>
          </cell>
          <cell r="Q1262" t="str">
            <v>L</v>
          </cell>
          <cell r="R1262">
            <v>4.2999999999999999E-4</v>
          </cell>
          <cell r="T1262">
            <v>39501</v>
          </cell>
          <cell r="V1262" t="str">
            <v>2008-02</v>
          </cell>
          <cell r="AH1262" t="str">
            <v/>
          </cell>
          <cell r="AJ1262" t="str">
            <v/>
          </cell>
          <cell r="AL1262" t="str">
            <v/>
          </cell>
          <cell r="AM1262">
            <v>0</v>
          </cell>
          <cell r="AN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</row>
        <row r="1263">
          <cell r="C1263" t="str">
            <v>DWG</v>
          </cell>
          <cell r="G1263" t="str">
            <v>Water Treatment</v>
          </cell>
          <cell r="M1263">
            <v>0.13</v>
          </cell>
          <cell r="N1263">
            <v>0.99999999999999989</v>
          </cell>
          <cell r="P1263">
            <v>2.6000000000000002E-2</v>
          </cell>
          <cell r="R1263">
            <v>4.4660000000000026E-2</v>
          </cell>
          <cell r="T1263" t="str">
            <v>.</v>
          </cell>
          <cell r="U1263" t="str">
            <v>.</v>
          </cell>
          <cell r="V1263" t="str">
            <v>.</v>
          </cell>
          <cell r="AG1263" t="str">
            <v>.</v>
          </cell>
          <cell r="AH1263" t="str">
            <v/>
          </cell>
          <cell r="AJ1263" t="str">
            <v/>
          </cell>
          <cell r="AL1263" t="str">
            <v/>
          </cell>
          <cell r="AM1263">
            <v>0.1365576923076923</v>
          </cell>
          <cell r="AN1263">
            <v>3.5504999999999998E-3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</row>
        <row r="1264">
          <cell r="C1264" t="str">
            <v>DWG</v>
          </cell>
          <cell r="H1264" t="str">
            <v>Pre treatment building/MCC Building</v>
          </cell>
          <cell r="N1264">
            <v>0.05</v>
          </cell>
          <cell r="O1264">
            <v>1</v>
          </cell>
          <cell r="P1264">
            <v>1.3000000000000002E-3</v>
          </cell>
          <cell r="R1264">
            <v>1.9300000000000001E-3</v>
          </cell>
          <cell r="T1264" t="str">
            <v>.</v>
          </cell>
          <cell r="U1264" t="str">
            <v>.</v>
          </cell>
          <cell r="V1264" t="str">
            <v>.</v>
          </cell>
          <cell r="AG1264" t="str">
            <v>.</v>
          </cell>
          <cell r="AH1264" t="str">
            <v/>
          </cell>
          <cell r="AJ1264" t="str">
            <v/>
          </cell>
          <cell r="AL1264" t="str">
            <v/>
          </cell>
          <cell r="AM1264">
            <v>0</v>
          </cell>
          <cell r="AN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</row>
        <row r="1265">
          <cell r="C1265" t="str">
            <v>DWG</v>
          </cell>
          <cell r="H1265" t="str">
            <v>10-50-A1-BL-0001</v>
          </cell>
          <cell r="I1265" t="str">
            <v>Architectural drawings</v>
          </cell>
          <cell r="O1265">
            <v>0.34</v>
          </cell>
          <cell r="P1265">
            <v>4.4200000000000006E-4</v>
          </cell>
          <cell r="Q1265" t="str">
            <v>V</v>
          </cell>
          <cell r="R1265">
            <v>4.2999999999999999E-4</v>
          </cell>
          <cell r="T1265" t="str">
            <v>21/12/2007</v>
          </cell>
          <cell r="U1265" t="str">
            <v>*</v>
          </cell>
          <cell r="V1265" t="str">
            <v>2007-12</v>
          </cell>
          <cell r="AH1265" t="str">
            <v/>
          </cell>
          <cell r="AJ1265" t="str">
            <v/>
          </cell>
          <cell r="AL1265" t="str">
            <v/>
          </cell>
          <cell r="AM1265">
            <v>0</v>
          </cell>
          <cell r="AN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</row>
        <row r="1266">
          <cell r="C1266" t="str">
            <v>DWG</v>
          </cell>
          <cell r="H1266" t="str">
            <v>10-50-A1-ST-0001</v>
          </cell>
          <cell r="I1266" t="str">
            <v>Structural drawings</v>
          </cell>
          <cell r="O1266">
            <v>0.33</v>
          </cell>
          <cell r="P1266">
            <v>4.2900000000000007E-4</v>
          </cell>
          <cell r="Q1266" t="str">
            <v>L</v>
          </cell>
          <cell r="R1266">
            <v>7.5000000000000002E-4</v>
          </cell>
          <cell r="AM1266">
            <v>0</v>
          </cell>
          <cell r="AN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</row>
        <row r="1267">
          <cell r="C1267" t="str">
            <v>CLS</v>
          </cell>
          <cell r="H1267" t="str">
            <v>10-50-CSH-ST-0001</v>
          </cell>
          <cell r="I1267" t="str">
            <v>Calculation Sheet ForPre treatment building/MCC Building</v>
          </cell>
          <cell r="O1267">
            <v>0.33</v>
          </cell>
          <cell r="P1267">
            <v>4.2900000000000007E-4</v>
          </cell>
          <cell r="Q1267" t="str">
            <v>L</v>
          </cell>
          <cell r="R1267">
            <v>7.5000000000000002E-4</v>
          </cell>
          <cell r="T1267">
            <v>39452</v>
          </cell>
          <cell r="V1267" t="str">
            <v>2008-01</v>
          </cell>
          <cell r="AH1267" t="str">
            <v/>
          </cell>
          <cell r="AJ1267" t="str">
            <v/>
          </cell>
          <cell r="AL1267" t="str">
            <v/>
          </cell>
          <cell r="AM1267">
            <v>0</v>
          </cell>
          <cell r="AN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</row>
        <row r="1268">
          <cell r="C1268" t="str">
            <v>DWG</v>
          </cell>
          <cell r="H1268" t="str">
            <v>Post treatment building/MCC and Control Building</v>
          </cell>
          <cell r="N1268">
            <v>0.1</v>
          </cell>
          <cell r="O1268">
            <v>1</v>
          </cell>
          <cell r="P1268">
            <v>2.6000000000000003E-3</v>
          </cell>
          <cell r="R1268">
            <v>1.9300000000000001E-3</v>
          </cell>
          <cell r="T1268" t="str">
            <v>.</v>
          </cell>
          <cell r="U1268" t="str">
            <v>.</v>
          </cell>
          <cell r="V1268" t="str">
            <v>.</v>
          </cell>
          <cell r="AG1268" t="str">
            <v>.</v>
          </cell>
          <cell r="AH1268" t="str">
            <v/>
          </cell>
          <cell r="AJ1268" t="str">
            <v/>
          </cell>
          <cell r="AL1268" t="str">
            <v/>
          </cell>
          <cell r="AM1268">
            <v>0</v>
          </cell>
          <cell r="AN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</row>
        <row r="1269">
          <cell r="C1269" t="str">
            <v>DWG</v>
          </cell>
          <cell r="H1269" t="str">
            <v>10-50-A1-BL-0002</v>
          </cell>
          <cell r="I1269" t="str">
            <v>Architectural drawings</v>
          </cell>
          <cell r="O1269">
            <v>0.34</v>
          </cell>
          <cell r="P1269">
            <v>8.8400000000000013E-4</v>
          </cell>
          <cell r="Q1269" t="str">
            <v>V</v>
          </cell>
          <cell r="R1269">
            <v>4.2999999999999999E-4</v>
          </cell>
          <cell r="T1269">
            <v>39446</v>
          </cell>
          <cell r="U1269" t="str">
            <v>*</v>
          </cell>
          <cell r="V1269" t="str">
            <v>2007-12</v>
          </cell>
          <cell r="AM1269">
            <v>0</v>
          </cell>
          <cell r="AN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</row>
        <row r="1270">
          <cell r="C1270" t="str">
            <v>DWG</v>
          </cell>
          <cell r="H1270" t="str">
            <v>10-50-A1-ST-0002</v>
          </cell>
          <cell r="I1270" t="str">
            <v>Structural drawings</v>
          </cell>
          <cell r="O1270">
            <v>0.33</v>
          </cell>
          <cell r="P1270">
            <v>8.5800000000000015E-4</v>
          </cell>
          <cell r="Q1270" t="str">
            <v>L</v>
          </cell>
          <cell r="R1270">
            <v>7.5000000000000002E-4</v>
          </cell>
          <cell r="T1270">
            <v>39462</v>
          </cell>
          <cell r="V1270" t="str">
            <v>2008-01</v>
          </cell>
          <cell r="AH1270" t="str">
            <v/>
          </cell>
          <cell r="AJ1270" t="str">
            <v/>
          </cell>
          <cell r="AL1270" t="str">
            <v/>
          </cell>
          <cell r="AM1270">
            <v>0</v>
          </cell>
          <cell r="AN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</row>
        <row r="1271">
          <cell r="C1271" t="str">
            <v>DWG</v>
          </cell>
          <cell r="H1271" t="str">
            <v>10-50-CSH-ST-0002</v>
          </cell>
          <cell r="I1271" t="str">
            <v>Calculation Sheet ForPost treatment building/MCC and Control Building</v>
          </cell>
          <cell r="O1271">
            <v>0.33</v>
          </cell>
          <cell r="P1271">
            <v>8.5800000000000015E-4</v>
          </cell>
          <cell r="Q1271" t="str">
            <v>L</v>
          </cell>
          <cell r="R1271">
            <v>7.5000000000000002E-4</v>
          </cell>
          <cell r="T1271">
            <v>39462</v>
          </cell>
          <cell r="V1271" t="str">
            <v>2008-01</v>
          </cell>
          <cell r="AH1271" t="str">
            <v/>
          </cell>
          <cell r="AJ1271" t="str">
            <v/>
          </cell>
          <cell r="AL1271" t="str">
            <v/>
          </cell>
          <cell r="AM1271">
            <v>0</v>
          </cell>
          <cell r="AN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</row>
        <row r="1272">
          <cell r="C1272" t="str">
            <v>DWG</v>
          </cell>
          <cell r="H1272" t="str">
            <v>Laboratory Building</v>
          </cell>
          <cell r="N1272">
            <v>0.1</v>
          </cell>
          <cell r="O1272">
            <v>1</v>
          </cell>
          <cell r="P1272">
            <v>2.6000000000000003E-3</v>
          </cell>
          <cell r="R1272">
            <v>1.9300000000000001E-3</v>
          </cell>
          <cell r="T1272" t="str">
            <v>.</v>
          </cell>
          <cell r="U1272" t="str">
            <v>.</v>
          </cell>
          <cell r="V1272" t="str">
            <v>.</v>
          </cell>
          <cell r="AG1272" t="str">
            <v>.</v>
          </cell>
          <cell r="AH1272" t="str">
            <v/>
          </cell>
          <cell r="AJ1272" t="str">
            <v/>
          </cell>
          <cell r="AL1272" t="str">
            <v/>
          </cell>
          <cell r="AM1272">
            <v>0</v>
          </cell>
          <cell r="AN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</row>
        <row r="1273">
          <cell r="C1273" t="str">
            <v>DWG</v>
          </cell>
          <cell r="H1273" t="str">
            <v>10-50-A1-BL-0003</v>
          </cell>
          <cell r="I1273" t="str">
            <v>Architectural drawings</v>
          </cell>
          <cell r="O1273">
            <v>0.34</v>
          </cell>
          <cell r="P1273">
            <v>8.8400000000000013E-4</v>
          </cell>
          <cell r="Q1273" t="str">
            <v>I</v>
          </cell>
          <cell r="R1273">
            <v>4.2999999999999999E-4</v>
          </cell>
          <cell r="AJ1273" t="str">
            <v/>
          </cell>
          <cell r="AL1273" t="str">
            <v/>
          </cell>
          <cell r="AM1273">
            <v>0</v>
          </cell>
          <cell r="AN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</row>
        <row r="1274">
          <cell r="C1274" t="str">
            <v>DWG</v>
          </cell>
          <cell r="H1274" t="str">
            <v>10-50-A1-ST-0003</v>
          </cell>
          <cell r="I1274" t="str">
            <v>Structural drawings</v>
          </cell>
          <cell r="O1274">
            <v>0.33</v>
          </cell>
          <cell r="P1274">
            <v>8.5800000000000015E-4</v>
          </cell>
          <cell r="Q1274" t="str">
            <v>I</v>
          </cell>
          <cell r="R1274">
            <v>7.5000000000000002E-4</v>
          </cell>
          <cell r="T1274">
            <v>39411</v>
          </cell>
          <cell r="U1274" t="str">
            <v>*</v>
          </cell>
          <cell r="V1274" t="str">
            <v>2007-11</v>
          </cell>
          <cell r="AM1274">
            <v>0</v>
          </cell>
          <cell r="AN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</row>
        <row r="1275">
          <cell r="C1275" t="str">
            <v>DWG</v>
          </cell>
          <cell r="H1275" t="str">
            <v>10-50-CSH-ST-0003</v>
          </cell>
          <cell r="I1275" t="str">
            <v>Calculation Sheet ForLaboratory Building</v>
          </cell>
          <cell r="O1275">
            <v>0.33</v>
          </cell>
          <cell r="P1275">
            <v>8.5800000000000015E-4</v>
          </cell>
          <cell r="Q1275" t="str">
            <v>I</v>
          </cell>
          <cell r="R1275">
            <v>7.5000000000000002E-4</v>
          </cell>
          <cell r="T1275">
            <v>39416</v>
          </cell>
          <cell r="U1275" t="str">
            <v>*</v>
          </cell>
          <cell r="V1275" t="str">
            <v>2007-11</v>
          </cell>
          <cell r="AH1275" t="str">
            <v/>
          </cell>
          <cell r="AJ1275" t="str">
            <v/>
          </cell>
          <cell r="AL1275" t="str">
            <v/>
          </cell>
          <cell r="AM1275">
            <v>0</v>
          </cell>
          <cell r="AN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</row>
        <row r="1276">
          <cell r="C1276" t="str">
            <v>DWG</v>
          </cell>
          <cell r="H1276" t="str">
            <v>Equipment Foundations</v>
          </cell>
          <cell r="N1276">
            <v>0.2</v>
          </cell>
          <cell r="O1276">
            <v>0.99999999999999745</v>
          </cell>
          <cell r="P1276">
            <v>5.2000000000000006E-3</v>
          </cell>
          <cell r="R1276">
            <v>3.076000000000002E-2</v>
          </cell>
          <cell r="T1276" t="str">
            <v>.</v>
          </cell>
          <cell r="U1276" t="str">
            <v>.</v>
          </cell>
          <cell r="V1276" t="str">
            <v>.</v>
          </cell>
          <cell r="AG1276" t="str">
            <v>.</v>
          </cell>
          <cell r="AH1276" t="str">
            <v/>
          </cell>
          <cell r="AJ1276" t="str">
            <v/>
          </cell>
          <cell r="AL1276" t="str">
            <v/>
          </cell>
          <cell r="AM1276">
            <v>0.42317307692307682</v>
          </cell>
          <cell r="AN1276">
            <v>2.2004999999999998E-3</v>
          </cell>
          <cell r="AQ1276">
            <v>2.2004999999999998E-3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</row>
        <row r="1277">
          <cell r="C1277" t="str">
            <v>DWG</v>
          </cell>
          <cell r="H1277" t="str">
            <v>10-50-A1-ST-0004</v>
          </cell>
          <cell r="I1277" t="str">
            <v>Condensate Coolers (A/B) foundation plan &amp; details</v>
          </cell>
          <cell r="O1277">
            <v>8.5000000000000006E-3</v>
          </cell>
          <cell r="P1277">
            <v>4.420000000000001E-5</v>
          </cell>
          <cell r="Q1277" t="str">
            <v>V</v>
          </cell>
          <cell r="R1277">
            <v>3.4000000000000002E-4</v>
          </cell>
          <cell r="T1277">
            <v>39437</v>
          </cell>
          <cell r="U1277" t="str">
            <v>*</v>
          </cell>
          <cell r="V1277" t="str">
            <v>2007-12</v>
          </cell>
          <cell r="AH1277" t="str">
            <v/>
          </cell>
          <cell r="AJ1277" t="str">
            <v/>
          </cell>
          <cell r="AL1277" t="str">
            <v/>
          </cell>
          <cell r="AM1277">
            <v>0</v>
          </cell>
          <cell r="AN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</row>
        <row r="1278">
          <cell r="C1278" t="str">
            <v>DWG</v>
          </cell>
          <cell r="H1278" t="str">
            <v>10-50-CSH-ST-0004</v>
          </cell>
          <cell r="I1278" t="str">
            <v>Calculation Sheet For Condensate Coolers (A/B) foundation</v>
          </cell>
          <cell r="O1278">
            <v>8.0000000000000002E-3</v>
          </cell>
          <cell r="P1278">
            <v>4.1600000000000008E-5</v>
          </cell>
          <cell r="Q1278" t="str">
            <v>V</v>
          </cell>
          <cell r="R1278">
            <v>3.4000000000000002E-4</v>
          </cell>
          <cell r="T1278">
            <v>39437</v>
          </cell>
          <cell r="U1278" t="str">
            <v>*</v>
          </cell>
          <cell r="V1278" t="str">
            <v>2007-12</v>
          </cell>
          <cell r="AH1278" t="str">
            <v/>
          </cell>
          <cell r="AJ1278" t="str">
            <v/>
          </cell>
          <cell r="AL1278" t="str">
            <v/>
          </cell>
          <cell r="AM1278">
            <v>0</v>
          </cell>
          <cell r="AN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</row>
        <row r="1279">
          <cell r="C1279" t="str">
            <v>DWG</v>
          </cell>
          <cell r="H1279" t="str">
            <v>10-50-A1-ST-0005</v>
          </cell>
          <cell r="I1279" t="str">
            <v>Condensate Storage Tank (1*400 m3) foundation plan &amp; details</v>
          </cell>
          <cell r="O1279">
            <v>8.9999999999999993E-3</v>
          </cell>
          <cell r="P1279">
            <v>4.6799999999999999E-5</v>
          </cell>
          <cell r="R1279">
            <v>3.4000000000000002E-4</v>
          </cell>
          <cell r="V1279" t="str">
            <v>ارسال شده</v>
          </cell>
          <cell r="W1279" t="str">
            <v>01</v>
          </cell>
          <cell r="X1279" t="str">
            <v>289490</v>
          </cell>
          <cell r="Y1279" t="str">
            <v>12-11-0723-12-07</v>
          </cell>
          <cell r="Z1279" t="str">
            <v>F-0455</v>
          </cell>
          <cell r="AA1279" t="str">
            <v>05-12-07</v>
          </cell>
          <cell r="AF1279" t="str">
            <v>86-10-02</v>
          </cell>
          <cell r="AG1279" t="str">
            <v>KRPC</v>
          </cell>
          <cell r="AH1279" t="str">
            <v>x</v>
          </cell>
          <cell r="AI1279" t="str">
            <v>x</v>
          </cell>
          <cell r="AJ1279" t="str">
            <v/>
          </cell>
          <cell r="AL1279" t="str">
            <v/>
          </cell>
          <cell r="AM1279">
            <v>0.6</v>
          </cell>
          <cell r="AN1279">
            <v>2.04E-4</v>
          </cell>
          <cell r="AO1279" t="str">
            <v>T</v>
          </cell>
          <cell r="AQ1279">
            <v>2.8079999999999999E-5</v>
          </cell>
          <cell r="AR1279">
            <v>2.04E-4</v>
          </cell>
          <cell r="AS1279">
            <v>45</v>
          </cell>
          <cell r="AT1279">
            <v>60</v>
          </cell>
          <cell r="AU1279">
            <v>0</v>
          </cell>
          <cell r="AV1279">
            <v>0</v>
          </cell>
          <cell r="AW1279">
            <v>0</v>
          </cell>
          <cell r="AX1279">
            <v>60</v>
          </cell>
        </row>
        <row r="1280">
          <cell r="C1280" t="str">
            <v>DWG</v>
          </cell>
          <cell r="H1280" t="str">
            <v>10-50-CSH-ST-0005</v>
          </cell>
          <cell r="I1280" t="str">
            <v>Calculation Sheet For Condensate Storage Tank (1*400 m3) foundation</v>
          </cell>
          <cell r="O1280">
            <v>8.9999999999999993E-3</v>
          </cell>
          <cell r="P1280">
            <v>4.6799999999999999E-5</v>
          </cell>
          <cell r="R1280">
            <v>3.4000000000000002E-4</v>
          </cell>
          <cell r="V1280" t="str">
            <v>ارسال شده</v>
          </cell>
          <cell r="W1280">
            <v>0</v>
          </cell>
          <cell r="X1280">
            <v>415</v>
          </cell>
          <cell r="Y1280" t="str">
            <v>09-12-07</v>
          </cell>
          <cell r="AG1280" t="str">
            <v>GBT</v>
          </cell>
          <cell r="AH1280" t="str">
            <v>x</v>
          </cell>
          <cell r="AJ1280" t="str">
            <v/>
          </cell>
          <cell r="AL1280" t="str">
            <v/>
          </cell>
          <cell r="AM1280">
            <v>0.45</v>
          </cell>
          <cell r="AN1280">
            <v>1.5300000000000001E-4</v>
          </cell>
          <cell r="AQ1280">
            <v>2.1060000000000002E-5</v>
          </cell>
          <cell r="AR1280">
            <v>1.5300000000000001E-4</v>
          </cell>
          <cell r="AS1280">
            <v>45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45</v>
          </cell>
        </row>
        <row r="1281">
          <cell r="C1281" t="str">
            <v>DWG</v>
          </cell>
          <cell r="H1281" t="str">
            <v>10-50-A1-ST-0006</v>
          </cell>
          <cell r="I1281" t="str">
            <v>Condensate Pumps (A/B) foundation plan &amp; details</v>
          </cell>
          <cell r="O1281">
            <v>8.9999999999999993E-3</v>
          </cell>
          <cell r="P1281">
            <v>4.6799999999999999E-5</v>
          </cell>
          <cell r="Q1281" t="str">
            <v>V</v>
          </cell>
          <cell r="R1281">
            <v>2.5000000000000001E-4</v>
          </cell>
          <cell r="T1281">
            <v>39437</v>
          </cell>
          <cell r="U1281" t="str">
            <v>*</v>
          </cell>
          <cell r="V1281" t="str">
            <v>2007-12</v>
          </cell>
          <cell r="AH1281" t="str">
            <v/>
          </cell>
          <cell r="AJ1281" t="str">
            <v/>
          </cell>
          <cell r="AL1281" t="str">
            <v/>
          </cell>
          <cell r="AM1281">
            <v>0</v>
          </cell>
          <cell r="AN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</row>
        <row r="1282">
          <cell r="C1282" t="str">
            <v>CLS</v>
          </cell>
          <cell r="H1282" t="str">
            <v>10-50-CSH-ST-0006</v>
          </cell>
          <cell r="I1282" t="str">
            <v>Calculation Sheet For Condensate Pumps (A/B) foundation</v>
          </cell>
          <cell r="O1282">
            <v>8.9999999999999993E-3</v>
          </cell>
          <cell r="P1282">
            <v>4.6799999999999999E-5</v>
          </cell>
          <cell r="Q1282" t="str">
            <v>V</v>
          </cell>
          <cell r="R1282">
            <v>2.5000000000000001E-4</v>
          </cell>
          <cell r="T1282">
            <v>39438</v>
          </cell>
          <cell r="U1282" t="str">
            <v>*</v>
          </cell>
          <cell r="V1282" t="str">
            <v>2007-12</v>
          </cell>
          <cell r="AM1282">
            <v>0</v>
          </cell>
          <cell r="AN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</row>
        <row r="1283">
          <cell r="C1283" t="str">
            <v>DWG</v>
          </cell>
          <cell r="H1283" t="str">
            <v>10-50-A1-ST-0007</v>
          </cell>
          <cell r="I1283" t="str">
            <v>Condensate Activated Carbon Filters (A/B) foundation plan &amp; details</v>
          </cell>
          <cell r="O1283">
            <v>8.9999999999999993E-3</v>
          </cell>
          <cell r="P1283">
            <v>4.6799999999999999E-5</v>
          </cell>
          <cell r="Q1283" t="str">
            <v>V</v>
          </cell>
          <cell r="R1283">
            <v>2.5000000000000001E-4</v>
          </cell>
          <cell r="T1283">
            <v>39438</v>
          </cell>
          <cell r="U1283" t="str">
            <v>*</v>
          </cell>
          <cell r="V1283" t="str">
            <v>2007-12</v>
          </cell>
          <cell r="AM1283">
            <v>0</v>
          </cell>
          <cell r="AN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</row>
        <row r="1284">
          <cell r="C1284" t="str">
            <v>CLS</v>
          </cell>
          <cell r="H1284" t="str">
            <v>10-50-CSH-ST-0007</v>
          </cell>
          <cell r="I1284" t="str">
            <v>Calculation Sheet For Condensate Activated Carbon Filters (A/B) foundation</v>
          </cell>
          <cell r="O1284">
            <v>8.9999999999999993E-3</v>
          </cell>
          <cell r="P1284">
            <v>4.6799999999999999E-5</v>
          </cell>
          <cell r="Q1284" t="str">
            <v>V</v>
          </cell>
          <cell r="R1284">
            <v>2.5000000000000001E-4</v>
          </cell>
          <cell r="T1284">
            <v>39439</v>
          </cell>
          <cell r="U1284" t="str">
            <v>*</v>
          </cell>
          <cell r="V1284" t="str">
            <v>2007-12</v>
          </cell>
          <cell r="AM1284">
            <v>0</v>
          </cell>
          <cell r="AN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</row>
        <row r="1285">
          <cell r="C1285" t="str">
            <v>DWG</v>
          </cell>
          <cell r="H1285" t="str">
            <v>10-50-A1-ST-0008</v>
          </cell>
          <cell r="I1285" t="str">
            <v>Activated Carbon Filter Back Wash Pumps (A/B) foundation plan &amp; details</v>
          </cell>
          <cell r="O1285">
            <v>8.9999999999999993E-3</v>
          </cell>
          <cell r="P1285">
            <v>4.6799999999999999E-5</v>
          </cell>
          <cell r="Q1285" t="str">
            <v>V</v>
          </cell>
          <cell r="R1285">
            <v>2.5000000000000001E-4</v>
          </cell>
          <cell r="T1285">
            <v>39439</v>
          </cell>
          <cell r="U1285" t="str">
            <v>*</v>
          </cell>
          <cell r="V1285" t="str">
            <v>2007-12</v>
          </cell>
          <cell r="AM1285">
            <v>0</v>
          </cell>
          <cell r="AN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</row>
        <row r="1286">
          <cell r="C1286" t="str">
            <v>CLS</v>
          </cell>
          <cell r="H1286" t="str">
            <v>10-50-CSH-ST-0008</v>
          </cell>
          <cell r="I1286" t="str">
            <v>Calculation Sheet For Activated Carbon Filter Back Wash Pumps (A/B) foundation</v>
          </cell>
          <cell r="O1286">
            <v>8.9999999999999993E-3</v>
          </cell>
          <cell r="P1286">
            <v>4.6799999999999999E-5</v>
          </cell>
          <cell r="Q1286" t="str">
            <v>V</v>
          </cell>
          <cell r="R1286">
            <v>2.5000000000000001E-4</v>
          </cell>
          <cell r="T1286">
            <v>39439</v>
          </cell>
          <cell r="U1286" t="str">
            <v>*</v>
          </cell>
          <cell r="V1286" t="str">
            <v>2007-12</v>
          </cell>
          <cell r="AM1286">
            <v>0</v>
          </cell>
          <cell r="AN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</row>
        <row r="1287">
          <cell r="C1287" t="str">
            <v>DWG</v>
          </cell>
          <cell r="H1287" t="str">
            <v>10-50-A1-ST-0009</v>
          </cell>
          <cell r="I1287" t="str">
            <v>Hypochlorite Dosing Unit to Raw water Pound foundation plan &amp; details</v>
          </cell>
          <cell r="O1287">
            <v>8.9999999999999993E-3</v>
          </cell>
          <cell r="P1287">
            <v>4.6799999999999999E-5</v>
          </cell>
          <cell r="Q1287" t="str">
            <v>V</v>
          </cell>
          <cell r="R1287">
            <v>2.5000000000000001E-4</v>
          </cell>
          <cell r="T1287">
            <v>39440</v>
          </cell>
          <cell r="U1287" t="str">
            <v>*</v>
          </cell>
          <cell r="V1287" t="str">
            <v>2007-12</v>
          </cell>
          <cell r="AM1287">
            <v>0</v>
          </cell>
          <cell r="AN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</row>
        <row r="1288">
          <cell r="C1288" t="str">
            <v>CLS</v>
          </cell>
          <cell r="H1288" t="str">
            <v>10-50-CSH-ST-0009</v>
          </cell>
          <cell r="I1288" t="str">
            <v>Calculation Sheet For Hypochlorite Dosing Unit to Raw water Pound foundation</v>
          </cell>
          <cell r="O1288">
            <v>8.9999999999999993E-3</v>
          </cell>
          <cell r="P1288">
            <v>4.6799999999999999E-5</v>
          </cell>
          <cell r="Q1288" t="str">
            <v>V</v>
          </cell>
          <cell r="R1288">
            <v>2.5000000000000001E-4</v>
          </cell>
          <cell r="T1288">
            <v>39440</v>
          </cell>
          <cell r="U1288" t="str">
            <v>*</v>
          </cell>
          <cell r="V1288" t="str">
            <v>2007-12</v>
          </cell>
          <cell r="AM1288">
            <v>0</v>
          </cell>
          <cell r="AN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</row>
        <row r="1289">
          <cell r="C1289" t="str">
            <v>DWG</v>
          </cell>
          <cell r="H1289" t="str">
            <v>10-50-A1-ST-0010</v>
          </cell>
          <cell r="I1289" t="str">
            <v>Acid Dosing Unit to PH Adjusment foundation plan &amp; details</v>
          </cell>
          <cell r="O1289">
            <v>8.9999999999999993E-3</v>
          </cell>
          <cell r="P1289">
            <v>4.6799999999999999E-5</v>
          </cell>
          <cell r="Q1289" t="str">
            <v>V</v>
          </cell>
          <cell r="R1289">
            <v>2.5000000000000001E-4</v>
          </cell>
          <cell r="T1289">
            <v>39441</v>
          </cell>
          <cell r="U1289" t="str">
            <v>*</v>
          </cell>
          <cell r="V1289" t="str">
            <v>2007-12</v>
          </cell>
          <cell r="AM1289">
            <v>0</v>
          </cell>
          <cell r="AN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</row>
        <row r="1290">
          <cell r="C1290" t="str">
            <v>CLS</v>
          </cell>
          <cell r="H1290" t="str">
            <v>10-50-CSH-ST-0010</v>
          </cell>
          <cell r="I1290" t="str">
            <v xml:space="preserve">Calculation Sheet For Acid Dosing Unit to PH Adjusment foundation </v>
          </cell>
          <cell r="O1290">
            <v>8.9999999999999993E-3</v>
          </cell>
          <cell r="P1290">
            <v>4.6799999999999999E-5</v>
          </cell>
          <cell r="Q1290" t="str">
            <v>V</v>
          </cell>
          <cell r="R1290">
            <v>2.5000000000000001E-4</v>
          </cell>
          <cell r="T1290">
            <v>39441</v>
          </cell>
          <cell r="U1290" t="str">
            <v>*</v>
          </cell>
          <cell r="V1290" t="str">
            <v>2007-12</v>
          </cell>
          <cell r="AM1290">
            <v>0</v>
          </cell>
          <cell r="AN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</row>
        <row r="1291">
          <cell r="C1291" t="str">
            <v>DWG</v>
          </cell>
          <cell r="H1291" t="str">
            <v>10-50-A1-ST-0011</v>
          </cell>
          <cell r="I1291" t="str">
            <v>Lime Receiving and Storage Tank foundation plan &amp; details</v>
          </cell>
          <cell r="O1291">
            <v>8.9999999999999993E-3</v>
          </cell>
          <cell r="P1291">
            <v>4.6799999999999999E-5</v>
          </cell>
          <cell r="Q1291" t="str">
            <v>V</v>
          </cell>
          <cell r="R1291">
            <v>2.5000000000000001E-4</v>
          </cell>
          <cell r="T1291">
            <v>39442</v>
          </cell>
          <cell r="U1291" t="str">
            <v>*</v>
          </cell>
          <cell r="V1291" t="str">
            <v>2007-12</v>
          </cell>
          <cell r="AM1291">
            <v>0</v>
          </cell>
          <cell r="AN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</row>
        <row r="1292">
          <cell r="C1292" t="str">
            <v>CLS</v>
          </cell>
          <cell r="H1292" t="str">
            <v>10-50-CSH-ST-0011</v>
          </cell>
          <cell r="I1292" t="str">
            <v>Calculation Sheet For Lime Receiving and Storage Tank foundation</v>
          </cell>
          <cell r="O1292">
            <v>8.9999999999999993E-3</v>
          </cell>
          <cell r="P1292">
            <v>4.6799999999999999E-5</v>
          </cell>
          <cell r="Q1292" t="str">
            <v>V</v>
          </cell>
          <cell r="R1292">
            <v>2.5000000000000001E-4</v>
          </cell>
          <cell r="T1292">
            <v>39442</v>
          </cell>
          <cell r="U1292" t="str">
            <v>*</v>
          </cell>
          <cell r="V1292" t="str">
            <v>2007-12</v>
          </cell>
          <cell r="AM1292">
            <v>0</v>
          </cell>
          <cell r="AN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</row>
        <row r="1293">
          <cell r="C1293" t="str">
            <v>DWG</v>
          </cell>
          <cell r="H1293" t="str">
            <v>10-50-A1-ST-0012</v>
          </cell>
          <cell r="I1293" t="str">
            <v>Polyelectrolite Receiving and Storage Tank foundation plan &amp; details</v>
          </cell>
          <cell r="O1293">
            <v>8.9999999999999993E-3</v>
          </cell>
          <cell r="P1293">
            <v>4.6799999999999999E-5</v>
          </cell>
          <cell r="Q1293" t="str">
            <v>V</v>
          </cell>
          <cell r="R1293">
            <v>2.5000000000000001E-4</v>
          </cell>
          <cell r="T1293">
            <v>39443</v>
          </cell>
          <cell r="U1293" t="str">
            <v>*</v>
          </cell>
          <cell r="V1293" t="str">
            <v>2007-12</v>
          </cell>
          <cell r="AM1293">
            <v>0</v>
          </cell>
          <cell r="AN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</row>
        <row r="1294">
          <cell r="C1294" t="str">
            <v>CLS</v>
          </cell>
          <cell r="H1294" t="str">
            <v>10-50-CSH-ST-0012</v>
          </cell>
          <cell r="I1294" t="str">
            <v xml:space="preserve">Calculation Sheet For Polyelectrolite Receiving and Storage Tank foundation </v>
          </cell>
          <cell r="O1294">
            <v>8.9999999999999993E-3</v>
          </cell>
          <cell r="P1294">
            <v>4.6799999999999999E-5</v>
          </cell>
          <cell r="Q1294" t="str">
            <v>V</v>
          </cell>
          <cell r="R1294">
            <v>2.5000000000000001E-4</v>
          </cell>
          <cell r="T1294">
            <v>39443</v>
          </cell>
          <cell r="U1294" t="str">
            <v>*</v>
          </cell>
          <cell r="V1294" t="str">
            <v>2007-12</v>
          </cell>
          <cell r="AM1294">
            <v>0</v>
          </cell>
          <cell r="AN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</row>
        <row r="1295">
          <cell r="C1295" t="str">
            <v>DWG</v>
          </cell>
          <cell r="H1295" t="str">
            <v>10-50-A1-ST-0013</v>
          </cell>
          <cell r="I1295" t="str">
            <v>FeCl3 Storage Tank foundation plan &amp; details</v>
          </cell>
          <cell r="O1295">
            <v>8.9999999999999993E-3</v>
          </cell>
          <cell r="P1295">
            <v>4.6799999999999999E-5</v>
          </cell>
          <cell r="Q1295" t="str">
            <v>V</v>
          </cell>
          <cell r="R1295">
            <v>2.5000000000000001E-4</v>
          </cell>
          <cell r="T1295">
            <v>39443</v>
          </cell>
          <cell r="U1295" t="str">
            <v>*</v>
          </cell>
          <cell r="V1295" t="str">
            <v>2007-12</v>
          </cell>
          <cell r="AM1295">
            <v>0</v>
          </cell>
          <cell r="AN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</row>
        <row r="1296">
          <cell r="C1296" t="str">
            <v>CLS</v>
          </cell>
          <cell r="H1296" t="str">
            <v>10-50-CSH-ST-0013</v>
          </cell>
          <cell r="I1296" t="str">
            <v>Calculation Sheet For FeCl3 Storage Tank foundation</v>
          </cell>
          <cell r="O1296">
            <v>8.0000000000000002E-3</v>
          </cell>
          <cell r="P1296">
            <v>4.1600000000000008E-5</v>
          </cell>
          <cell r="Q1296" t="str">
            <v>V</v>
          </cell>
          <cell r="R1296">
            <v>2.5000000000000001E-4</v>
          </cell>
          <cell r="T1296">
            <v>39443</v>
          </cell>
          <cell r="U1296" t="str">
            <v>*</v>
          </cell>
          <cell r="V1296" t="str">
            <v>2007-12</v>
          </cell>
          <cell r="AM1296">
            <v>0</v>
          </cell>
          <cell r="AN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</row>
        <row r="1297">
          <cell r="C1297" t="str">
            <v>DWG</v>
          </cell>
          <cell r="H1297" t="str">
            <v>10-50-A1-ST-0014</v>
          </cell>
          <cell r="I1297" t="str">
            <v>Lime Dosing Unit to Reaction Chamber foundation plan &amp; details</v>
          </cell>
          <cell r="O1297">
            <v>8.0000000000000002E-3</v>
          </cell>
          <cell r="P1297">
            <v>4.1600000000000008E-5</v>
          </cell>
          <cell r="Q1297" t="str">
            <v>V</v>
          </cell>
          <cell r="R1297">
            <v>2.5000000000000001E-4</v>
          </cell>
          <cell r="T1297">
            <v>39444</v>
          </cell>
          <cell r="U1297" t="str">
            <v>*</v>
          </cell>
          <cell r="V1297" t="str">
            <v>2007-12</v>
          </cell>
          <cell r="AM1297">
            <v>0</v>
          </cell>
          <cell r="AN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</row>
        <row r="1298">
          <cell r="C1298" t="str">
            <v>CLS</v>
          </cell>
          <cell r="H1298" t="str">
            <v>10-50-CSH-ST-0014</v>
          </cell>
          <cell r="I1298" t="str">
            <v xml:space="preserve">Calculation Sheet For Lime Dosing Unit to Reaction Chamber foundation </v>
          </cell>
          <cell r="O1298">
            <v>8.0000000000000002E-3</v>
          </cell>
          <cell r="P1298">
            <v>4.1600000000000008E-5</v>
          </cell>
          <cell r="Q1298" t="str">
            <v>V</v>
          </cell>
          <cell r="R1298">
            <v>2.5000000000000001E-4</v>
          </cell>
          <cell r="T1298">
            <v>39444</v>
          </cell>
          <cell r="U1298" t="str">
            <v>*</v>
          </cell>
          <cell r="V1298" t="str">
            <v>2007-12</v>
          </cell>
          <cell r="AM1298">
            <v>0</v>
          </cell>
          <cell r="AN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</row>
        <row r="1299">
          <cell r="C1299" t="str">
            <v>DWG</v>
          </cell>
          <cell r="H1299" t="str">
            <v>10-50-A1-ST-0015</v>
          </cell>
          <cell r="I1299" t="str">
            <v>Polyelectrolite Dosing Unit to Reaction Chamber foundation plan &amp; details</v>
          </cell>
          <cell r="O1299">
            <v>8.0000000000000002E-3</v>
          </cell>
          <cell r="P1299">
            <v>4.1600000000000008E-5</v>
          </cell>
          <cell r="Q1299" t="str">
            <v>V</v>
          </cell>
          <cell r="R1299">
            <v>2.5000000000000001E-4</v>
          </cell>
          <cell r="T1299">
            <v>39445</v>
          </cell>
          <cell r="U1299" t="str">
            <v>*</v>
          </cell>
          <cell r="V1299" t="str">
            <v>2007-12</v>
          </cell>
          <cell r="AM1299">
            <v>0</v>
          </cell>
          <cell r="AN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</row>
        <row r="1300">
          <cell r="C1300" t="str">
            <v>CLS</v>
          </cell>
          <cell r="H1300" t="str">
            <v>10-50-CSH-ST-0015</v>
          </cell>
          <cell r="I1300" t="str">
            <v>Calculation Sheet For Polyelectrolite Dosing Unit to Reaction Chamber foundation</v>
          </cell>
          <cell r="O1300">
            <v>8.0000000000000002E-3</v>
          </cell>
          <cell r="P1300">
            <v>4.1600000000000008E-5</v>
          </cell>
          <cell r="Q1300" t="str">
            <v>V</v>
          </cell>
          <cell r="R1300">
            <v>2.5000000000000001E-4</v>
          </cell>
          <cell r="T1300">
            <v>39445</v>
          </cell>
          <cell r="U1300" t="str">
            <v>*</v>
          </cell>
          <cell r="V1300" t="str">
            <v>2007-12</v>
          </cell>
          <cell r="AM1300">
            <v>0</v>
          </cell>
          <cell r="AN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</row>
        <row r="1301">
          <cell r="C1301" t="str">
            <v>DWG</v>
          </cell>
          <cell r="H1301" t="str">
            <v>10-50-A1-ST-0016</v>
          </cell>
          <cell r="I1301" t="str">
            <v>FeCl3 Dosing Unit to Flash Mixing Chamber foundation plan &amp; details</v>
          </cell>
          <cell r="O1301">
            <v>8.0000000000000002E-3</v>
          </cell>
          <cell r="P1301">
            <v>4.1600000000000008E-5</v>
          </cell>
          <cell r="Q1301" t="str">
            <v>V</v>
          </cell>
          <cell r="R1301">
            <v>2.5000000000000001E-4</v>
          </cell>
          <cell r="T1301">
            <v>39445</v>
          </cell>
          <cell r="U1301" t="str">
            <v>*</v>
          </cell>
          <cell r="V1301" t="str">
            <v>2007-12</v>
          </cell>
          <cell r="AM1301">
            <v>0</v>
          </cell>
          <cell r="AN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</row>
        <row r="1302">
          <cell r="C1302" t="str">
            <v>CLS</v>
          </cell>
          <cell r="H1302" t="str">
            <v>10-50-CSH-ST-0016</v>
          </cell>
          <cell r="I1302" t="str">
            <v>Calculation Sheet For Fecl3 Dosing Unit to Flash Mixing Chamber</v>
          </cell>
          <cell r="O1302">
            <v>8.0000000000000002E-3</v>
          </cell>
          <cell r="P1302">
            <v>4.1600000000000008E-5</v>
          </cell>
          <cell r="Q1302" t="str">
            <v>V</v>
          </cell>
          <cell r="R1302">
            <v>2.5000000000000001E-4</v>
          </cell>
          <cell r="T1302">
            <v>39446</v>
          </cell>
          <cell r="U1302" t="str">
            <v>*</v>
          </cell>
          <cell r="V1302" t="str">
            <v>2007-12</v>
          </cell>
          <cell r="AM1302">
            <v>0</v>
          </cell>
          <cell r="AN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</row>
        <row r="1303">
          <cell r="C1303" t="str">
            <v>DWG</v>
          </cell>
          <cell r="H1303" t="str">
            <v>10-50-A1-ST-0017</v>
          </cell>
          <cell r="I1303" t="str">
            <v>Clarified Water Storage Tank (1*600 m3) foundation plan &amp; details</v>
          </cell>
          <cell r="O1303">
            <v>8.0000000000000002E-3</v>
          </cell>
          <cell r="P1303">
            <v>4.1600000000000008E-5</v>
          </cell>
          <cell r="R1303">
            <v>3.4000000000000002E-4</v>
          </cell>
          <cell r="V1303" t="str">
            <v>ارسال شده</v>
          </cell>
          <cell r="W1303">
            <v>0</v>
          </cell>
          <cell r="X1303">
            <v>287</v>
          </cell>
          <cell r="Y1303" t="str">
            <v>12-11-07</v>
          </cell>
          <cell r="Z1303" t="str">
            <v>F-0455</v>
          </cell>
          <cell r="AA1303" t="str">
            <v>05-12-07</v>
          </cell>
          <cell r="AG1303" t="str">
            <v>GBT</v>
          </cell>
          <cell r="AH1303" t="str">
            <v>x</v>
          </cell>
          <cell r="AM1303">
            <v>0.45</v>
          </cell>
          <cell r="AN1303">
            <v>1.5300000000000001E-4</v>
          </cell>
          <cell r="AQ1303">
            <v>1.8720000000000004E-5</v>
          </cell>
          <cell r="AR1303">
            <v>1.5300000000000001E-4</v>
          </cell>
          <cell r="AS1303">
            <v>45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45</v>
          </cell>
        </row>
        <row r="1304">
          <cell r="C1304" t="str">
            <v>CLS</v>
          </cell>
          <cell r="H1304" t="str">
            <v>10-50-CSH-ST-0017</v>
          </cell>
          <cell r="I1304" t="str">
            <v xml:space="preserve">Calculation Sheet For Clarified Water Storage Tank (1*600 m3) foundation </v>
          </cell>
          <cell r="O1304">
            <v>8.0000000000000002E-3</v>
          </cell>
          <cell r="P1304">
            <v>4.1600000000000008E-5</v>
          </cell>
          <cell r="R1304">
            <v>3.4000000000000002E-4</v>
          </cell>
          <cell r="V1304" t="str">
            <v>ارسال شده</v>
          </cell>
          <cell r="W1304">
            <v>0</v>
          </cell>
          <cell r="X1304">
            <v>421</v>
          </cell>
          <cell r="Y1304" t="str">
            <v>09-12-07</v>
          </cell>
          <cell r="AG1304" t="str">
            <v>KRPC</v>
          </cell>
          <cell r="AH1304" t="str">
            <v>x</v>
          </cell>
          <cell r="AM1304">
            <v>0.45</v>
          </cell>
          <cell r="AN1304">
            <v>1.5300000000000001E-4</v>
          </cell>
          <cell r="AQ1304">
            <v>1.8720000000000004E-5</v>
          </cell>
          <cell r="AR1304">
            <v>1.5300000000000001E-4</v>
          </cell>
          <cell r="AS1304">
            <v>45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45</v>
          </cell>
        </row>
        <row r="1305">
          <cell r="C1305" t="str">
            <v>DWG</v>
          </cell>
          <cell r="H1305" t="str">
            <v>10-50-A1-ST-0018</v>
          </cell>
          <cell r="I1305" t="str">
            <v>Sludge Pumps to Thickener (A/B) foundation plan &amp; details</v>
          </cell>
          <cell r="O1305">
            <v>8.0000000000000002E-3</v>
          </cell>
          <cell r="P1305">
            <v>4.1600000000000008E-5</v>
          </cell>
          <cell r="Q1305" t="str">
            <v>V</v>
          </cell>
          <cell r="R1305">
            <v>2.5000000000000001E-4</v>
          </cell>
          <cell r="T1305">
            <v>39446</v>
          </cell>
          <cell r="U1305" t="str">
            <v>*</v>
          </cell>
          <cell r="V1305" t="str">
            <v>2007-12</v>
          </cell>
          <cell r="AM1305">
            <v>0</v>
          </cell>
          <cell r="AN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</row>
        <row r="1306">
          <cell r="C1306" t="str">
            <v>CLS</v>
          </cell>
          <cell r="H1306" t="str">
            <v>10-50-CSH-ST-0018</v>
          </cell>
          <cell r="I1306" t="str">
            <v xml:space="preserve">Calculation Sheet For Sludge Pumps to Thickener (A/B) foundation </v>
          </cell>
          <cell r="O1306">
            <v>8.0000000000000002E-3</v>
          </cell>
          <cell r="P1306">
            <v>4.1600000000000008E-5</v>
          </cell>
          <cell r="Q1306" t="str">
            <v>L</v>
          </cell>
          <cell r="R1306">
            <v>2.5000000000000001E-4</v>
          </cell>
          <cell r="T1306">
            <v>39448</v>
          </cell>
          <cell r="V1306" t="str">
            <v>2008-01</v>
          </cell>
          <cell r="AM1306">
            <v>0</v>
          </cell>
          <cell r="AN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</row>
        <row r="1307">
          <cell r="C1307" t="str">
            <v>DWG</v>
          </cell>
          <cell r="H1307" t="str">
            <v>10-50-A1-ST-0019</v>
          </cell>
          <cell r="I1307" t="str">
            <v>Thickened Sludge Pumps to Filter Press (A/B) foundation plan &amp; details</v>
          </cell>
          <cell r="O1307">
            <v>8.0000000000000002E-3</v>
          </cell>
          <cell r="P1307">
            <v>4.1600000000000008E-5</v>
          </cell>
          <cell r="Q1307" t="str">
            <v>L</v>
          </cell>
          <cell r="R1307">
            <v>2.5000000000000001E-4</v>
          </cell>
          <cell r="T1307">
            <v>39448</v>
          </cell>
          <cell r="V1307" t="str">
            <v>2008-01</v>
          </cell>
          <cell r="AM1307">
            <v>0</v>
          </cell>
          <cell r="AN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</row>
        <row r="1308">
          <cell r="C1308" t="str">
            <v>CLS</v>
          </cell>
          <cell r="H1308" t="str">
            <v>10-50-CSH-ST-0019</v>
          </cell>
          <cell r="I1308" t="str">
            <v xml:space="preserve">Calculation SheetThickened Sludge Pumps to Filter Press (A/B) foundation </v>
          </cell>
          <cell r="O1308">
            <v>8.0000000000000002E-3</v>
          </cell>
          <cell r="P1308">
            <v>4.1600000000000008E-5</v>
          </cell>
          <cell r="Q1308" t="str">
            <v>L</v>
          </cell>
          <cell r="R1308">
            <v>2.5000000000000001E-4</v>
          </cell>
          <cell r="T1308">
            <v>39448</v>
          </cell>
          <cell r="V1308" t="str">
            <v>2008-01</v>
          </cell>
          <cell r="AM1308">
            <v>0</v>
          </cell>
          <cell r="AN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</row>
        <row r="1309">
          <cell r="C1309" t="str">
            <v>DWG</v>
          </cell>
          <cell r="H1309" t="str">
            <v>10-50-A1-ST-0020</v>
          </cell>
          <cell r="I1309" t="str">
            <v>Filter Press (A/B) foundation plan &amp; details</v>
          </cell>
          <cell r="O1309">
            <v>8.0000000000000002E-3</v>
          </cell>
          <cell r="P1309">
            <v>4.1600000000000008E-5</v>
          </cell>
          <cell r="Q1309" t="str">
            <v>L</v>
          </cell>
          <cell r="R1309">
            <v>2.5000000000000001E-4</v>
          </cell>
          <cell r="T1309">
            <v>39449</v>
          </cell>
          <cell r="V1309" t="str">
            <v>2008-01</v>
          </cell>
          <cell r="AM1309">
            <v>0</v>
          </cell>
          <cell r="AN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</row>
        <row r="1310">
          <cell r="C1310" t="str">
            <v>CLS</v>
          </cell>
          <cell r="H1310" t="str">
            <v>10-50-CSH-ST-0020</v>
          </cell>
          <cell r="I1310" t="str">
            <v xml:space="preserve">Calculation Sheet For Filter Press (A/B) foundation </v>
          </cell>
          <cell r="O1310">
            <v>8.0000000000000002E-3</v>
          </cell>
          <cell r="P1310">
            <v>4.1600000000000008E-5</v>
          </cell>
          <cell r="Q1310" t="str">
            <v>L</v>
          </cell>
          <cell r="R1310">
            <v>2.5000000000000001E-4</v>
          </cell>
          <cell r="T1310">
            <v>39449</v>
          </cell>
          <cell r="V1310" t="str">
            <v>2008-01</v>
          </cell>
          <cell r="AM1310">
            <v>0</v>
          </cell>
          <cell r="AN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</row>
        <row r="1311">
          <cell r="C1311" t="str">
            <v>DWG</v>
          </cell>
          <cell r="H1311" t="str">
            <v>10-50-A1-ST-0021</v>
          </cell>
          <cell r="I1311" t="str">
            <v>Clarified Water Pumps (A/B) foundation plan &amp; details</v>
          </cell>
          <cell r="O1311">
            <v>8.0000000000000002E-3</v>
          </cell>
          <cell r="P1311">
            <v>4.1600000000000008E-5</v>
          </cell>
          <cell r="Q1311" t="str">
            <v>L</v>
          </cell>
          <cell r="R1311">
            <v>2.5000000000000001E-4</v>
          </cell>
          <cell r="T1311">
            <v>39450</v>
          </cell>
          <cell r="V1311" t="str">
            <v>2008-01</v>
          </cell>
          <cell r="AM1311">
            <v>0</v>
          </cell>
          <cell r="AN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</row>
        <row r="1312">
          <cell r="C1312" t="str">
            <v>CLS</v>
          </cell>
          <cell r="H1312" t="str">
            <v>10-50-CSH-ST-0021</v>
          </cell>
          <cell r="I1312" t="str">
            <v xml:space="preserve">Calculation Sheet For Clarified Water Pumps (A/B) foundation </v>
          </cell>
          <cell r="O1312">
            <v>8.0000000000000002E-3</v>
          </cell>
          <cell r="P1312">
            <v>4.1600000000000008E-5</v>
          </cell>
          <cell r="Q1312" t="str">
            <v>L</v>
          </cell>
          <cell r="R1312">
            <v>2.5000000000000001E-4</v>
          </cell>
          <cell r="T1312">
            <v>39450</v>
          </cell>
          <cell r="V1312" t="str">
            <v>2008-01</v>
          </cell>
          <cell r="AM1312">
            <v>0</v>
          </cell>
          <cell r="AN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</row>
        <row r="1313">
          <cell r="C1313" t="str">
            <v>DWG</v>
          </cell>
          <cell r="H1313" t="str">
            <v>10-50-A1-ST-0022</v>
          </cell>
          <cell r="I1313" t="str">
            <v>Clarified Water Pressure Filters (A/B/C/D/E/F) foundation plan &amp; details</v>
          </cell>
          <cell r="O1313">
            <v>8.0000000000000002E-3</v>
          </cell>
          <cell r="P1313">
            <v>4.1600000000000008E-5</v>
          </cell>
          <cell r="Q1313" t="str">
            <v>L</v>
          </cell>
          <cell r="R1313">
            <v>2.5000000000000001E-4</v>
          </cell>
          <cell r="T1313">
            <v>39450</v>
          </cell>
          <cell r="V1313" t="str">
            <v>2008-01</v>
          </cell>
          <cell r="AM1313">
            <v>0</v>
          </cell>
          <cell r="AN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</row>
        <row r="1314">
          <cell r="C1314" t="str">
            <v>CLS</v>
          </cell>
          <cell r="H1314" t="str">
            <v>10-50-CSH-ST-0022</v>
          </cell>
          <cell r="I1314" t="str">
            <v>Calculation Sheet For Clarified Water Pressure Filters (A/B/C/D/E/F) foundation</v>
          </cell>
          <cell r="O1314">
            <v>8.0000000000000002E-3</v>
          </cell>
          <cell r="P1314">
            <v>4.1600000000000008E-5</v>
          </cell>
          <cell r="Q1314" t="str">
            <v>L</v>
          </cell>
          <cell r="R1314">
            <v>2.5000000000000001E-4</v>
          </cell>
          <cell r="T1314">
            <v>39451</v>
          </cell>
          <cell r="V1314" t="str">
            <v>2008-01</v>
          </cell>
          <cell r="AM1314">
            <v>0</v>
          </cell>
          <cell r="AN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</row>
        <row r="1315">
          <cell r="C1315" t="str">
            <v>DWG</v>
          </cell>
          <cell r="H1315" t="str">
            <v>10-50-A1-ST-0023</v>
          </cell>
          <cell r="I1315" t="str">
            <v>Pressure Filter Back Wash Pumps (A/B) foundation plan &amp; details</v>
          </cell>
          <cell r="O1315">
            <v>8.0000000000000002E-3</v>
          </cell>
          <cell r="P1315">
            <v>4.1600000000000008E-5</v>
          </cell>
          <cell r="Q1315" t="str">
            <v>L</v>
          </cell>
          <cell r="R1315">
            <v>2.5000000000000001E-4</v>
          </cell>
          <cell r="T1315">
            <v>39451</v>
          </cell>
          <cell r="V1315" t="str">
            <v>2008-01</v>
          </cell>
          <cell r="AM1315">
            <v>0</v>
          </cell>
          <cell r="AN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</row>
        <row r="1316">
          <cell r="C1316" t="str">
            <v>CLS</v>
          </cell>
          <cell r="H1316" t="str">
            <v>10-50-CSH-ST-0023</v>
          </cell>
          <cell r="I1316" t="str">
            <v>Calculation Sheet For Pressure Filter Back Wash Pumps (A/B) foundation</v>
          </cell>
          <cell r="O1316">
            <v>8.0000000000000002E-3</v>
          </cell>
          <cell r="P1316">
            <v>4.1600000000000008E-5</v>
          </cell>
          <cell r="Q1316" t="str">
            <v>L</v>
          </cell>
          <cell r="R1316">
            <v>2.5000000000000001E-4</v>
          </cell>
          <cell r="T1316">
            <v>39452</v>
          </cell>
          <cell r="V1316" t="str">
            <v>2008-01</v>
          </cell>
          <cell r="AM1316">
            <v>0</v>
          </cell>
          <cell r="AN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</row>
        <row r="1317">
          <cell r="C1317" t="str">
            <v>DWG</v>
          </cell>
          <cell r="H1317" t="str">
            <v>10-50-A1-ST-0024</v>
          </cell>
          <cell r="I1317" t="str">
            <v>Pressure Filter Back Wash Blowers (A/B) foundation plan &amp; details</v>
          </cell>
          <cell r="O1317">
            <v>8.0000000000000002E-3</v>
          </cell>
          <cell r="P1317">
            <v>4.1600000000000008E-5</v>
          </cell>
          <cell r="Q1317" t="str">
            <v>L</v>
          </cell>
          <cell r="R1317">
            <v>2.5000000000000001E-4</v>
          </cell>
          <cell r="T1317">
            <v>39452</v>
          </cell>
          <cell r="V1317" t="str">
            <v>2008-01</v>
          </cell>
          <cell r="AM1317">
            <v>0</v>
          </cell>
          <cell r="AN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</row>
        <row r="1318">
          <cell r="C1318" t="str">
            <v>CLS</v>
          </cell>
          <cell r="H1318" t="str">
            <v>10-50-CSH-ST-0024</v>
          </cell>
          <cell r="I1318" t="str">
            <v xml:space="preserve">Calculation Sheet For Pressure Filter Back Wash Blowers (A/B) foundation </v>
          </cell>
          <cell r="O1318">
            <v>8.5000000000000006E-3</v>
          </cell>
          <cell r="P1318">
            <v>4.420000000000001E-5</v>
          </cell>
          <cell r="Q1318" t="str">
            <v>L</v>
          </cell>
          <cell r="R1318">
            <v>2.5000000000000001E-4</v>
          </cell>
          <cell r="T1318">
            <v>39452</v>
          </cell>
          <cell r="V1318" t="str">
            <v>2008-01</v>
          </cell>
          <cell r="AM1318">
            <v>0</v>
          </cell>
          <cell r="AN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</row>
        <row r="1319">
          <cell r="C1319" t="str">
            <v>DWG</v>
          </cell>
          <cell r="H1319" t="str">
            <v>10-50-A1-ST-0025</v>
          </cell>
          <cell r="I1319" t="str">
            <v>Filtered Water Tanks (2*6000 m3) foundation plan &amp; details</v>
          </cell>
          <cell r="O1319">
            <v>8.5000000000000006E-3</v>
          </cell>
          <cell r="P1319">
            <v>4.420000000000001E-5</v>
          </cell>
          <cell r="R1319">
            <v>3.4000000000000002E-4</v>
          </cell>
          <cell r="V1319" t="str">
            <v>ارسال شده</v>
          </cell>
          <cell r="W1319" t="str">
            <v>012</v>
          </cell>
          <cell r="X1319" t="str">
            <v>147276447</v>
          </cell>
          <cell r="Y1319" t="str">
            <v>09-10-0705-11-0709-12-07</v>
          </cell>
          <cell r="Z1319" t="str">
            <v>F-0209F-0455</v>
          </cell>
          <cell r="AA1319" t="str">
            <v>11-10-0705-12-07</v>
          </cell>
          <cell r="AF1319" t="str">
            <v>86-07-18</v>
          </cell>
          <cell r="AG1319" t="str">
            <v>KRPC</v>
          </cell>
          <cell r="AH1319" t="str">
            <v>x</v>
          </cell>
          <cell r="AI1319" t="str">
            <v>x</v>
          </cell>
          <cell r="AJ1319" t="str">
            <v>x</v>
          </cell>
          <cell r="AM1319">
            <v>0.75</v>
          </cell>
          <cell r="AN1319">
            <v>2.5500000000000002E-4</v>
          </cell>
          <cell r="AO1319" t="str">
            <v>Sheet 1,2,3,4</v>
          </cell>
          <cell r="AQ1319">
            <v>3.3150000000000006E-5</v>
          </cell>
          <cell r="AR1319">
            <v>2.5500000000000002E-4</v>
          </cell>
          <cell r="AS1319">
            <v>45</v>
          </cell>
          <cell r="AT1319">
            <v>60</v>
          </cell>
          <cell r="AU1319">
            <v>75</v>
          </cell>
          <cell r="AV1319">
            <v>0</v>
          </cell>
          <cell r="AW1319">
            <v>0</v>
          </cell>
          <cell r="AX1319">
            <v>75</v>
          </cell>
        </row>
        <row r="1320">
          <cell r="C1320" t="str">
            <v>CLS</v>
          </cell>
          <cell r="H1320" t="str">
            <v>10-50-CSH-ST-0025</v>
          </cell>
          <cell r="I1320" t="str">
            <v>Calculation Sheet For Filtered Water Tanks (2*6000 m3) foundation</v>
          </cell>
          <cell r="O1320">
            <v>8.5000000000000006E-3</v>
          </cell>
          <cell r="P1320">
            <v>4.420000000000001E-5</v>
          </cell>
          <cell r="R1320">
            <v>3.4000000000000002E-4</v>
          </cell>
          <cell r="V1320" t="str">
            <v>ارسال شده</v>
          </cell>
          <cell r="W1320" t="str">
            <v>012</v>
          </cell>
          <cell r="X1320" t="str">
            <v>84278418</v>
          </cell>
          <cell r="Y1320" t="str">
            <v>15-08-0707-11-0709-12-07</v>
          </cell>
          <cell r="Z1320" t="str">
            <v>F-0165</v>
          </cell>
          <cell r="AA1320" t="str">
            <v>20-08-07</v>
          </cell>
          <cell r="AG1320" t="str">
            <v>KRPC</v>
          </cell>
          <cell r="AH1320" t="str">
            <v>x</v>
          </cell>
          <cell r="AI1320" t="str">
            <v>x</v>
          </cell>
          <cell r="AJ1320" t="str">
            <v>x</v>
          </cell>
          <cell r="AM1320">
            <v>0.75</v>
          </cell>
          <cell r="AN1320">
            <v>2.5500000000000002E-4</v>
          </cell>
          <cell r="AQ1320">
            <v>3.3150000000000006E-5</v>
          </cell>
          <cell r="AR1320">
            <v>2.5500000000000002E-4</v>
          </cell>
          <cell r="AS1320">
            <v>45</v>
          </cell>
          <cell r="AT1320">
            <v>60</v>
          </cell>
          <cell r="AU1320">
            <v>75</v>
          </cell>
          <cell r="AV1320">
            <v>0</v>
          </cell>
          <cell r="AW1320">
            <v>0</v>
          </cell>
          <cell r="AX1320">
            <v>75</v>
          </cell>
        </row>
        <row r="1321">
          <cell r="C1321" t="str">
            <v>DWG</v>
          </cell>
          <cell r="H1321" t="str">
            <v>10-50-A1-ST-0026</v>
          </cell>
          <cell r="I1321" t="str">
            <v>Service Water Pumps (A/B) foundation plan &amp; details</v>
          </cell>
          <cell r="O1321">
            <v>8.5000000000000006E-3</v>
          </cell>
          <cell r="P1321">
            <v>4.420000000000001E-5</v>
          </cell>
          <cell r="Q1321" t="str">
            <v>L</v>
          </cell>
          <cell r="R1321">
            <v>2.5000000000000001E-4</v>
          </cell>
          <cell r="T1321">
            <v>39453</v>
          </cell>
          <cell r="V1321" t="str">
            <v>2008-01</v>
          </cell>
          <cell r="AM1321">
            <v>0</v>
          </cell>
          <cell r="AN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</row>
        <row r="1322">
          <cell r="C1322" t="str">
            <v>CLS</v>
          </cell>
          <cell r="H1322" t="str">
            <v>10-50-CSH-ST-0026</v>
          </cell>
          <cell r="I1322" t="str">
            <v>Calculation Sheet For Service Water Pumps (A/B) foundation</v>
          </cell>
          <cell r="O1322">
            <v>8.5000000000000006E-3</v>
          </cell>
          <cell r="P1322">
            <v>4.420000000000001E-5</v>
          </cell>
          <cell r="Q1322" t="str">
            <v>L</v>
          </cell>
          <cell r="R1322">
            <v>2.5000000000000001E-4</v>
          </cell>
          <cell r="T1322">
            <v>39453</v>
          </cell>
          <cell r="V1322" t="str">
            <v>2008-01</v>
          </cell>
          <cell r="AM1322">
            <v>0</v>
          </cell>
          <cell r="AN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</row>
        <row r="1323">
          <cell r="C1323" t="str">
            <v>DWG</v>
          </cell>
          <cell r="H1323" t="str">
            <v>10-50-A1-ST-0027</v>
          </cell>
          <cell r="I1323" t="str">
            <v>Potable Water Feed Pumps from Filtered Water Tanks (A/B) foundation plan &amp; details</v>
          </cell>
          <cell r="O1323">
            <v>8.5000000000000006E-3</v>
          </cell>
          <cell r="P1323">
            <v>4.420000000000001E-5</v>
          </cell>
          <cell r="Q1323" t="str">
            <v>L</v>
          </cell>
          <cell r="R1323">
            <v>2.5000000000000001E-4</v>
          </cell>
          <cell r="T1323">
            <v>39453</v>
          </cell>
          <cell r="V1323" t="str">
            <v>2008-01</v>
          </cell>
          <cell r="AM1323">
            <v>0</v>
          </cell>
          <cell r="AN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</row>
        <row r="1324">
          <cell r="C1324" t="str">
            <v>CLS</v>
          </cell>
          <cell r="H1324" t="str">
            <v>10-50-CSH-ST-0027</v>
          </cell>
          <cell r="I1324" t="str">
            <v>Calculation Sheet For Potable Water Feed Pumps from Filtered Water Tanks (A/B) foundation</v>
          </cell>
          <cell r="O1324">
            <v>8.5000000000000006E-3</v>
          </cell>
          <cell r="P1324">
            <v>4.420000000000001E-5</v>
          </cell>
          <cell r="Q1324" t="str">
            <v>L</v>
          </cell>
          <cell r="R1324">
            <v>2.5000000000000001E-4</v>
          </cell>
          <cell r="T1324">
            <v>39454</v>
          </cell>
          <cell r="V1324" t="str">
            <v>2008-01</v>
          </cell>
          <cell r="AM1324">
            <v>0</v>
          </cell>
          <cell r="AN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</row>
        <row r="1325">
          <cell r="C1325" t="str">
            <v>DWG</v>
          </cell>
          <cell r="H1325" t="str">
            <v>10-50-A1-ST-0028</v>
          </cell>
          <cell r="I1325" t="str">
            <v>Potable Water Activated Carbon Filters (A/B) foundation plan &amp; details</v>
          </cell>
          <cell r="O1325">
            <v>8.5000000000000006E-3</v>
          </cell>
          <cell r="P1325">
            <v>4.420000000000001E-5</v>
          </cell>
          <cell r="Q1325" t="str">
            <v>L</v>
          </cell>
          <cell r="R1325">
            <v>2.5000000000000001E-4</v>
          </cell>
          <cell r="T1325">
            <v>39454</v>
          </cell>
          <cell r="V1325" t="str">
            <v>2008-01</v>
          </cell>
          <cell r="AM1325">
            <v>0</v>
          </cell>
          <cell r="AN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</row>
        <row r="1326">
          <cell r="C1326" t="str">
            <v>CLS</v>
          </cell>
          <cell r="H1326" t="str">
            <v>10-50-CSH-ST-0028</v>
          </cell>
          <cell r="I1326" t="str">
            <v>Calculation Sheet For Potable Water Activated Carbon Filters (A/B) foundation</v>
          </cell>
          <cell r="O1326">
            <v>8.5000000000000006E-3</v>
          </cell>
          <cell r="P1326">
            <v>4.420000000000001E-5</v>
          </cell>
          <cell r="Q1326" t="str">
            <v>L</v>
          </cell>
          <cell r="R1326">
            <v>2.5000000000000001E-4</v>
          </cell>
          <cell r="T1326">
            <v>39455</v>
          </cell>
          <cell r="V1326" t="str">
            <v>2008-01</v>
          </cell>
          <cell r="AM1326">
            <v>0</v>
          </cell>
          <cell r="AN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</row>
        <row r="1327">
          <cell r="C1327" t="str">
            <v>DWG</v>
          </cell>
          <cell r="H1327" t="str">
            <v>10-50-A1-ST-0029</v>
          </cell>
          <cell r="I1327" t="str">
            <v>Hypochlorite Dosing Unit to potable water foundation plan &amp; details</v>
          </cell>
          <cell r="O1327">
            <v>8.5000000000000006E-3</v>
          </cell>
          <cell r="P1327">
            <v>4.420000000000001E-5</v>
          </cell>
          <cell r="Q1327" t="str">
            <v>L</v>
          </cell>
          <cell r="R1327">
            <v>3.4000000000000002E-4</v>
          </cell>
          <cell r="T1327">
            <v>39455</v>
          </cell>
          <cell r="V1327" t="str">
            <v>2008-01</v>
          </cell>
          <cell r="AM1327">
            <v>0</v>
          </cell>
          <cell r="AN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</row>
        <row r="1328">
          <cell r="C1328" t="str">
            <v>CLS</v>
          </cell>
          <cell r="H1328" t="str">
            <v>10-50-CSH-ST-0029</v>
          </cell>
          <cell r="I1328" t="str">
            <v>Calculation Sheet For Hypochlorite Dosing Unit to potable water foundation</v>
          </cell>
          <cell r="O1328">
            <v>8.5000000000000006E-3</v>
          </cell>
          <cell r="P1328">
            <v>4.420000000000001E-5</v>
          </cell>
          <cell r="Q1328" t="str">
            <v>L</v>
          </cell>
          <cell r="R1328">
            <v>3.4000000000000002E-4</v>
          </cell>
          <cell r="T1328">
            <v>39455</v>
          </cell>
          <cell r="V1328" t="str">
            <v>2008-01</v>
          </cell>
          <cell r="AM1328">
            <v>0</v>
          </cell>
          <cell r="AN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</row>
        <row r="1329">
          <cell r="C1329" t="str">
            <v>DWG</v>
          </cell>
          <cell r="H1329" t="str">
            <v>10-50-A1-ST-0030</v>
          </cell>
          <cell r="I1329" t="str">
            <v>Potable Water Storage Tank (1*240 m3) foundation plan &amp; details</v>
          </cell>
          <cell r="O1329">
            <v>8.5000000000000006E-3</v>
          </cell>
          <cell r="P1329">
            <v>4.420000000000001E-5</v>
          </cell>
          <cell r="R1329">
            <v>2.5000000000000001E-4</v>
          </cell>
          <cell r="V1329" t="str">
            <v>ارسال شده</v>
          </cell>
          <cell r="W1329" t="str">
            <v>01</v>
          </cell>
          <cell r="X1329" t="str">
            <v>291493</v>
          </cell>
          <cell r="Y1329" t="str">
            <v>12-11-0723-112-07</v>
          </cell>
          <cell r="Z1329" t="str">
            <v>F-0455</v>
          </cell>
          <cell r="AA1329" t="str">
            <v>05-12-07</v>
          </cell>
          <cell r="AF1329" t="str">
            <v>86-10-02</v>
          </cell>
          <cell r="AG1329" t="str">
            <v>KRPC</v>
          </cell>
          <cell r="AH1329" t="str">
            <v>x</v>
          </cell>
          <cell r="AI1329" t="str">
            <v>x</v>
          </cell>
          <cell r="AM1329">
            <v>0.6</v>
          </cell>
          <cell r="AN1329">
            <v>1.4999999999999999E-4</v>
          </cell>
          <cell r="AO1329" t="str">
            <v>T</v>
          </cell>
          <cell r="AQ1329">
            <v>2.6520000000000007E-5</v>
          </cell>
          <cell r="AR1329">
            <v>1.4999999999999999E-4</v>
          </cell>
          <cell r="AS1329">
            <v>45</v>
          </cell>
          <cell r="AT1329">
            <v>60</v>
          </cell>
          <cell r="AU1329">
            <v>0</v>
          </cell>
          <cell r="AV1329">
            <v>0</v>
          </cell>
          <cell r="AW1329">
            <v>0</v>
          </cell>
          <cell r="AX1329">
            <v>60</v>
          </cell>
        </row>
        <row r="1330">
          <cell r="C1330" t="str">
            <v>CLS</v>
          </cell>
          <cell r="H1330" t="str">
            <v>10-50-CSH-ST-0030</v>
          </cell>
          <cell r="I1330" t="str">
            <v xml:space="preserve">Calculation Sheet For Potable Water Storage Tank (1*240 m3) foundation </v>
          </cell>
          <cell r="O1330">
            <v>8.5000000000000006E-3</v>
          </cell>
          <cell r="P1330">
            <v>4.420000000000001E-5</v>
          </cell>
          <cell r="R1330">
            <v>2.5000000000000001E-4</v>
          </cell>
          <cell r="V1330" t="str">
            <v>ارسال شده</v>
          </cell>
          <cell r="W1330">
            <v>0</v>
          </cell>
          <cell r="X1330">
            <v>417</v>
          </cell>
          <cell r="Y1330" t="str">
            <v>09-12-07</v>
          </cell>
          <cell r="AG1330" t="str">
            <v>KRPC</v>
          </cell>
          <cell r="AH1330" t="str">
            <v>x</v>
          </cell>
          <cell r="AM1330">
            <v>0.45</v>
          </cell>
          <cell r="AN1330">
            <v>1.1250000000000001E-4</v>
          </cell>
          <cell r="AQ1330">
            <v>1.9890000000000004E-5</v>
          </cell>
          <cell r="AR1330">
            <v>1.1250000000000001E-4</v>
          </cell>
          <cell r="AS1330">
            <v>45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45</v>
          </cell>
        </row>
        <row r="1331">
          <cell r="C1331" t="str">
            <v>DWG</v>
          </cell>
          <cell r="H1331" t="str">
            <v>10-50-A1-ST-0031</v>
          </cell>
          <cell r="I1331" t="str">
            <v>Potable Water Transfer Pumps to use (A/B) foundation plan &amp; details</v>
          </cell>
          <cell r="O1331">
            <v>8.5000000000000006E-3</v>
          </cell>
          <cell r="P1331">
            <v>4.420000000000001E-5</v>
          </cell>
          <cell r="Q1331" t="str">
            <v>L</v>
          </cell>
          <cell r="R1331">
            <v>2.5000000000000001E-4</v>
          </cell>
          <cell r="T1331">
            <v>39456</v>
          </cell>
          <cell r="V1331" t="str">
            <v>2008-01</v>
          </cell>
          <cell r="AM1331">
            <v>0</v>
          </cell>
          <cell r="AN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</row>
        <row r="1332">
          <cell r="C1332" t="str">
            <v>CLS</v>
          </cell>
          <cell r="H1332" t="str">
            <v>10-50-CSH-ST-0031</v>
          </cell>
          <cell r="I1332" t="str">
            <v>Calculation Sheet For Potable Water Transfer Pumps to use (A/B) foundation</v>
          </cell>
          <cell r="O1332">
            <v>8.5000000000000006E-3</v>
          </cell>
          <cell r="P1332">
            <v>4.420000000000001E-5</v>
          </cell>
          <cell r="Q1332" t="str">
            <v>L</v>
          </cell>
          <cell r="R1332">
            <v>2.5000000000000001E-4</v>
          </cell>
          <cell r="T1332">
            <v>39456</v>
          </cell>
          <cell r="V1332" t="str">
            <v>2008-01</v>
          </cell>
          <cell r="AM1332">
            <v>0</v>
          </cell>
          <cell r="AN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</row>
        <row r="1333">
          <cell r="C1333" t="str">
            <v>DWG</v>
          </cell>
          <cell r="H1333" t="str">
            <v>10-50-A1-ST-0032</v>
          </cell>
          <cell r="I1333" t="str">
            <v>Potable Water Pressurized Tank foundation plan &amp; details</v>
          </cell>
          <cell r="O1333">
            <v>8.5000000000000006E-3</v>
          </cell>
          <cell r="P1333">
            <v>4.420000000000001E-5</v>
          </cell>
          <cell r="Q1333" t="str">
            <v>L</v>
          </cell>
          <cell r="R1333">
            <v>2.5000000000000001E-4</v>
          </cell>
          <cell r="T1333">
            <v>39457</v>
          </cell>
          <cell r="V1333" t="str">
            <v>2008-01</v>
          </cell>
          <cell r="AM1333">
            <v>0</v>
          </cell>
          <cell r="AN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</row>
        <row r="1334">
          <cell r="C1334" t="str">
            <v>CLS</v>
          </cell>
          <cell r="H1334" t="str">
            <v>10-50-CSH-ST-0032</v>
          </cell>
          <cell r="I1334" t="str">
            <v>Calculation Sheet For Potable Water Pressurized Tank foundation</v>
          </cell>
          <cell r="O1334">
            <v>8.5000000000000006E-3</v>
          </cell>
          <cell r="P1334">
            <v>4.420000000000001E-5</v>
          </cell>
          <cell r="Q1334" t="str">
            <v>L</v>
          </cell>
          <cell r="R1334">
            <v>2.5000000000000001E-4</v>
          </cell>
          <cell r="T1334">
            <v>39457</v>
          </cell>
          <cell r="V1334" t="str">
            <v>2008-01</v>
          </cell>
          <cell r="AM1334">
            <v>0</v>
          </cell>
          <cell r="AN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</row>
        <row r="1335">
          <cell r="C1335" t="str">
            <v>DWG</v>
          </cell>
          <cell r="H1335" t="str">
            <v>10-50-A1-ST-0033</v>
          </cell>
          <cell r="I1335" t="str">
            <v>Filtered Water Pumps to RO Water (A/B) foundation plan &amp; details</v>
          </cell>
          <cell r="O1335">
            <v>8.5000000000000006E-3</v>
          </cell>
          <cell r="P1335">
            <v>4.420000000000001E-5</v>
          </cell>
          <cell r="Q1335" t="str">
            <v>L</v>
          </cell>
          <cell r="R1335">
            <v>2.5000000000000001E-4</v>
          </cell>
          <cell r="T1335">
            <v>39457</v>
          </cell>
          <cell r="V1335" t="str">
            <v>2008-01</v>
          </cell>
          <cell r="AM1335">
            <v>0</v>
          </cell>
          <cell r="AN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</row>
        <row r="1336">
          <cell r="C1336" t="str">
            <v>CLS</v>
          </cell>
          <cell r="H1336" t="str">
            <v>10-50-CSH-ST-0033</v>
          </cell>
          <cell r="I1336" t="str">
            <v>Calculation Sheet For Filtered Water Pumps to RO Water (A/B) foundation</v>
          </cell>
          <cell r="O1336">
            <v>8.5000000000000006E-3</v>
          </cell>
          <cell r="P1336">
            <v>4.420000000000001E-5</v>
          </cell>
          <cell r="Q1336" t="str">
            <v>L</v>
          </cell>
          <cell r="R1336">
            <v>2.5000000000000001E-4</v>
          </cell>
          <cell r="T1336">
            <v>39458</v>
          </cell>
          <cell r="V1336" t="str">
            <v>2008-01</v>
          </cell>
          <cell r="AM1336">
            <v>0</v>
          </cell>
          <cell r="AN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</row>
        <row r="1337">
          <cell r="C1337" t="str">
            <v>DWG</v>
          </cell>
          <cell r="H1337" t="str">
            <v>10-50-A1-ST-0034</v>
          </cell>
          <cell r="I1337" t="str">
            <v>Sand Filter for RO Water (A/B/C) foundation plan &amp; details</v>
          </cell>
          <cell r="O1337">
            <v>8.5000000000000006E-3</v>
          </cell>
          <cell r="P1337">
            <v>4.420000000000001E-5</v>
          </cell>
          <cell r="Q1337" t="str">
            <v>L</v>
          </cell>
          <cell r="R1337">
            <v>2.5000000000000001E-4</v>
          </cell>
          <cell r="T1337">
            <v>39458</v>
          </cell>
          <cell r="V1337" t="str">
            <v>2008-01</v>
          </cell>
          <cell r="AM1337">
            <v>0</v>
          </cell>
          <cell r="AN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</row>
        <row r="1338">
          <cell r="C1338" t="str">
            <v>CLS</v>
          </cell>
          <cell r="H1338" t="str">
            <v>10-50-CSH-ST-0034</v>
          </cell>
          <cell r="I1338" t="str">
            <v>Calculation Sheet For Sand Filter for RO Water (A/B/C) foundation</v>
          </cell>
          <cell r="O1338">
            <v>8.5000000000000006E-3</v>
          </cell>
          <cell r="P1338">
            <v>4.420000000000001E-5</v>
          </cell>
          <cell r="Q1338" t="str">
            <v>L</v>
          </cell>
          <cell r="R1338">
            <v>2.5000000000000001E-4</v>
          </cell>
          <cell r="T1338">
            <v>39459</v>
          </cell>
          <cell r="V1338" t="str">
            <v>2008-01</v>
          </cell>
          <cell r="AM1338">
            <v>0</v>
          </cell>
          <cell r="AN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</row>
        <row r="1339">
          <cell r="C1339" t="str">
            <v>DWG</v>
          </cell>
          <cell r="H1339" t="str">
            <v>10-50-A1-ST-0035</v>
          </cell>
          <cell r="I1339" t="str">
            <v>Sand Filter Back Wash Pumps (A/B) foundation plan &amp; details</v>
          </cell>
          <cell r="O1339">
            <v>8.5000000000000006E-3</v>
          </cell>
          <cell r="P1339">
            <v>4.420000000000001E-5</v>
          </cell>
          <cell r="Q1339" t="str">
            <v>L</v>
          </cell>
          <cell r="R1339">
            <v>2.5000000000000001E-4</v>
          </cell>
          <cell r="T1339">
            <v>39459</v>
          </cell>
          <cell r="V1339" t="str">
            <v>2008-01</v>
          </cell>
          <cell r="AM1339">
            <v>0</v>
          </cell>
          <cell r="AN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</row>
        <row r="1340">
          <cell r="C1340" t="str">
            <v>DWG</v>
          </cell>
          <cell r="H1340" t="str">
            <v>10-50-CSH-ST-0035</v>
          </cell>
          <cell r="I1340" t="str">
            <v xml:space="preserve">Calculation Sheet For Sand Filter Back Wash Pumps (A/B) foundation </v>
          </cell>
          <cell r="O1340">
            <v>8.5000000000000006E-3</v>
          </cell>
          <cell r="P1340">
            <v>4.420000000000001E-5</v>
          </cell>
          <cell r="Q1340" t="str">
            <v>L</v>
          </cell>
          <cell r="R1340">
            <v>2.5000000000000001E-4</v>
          </cell>
          <cell r="T1340">
            <v>39459</v>
          </cell>
          <cell r="V1340" t="str">
            <v>2008-01</v>
          </cell>
          <cell r="AH1340" t="str">
            <v/>
          </cell>
          <cell r="AJ1340" t="str">
            <v/>
          </cell>
          <cell r="AL1340" t="str">
            <v/>
          </cell>
          <cell r="AM1340">
            <v>0</v>
          </cell>
          <cell r="AN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</row>
        <row r="1341">
          <cell r="C1341" t="str">
            <v>DWG</v>
          </cell>
          <cell r="H1341" t="str">
            <v>10-50-A1-ST-0036</v>
          </cell>
          <cell r="I1341" t="str">
            <v>Antiscalant Dosing Unit to RO Water foundation plan &amp; details</v>
          </cell>
          <cell r="O1341">
            <v>8.5000000000000006E-3</v>
          </cell>
          <cell r="P1341">
            <v>4.420000000000001E-5</v>
          </cell>
          <cell r="Q1341" t="str">
            <v>L</v>
          </cell>
          <cell r="R1341">
            <v>2.5000000000000001E-4</v>
          </cell>
          <cell r="T1341">
            <v>39460</v>
          </cell>
          <cell r="V1341" t="str">
            <v>2008-01</v>
          </cell>
          <cell r="AH1341" t="str">
            <v/>
          </cell>
          <cell r="AJ1341" t="str">
            <v/>
          </cell>
          <cell r="AL1341" t="str">
            <v/>
          </cell>
          <cell r="AM1341">
            <v>0</v>
          </cell>
          <cell r="AN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</row>
        <row r="1342">
          <cell r="C1342" t="str">
            <v>DWG</v>
          </cell>
          <cell r="H1342" t="str">
            <v>10-50-CSH-ST-0036</v>
          </cell>
          <cell r="I1342" t="str">
            <v xml:space="preserve">Calculation Sheet For Antiscalant Dosing Unit to RO Water foundation </v>
          </cell>
          <cell r="O1342">
            <v>8.5000000000000006E-3</v>
          </cell>
          <cell r="P1342">
            <v>4.420000000000001E-5</v>
          </cell>
          <cell r="Q1342" t="str">
            <v>L</v>
          </cell>
          <cell r="R1342">
            <v>2.5000000000000001E-4</v>
          </cell>
          <cell r="T1342">
            <v>39460</v>
          </cell>
          <cell r="V1342" t="str">
            <v>2008-01</v>
          </cell>
          <cell r="AH1342" t="str">
            <v/>
          </cell>
          <cell r="AJ1342" t="str">
            <v/>
          </cell>
          <cell r="AL1342" t="str">
            <v/>
          </cell>
          <cell r="AM1342">
            <v>0</v>
          </cell>
          <cell r="AN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</row>
        <row r="1343">
          <cell r="C1343" t="str">
            <v>DWG</v>
          </cell>
          <cell r="H1343" t="str">
            <v>10-50-A1-ST-0037</v>
          </cell>
          <cell r="I1343" t="str">
            <v>H2SO4 Acid Dosing Unit to RO Water foundation plan &amp; details</v>
          </cell>
          <cell r="O1343">
            <v>8.5000000000000006E-3</v>
          </cell>
          <cell r="P1343">
            <v>4.420000000000001E-5</v>
          </cell>
          <cell r="Q1343" t="str">
            <v>L</v>
          </cell>
          <cell r="R1343">
            <v>2.5000000000000001E-4</v>
          </cell>
          <cell r="AH1343" t="str">
            <v/>
          </cell>
          <cell r="AJ1343" t="str">
            <v/>
          </cell>
          <cell r="AL1343" t="str">
            <v/>
          </cell>
          <cell r="AM1343">
            <v>0</v>
          </cell>
          <cell r="AN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</row>
        <row r="1344">
          <cell r="C1344" t="str">
            <v>DWG</v>
          </cell>
          <cell r="H1344" t="str">
            <v>10-50-CSH-ST-0037</v>
          </cell>
          <cell r="I1344" t="str">
            <v>Calculation Sheet For H2SO4 Acid Dosing Unit to RO Water foundation</v>
          </cell>
          <cell r="O1344">
            <v>8.5000000000000006E-3</v>
          </cell>
          <cell r="P1344">
            <v>4.420000000000001E-5</v>
          </cell>
          <cell r="Q1344" t="str">
            <v>L</v>
          </cell>
          <cell r="R1344">
            <v>2.5000000000000001E-4</v>
          </cell>
          <cell r="AH1344" t="str">
            <v/>
          </cell>
          <cell r="AJ1344" t="str">
            <v/>
          </cell>
          <cell r="AL1344" t="str">
            <v/>
          </cell>
          <cell r="AM1344">
            <v>0</v>
          </cell>
          <cell r="AN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</row>
        <row r="1345">
          <cell r="C1345" t="str">
            <v>DWG</v>
          </cell>
          <cell r="H1345" t="str">
            <v>10-50-A1-ST-0038</v>
          </cell>
          <cell r="I1345" t="str">
            <v>SBS Dosing Unit to RO Water foundation plan &amp; details</v>
          </cell>
          <cell r="O1345">
            <v>8.5000000000000006E-3</v>
          </cell>
          <cell r="P1345">
            <v>4.420000000000001E-5</v>
          </cell>
          <cell r="Q1345" t="str">
            <v>L</v>
          </cell>
          <cell r="R1345">
            <v>2.5000000000000001E-4</v>
          </cell>
          <cell r="AH1345" t="str">
            <v/>
          </cell>
          <cell r="AJ1345" t="str">
            <v/>
          </cell>
          <cell r="AL1345" t="str">
            <v/>
          </cell>
          <cell r="AM1345">
            <v>0</v>
          </cell>
          <cell r="AN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</row>
        <row r="1346">
          <cell r="C1346" t="str">
            <v>CLS</v>
          </cell>
          <cell r="H1346" t="str">
            <v>10-50-CSH-ST-0038</v>
          </cell>
          <cell r="I1346" t="str">
            <v>Calculation Sheet For SBS Dosing Unit to RO Water foundation</v>
          </cell>
          <cell r="O1346">
            <v>8.5000000000000006E-3</v>
          </cell>
          <cell r="P1346">
            <v>4.420000000000001E-5</v>
          </cell>
          <cell r="Q1346" t="str">
            <v>L</v>
          </cell>
          <cell r="R1346">
            <v>2.5000000000000001E-4</v>
          </cell>
          <cell r="T1346">
            <v>39462</v>
          </cell>
          <cell r="V1346" t="str">
            <v>2008-01</v>
          </cell>
          <cell r="AM1346">
            <v>0</v>
          </cell>
          <cell r="AN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</row>
        <row r="1347">
          <cell r="C1347" t="str">
            <v>DWG</v>
          </cell>
          <cell r="H1347" t="str">
            <v>10-50-A1-ST-0039</v>
          </cell>
          <cell r="I1347" t="str">
            <v>Cartridge Filters (A/B) foundation plan &amp; details</v>
          </cell>
          <cell r="O1347">
            <v>8.5000000000000006E-3</v>
          </cell>
          <cell r="P1347">
            <v>4.420000000000001E-5</v>
          </cell>
          <cell r="Q1347" t="str">
            <v>L</v>
          </cell>
          <cell r="R1347">
            <v>2.5000000000000001E-4</v>
          </cell>
          <cell r="T1347">
            <v>39462</v>
          </cell>
          <cell r="V1347" t="str">
            <v>2008-01</v>
          </cell>
          <cell r="AM1347">
            <v>0</v>
          </cell>
          <cell r="AN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</row>
        <row r="1348">
          <cell r="C1348" t="str">
            <v>CLS</v>
          </cell>
          <cell r="H1348" t="str">
            <v>10-50-CSH-ST-0039</v>
          </cell>
          <cell r="I1348" t="str">
            <v>Calculation Sheet For Cartridge Filters (A/B) foundation</v>
          </cell>
          <cell r="O1348">
            <v>8.5000000000000006E-3</v>
          </cell>
          <cell r="P1348">
            <v>4.420000000000001E-5</v>
          </cell>
          <cell r="Q1348" t="str">
            <v>L</v>
          </cell>
          <cell r="R1348">
            <v>2.5000000000000001E-4</v>
          </cell>
          <cell r="T1348">
            <v>39463</v>
          </cell>
          <cell r="V1348" t="str">
            <v>2008-01</v>
          </cell>
          <cell r="AM1348">
            <v>0</v>
          </cell>
          <cell r="AN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</row>
        <row r="1349">
          <cell r="C1349" t="str">
            <v>DWG</v>
          </cell>
          <cell r="H1349" t="str">
            <v>10-50-A1-ST-0040</v>
          </cell>
          <cell r="I1349" t="str">
            <v>High Pressure Pumps (A/B) foundation plan &amp; details</v>
          </cell>
          <cell r="O1349">
            <v>8.5000000000000006E-3</v>
          </cell>
          <cell r="P1349">
            <v>4.420000000000001E-5</v>
          </cell>
          <cell r="Q1349" t="str">
            <v>L</v>
          </cell>
          <cell r="R1349">
            <v>2.5000000000000001E-4</v>
          </cell>
          <cell r="T1349">
            <v>39463</v>
          </cell>
          <cell r="V1349" t="str">
            <v>2008-01</v>
          </cell>
          <cell r="AM1349">
            <v>0</v>
          </cell>
          <cell r="AN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</row>
        <row r="1350">
          <cell r="C1350" t="str">
            <v>CLS</v>
          </cell>
          <cell r="H1350" t="str">
            <v>10-50-CSH-ST-0040</v>
          </cell>
          <cell r="I1350" t="str">
            <v>Calculation Sheet For High Pressure Pumps (A/B) foundation</v>
          </cell>
          <cell r="O1350">
            <v>8.5000000000000006E-3</v>
          </cell>
          <cell r="P1350">
            <v>4.420000000000001E-5</v>
          </cell>
          <cell r="Q1350" t="str">
            <v>L</v>
          </cell>
          <cell r="R1350">
            <v>2.5000000000000001E-4</v>
          </cell>
          <cell r="T1350">
            <v>39463</v>
          </cell>
          <cell r="V1350" t="str">
            <v>2008-01</v>
          </cell>
          <cell r="AM1350">
            <v>0</v>
          </cell>
          <cell r="AN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</row>
        <row r="1351">
          <cell r="C1351" t="str">
            <v>DWG</v>
          </cell>
          <cell r="H1351" t="str">
            <v>10-50-A1-ST-0041</v>
          </cell>
          <cell r="I1351" t="str">
            <v>Reverse Osmosis Units (A/B) foundation plan &amp; details</v>
          </cell>
          <cell r="O1351">
            <v>8.5000000000000006E-3</v>
          </cell>
          <cell r="P1351">
            <v>4.420000000000001E-5</v>
          </cell>
          <cell r="Q1351" t="str">
            <v>L</v>
          </cell>
          <cell r="R1351">
            <v>2.5000000000000001E-4</v>
          </cell>
          <cell r="T1351">
            <v>39464</v>
          </cell>
          <cell r="V1351" t="str">
            <v>2008-01</v>
          </cell>
          <cell r="AM1351">
            <v>0</v>
          </cell>
          <cell r="AN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</row>
        <row r="1352">
          <cell r="C1352" t="str">
            <v>DWG</v>
          </cell>
          <cell r="H1352" t="str">
            <v>10-50-CSH-ST-0041</v>
          </cell>
          <cell r="I1352" t="str">
            <v xml:space="preserve">Calculation Sheet For Reverse Osmosis Units (A/B) foundation </v>
          </cell>
          <cell r="O1352">
            <v>8.5000000000000006E-3</v>
          </cell>
          <cell r="P1352">
            <v>4.420000000000001E-5</v>
          </cell>
          <cell r="Q1352" t="str">
            <v>L</v>
          </cell>
          <cell r="R1352">
            <v>2.5000000000000001E-4</v>
          </cell>
          <cell r="T1352">
            <v>39464</v>
          </cell>
          <cell r="V1352" t="str">
            <v>2008-01</v>
          </cell>
          <cell r="AH1352" t="str">
            <v/>
          </cell>
          <cell r="AJ1352" t="str">
            <v/>
          </cell>
          <cell r="AL1352" t="str">
            <v/>
          </cell>
          <cell r="AM1352">
            <v>0</v>
          </cell>
          <cell r="AN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</row>
        <row r="1353">
          <cell r="C1353" t="str">
            <v>DWG</v>
          </cell>
          <cell r="H1353" t="str">
            <v>10-50-A1-ST-0042</v>
          </cell>
          <cell r="I1353" t="str">
            <v>RO Water Tank (1*1200 m3) foundation plan &amp; details</v>
          </cell>
          <cell r="O1353">
            <v>8.5000000000000006E-3</v>
          </cell>
          <cell r="P1353">
            <v>4.420000000000001E-5</v>
          </cell>
          <cell r="R1353">
            <v>3.4000000000000002E-4</v>
          </cell>
          <cell r="V1353" t="str">
            <v>ارسال شده</v>
          </cell>
          <cell r="W1353" t="str">
            <v>01</v>
          </cell>
          <cell r="X1353" t="str">
            <v>288491</v>
          </cell>
          <cell r="Y1353" t="str">
            <v>12-11-0723-12-07</v>
          </cell>
          <cell r="Z1353" t="str">
            <v>F-0455</v>
          </cell>
          <cell r="AA1353" t="str">
            <v>05-12-07</v>
          </cell>
          <cell r="AF1353" t="str">
            <v>86-10-02</v>
          </cell>
          <cell r="AG1353" t="str">
            <v>KRPC</v>
          </cell>
          <cell r="AH1353" t="str">
            <v>x</v>
          </cell>
          <cell r="AI1353" t="str">
            <v>x</v>
          </cell>
          <cell r="AJ1353" t="str">
            <v/>
          </cell>
          <cell r="AL1353" t="str">
            <v/>
          </cell>
          <cell r="AM1353">
            <v>0.6</v>
          </cell>
          <cell r="AN1353">
            <v>2.04E-4</v>
          </cell>
          <cell r="AO1353" t="str">
            <v>T</v>
          </cell>
          <cell r="AQ1353">
            <v>2.6520000000000007E-5</v>
          </cell>
          <cell r="AR1353">
            <v>2.04E-4</v>
          </cell>
          <cell r="AS1353">
            <v>45</v>
          </cell>
          <cell r="AT1353">
            <v>60</v>
          </cell>
          <cell r="AU1353">
            <v>0</v>
          </cell>
          <cell r="AV1353">
            <v>0</v>
          </cell>
          <cell r="AW1353">
            <v>0</v>
          </cell>
          <cell r="AX1353">
            <v>60</v>
          </cell>
        </row>
        <row r="1354">
          <cell r="C1354" t="str">
            <v>DWG</v>
          </cell>
          <cell r="H1354" t="str">
            <v>10-50-CSH-ST-0042</v>
          </cell>
          <cell r="I1354" t="str">
            <v>Calculation Sheet For RO Water Tank (1*1200 m3) foundation</v>
          </cell>
          <cell r="O1354">
            <v>8.5000000000000006E-3</v>
          </cell>
          <cell r="P1354">
            <v>4.420000000000001E-5</v>
          </cell>
          <cell r="R1354">
            <v>3.4000000000000002E-4</v>
          </cell>
          <cell r="V1354" t="str">
            <v>ارسال شده</v>
          </cell>
          <cell r="W1354">
            <v>0</v>
          </cell>
          <cell r="X1354">
            <v>419</v>
          </cell>
          <cell r="Y1354" t="str">
            <v>09-12-07</v>
          </cell>
          <cell r="AG1354" t="str">
            <v>KRPC</v>
          </cell>
          <cell r="AH1354" t="str">
            <v>x</v>
          </cell>
          <cell r="AJ1354" t="str">
            <v/>
          </cell>
          <cell r="AL1354" t="str">
            <v/>
          </cell>
          <cell r="AM1354">
            <v>0.45</v>
          </cell>
          <cell r="AN1354">
            <v>1.5300000000000001E-4</v>
          </cell>
          <cell r="AQ1354">
            <v>1.9890000000000004E-5</v>
          </cell>
          <cell r="AR1354">
            <v>1.5300000000000001E-4</v>
          </cell>
          <cell r="AS1354">
            <v>45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45</v>
          </cell>
        </row>
        <row r="1355">
          <cell r="C1355" t="str">
            <v>DWG</v>
          </cell>
          <cell r="H1355" t="str">
            <v>10-50-A1-ST-0043</v>
          </cell>
          <cell r="I1355" t="str">
            <v>Decarbonator Air Blowers (A/B) foundation plan &amp; details</v>
          </cell>
          <cell r="O1355">
            <v>8.5000000000000006E-3</v>
          </cell>
          <cell r="P1355">
            <v>4.420000000000001E-5</v>
          </cell>
          <cell r="Q1355" t="str">
            <v>L</v>
          </cell>
          <cell r="R1355">
            <v>2.5000000000000001E-4</v>
          </cell>
          <cell r="T1355">
            <v>39465</v>
          </cell>
          <cell r="V1355" t="str">
            <v>2008-01</v>
          </cell>
          <cell r="AH1355" t="str">
            <v/>
          </cell>
          <cell r="AJ1355" t="str">
            <v/>
          </cell>
          <cell r="AL1355" t="str">
            <v/>
          </cell>
          <cell r="AM1355">
            <v>0</v>
          </cell>
          <cell r="AN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</row>
        <row r="1356">
          <cell r="C1356" t="str">
            <v>DWG</v>
          </cell>
          <cell r="H1356" t="str">
            <v>10-50-CSH-ST-0043</v>
          </cell>
          <cell r="I1356" t="str">
            <v>Calculation Sheet For Decarbonator Air Blowers (A/B) foundation</v>
          </cell>
          <cell r="O1356">
            <v>8.5000000000000006E-3</v>
          </cell>
          <cell r="P1356">
            <v>4.420000000000001E-5</v>
          </cell>
          <cell r="Q1356" t="str">
            <v>L</v>
          </cell>
          <cell r="R1356">
            <v>2.5000000000000001E-4</v>
          </cell>
          <cell r="T1356">
            <v>39465</v>
          </cell>
          <cell r="V1356" t="str">
            <v>2008-01</v>
          </cell>
          <cell r="AH1356" t="str">
            <v/>
          </cell>
          <cell r="AJ1356" t="str">
            <v/>
          </cell>
          <cell r="AL1356" t="str">
            <v/>
          </cell>
          <cell r="AM1356">
            <v>0</v>
          </cell>
          <cell r="AN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</row>
        <row r="1357">
          <cell r="C1357" t="str">
            <v>DWG</v>
          </cell>
          <cell r="H1357" t="str">
            <v>10-50-A1-ST-0044</v>
          </cell>
          <cell r="I1357" t="str">
            <v>RO Flushing/Washing Pumps (A/B) foundation plan &amp; details</v>
          </cell>
          <cell r="O1357">
            <v>8.5000000000000006E-3</v>
          </cell>
          <cell r="P1357">
            <v>4.420000000000001E-5</v>
          </cell>
          <cell r="Q1357" t="str">
            <v>L</v>
          </cell>
          <cell r="R1357">
            <v>2.5000000000000001E-4</v>
          </cell>
          <cell r="AH1357" t="str">
            <v/>
          </cell>
          <cell r="AJ1357" t="str">
            <v/>
          </cell>
          <cell r="AL1357" t="str">
            <v/>
          </cell>
          <cell r="AM1357">
            <v>0</v>
          </cell>
          <cell r="AN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</row>
        <row r="1358">
          <cell r="C1358" t="str">
            <v>DWG</v>
          </cell>
          <cell r="H1358" t="str">
            <v>10-50-CSH-ST-0044</v>
          </cell>
          <cell r="I1358" t="str">
            <v>Calculation Sheet For RO Flushing/Washing Pumps (A/B) foundation</v>
          </cell>
          <cell r="O1358">
            <v>8.5000000000000006E-3</v>
          </cell>
          <cell r="P1358">
            <v>4.420000000000001E-5</v>
          </cell>
          <cell r="Q1358" t="str">
            <v>L</v>
          </cell>
          <cell r="R1358">
            <v>2.5000000000000001E-4</v>
          </cell>
          <cell r="AH1358" t="str">
            <v/>
          </cell>
          <cell r="AJ1358" t="str">
            <v/>
          </cell>
          <cell r="AL1358" t="str">
            <v/>
          </cell>
          <cell r="AM1358">
            <v>0</v>
          </cell>
          <cell r="AN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</row>
        <row r="1359">
          <cell r="C1359" t="str">
            <v>DWG</v>
          </cell>
          <cell r="H1359" t="str">
            <v>10-50-A1-ST-0045</v>
          </cell>
          <cell r="I1359" t="str">
            <v>RO Washing Tank foundation plan &amp; details</v>
          </cell>
          <cell r="O1359">
            <v>8.5000000000000006E-3</v>
          </cell>
          <cell r="P1359">
            <v>4.420000000000001E-5</v>
          </cell>
          <cell r="Q1359" t="str">
            <v>L</v>
          </cell>
          <cell r="R1359">
            <v>2.5000000000000001E-4</v>
          </cell>
          <cell r="T1359">
            <v>39467</v>
          </cell>
          <cell r="V1359" t="str">
            <v>2008-01</v>
          </cell>
          <cell r="AH1359" t="str">
            <v/>
          </cell>
          <cell r="AJ1359" t="str">
            <v/>
          </cell>
          <cell r="AL1359" t="str">
            <v/>
          </cell>
          <cell r="AM1359">
            <v>0</v>
          </cell>
          <cell r="AN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</row>
        <row r="1360">
          <cell r="C1360" t="str">
            <v>DWG</v>
          </cell>
          <cell r="H1360" t="str">
            <v>10-50-CSH-ST-0045</v>
          </cell>
          <cell r="I1360" t="str">
            <v>Calculation Sheet For RO Washing Tank foundation</v>
          </cell>
          <cell r="O1360">
            <v>8.5000000000000006E-3</v>
          </cell>
          <cell r="P1360">
            <v>4.420000000000001E-5</v>
          </cell>
          <cell r="Q1360" t="str">
            <v>L</v>
          </cell>
          <cell r="R1360">
            <v>2.5000000000000001E-4</v>
          </cell>
          <cell r="T1360">
            <v>39467</v>
          </cell>
          <cell r="V1360" t="str">
            <v>2008-01</v>
          </cell>
          <cell r="AH1360" t="str">
            <v/>
          </cell>
          <cell r="AJ1360" t="str">
            <v/>
          </cell>
          <cell r="AL1360" t="str">
            <v/>
          </cell>
          <cell r="AM1360">
            <v>0</v>
          </cell>
          <cell r="AN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</row>
        <row r="1361">
          <cell r="C1361" t="str">
            <v>DWG</v>
          </cell>
          <cell r="H1361" t="str">
            <v>10-50-A1-ST-0046</v>
          </cell>
          <cell r="I1361" t="str">
            <v>RO Washing Filter foundation plan &amp; details</v>
          </cell>
          <cell r="O1361">
            <v>8.5000000000000006E-3</v>
          </cell>
          <cell r="P1361">
            <v>4.420000000000001E-5</v>
          </cell>
          <cell r="Q1361" t="str">
            <v>L</v>
          </cell>
          <cell r="R1361">
            <v>2.5000000000000001E-4</v>
          </cell>
          <cell r="T1361">
            <v>39468</v>
          </cell>
          <cell r="V1361" t="str">
            <v>2008-01</v>
          </cell>
          <cell r="AH1361" t="str">
            <v/>
          </cell>
          <cell r="AJ1361" t="str">
            <v/>
          </cell>
          <cell r="AL1361" t="str">
            <v/>
          </cell>
          <cell r="AM1361">
            <v>0</v>
          </cell>
          <cell r="AN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</row>
        <row r="1362">
          <cell r="C1362" t="str">
            <v>DWG</v>
          </cell>
          <cell r="H1362" t="str">
            <v>10-50-CSH-ST-0046</v>
          </cell>
          <cell r="I1362" t="str">
            <v xml:space="preserve">Calculation Sheet For RO Washing Filter foundation </v>
          </cell>
          <cell r="O1362">
            <v>8.5000000000000006E-3</v>
          </cell>
          <cell r="P1362">
            <v>4.420000000000001E-5</v>
          </cell>
          <cell r="Q1362" t="str">
            <v>L</v>
          </cell>
          <cell r="R1362">
            <v>2.5000000000000001E-4</v>
          </cell>
          <cell r="T1362">
            <v>39468</v>
          </cell>
          <cell r="V1362" t="str">
            <v>2008-01</v>
          </cell>
          <cell r="AH1362" t="str">
            <v/>
          </cell>
          <cell r="AJ1362" t="str">
            <v/>
          </cell>
          <cell r="AL1362" t="str">
            <v/>
          </cell>
          <cell r="AM1362">
            <v>0</v>
          </cell>
          <cell r="AN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</row>
        <row r="1363">
          <cell r="C1363" t="str">
            <v>DWG</v>
          </cell>
          <cell r="H1363" t="str">
            <v>10-50-A1-ST-0047</v>
          </cell>
          <cell r="I1363" t="str">
            <v>Permeate Water Transfer Pumps to DM Water (A/B) foundation plan &amp; details</v>
          </cell>
          <cell r="O1363">
            <v>8.5000000000000006E-3</v>
          </cell>
          <cell r="P1363">
            <v>4.420000000000001E-5</v>
          </cell>
          <cell r="Q1363" t="str">
            <v>L</v>
          </cell>
          <cell r="R1363">
            <v>2.5000000000000001E-4</v>
          </cell>
          <cell r="T1363">
            <v>39468</v>
          </cell>
          <cell r="V1363" t="str">
            <v>2008-01</v>
          </cell>
          <cell r="AM1363">
            <v>0</v>
          </cell>
          <cell r="AN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</row>
        <row r="1364">
          <cell r="C1364" t="str">
            <v>DWG</v>
          </cell>
          <cell r="H1364" t="str">
            <v>10-50-CSH-ST-0047</v>
          </cell>
          <cell r="I1364" t="str">
            <v>Calculation Sheet For Permeate Water Transfer Pumps to DM Water (A/B) foundation</v>
          </cell>
          <cell r="O1364">
            <v>8.5000000000000006E-3</v>
          </cell>
          <cell r="P1364">
            <v>4.420000000000001E-5</v>
          </cell>
          <cell r="Q1364" t="str">
            <v>L</v>
          </cell>
          <cell r="R1364">
            <v>2.5000000000000001E-4</v>
          </cell>
          <cell r="T1364">
            <v>39469</v>
          </cell>
          <cell r="V1364" t="str">
            <v>2008-01</v>
          </cell>
          <cell r="AH1364" t="str">
            <v/>
          </cell>
          <cell r="AJ1364" t="str">
            <v/>
          </cell>
          <cell r="AL1364" t="str">
            <v/>
          </cell>
          <cell r="AM1364">
            <v>0</v>
          </cell>
          <cell r="AN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</row>
        <row r="1365">
          <cell r="C1365" t="str">
            <v>DWG</v>
          </cell>
          <cell r="H1365" t="str">
            <v>10-50-A1-ST-0048</v>
          </cell>
          <cell r="I1365" t="str">
            <v>DM Mixed Bed Exchangers (A/B) foundation plan &amp; details</v>
          </cell>
          <cell r="O1365">
            <v>8.5000000000000006E-3</v>
          </cell>
          <cell r="P1365">
            <v>4.420000000000001E-5</v>
          </cell>
          <cell r="Q1365" t="str">
            <v>L</v>
          </cell>
          <cell r="R1365">
            <v>2.5000000000000001E-4</v>
          </cell>
          <cell r="T1365">
            <v>39469</v>
          </cell>
          <cell r="V1365" t="str">
            <v>2008-01</v>
          </cell>
          <cell r="AH1365" t="str">
            <v/>
          </cell>
          <cell r="AJ1365" t="str">
            <v/>
          </cell>
          <cell r="AL1365" t="str">
            <v/>
          </cell>
          <cell r="AM1365">
            <v>0</v>
          </cell>
          <cell r="AN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</row>
        <row r="1366">
          <cell r="C1366" t="str">
            <v>DWG</v>
          </cell>
          <cell r="H1366" t="str">
            <v>10-50-CSH-ST-0048</v>
          </cell>
          <cell r="I1366" t="str">
            <v xml:space="preserve">Calculation Sheet For DM Mixed Bed Exchangers (A/B) foundation </v>
          </cell>
          <cell r="O1366">
            <v>8.5000000000000006E-3</v>
          </cell>
          <cell r="P1366">
            <v>4.420000000000001E-5</v>
          </cell>
          <cell r="Q1366" t="str">
            <v>L</v>
          </cell>
          <cell r="R1366">
            <v>2.5000000000000001E-4</v>
          </cell>
          <cell r="T1366">
            <v>39469</v>
          </cell>
          <cell r="V1366" t="str">
            <v>2008-01</v>
          </cell>
          <cell r="AH1366" t="str">
            <v/>
          </cell>
          <cell r="AJ1366" t="str">
            <v/>
          </cell>
          <cell r="AL1366" t="str">
            <v/>
          </cell>
          <cell r="AM1366">
            <v>0</v>
          </cell>
          <cell r="AN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</row>
        <row r="1367">
          <cell r="C1367" t="str">
            <v>DWG</v>
          </cell>
          <cell r="H1367" t="str">
            <v>10-50-A1-ST-0049</v>
          </cell>
          <cell r="I1367" t="str">
            <v>DM Water Storage Tank (1*1800 m3) foundation plan &amp; details</v>
          </cell>
          <cell r="O1367">
            <v>8.5000000000000006E-3</v>
          </cell>
          <cell r="P1367">
            <v>4.420000000000001E-5</v>
          </cell>
          <cell r="R1367">
            <v>3.4000000000000002E-4</v>
          </cell>
          <cell r="V1367" t="str">
            <v>ارسال شده</v>
          </cell>
          <cell r="W1367" t="str">
            <v>012</v>
          </cell>
          <cell r="X1367" t="str">
            <v>148290492</v>
          </cell>
          <cell r="Y1367" t="str">
            <v>09-10-0712-11-0723-12-07</v>
          </cell>
          <cell r="Z1367" t="str">
            <v>F-0209F-0455</v>
          </cell>
          <cell r="AA1367" t="str">
            <v>11-10-0705-12-07</v>
          </cell>
          <cell r="AF1367" t="str">
            <v>86-07-1886-10-02</v>
          </cell>
          <cell r="AG1367" t="str">
            <v>KRPC</v>
          </cell>
          <cell r="AH1367" t="str">
            <v>x</v>
          </cell>
          <cell r="AI1367" t="str">
            <v>x</v>
          </cell>
          <cell r="AJ1367" t="str">
            <v>x</v>
          </cell>
          <cell r="AL1367" t="str">
            <v/>
          </cell>
          <cell r="AM1367">
            <v>0.75</v>
          </cell>
          <cell r="AN1367">
            <v>2.5500000000000002E-4</v>
          </cell>
          <cell r="AO1367" t="str">
            <v>T</v>
          </cell>
          <cell r="AQ1367">
            <v>3.3150000000000006E-5</v>
          </cell>
          <cell r="AR1367">
            <v>2.5500000000000002E-4</v>
          </cell>
          <cell r="AS1367">
            <v>45</v>
          </cell>
          <cell r="AT1367">
            <v>60</v>
          </cell>
          <cell r="AU1367">
            <v>75</v>
          </cell>
          <cell r="AV1367">
            <v>0</v>
          </cell>
          <cell r="AW1367">
            <v>0</v>
          </cell>
          <cell r="AX1367">
            <v>75</v>
          </cell>
        </row>
        <row r="1368">
          <cell r="C1368" t="str">
            <v>DWG</v>
          </cell>
          <cell r="H1368" t="str">
            <v>10-50-CSH-ST-0049</v>
          </cell>
          <cell r="I1368" t="str">
            <v xml:space="preserve">Calculation Sheet For DM Water Storage Tank (1*1800 m3) foundation </v>
          </cell>
          <cell r="O1368">
            <v>8.5000000000000006E-3</v>
          </cell>
          <cell r="P1368">
            <v>4.420000000000001E-5</v>
          </cell>
          <cell r="R1368">
            <v>3.4000000000000002E-4</v>
          </cell>
          <cell r="V1368" t="str">
            <v>ارسال شده</v>
          </cell>
          <cell r="W1368">
            <v>0</v>
          </cell>
          <cell r="X1368">
            <v>416</v>
          </cell>
          <cell r="Y1368" t="str">
            <v>09-12-07</v>
          </cell>
          <cell r="AG1368" t="str">
            <v>KRPC</v>
          </cell>
          <cell r="AH1368" t="str">
            <v>x</v>
          </cell>
          <cell r="AJ1368" t="str">
            <v/>
          </cell>
          <cell r="AL1368" t="str">
            <v/>
          </cell>
          <cell r="AM1368">
            <v>0.45</v>
          </cell>
          <cell r="AN1368">
            <v>1.5300000000000001E-4</v>
          </cell>
          <cell r="AQ1368">
            <v>1.9890000000000004E-5</v>
          </cell>
          <cell r="AR1368">
            <v>1.5300000000000001E-4</v>
          </cell>
          <cell r="AS1368">
            <v>45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45</v>
          </cell>
        </row>
        <row r="1369">
          <cell r="C1369" t="str">
            <v>DWG</v>
          </cell>
          <cell r="H1369" t="str">
            <v>10-50-A1-ST-0050</v>
          </cell>
          <cell r="I1369" t="str">
            <v>DM Transfer Pumps for BFW (A/B), to Condensate Exchangers foundation plan &amp; details</v>
          </cell>
          <cell r="O1369">
            <v>8.5000000000000006E-3</v>
          </cell>
          <cell r="P1369">
            <v>4.420000000000001E-5</v>
          </cell>
          <cell r="Q1369" t="str">
            <v>I</v>
          </cell>
          <cell r="R1369">
            <v>2.5000000000000001E-4</v>
          </cell>
          <cell r="T1369">
            <v>39405</v>
          </cell>
          <cell r="U1369" t="str">
            <v>*</v>
          </cell>
          <cell r="V1369" t="str">
            <v>2007-11</v>
          </cell>
          <cell r="AH1369" t="str">
            <v/>
          </cell>
          <cell r="AJ1369" t="str">
            <v/>
          </cell>
          <cell r="AL1369" t="str">
            <v/>
          </cell>
          <cell r="AM1369">
            <v>0</v>
          </cell>
          <cell r="AN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</row>
        <row r="1370">
          <cell r="C1370" t="str">
            <v>DWG</v>
          </cell>
          <cell r="H1370" t="str">
            <v>10-50-CSH-ST-0050</v>
          </cell>
          <cell r="I1370" t="str">
            <v>Calculation Sheet For DM Transfer Pumps for BFW (A/B), to Condensate Exchangers foundation</v>
          </cell>
          <cell r="O1370">
            <v>8.5000000000000006E-3</v>
          </cell>
          <cell r="P1370">
            <v>4.420000000000001E-5</v>
          </cell>
          <cell r="Q1370" t="str">
            <v>L</v>
          </cell>
          <cell r="R1370">
            <v>2.5000000000000001E-4</v>
          </cell>
          <cell r="T1370">
            <v>39470</v>
          </cell>
          <cell r="V1370" t="str">
            <v>2008-01</v>
          </cell>
          <cell r="AH1370" t="str">
            <v/>
          </cell>
          <cell r="AJ1370" t="str">
            <v/>
          </cell>
          <cell r="AL1370" t="str">
            <v/>
          </cell>
          <cell r="AM1370">
            <v>0</v>
          </cell>
          <cell r="AN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</row>
        <row r="1371">
          <cell r="C1371" t="str">
            <v>DWG</v>
          </cell>
          <cell r="H1371" t="str">
            <v>10-50-A1-ST-0051</v>
          </cell>
          <cell r="I1371" t="str">
            <v>DM Transfer Pumps for Process (A/B) foundation plan &amp; details</v>
          </cell>
          <cell r="O1371">
            <v>8.5000000000000006E-3</v>
          </cell>
          <cell r="P1371">
            <v>4.420000000000001E-5</v>
          </cell>
          <cell r="Q1371" t="str">
            <v>L</v>
          </cell>
          <cell r="R1371">
            <v>2.5000000000000001E-4</v>
          </cell>
          <cell r="T1371">
            <v>39470</v>
          </cell>
          <cell r="V1371" t="str">
            <v>2008-01</v>
          </cell>
          <cell r="AH1371" t="str">
            <v/>
          </cell>
          <cell r="AJ1371" t="str">
            <v/>
          </cell>
          <cell r="AL1371" t="str">
            <v/>
          </cell>
          <cell r="AM1371">
            <v>0</v>
          </cell>
          <cell r="AN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</row>
        <row r="1372">
          <cell r="C1372" t="str">
            <v>DWG</v>
          </cell>
          <cell r="H1372" t="str">
            <v>10-50-CSH-ST-0051</v>
          </cell>
          <cell r="I1372" t="str">
            <v xml:space="preserve">Calculation Sheet For DM Transfer Pumps for Process (A/B) foundation </v>
          </cell>
          <cell r="O1372">
            <v>8.5000000000000006E-3</v>
          </cell>
          <cell r="P1372">
            <v>4.420000000000001E-5</v>
          </cell>
          <cell r="Q1372" t="str">
            <v>L</v>
          </cell>
          <cell r="R1372">
            <v>2.5000000000000001E-4</v>
          </cell>
          <cell r="T1372">
            <v>39471</v>
          </cell>
          <cell r="V1372" t="str">
            <v>2008-01</v>
          </cell>
          <cell r="AH1372" t="str">
            <v/>
          </cell>
          <cell r="AJ1372" t="str">
            <v/>
          </cell>
          <cell r="AL1372" t="str">
            <v/>
          </cell>
          <cell r="AM1372">
            <v>0</v>
          </cell>
          <cell r="AN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</row>
        <row r="1373">
          <cell r="C1373" t="str">
            <v>DWG</v>
          </cell>
          <cell r="H1373" t="str">
            <v>10-50-A1-ST-0052</v>
          </cell>
          <cell r="I1373" t="str">
            <v>Mixed Bed Regeneration Pumps (A/B) foundation plan &amp; details</v>
          </cell>
          <cell r="O1373">
            <v>8.5000000000000006E-3</v>
          </cell>
          <cell r="P1373">
            <v>4.420000000000001E-5</v>
          </cell>
          <cell r="Q1373" t="str">
            <v>L</v>
          </cell>
          <cell r="R1373">
            <v>2.5000000000000001E-4</v>
          </cell>
          <cell r="T1373">
            <v>39471</v>
          </cell>
          <cell r="V1373" t="str">
            <v>2008-01</v>
          </cell>
          <cell r="AH1373" t="str">
            <v/>
          </cell>
          <cell r="AJ1373" t="str">
            <v/>
          </cell>
          <cell r="AL1373" t="str">
            <v/>
          </cell>
          <cell r="AM1373">
            <v>0</v>
          </cell>
          <cell r="AN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</row>
        <row r="1374">
          <cell r="C1374" t="str">
            <v>DWG</v>
          </cell>
          <cell r="H1374" t="str">
            <v>10-50-CSH-ST-0052</v>
          </cell>
          <cell r="I1374" t="str">
            <v>Calculation Sheet For Mixed Bed Regeneration Pumps (A/B) foundation</v>
          </cell>
          <cell r="O1374">
            <v>8.5000000000000006E-3</v>
          </cell>
          <cell r="P1374">
            <v>4.420000000000001E-5</v>
          </cell>
          <cell r="Q1374" t="str">
            <v>L</v>
          </cell>
          <cell r="R1374">
            <v>2.5000000000000001E-4</v>
          </cell>
          <cell r="T1374">
            <v>39471</v>
          </cell>
          <cell r="V1374" t="str">
            <v>2008-01</v>
          </cell>
          <cell r="AH1374" t="str">
            <v/>
          </cell>
          <cell r="AJ1374" t="str">
            <v/>
          </cell>
          <cell r="AL1374" t="str">
            <v/>
          </cell>
          <cell r="AM1374">
            <v>0</v>
          </cell>
          <cell r="AN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</row>
        <row r="1375">
          <cell r="C1375" t="str">
            <v>DWG</v>
          </cell>
          <cell r="H1375" t="str">
            <v>10-50-A1-ST-0053</v>
          </cell>
          <cell r="I1375" t="str">
            <v>Regeneration Water Heat Exchanger foundation plan &amp; details</v>
          </cell>
          <cell r="O1375">
            <v>8.5000000000000006E-3</v>
          </cell>
          <cell r="P1375">
            <v>4.420000000000001E-5</v>
          </cell>
          <cell r="Q1375" t="str">
            <v>L</v>
          </cell>
          <cell r="R1375">
            <v>2.5000000000000001E-4</v>
          </cell>
          <cell r="T1375">
            <v>39472</v>
          </cell>
          <cell r="V1375" t="str">
            <v>2008-01</v>
          </cell>
          <cell r="AH1375" t="str">
            <v/>
          </cell>
          <cell r="AJ1375" t="str">
            <v/>
          </cell>
          <cell r="AL1375" t="str">
            <v/>
          </cell>
          <cell r="AM1375">
            <v>0</v>
          </cell>
          <cell r="AN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</row>
        <row r="1376">
          <cell r="C1376" t="str">
            <v>DWG</v>
          </cell>
          <cell r="H1376" t="str">
            <v>10-50-CSH-ST-0053</v>
          </cell>
          <cell r="I1376" t="str">
            <v>Calculation Sheet For Regeneration Water Heat Exchanger foundation</v>
          </cell>
          <cell r="O1376">
            <v>8.5000000000000006E-3</v>
          </cell>
          <cell r="P1376">
            <v>4.420000000000001E-5</v>
          </cell>
          <cell r="Q1376" t="str">
            <v>L</v>
          </cell>
          <cell r="R1376">
            <v>2.5000000000000001E-4</v>
          </cell>
          <cell r="T1376">
            <v>39472</v>
          </cell>
          <cell r="V1376" t="str">
            <v>2008-01</v>
          </cell>
          <cell r="AH1376" t="str">
            <v/>
          </cell>
          <cell r="AJ1376" t="str">
            <v/>
          </cell>
          <cell r="AL1376" t="str">
            <v/>
          </cell>
          <cell r="AM1376">
            <v>0</v>
          </cell>
          <cell r="AN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</row>
        <row r="1377">
          <cell r="C1377" t="str">
            <v>DWG</v>
          </cell>
          <cell r="H1377" t="str">
            <v>10-50-A1-ST-0054</v>
          </cell>
          <cell r="I1377" t="str">
            <v>Nutralizing Basin foundation plan &amp; details</v>
          </cell>
          <cell r="O1377">
            <v>8.5000000000000006E-3</v>
          </cell>
          <cell r="P1377">
            <v>4.420000000000001E-5</v>
          </cell>
          <cell r="Q1377" t="str">
            <v>L</v>
          </cell>
          <cell r="R1377">
            <v>2.5000000000000001E-4</v>
          </cell>
          <cell r="T1377">
            <v>39472</v>
          </cell>
          <cell r="V1377" t="str">
            <v>2008-01</v>
          </cell>
          <cell r="AH1377" t="str">
            <v/>
          </cell>
          <cell r="AJ1377" t="str">
            <v/>
          </cell>
          <cell r="AL1377" t="str">
            <v/>
          </cell>
          <cell r="AM1377">
            <v>0</v>
          </cell>
          <cell r="AN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</row>
        <row r="1378">
          <cell r="C1378" t="str">
            <v>DWG</v>
          </cell>
          <cell r="H1378" t="str">
            <v>10-50-CSH-ST-0054</v>
          </cell>
          <cell r="I1378" t="str">
            <v>Calculation Sheet For Nutralizing Basin foundation</v>
          </cell>
          <cell r="O1378">
            <v>8.5000000000000006E-3</v>
          </cell>
          <cell r="P1378">
            <v>4.420000000000001E-5</v>
          </cell>
          <cell r="Q1378" t="str">
            <v>L</v>
          </cell>
          <cell r="R1378">
            <v>2.5000000000000001E-4</v>
          </cell>
          <cell r="T1378">
            <v>39472</v>
          </cell>
          <cell r="V1378" t="str">
            <v>2008-01</v>
          </cell>
          <cell r="AH1378" t="str">
            <v/>
          </cell>
          <cell r="AJ1378" t="str">
            <v/>
          </cell>
          <cell r="AL1378" t="str">
            <v/>
          </cell>
          <cell r="AM1378">
            <v>0</v>
          </cell>
          <cell r="AN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</row>
        <row r="1379">
          <cell r="C1379" t="str">
            <v>DWG</v>
          </cell>
          <cell r="H1379" t="str">
            <v>10-50-A1-ST-0055</v>
          </cell>
          <cell r="I1379" t="str">
            <v>H2SO4 Loading and Unloading Pumps (A/B) foundation plan &amp; details</v>
          </cell>
          <cell r="O1379">
            <v>8.5000000000000006E-3</v>
          </cell>
          <cell r="P1379">
            <v>4.420000000000001E-5</v>
          </cell>
          <cell r="Q1379" t="str">
            <v>L</v>
          </cell>
          <cell r="R1379">
            <v>2.5000000000000001E-4</v>
          </cell>
          <cell r="T1379">
            <v>39472</v>
          </cell>
          <cell r="V1379" t="str">
            <v>2008-01</v>
          </cell>
          <cell r="AH1379" t="str">
            <v/>
          </cell>
          <cell r="AJ1379" t="str">
            <v/>
          </cell>
          <cell r="AL1379" t="str">
            <v/>
          </cell>
          <cell r="AM1379">
            <v>0</v>
          </cell>
          <cell r="AN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</row>
        <row r="1380">
          <cell r="C1380" t="str">
            <v>DWG</v>
          </cell>
          <cell r="H1380" t="str">
            <v>10-50-CSH-ST-0055</v>
          </cell>
          <cell r="I1380" t="str">
            <v xml:space="preserve">Calculation Sheet For H2SO4 Loading and Unloading Pumps (A/B) foundation </v>
          </cell>
          <cell r="O1380">
            <v>8.5000000000000006E-3</v>
          </cell>
          <cell r="P1380">
            <v>4.420000000000001E-5</v>
          </cell>
          <cell r="Q1380" t="str">
            <v>L</v>
          </cell>
          <cell r="R1380">
            <v>2.5000000000000001E-4</v>
          </cell>
          <cell r="T1380">
            <v>39472</v>
          </cell>
          <cell r="V1380" t="str">
            <v>2008-01</v>
          </cell>
          <cell r="AH1380" t="str">
            <v/>
          </cell>
          <cell r="AJ1380" t="str">
            <v/>
          </cell>
          <cell r="AL1380" t="str">
            <v/>
          </cell>
          <cell r="AM1380">
            <v>0</v>
          </cell>
          <cell r="AN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</row>
        <row r="1381">
          <cell r="C1381" t="str">
            <v>DWG</v>
          </cell>
          <cell r="H1381" t="str">
            <v>10-50-A1-ST-0056</v>
          </cell>
          <cell r="I1381" t="str">
            <v>H2SO4 Storage Tank foundation plan &amp; details</v>
          </cell>
          <cell r="O1381">
            <v>8.5000000000000006E-3</v>
          </cell>
          <cell r="P1381">
            <v>4.420000000000001E-5</v>
          </cell>
          <cell r="Q1381" t="str">
            <v>L</v>
          </cell>
          <cell r="R1381">
            <v>2.5000000000000001E-4</v>
          </cell>
          <cell r="T1381">
            <v>39476</v>
          </cell>
          <cell r="V1381" t="str">
            <v>2008-01</v>
          </cell>
          <cell r="AH1381" t="str">
            <v/>
          </cell>
          <cell r="AJ1381" t="str">
            <v/>
          </cell>
          <cell r="AL1381" t="str">
            <v/>
          </cell>
          <cell r="AM1381">
            <v>0</v>
          </cell>
          <cell r="AN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</row>
        <row r="1382">
          <cell r="C1382" t="str">
            <v>DWG</v>
          </cell>
          <cell r="H1382" t="str">
            <v>10-50-CSH-ST-0056</v>
          </cell>
          <cell r="I1382" t="str">
            <v xml:space="preserve">Calculation Sheet For H2SO4 Storage Tank foundation </v>
          </cell>
          <cell r="O1382">
            <v>8.5000000000000006E-3</v>
          </cell>
          <cell r="P1382">
            <v>4.420000000000001E-5</v>
          </cell>
          <cell r="Q1382" t="str">
            <v>L</v>
          </cell>
          <cell r="R1382">
            <v>2.5000000000000001E-4</v>
          </cell>
          <cell r="T1382">
            <v>39476</v>
          </cell>
          <cell r="V1382" t="str">
            <v>2008-01</v>
          </cell>
          <cell r="AH1382" t="str">
            <v/>
          </cell>
          <cell r="AJ1382" t="str">
            <v/>
          </cell>
          <cell r="AL1382" t="str">
            <v/>
          </cell>
          <cell r="AM1382">
            <v>0</v>
          </cell>
          <cell r="AN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</row>
        <row r="1383">
          <cell r="C1383" t="str">
            <v>DWG</v>
          </cell>
          <cell r="H1383" t="str">
            <v>10-50-A1-ST-0057</v>
          </cell>
          <cell r="I1383" t="str">
            <v>H2SO4 Measuring Tank foundation plan &amp; details</v>
          </cell>
          <cell r="O1383">
            <v>8.5000000000000006E-3</v>
          </cell>
          <cell r="P1383">
            <v>4.420000000000001E-5</v>
          </cell>
          <cell r="Q1383" t="str">
            <v>L</v>
          </cell>
          <cell r="R1383">
            <v>2.5000000000000001E-4</v>
          </cell>
          <cell r="T1383">
            <v>39476</v>
          </cell>
          <cell r="V1383" t="str">
            <v>2008-01</v>
          </cell>
          <cell r="AH1383" t="str">
            <v/>
          </cell>
          <cell r="AJ1383" t="str">
            <v/>
          </cell>
          <cell r="AL1383" t="str">
            <v/>
          </cell>
          <cell r="AM1383">
            <v>0</v>
          </cell>
          <cell r="AN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</row>
        <row r="1384">
          <cell r="C1384" t="str">
            <v>DWG</v>
          </cell>
          <cell r="H1384" t="str">
            <v>10-50-CSH-ST-0057</v>
          </cell>
          <cell r="I1384" t="str">
            <v xml:space="preserve">Calculation Sheet For H2SO4 Measuring Tank foundation </v>
          </cell>
          <cell r="O1384">
            <v>8.5000000000000006E-3</v>
          </cell>
          <cell r="P1384">
            <v>4.420000000000001E-5</v>
          </cell>
          <cell r="Q1384" t="str">
            <v>L</v>
          </cell>
          <cell r="R1384">
            <v>2.5000000000000001E-4</v>
          </cell>
          <cell r="T1384">
            <v>39476</v>
          </cell>
          <cell r="V1384" t="str">
            <v>2008-01</v>
          </cell>
          <cell r="AH1384" t="str">
            <v/>
          </cell>
          <cell r="AJ1384" t="str">
            <v/>
          </cell>
          <cell r="AL1384" t="str">
            <v/>
          </cell>
          <cell r="AM1384">
            <v>0</v>
          </cell>
          <cell r="AN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</row>
        <row r="1385">
          <cell r="C1385" t="str">
            <v>DWG</v>
          </cell>
          <cell r="H1385" t="str">
            <v>10-50-A1-ST-0058</v>
          </cell>
          <cell r="I1385" t="str">
            <v>H2SO4 Dosing Unit to DM unit foundation plan &amp; details</v>
          </cell>
          <cell r="O1385">
            <v>8.5000000000000006E-3</v>
          </cell>
          <cell r="P1385">
            <v>4.420000000000001E-5</v>
          </cell>
          <cell r="Q1385" t="str">
            <v>L</v>
          </cell>
          <cell r="R1385">
            <v>2.5000000000000001E-4</v>
          </cell>
          <cell r="T1385">
            <v>39476</v>
          </cell>
          <cell r="V1385" t="str">
            <v>2008-01</v>
          </cell>
          <cell r="AH1385" t="str">
            <v/>
          </cell>
          <cell r="AJ1385" t="str">
            <v/>
          </cell>
          <cell r="AL1385" t="str">
            <v/>
          </cell>
          <cell r="AM1385">
            <v>0</v>
          </cell>
          <cell r="AN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</row>
        <row r="1386">
          <cell r="C1386" t="str">
            <v>DWG</v>
          </cell>
          <cell r="H1386" t="str">
            <v>10-50-CSH-ST-0058</v>
          </cell>
          <cell r="I1386" t="str">
            <v>Calculation Sheet For H2SO4 Dosing Unit to DM Water foundation</v>
          </cell>
          <cell r="O1386">
            <v>8.5000000000000006E-3</v>
          </cell>
          <cell r="P1386">
            <v>4.420000000000001E-5</v>
          </cell>
          <cell r="Q1386" t="str">
            <v>L</v>
          </cell>
          <cell r="R1386">
            <v>2.5000000000000001E-4</v>
          </cell>
          <cell r="T1386">
            <v>39476</v>
          </cell>
          <cell r="V1386" t="str">
            <v>2008-01</v>
          </cell>
          <cell r="AH1386" t="str">
            <v/>
          </cell>
          <cell r="AJ1386" t="str">
            <v/>
          </cell>
          <cell r="AL1386" t="str">
            <v/>
          </cell>
          <cell r="AM1386">
            <v>0</v>
          </cell>
          <cell r="AN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</row>
        <row r="1387">
          <cell r="C1387" t="str">
            <v>DWG</v>
          </cell>
          <cell r="H1387" t="str">
            <v>10-50-A1-ST-0059</v>
          </cell>
          <cell r="I1387" t="str">
            <v>NaOH Loading and Unloading Pumps (A/B) foundation plan &amp; details</v>
          </cell>
          <cell r="O1387">
            <v>8.5000000000000006E-3</v>
          </cell>
          <cell r="P1387">
            <v>4.420000000000001E-5</v>
          </cell>
          <cell r="Q1387" t="str">
            <v>L</v>
          </cell>
          <cell r="R1387">
            <v>2.5000000000000001E-4</v>
          </cell>
          <cell r="T1387">
            <v>39476</v>
          </cell>
          <cell r="V1387" t="str">
            <v>2008-01</v>
          </cell>
          <cell r="AH1387" t="str">
            <v/>
          </cell>
          <cell r="AJ1387" t="str">
            <v/>
          </cell>
          <cell r="AL1387" t="str">
            <v/>
          </cell>
          <cell r="AM1387">
            <v>0</v>
          </cell>
          <cell r="AN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</row>
        <row r="1388">
          <cell r="C1388" t="str">
            <v>DWG</v>
          </cell>
          <cell r="H1388" t="str">
            <v>10-50-CSH-ST-0059</v>
          </cell>
          <cell r="I1388" t="str">
            <v>Calculation Sheet For NaOH Loading and Unloading Pumps (A/B) foundation</v>
          </cell>
          <cell r="O1388">
            <v>8.5000000000000006E-3</v>
          </cell>
          <cell r="P1388">
            <v>4.420000000000001E-5</v>
          </cell>
          <cell r="Q1388" t="str">
            <v>L</v>
          </cell>
          <cell r="R1388">
            <v>2.5000000000000001E-4</v>
          </cell>
          <cell r="T1388">
            <v>39476</v>
          </cell>
          <cell r="V1388" t="str">
            <v>2008-01</v>
          </cell>
          <cell r="AH1388" t="str">
            <v/>
          </cell>
          <cell r="AJ1388" t="str">
            <v/>
          </cell>
          <cell r="AL1388" t="str">
            <v/>
          </cell>
          <cell r="AM1388">
            <v>0</v>
          </cell>
          <cell r="AN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</row>
        <row r="1389">
          <cell r="C1389" t="str">
            <v>DWG</v>
          </cell>
          <cell r="H1389" t="str">
            <v>10-50-A1-ST-0060</v>
          </cell>
          <cell r="I1389" t="str">
            <v>NaOH Storage Tank foundation plan &amp; details</v>
          </cell>
          <cell r="O1389">
            <v>8.5000000000000006E-3</v>
          </cell>
          <cell r="P1389">
            <v>4.420000000000001E-5</v>
          </cell>
          <cell r="Q1389" t="str">
            <v>L</v>
          </cell>
          <cell r="R1389">
            <v>2.5000000000000001E-4</v>
          </cell>
          <cell r="T1389">
            <v>39476</v>
          </cell>
          <cell r="V1389" t="str">
            <v>2008-01</v>
          </cell>
          <cell r="AH1389" t="str">
            <v/>
          </cell>
          <cell r="AJ1389" t="str">
            <v/>
          </cell>
          <cell r="AL1389" t="str">
            <v/>
          </cell>
          <cell r="AM1389">
            <v>0</v>
          </cell>
          <cell r="AN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</row>
        <row r="1390">
          <cell r="C1390" t="str">
            <v>DWG</v>
          </cell>
          <cell r="H1390" t="str">
            <v>10-50-CSH-ST-0060</v>
          </cell>
          <cell r="I1390" t="str">
            <v>Calculation Sheet For NaOH Storage Tank foundation</v>
          </cell>
          <cell r="O1390">
            <v>8.5000000000000006E-3</v>
          </cell>
          <cell r="P1390">
            <v>4.420000000000001E-5</v>
          </cell>
          <cell r="Q1390" t="str">
            <v>L</v>
          </cell>
          <cell r="R1390">
            <v>2.5000000000000001E-4</v>
          </cell>
          <cell r="T1390">
            <v>39476</v>
          </cell>
          <cell r="V1390" t="str">
            <v>2008-01</v>
          </cell>
          <cell r="AH1390" t="str">
            <v/>
          </cell>
          <cell r="AJ1390" t="str">
            <v/>
          </cell>
          <cell r="AL1390" t="str">
            <v/>
          </cell>
          <cell r="AM1390">
            <v>0</v>
          </cell>
          <cell r="AN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</row>
        <row r="1391">
          <cell r="C1391" t="str">
            <v>DWG</v>
          </cell>
          <cell r="H1391" t="str">
            <v>10-50-A1-ST-0061</v>
          </cell>
          <cell r="I1391" t="str">
            <v>NaOH Measuring Tank foundation plan &amp; details</v>
          </cell>
          <cell r="O1391">
            <v>8.5000000000000006E-3</v>
          </cell>
          <cell r="P1391">
            <v>4.420000000000001E-5</v>
          </cell>
          <cell r="Q1391" t="str">
            <v>L</v>
          </cell>
          <cell r="R1391">
            <v>2.5000000000000001E-4</v>
          </cell>
          <cell r="T1391">
            <v>39476</v>
          </cell>
          <cell r="V1391" t="str">
            <v>2008-01</v>
          </cell>
          <cell r="AH1391" t="str">
            <v/>
          </cell>
          <cell r="AJ1391" t="str">
            <v/>
          </cell>
          <cell r="AL1391" t="str">
            <v/>
          </cell>
          <cell r="AM1391">
            <v>0</v>
          </cell>
          <cell r="AN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</row>
        <row r="1392">
          <cell r="C1392" t="str">
            <v>DWG</v>
          </cell>
          <cell r="H1392" t="str">
            <v>10-50-CSH-ST-0061</v>
          </cell>
          <cell r="I1392" t="str">
            <v>Calculation Sheet For NaOH Measuring Tank foundation</v>
          </cell>
          <cell r="O1392">
            <v>8.5000000000000006E-3</v>
          </cell>
          <cell r="P1392">
            <v>4.420000000000001E-5</v>
          </cell>
          <cell r="Q1392" t="str">
            <v>L</v>
          </cell>
          <cell r="R1392">
            <v>2.5000000000000001E-4</v>
          </cell>
          <cell r="T1392">
            <v>39476</v>
          </cell>
          <cell r="V1392" t="str">
            <v>2008-01</v>
          </cell>
          <cell r="AH1392" t="str">
            <v/>
          </cell>
          <cell r="AJ1392" t="str">
            <v/>
          </cell>
          <cell r="AL1392" t="str">
            <v/>
          </cell>
          <cell r="AM1392">
            <v>0</v>
          </cell>
          <cell r="AN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</row>
        <row r="1393">
          <cell r="C1393" t="str">
            <v>DWG</v>
          </cell>
          <cell r="H1393" t="str">
            <v>10-50-A1-ST-0062</v>
          </cell>
          <cell r="I1393" t="str">
            <v>NaOH Dosing Unit to DM Water foundation plan &amp; details</v>
          </cell>
          <cell r="O1393">
            <v>8.5000000000000006E-3</v>
          </cell>
          <cell r="P1393">
            <v>4.420000000000001E-5</v>
          </cell>
          <cell r="Q1393" t="str">
            <v>L</v>
          </cell>
          <cell r="R1393">
            <v>2.5000000000000001E-4</v>
          </cell>
          <cell r="T1393">
            <v>39478</v>
          </cell>
          <cell r="V1393" t="str">
            <v>2008-01</v>
          </cell>
          <cell r="AH1393" t="str">
            <v/>
          </cell>
          <cell r="AJ1393" t="str">
            <v/>
          </cell>
          <cell r="AL1393" t="str">
            <v/>
          </cell>
          <cell r="AM1393">
            <v>0</v>
          </cell>
          <cell r="AN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</row>
        <row r="1394">
          <cell r="C1394" t="str">
            <v>DWG</v>
          </cell>
          <cell r="H1394" t="str">
            <v>10-50-CSH-ST-0062</v>
          </cell>
          <cell r="I1394" t="str">
            <v>Calculation Sheet For NaOH Dosing Unit to DM Water foundation</v>
          </cell>
          <cell r="O1394">
            <v>8.5000000000000006E-3</v>
          </cell>
          <cell r="P1394">
            <v>4.420000000000001E-5</v>
          </cell>
          <cell r="Q1394" t="str">
            <v>L</v>
          </cell>
          <cell r="R1394">
            <v>2.5000000000000001E-4</v>
          </cell>
          <cell r="T1394">
            <v>39478</v>
          </cell>
          <cell r="V1394" t="str">
            <v>2008-01</v>
          </cell>
          <cell r="AH1394" t="str">
            <v/>
          </cell>
          <cell r="AJ1394" t="str">
            <v/>
          </cell>
          <cell r="AL1394" t="str">
            <v/>
          </cell>
          <cell r="AM1394">
            <v>0</v>
          </cell>
          <cell r="AN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</row>
        <row r="1395">
          <cell r="C1395" t="str">
            <v>DWG</v>
          </cell>
          <cell r="H1395" t="str">
            <v>Steel Structures</v>
          </cell>
          <cell r="N1395">
            <v>0.15</v>
          </cell>
          <cell r="O1395">
            <v>1</v>
          </cell>
          <cell r="P1395">
            <v>3.9000000000000003E-3</v>
          </cell>
          <cell r="R1395">
            <v>1.1800000000000001E-3</v>
          </cell>
          <cell r="T1395" t="str">
            <v>.</v>
          </cell>
          <cell r="U1395" t="str">
            <v>.</v>
          </cell>
          <cell r="V1395" t="str">
            <v>.</v>
          </cell>
          <cell r="AG1395" t="str">
            <v>.</v>
          </cell>
          <cell r="AH1395" t="str">
            <v/>
          </cell>
          <cell r="AJ1395" t="str">
            <v/>
          </cell>
          <cell r="AL1395" t="str">
            <v/>
          </cell>
          <cell r="AM1395">
            <v>0</v>
          </cell>
          <cell r="AN1395">
            <v>0</v>
          </cell>
          <cell r="AQ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</row>
        <row r="1396">
          <cell r="C1396" t="str">
            <v>DWG</v>
          </cell>
          <cell r="H1396" t="str">
            <v>10-50-A1-ST-0064</v>
          </cell>
          <cell r="I1396" t="str">
            <v>Crane and Related Beams Plan &amp; details</v>
          </cell>
          <cell r="O1396">
            <v>0.25</v>
          </cell>
          <cell r="P1396">
            <v>9.7500000000000006E-4</v>
          </cell>
          <cell r="Q1396" t="str">
            <v>L</v>
          </cell>
          <cell r="R1396">
            <v>3.4000000000000002E-4</v>
          </cell>
          <cell r="T1396">
            <v>39482</v>
          </cell>
          <cell r="V1396" t="str">
            <v>2008-02</v>
          </cell>
          <cell r="AH1396" t="str">
            <v/>
          </cell>
          <cell r="AJ1396" t="str">
            <v/>
          </cell>
          <cell r="AL1396" t="str">
            <v/>
          </cell>
          <cell r="AM1396">
            <v>0</v>
          </cell>
          <cell r="AN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</row>
        <row r="1397">
          <cell r="C1397" t="str">
            <v>CLS</v>
          </cell>
          <cell r="H1397" t="str">
            <v>10-50-CSH-ST-0064</v>
          </cell>
          <cell r="I1397" t="str">
            <v>Calculation Sheet For Crane and Related Beams</v>
          </cell>
          <cell r="O1397">
            <v>0.25</v>
          </cell>
          <cell r="P1397">
            <v>9.7500000000000006E-4</v>
          </cell>
          <cell r="Q1397" t="str">
            <v>L</v>
          </cell>
          <cell r="R1397">
            <v>3.4000000000000002E-4</v>
          </cell>
          <cell r="T1397">
            <v>39482</v>
          </cell>
          <cell r="V1397" t="str">
            <v>2008-02</v>
          </cell>
          <cell r="AM1397">
            <v>0</v>
          </cell>
          <cell r="AN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</row>
        <row r="1398">
          <cell r="C1398" t="str">
            <v>DWG</v>
          </cell>
          <cell r="H1398" t="str">
            <v>10-50-A1-ST-0065</v>
          </cell>
          <cell r="I1398" t="str">
            <v>Platform Plan &amp; details</v>
          </cell>
          <cell r="O1398">
            <v>0.25</v>
          </cell>
          <cell r="P1398">
            <v>9.7500000000000006E-4</v>
          </cell>
          <cell r="Q1398" t="str">
            <v>L</v>
          </cell>
          <cell r="R1398">
            <v>2.5000000000000001E-4</v>
          </cell>
          <cell r="T1398">
            <v>39482</v>
          </cell>
          <cell r="V1398" t="str">
            <v>2008-02</v>
          </cell>
          <cell r="AM1398">
            <v>0</v>
          </cell>
          <cell r="AN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</row>
        <row r="1399">
          <cell r="C1399" t="str">
            <v>DWG</v>
          </cell>
          <cell r="H1399" t="str">
            <v>10-50-CSH-ST-0065</v>
          </cell>
          <cell r="I1399" t="str">
            <v>Calculation Sheet For Platform</v>
          </cell>
          <cell r="O1399">
            <v>0.25</v>
          </cell>
          <cell r="P1399">
            <v>9.7500000000000006E-4</v>
          </cell>
          <cell r="Q1399" t="str">
            <v>L</v>
          </cell>
          <cell r="R1399">
            <v>2.5000000000000001E-4</v>
          </cell>
          <cell r="T1399">
            <v>39483</v>
          </cell>
          <cell r="V1399" t="str">
            <v>2008-02</v>
          </cell>
          <cell r="AH1399" t="str">
            <v/>
          </cell>
          <cell r="AJ1399" t="str">
            <v/>
          </cell>
          <cell r="AL1399" t="str">
            <v/>
          </cell>
          <cell r="AM1399">
            <v>0</v>
          </cell>
          <cell r="AN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</row>
        <row r="1400">
          <cell r="C1400" t="str">
            <v>DWG</v>
          </cell>
          <cell r="H1400" t="str">
            <v>Concrete Structures</v>
          </cell>
          <cell r="N1400">
            <v>0.3</v>
          </cell>
          <cell r="O1400">
            <v>1.0000000000000004</v>
          </cell>
          <cell r="P1400">
            <v>7.8000000000000005E-3</v>
          </cell>
          <cell r="R1400">
            <v>6.500000000000004E-3</v>
          </cell>
          <cell r="T1400" t="str">
            <v>.</v>
          </cell>
          <cell r="U1400" t="str">
            <v>.</v>
          </cell>
          <cell r="V1400" t="str">
            <v>.</v>
          </cell>
          <cell r="AG1400" t="str">
            <v>.</v>
          </cell>
          <cell r="AH1400" t="str">
            <v/>
          </cell>
          <cell r="AJ1400" t="str">
            <v/>
          </cell>
          <cell r="AL1400" t="str">
            <v/>
          </cell>
          <cell r="AM1400">
            <v>0.17307692307692307</v>
          </cell>
          <cell r="AN1400">
            <v>1.3500000000000001E-3</v>
          </cell>
          <cell r="AQ1400">
            <v>1.3500000000000001E-3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</row>
        <row r="1401">
          <cell r="C1401" t="str">
            <v>DWG</v>
          </cell>
          <cell r="H1401" t="str">
            <v>10-50-A1-ST-0066</v>
          </cell>
          <cell r="I1401" t="str">
            <v>Raw Water Pound Structural details</v>
          </cell>
          <cell r="O1401">
            <v>5.2999999999999999E-2</v>
          </cell>
          <cell r="P1401">
            <v>4.1340000000000002E-4</v>
          </cell>
          <cell r="R1401">
            <v>1E-3</v>
          </cell>
          <cell r="V1401" t="str">
            <v>ارسال شده</v>
          </cell>
          <cell r="W1401" t="str">
            <v>012</v>
          </cell>
          <cell r="X1401" t="str">
            <v>55192489</v>
          </cell>
          <cell r="Y1401" t="str">
            <v>17-07-0725-10-0723-12-07</v>
          </cell>
          <cell r="Z1401" t="str">
            <v>F-0100</v>
          </cell>
          <cell r="AA1401" t="str">
            <v>29-07-07</v>
          </cell>
          <cell r="AF1401" t="str">
            <v>86-08-1386-10-02</v>
          </cell>
          <cell r="AG1401" t="str">
            <v>KRPC</v>
          </cell>
          <cell r="AH1401" t="str">
            <v>x</v>
          </cell>
          <cell r="AI1401" t="str">
            <v>x</v>
          </cell>
          <cell r="AJ1401" t="str">
            <v>x</v>
          </cell>
          <cell r="AL1401" t="str">
            <v/>
          </cell>
          <cell r="AM1401">
            <v>0.75</v>
          </cell>
          <cell r="AN1401">
            <v>7.5000000000000002E-4</v>
          </cell>
          <cell r="AO1401" t="str">
            <v>T</v>
          </cell>
          <cell r="AQ1401">
            <v>3.1005000000000003E-4</v>
          </cell>
          <cell r="AR1401">
            <v>7.5000000000000002E-4</v>
          </cell>
          <cell r="AS1401">
            <v>45</v>
          </cell>
          <cell r="AT1401">
            <v>60</v>
          </cell>
          <cell r="AU1401">
            <v>75</v>
          </cell>
          <cell r="AV1401">
            <v>0</v>
          </cell>
          <cell r="AW1401">
            <v>0</v>
          </cell>
          <cell r="AX1401">
            <v>75</v>
          </cell>
        </row>
        <row r="1402">
          <cell r="C1402" t="str">
            <v>CLS</v>
          </cell>
          <cell r="H1402" t="str">
            <v>10-50-CSH-ST-0066</v>
          </cell>
          <cell r="I1402" t="str">
            <v xml:space="preserve">Calculation Sheet For Raw Water Pond </v>
          </cell>
          <cell r="O1402">
            <v>5.2999999999999999E-2</v>
          </cell>
          <cell r="P1402">
            <v>4.1340000000000002E-4</v>
          </cell>
          <cell r="R1402">
            <v>1E-3</v>
          </cell>
          <cell r="V1402" t="str">
            <v>ارسال شده</v>
          </cell>
          <cell r="W1402" t="str">
            <v>01</v>
          </cell>
          <cell r="X1402" t="str">
            <v>64227</v>
          </cell>
          <cell r="Y1402" t="str">
            <v>23-07-0729-10-07</v>
          </cell>
          <cell r="AG1402" t="str">
            <v>KRPC</v>
          </cell>
          <cell r="AH1402" t="str">
            <v>x</v>
          </cell>
          <cell r="AI1402" t="str">
            <v>x</v>
          </cell>
          <cell r="AM1402">
            <v>0.6</v>
          </cell>
          <cell r="AN1402">
            <v>5.9999999999999995E-4</v>
          </cell>
          <cell r="AQ1402">
            <v>2.4803999999999999E-4</v>
          </cell>
          <cell r="AR1402">
            <v>5.9999999999999995E-4</v>
          </cell>
          <cell r="AS1402">
            <v>45</v>
          </cell>
          <cell r="AT1402">
            <v>60</v>
          </cell>
          <cell r="AU1402">
            <v>0</v>
          </cell>
          <cell r="AV1402">
            <v>0</v>
          </cell>
          <cell r="AW1402">
            <v>0</v>
          </cell>
          <cell r="AX1402">
            <v>60</v>
          </cell>
        </row>
        <row r="1403">
          <cell r="C1403" t="str">
            <v>DWG</v>
          </cell>
          <cell r="H1403" t="str">
            <v>10-50-A1-ST-0067</v>
          </cell>
          <cell r="I1403" t="str">
            <v>Falsh Mixer Chamber Structural details</v>
          </cell>
          <cell r="O1403">
            <v>5.2999999999999999E-2</v>
          </cell>
          <cell r="P1403">
            <v>4.1340000000000002E-4</v>
          </cell>
          <cell r="Q1403" t="str">
            <v>L</v>
          </cell>
          <cell r="R1403">
            <v>2.5000000000000001E-4</v>
          </cell>
          <cell r="T1403">
            <v>39484</v>
          </cell>
          <cell r="V1403" t="str">
            <v>2008-02</v>
          </cell>
          <cell r="AH1403" t="str">
            <v/>
          </cell>
          <cell r="AJ1403" t="str">
            <v/>
          </cell>
          <cell r="AL1403" t="str">
            <v/>
          </cell>
          <cell r="AM1403">
            <v>0</v>
          </cell>
          <cell r="AN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</row>
        <row r="1404">
          <cell r="C1404" t="str">
            <v>CLS</v>
          </cell>
          <cell r="H1404" t="str">
            <v>10-50-CSH-ST-0067</v>
          </cell>
          <cell r="I1404" t="str">
            <v xml:space="preserve">Calculation Sheet For Falsh Mixer Chamber </v>
          </cell>
          <cell r="O1404">
            <v>5.2999999999999999E-2</v>
          </cell>
          <cell r="P1404">
            <v>4.1340000000000002E-4</v>
          </cell>
          <cell r="Q1404" t="str">
            <v>L</v>
          </cell>
          <cell r="R1404">
            <v>2.5000000000000001E-4</v>
          </cell>
          <cell r="T1404">
            <v>39484</v>
          </cell>
          <cell r="V1404" t="str">
            <v>2008-02</v>
          </cell>
          <cell r="AM1404">
            <v>0</v>
          </cell>
          <cell r="AN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</row>
        <row r="1405">
          <cell r="C1405" t="str">
            <v>DWG</v>
          </cell>
          <cell r="H1405" t="str">
            <v>10-50-A1-ST-0068</v>
          </cell>
          <cell r="I1405" t="str">
            <v>Reaction Chamber  Structural details</v>
          </cell>
          <cell r="O1405">
            <v>5.2999999999999999E-2</v>
          </cell>
          <cell r="P1405">
            <v>4.1340000000000002E-4</v>
          </cell>
          <cell r="Q1405" t="str">
            <v>L</v>
          </cell>
          <cell r="R1405">
            <v>2.5000000000000001E-4</v>
          </cell>
          <cell r="T1405">
            <v>39485</v>
          </cell>
          <cell r="V1405" t="str">
            <v>2008-02</v>
          </cell>
          <cell r="AM1405">
            <v>0</v>
          </cell>
          <cell r="AN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</row>
        <row r="1406">
          <cell r="C1406" t="str">
            <v>CLS</v>
          </cell>
          <cell r="H1406" t="str">
            <v>10-50-CSH-ST-0068</v>
          </cell>
          <cell r="I1406" t="str">
            <v>Calculation Sheet For Reaction Chamber Structural</v>
          </cell>
          <cell r="O1406">
            <v>5.2999999999999999E-2</v>
          </cell>
          <cell r="P1406">
            <v>4.1340000000000002E-4</v>
          </cell>
          <cell r="Q1406" t="str">
            <v>L</v>
          </cell>
          <cell r="R1406">
            <v>2.5000000000000001E-4</v>
          </cell>
          <cell r="T1406">
            <v>39485</v>
          </cell>
          <cell r="V1406" t="str">
            <v>2008-02</v>
          </cell>
          <cell r="AM1406">
            <v>0</v>
          </cell>
          <cell r="AN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</row>
        <row r="1407">
          <cell r="C1407" t="str">
            <v>DWG</v>
          </cell>
          <cell r="H1407" t="str">
            <v>10-50-A1-ST-0069</v>
          </cell>
          <cell r="I1407" t="str">
            <v>Clarifire/Flocculator Structural details</v>
          </cell>
          <cell r="O1407">
            <v>5.2999999999999999E-2</v>
          </cell>
          <cell r="P1407">
            <v>4.1340000000000002E-4</v>
          </cell>
          <cell r="Q1407" t="str">
            <v>L</v>
          </cell>
          <cell r="R1407">
            <v>2.5000000000000001E-4</v>
          </cell>
          <cell r="T1407">
            <v>39486</v>
          </cell>
          <cell r="V1407" t="str">
            <v>2008-02</v>
          </cell>
          <cell r="AM1407">
            <v>0</v>
          </cell>
          <cell r="AN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</row>
        <row r="1408">
          <cell r="C1408" t="str">
            <v>CLS</v>
          </cell>
          <cell r="H1408" t="str">
            <v>10-50-CSH-ST-0069</v>
          </cell>
          <cell r="I1408" t="str">
            <v xml:space="preserve">Calculation Sheet For Clarifire/Flocculator Structural </v>
          </cell>
          <cell r="O1408">
            <v>5.2999999999999999E-2</v>
          </cell>
          <cell r="P1408">
            <v>4.1340000000000002E-4</v>
          </cell>
          <cell r="Q1408" t="str">
            <v>L</v>
          </cell>
          <cell r="R1408">
            <v>2.5000000000000001E-4</v>
          </cell>
          <cell r="T1408">
            <v>39486</v>
          </cell>
          <cell r="V1408" t="str">
            <v>2008-02</v>
          </cell>
          <cell r="AM1408">
            <v>0</v>
          </cell>
          <cell r="AN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</row>
        <row r="1409">
          <cell r="C1409" t="str">
            <v>DWG</v>
          </cell>
          <cell r="H1409" t="str">
            <v>10-50-A1-ST-0070</v>
          </cell>
          <cell r="I1409" t="str">
            <v>PH Adjusment Tank Structural details</v>
          </cell>
          <cell r="O1409">
            <v>5.2999999999999999E-2</v>
          </cell>
          <cell r="P1409">
            <v>4.1340000000000002E-4</v>
          </cell>
          <cell r="Q1409" t="str">
            <v>L</v>
          </cell>
          <cell r="R1409">
            <v>2.5000000000000001E-4</v>
          </cell>
          <cell r="T1409">
            <v>39486</v>
          </cell>
          <cell r="V1409" t="str">
            <v>2008-02</v>
          </cell>
          <cell r="AM1409">
            <v>0</v>
          </cell>
          <cell r="AN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</row>
        <row r="1410">
          <cell r="C1410" t="str">
            <v>CLS</v>
          </cell>
          <cell r="H1410" t="str">
            <v>10-50-CSH-ST-0070</v>
          </cell>
          <cell r="I1410" t="str">
            <v>Calculation Sheet For PH Adjusment Tank Structural</v>
          </cell>
          <cell r="O1410">
            <v>5.2999999999999999E-2</v>
          </cell>
          <cell r="P1410">
            <v>4.1340000000000002E-4</v>
          </cell>
          <cell r="Q1410" t="str">
            <v>L</v>
          </cell>
          <cell r="R1410">
            <v>2.5000000000000001E-4</v>
          </cell>
          <cell r="T1410">
            <v>39487</v>
          </cell>
          <cell r="V1410" t="str">
            <v>2008-02</v>
          </cell>
          <cell r="AM1410">
            <v>0</v>
          </cell>
          <cell r="AN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</row>
        <row r="1411">
          <cell r="C1411" t="str">
            <v>DWG</v>
          </cell>
          <cell r="H1411" t="str">
            <v>10-50-A1-ST-0071</v>
          </cell>
          <cell r="I1411" t="str">
            <v>Slugde Well Structural details</v>
          </cell>
          <cell r="O1411">
            <v>5.2999999999999999E-2</v>
          </cell>
          <cell r="P1411">
            <v>4.1340000000000002E-4</v>
          </cell>
          <cell r="Q1411" t="str">
            <v>L</v>
          </cell>
          <cell r="R1411">
            <v>2.5000000000000001E-4</v>
          </cell>
          <cell r="T1411">
            <v>39487</v>
          </cell>
          <cell r="V1411" t="str">
            <v>2008-02</v>
          </cell>
          <cell r="AM1411">
            <v>0</v>
          </cell>
          <cell r="AN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</row>
        <row r="1412">
          <cell r="C1412" t="str">
            <v>CLS</v>
          </cell>
          <cell r="H1412" t="str">
            <v>10-50-CSH-ST-0071</v>
          </cell>
          <cell r="I1412" t="str">
            <v>Calculation Sheet For Slugde Well Structural</v>
          </cell>
          <cell r="O1412">
            <v>5.2999999999999999E-2</v>
          </cell>
          <cell r="P1412">
            <v>4.1340000000000002E-4</v>
          </cell>
          <cell r="Q1412" t="str">
            <v>L</v>
          </cell>
          <cell r="R1412">
            <v>2.5000000000000001E-4</v>
          </cell>
          <cell r="T1412">
            <v>39488</v>
          </cell>
          <cell r="V1412" t="str">
            <v>2008-02</v>
          </cell>
          <cell r="AM1412">
            <v>0</v>
          </cell>
          <cell r="AN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</row>
        <row r="1413">
          <cell r="C1413" t="str">
            <v>DWG</v>
          </cell>
          <cell r="H1413" t="str">
            <v>10-50-A1-ST-0072</v>
          </cell>
          <cell r="I1413" t="str">
            <v>Sludge Thickener Structural details</v>
          </cell>
          <cell r="O1413">
            <v>5.2999999999999999E-2</v>
          </cell>
          <cell r="P1413">
            <v>4.1340000000000002E-4</v>
          </cell>
          <cell r="Q1413" t="str">
            <v>L</v>
          </cell>
          <cell r="R1413">
            <v>2.5000000000000001E-4</v>
          </cell>
          <cell r="T1413">
            <v>39488</v>
          </cell>
          <cell r="V1413" t="str">
            <v>2008-02</v>
          </cell>
          <cell r="AM1413">
            <v>0</v>
          </cell>
          <cell r="AN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</row>
        <row r="1414">
          <cell r="C1414" t="str">
            <v>CLS</v>
          </cell>
          <cell r="H1414" t="str">
            <v>10-50-CSH-ST-0072</v>
          </cell>
          <cell r="I1414" t="str">
            <v>Calculation Sheet For Sludge Thickener Structural</v>
          </cell>
          <cell r="O1414">
            <v>5.2999999999999999E-2</v>
          </cell>
          <cell r="P1414">
            <v>4.1340000000000002E-4</v>
          </cell>
          <cell r="Q1414" t="str">
            <v>L</v>
          </cell>
          <cell r="R1414">
            <v>2.5000000000000001E-4</v>
          </cell>
          <cell r="T1414">
            <v>39488</v>
          </cell>
          <cell r="V1414" t="str">
            <v>2008-02</v>
          </cell>
          <cell r="AM1414">
            <v>0</v>
          </cell>
          <cell r="AN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</row>
        <row r="1415">
          <cell r="C1415" t="str">
            <v>DWG</v>
          </cell>
          <cell r="H1415" t="str">
            <v>10-50-A1-ST-0073</v>
          </cell>
          <cell r="I1415" t="str">
            <v>Thickened Sludge Sump Structural details</v>
          </cell>
          <cell r="O1415">
            <v>5.2999999999999999E-2</v>
          </cell>
          <cell r="P1415">
            <v>4.1340000000000002E-4</v>
          </cell>
          <cell r="Q1415" t="str">
            <v>L</v>
          </cell>
          <cell r="R1415">
            <v>2.5000000000000001E-4</v>
          </cell>
          <cell r="T1415">
            <v>39489</v>
          </cell>
          <cell r="V1415" t="str">
            <v>2008-02</v>
          </cell>
          <cell r="AM1415">
            <v>0</v>
          </cell>
          <cell r="AN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</row>
        <row r="1416">
          <cell r="C1416" t="str">
            <v>CLS</v>
          </cell>
          <cell r="H1416" t="str">
            <v>10-50-CSH-ST-0073</v>
          </cell>
          <cell r="I1416" t="str">
            <v xml:space="preserve">Calculation Sheet For Thickened Sludge Sump Structural </v>
          </cell>
          <cell r="O1416">
            <v>5.0999999999999997E-2</v>
          </cell>
          <cell r="P1416">
            <v>3.9780000000000002E-4</v>
          </cell>
          <cell r="Q1416" t="str">
            <v>L</v>
          </cell>
          <cell r="R1416">
            <v>2.5000000000000001E-4</v>
          </cell>
          <cell r="T1416">
            <v>39489</v>
          </cell>
          <cell r="V1416" t="str">
            <v>2008-02</v>
          </cell>
          <cell r="AM1416">
            <v>0</v>
          </cell>
          <cell r="AN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</row>
        <row r="1417">
          <cell r="C1417" t="str">
            <v>DWG</v>
          </cell>
          <cell r="H1417" t="str">
            <v>10-50-A1-ST-0074</v>
          </cell>
          <cell r="I1417" t="str">
            <v>Thickened Water Sump Structural details</v>
          </cell>
          <cell r="O1417">
            <v>5.2999999999999999E-2</v>
          </cell>
          <cell r="P1417">
            <v>4.1340000000000002E-4</v>
          </cell>
          <cell r="Q1417" t="str">
            <v>L</v>
          </cell>
          <cell r="R1417">
            <v>2.5000000000000001E-4</v>
          </cell>
          <cell r="T1417">
            <v>39490</v>
          </cell>
          <cell r="V1417" t="str">
            <v>2008-02</v>
          </cell>
          <cell r="AH1417" t="str">
            <v/>
          </cell>
          <cell r="AJ1417" t="str">
            <v/>
          </cell>
          <cell r="AL1417" t="str">
            <v/>
          </cell>
          <cell r="AM1417">
            <v>0</v>
          </cell>
          <cell r="AN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</row>
        <row r="1418">
          <cell r="C1418" t="str">
            <v>DWG</v>
          </cell>
          <cell r="H1418" t="str">
            <v>10-50-CSH-ST-0074</v>
          </cell>
          <cell r="I1418" t="str">
            <v>Calculation Sheet For Thickened Water Sump Structural</v>
          </cell>
          <cell r="O1418">
            <v>5.0999999999999997E-2</v>
          </cell>
          <cell r="P1418">
            <v>3.9780000000000002E-4</v>
          </cell>
          <cell r="Q1418" t="str">
            <v>L</v>
          </cell>
          <cell r="R1418">
            <v>2.5000000000000001E-4</v>
          </cell>
          <cell r="T1418">
            <v>39490</v>
          </cell>
          <cell r="V1418" t="str">
            <v>2008-02</v>
          </cell>
          <cell r="AH1418" t="str">
            <v/>
          </cell>
          <cell r="AJ1418" t="str">
            <v/>
          </cell>
          <cell r="AL1418" t="str">
            <v/>
          </cell>
          <cell r="AM1418">
            <v>0</v>
          </cell>
          <cell r="AN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</row>
        <row r="1419">
          <cell r="C1419" t="str">
            <v>DWG</v>
          </cell>
          <cell r="H1419" t="str">
            <v>10-50-A1-ST-0075</v>
          </cell>
          <cell r="I1419" t="str">
            <v>Nutralizing Basin foundation plan &amp; details</v>
          </cell>
          <cell r="O1419">
            <v>5.2999999999999999E-2</v>
          </cell>
          <cell r="P1419">
            <v>4.1340000000000002E-4</v>
          </cell>
          <cell r="Q1419" t="str">
            <v>L</v>
          </cell>
          <cell r="R1419">
            <v>2.5000000000000001E-4</v>
          </cell>
          <cell r="T1419">
            <v>39490</v>
          </cell>
          <cell r="V1419" t="str">
            <v>2008-02</v>
          </cell>
          <cell r="AH1419" t="str">
            <v/>
          </cell>
          <cell r="AJ1419" t="str">
            <v/>
          </cell>
          <cell r="AL1419" t="str">
            <v/>
          </cell>
          <cell r="AM1419">
            <v>0</v>
          </cell>
          <cell r="AN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</row>
        <row r="1420">
          <cell r="C1420" t="str">
            <v>DWG</v>
          </cell>
          <cell r="H1420" t="str">
            <v>10-50-CSH-ST-0075</v>
          </cell>
          <cell r="I1420" t="str">
            <v xml:space="preserve">Calculation Sheet For Nutralizing Basin </v>
          </cell>
          <cell r="O1420">
            <v>0.05</v>
          </cell>
          <cell r="P1420">
            <v>3.9000000000000005E-4</v>
          </cell>
          <cell r="Q1420" t="str">
            <v>L</v>
          </cell>
          <cell r="R1420">
            <v>2.5000000000000001E-4</v>
          </cell>
          <cell r="T1420">
            <v>39491</v>
          </cell>
          <cell r="V1420" t="str">
            <v>2008-02</v>
          </cell>
          <cell r="AH1420" t="str">
            <v/>
          </cell>
          <cell r="AJ1420" t="str">
            <v/>
          </cell>
          <cell r="AL1420" t="str">
            <v/>
          </cell>
          <cell r="AM1420">
            <v>0</v>
          </cell>
          <cell r="AN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</row>
        <row r="1421">
          <cell r="C1421" t="str">
            <v>DWG</v>
          </cell>
          <cell r="H1421" t="str">
            <v>Civil Works</v>
          </cell>
          <cell r="N1421">
            <v>0.1</v>
          </cell>
          <cell r="O1421">
            <v>1</v>
          </cell>
          <cell r="P1421">
            <v>2.6000000000000003E-3</v>
          </cell>
          <cell r="R1421">
            <v>4.2999999999999999E-4</v>
          </cell>
          <cell r="T1421" t="str">
            <v>.</v>
          </cell>
          <cell r="U1421" t="str">
            <v>.</v>
          </cell>
          <cell r="V1421" t="str">
            <v>.</v>
          </cell>
          <cell r="AG1421" t="str">
            <v>.</v>
          </cell>
          <cell r="AH1421" t="str">
            <v/>
          </cell>
          <cell r="AJ1421" t="str">
            <v/>
          </cell>
          <cell r="AL1421" t="str">
            <v/>
          </cell>
          <cell r="AM1421">
            <v>0</v>
          </cell>
          <cell r="AN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</row>
        <row r="1422">
          <cell r="C1422" t="str">
            <v>DWG</v>
          </cell>
          <cell r="H1422" t="str">
            <v>10-50-A1-CI-0001</v>
          </cell>
          <cell r="I1422" t="str">
            <v>Paving plan &amp; details</v>
          </cell>
          <cell r="O1422">
            <v>1</v>
          </cell>
          <cell r="P1422">
            <v>2.6000000000000003E-3</v>
          </cell>
          <cell r="Q1422" t="str">
            <v>L</v>
          </cell>
          <cell r="R1422">
            <v>4.2999999999999999E-4</v>
          </cell>
          <cell r="T1422">
            <v>39498</v>
          </cell>
          <cell r="V1422" t="str">
            <v>2008-02</v>
          </cell>
          <cell r="AH1422" t="str">
            <v/>
          </cell>
          <cell r="AJ1422" t="str">
            <v/>
          </cell>
          <cell r="AL1422" t="str">
            <v/>
          </cell>
          <cell r="AM1422">
            <v>0</v>
          </cell>
          <cell r="AN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</row>
        <row r="1423">
          <cell r="C1423" t="str">
            <v>DWG</v>
          </cell>
          <cell r="G1423" t="str">
            <v>Waste Water Treatment</v>
          </cell>
          <cell r="M1423">
            <v>0.12</v>
          </cell>
          <cell r="N1423">
            <v>1</v>
          </cell>
          <cell r="P1423">
            <v>2.4E-2</v>
          </cell>
          <cell r="R1423">
            <v>4.1690000000000026E-2</v>
          </cell>
          <cell r="T1423" t="str">
            <v>.</v>
          </cell>
          <cell r="U1423" t="str">
            <v>.</v>
          </cell>
          <cell r="V1423" t="str">
            <v>.</v>
          </cell>
          <cell r="AG1423" t="str">
            <v>.</v>
          </cell>
          <cell r="AM1423">
            <v>0</v>
          </cell>
          <cell r="AN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</row>
        <row r="1424">
          <cell r="C1424" t="str">
            <v>DWG</v>
          </cell>
          <cell r="H1424" t="str">
            <v>Waste water treatment building</v>
          </cell>
          <cell r="N1424">
            <v>0.15</v>
          </cell>
          <cell r="O1424">
            <v>1</v>
          </cell>
          <cell r="P1424">
            <v>3.5999999999999999E-3</v>
          </cell>
          <cell r="R1424">
            <v>1.9300000000000001E-3</v>
          </cell>
          <cell r="T1424" t="str">
            <v>.</v>
          </cell>
          <cell r="U1424" t="str">
            <v>.</v>
          </cell>
          <cell r="V1424" t="str">
            <v>.</v>
          </cell>
          <cell r="AG1424" t="str">
            <v>.</v>
          </cell>
          <cell r="AH1424" t="str">
            <v/>
          </cell>
          <cell r="AJ1424" t="str">
            <v/>
          </cell>
          <cell r="AL1424" t="str">
            <v/>
          </cell>
          <cell r="AM1424">
            <v>0</v>
          </cell>
          <cell r="AN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</row>
        <row r="1425">
          <cell r="C1425" t="str">
            <v>DWG</v>
          </cell>
          <cell r="H1425" t="str">
            <v>10-60-A1-BL-0001</v>
          </cell>
          <cell r="I1425" t="str">
            <v>Architectural drawings</v>
          </cell>
          <cell r="O1425">
            <v>0.34</v>
          </cell>
          <cell r="P1425">
            <v>1.224E-3</v>
          </cell>
          <cell r="Q1425" t="str">
            <v>V</v>
          </cell>
          <cell r="R1425">
            <v>4.2999999999999999E-4</v>
          </cell>
          <cell r="T1425">
            <v>39446</v>
          </cell>
          <cell r="U1425" t="str">
            <v>*</v>
          </cell>
          <cell r="V1425" t="str">
            <v>2007-12</v>
          </cell>
          <cell r="AH1425" t="str">
            <v/>
          </cell>
          <cell r="AJ1425" t="str">
            <v/>
          </cell>
          <cell r="AL1425" t="str">
            <v/>
          </cell>
          <cell r="AM1425">
            <v>0</v>
          </cell>
          <cell r="AN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</row>
        <row r="1426">
          <cell r="C1426" t="str">
            <v>DWG</v>
          </cell>
          <cell r="H1426" t="str">
            <v>10-60-A1-ST-0075</v>
          </cell>
          <cell r="I1426" t="str">
            <v>Structural drawings</v>
          </cell>
          <cell r="O1426">
            <v>0.33</v>
          </cell>
          <cell r="P1426">
            <v>1.188E-3</v>
          </cell>
          <cell r="Q1426" t="str">
            <v>L</v>
          </cell>
          <cell r="R1426">
            <v>7.5000000000000002E-4</v>
          </cell>
          <cell r="T1426">
            <v>39466</v>
          </cell>
          <cell r="V1426" t="str">
            <v>2008-01</v>
          </cell>
          <cell r="AM1426">
            <v>0</v>
          </cell>
          <cell r="AN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</row>
        <row r="1427">
          <cell r="C1427" t="str">
            <v>DWG</v>
          </cell>
          <cell r="H1427" t="str">
            <v>10-60-CSH-ST-0075</v>
          </cell>
          <cell r="I1427" t="str">
            <v>Calculation Sheet For  Waste Water Treatment</v>
          </cell>
          <cell r="O1427">
            <v>0.33</v>
          </cell>
          <cell r="P1427">
            <v>1.188E-3</v>
          </cell>
          <cell r="Q1427" t="str">
            <v>L</v>
          </cell>
          <cell r="R1427">
            <v>7.5000000000000002E-4</v>
          </cell>
          <cell r="T1427">
            <v>39466</v>
          </cell>
          <cell r="V1427" t="str">
            <v>2008-01</v>
          </cell>
          <cell r="AH1427" t="str">
            <v/>
          </cell>
          <cell r="AJ1427" t="str">
            <v/>
          </cell>
          <cell r="AL1427" t="str">
            <v/>
          </cell>
          <cell r="AM1427">
            <v>0</v>
          </cell>
          <cell r="AN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</row>
        <row r="1428">
          <cell r="C1428" t="str">
            <v>DWG</v>
          </cell>
          <cell r="H1428" t="str">
            <v>Equipment Foundations</v>
          </cell>
          <cell r="N1428">
            <v>0.2</v>
          </cell>
          <cell r="O1428">
            <v>1.0000000000000007</v>
          </cell>
          <cell r="P1428">
            <v>4.8000000000000004E-3</v>
          </cell>
          <cell r="R1428">
            <v>2.4000000000000018E-2</v>
          </cell>
          <cell r="T1428" t="str">
            <v>.</v>
          </cell>
          <cell r="U1428" t="str">
            <v>.</v>
          </cell>
          <cell r="V1428" t="str">
            <v>.</v>
          </cell>
          <cell r="AG1428" t="str">
            <v>.</v>
          </cell>
          <cell r="AH1428" t="str">
            <v/>
          </cell>
          <cell r="AJ1428" t="str">
            <v/>
          </cell>
          <cell r="AL1428" t="str">
            <v/>
          </cell>
          <cell r="AM1428">
            <v>0</v>
          </cell>
          <cell r="AN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</row>
        <row r="1429">
          <cell r="C1429" t="str">
            <v>DWG</v>
          </cell>
          <cell r="H1429" t="str">
            <v>10-60-A1-ST-0001</v>
          </cell>
          <cell r="I1429" t="str">
            <v>Rain Water Transfer Pumps to Lamellar Separator (A/B) foundation plan &amp; details</v>
          </cell>
          <cell r="O1429">
            <v>0.01</v>
          </cell>
          <cell r="P1429">
            <v>4.8000000000000008E-5</v>
          </cell>
          <cell r="Q1429" t="str">
            <v>L</v>
          </cell>
          <cell r="R1429">
            <v>2.5000000000000001E-4</v>
          </cell>
          <cell r="T1429">
            <v>39448</v>
          </cell>
          <cell r="V1429" t="str">
            <v>2008-01</v>
          </cell>
          <cell r="AH1429" t="str">
            <v/>
          </cell>
          <cell r="AJ1429" t="str">
            <v/>
          </cell>
          <cell r="AL1429" t="str">
            <v/>
          </cell>
          <cell r="AM1429">
            <v>0</v>
          </cell>
          <cell r="AN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</row>
        <row r="1430">
          <cell r="C1430" t="str">
            <v>DWG</v>
          </cell>
          <cell r="H1430" t="str">
            <v>10-60-CSH-ST-0001</v>
          </cell>
          <cell r="I1430" t="str">
            <v>Calculation Sheet For Rain Water Transfer Pumps to Lamellar Separator (A/B) foundation</v>
          </cell>
          <cell r="O1430">
            <v>0.01</v>
          </cell>
          <cell r="P1430">
            <v>4.8000000000000008E-5</v>
          </cell>
          <cell r="Q1430" t="str">
            <v>L</v>
          </cell>
          <cell r="R1430">
            <v>2.5000000000000001E-4</v>
          </cell>
          <cell r="T1430">
            <v>39448</v>
          </cell>
          <cell r="V1430" t="str">
            <v>2008-01</v>
          </cell>
          <cell r="AH1430" t="str">
            <v/>
          </cell>
          <cell r="AJ1430" t="str">
            <v/>
          </cell>
          <cell r="AL1430" t="str">
            <v/>
          </cell>
          <cell r="AM1430">
            <v>0</v>
          </cell>
          <cell r="AN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</row>
        <row r="1431">
          <cell r="C1431" t="str">
            <v>DWG</v>
          </cell>
          <cell r="H1431" t="str">
            <v>10-60-A1-ST-0002</v>
          </cell>
          <cell r="I1431" t="str">
            <v>Rain Water Transfer Pumps to Recovery unit (A/B) foundation plan &amp; details</v>
          </cell>
          <cell r="O1431">
            <v>0.01</v>
          </cell>
          <cell r="P1431">
            <v>4.8000000000000008E-5</v>
          </cell>
          <cell r="Q1431" t="str">
            <v>L</v>
          </cell>
          <cell r="R1431">
            <v>2.5000000000000001E-4</v>
          </cell>
          <cell r="T1431">
            <v>39448</v>
          </cell>
          <cell r="V1431" t="str">
            <v>2008-01</v>
          </cell>
          <cell r="AH1431" t="str">
            <v/>
          </cell>
          <cell r="AJ1431" t="str">
            <v/>
          </cell>
          <cell r="AL1431" t="str">
            <v/>
          </cell>
          <cell r="AM1431">
            <v>0</v>
          </cell>
          <cell r="AN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</row>
        <row r="1432">
          <cell r="C1432" t="str">
            <v>DWG</v>
          </cell>
          <cell r="H1432" t="str">
            <v>10-60-CSH-ST-0002</v>
          </cell>
          <cell r="I1432" t="str">
            <v>Calculation Sheet For Rain Water Transfer Pumps to Recovery unit (A/B) foundation</v>
          </cell>
          <cell r="O1432">
            <v>0.01</v>
          </cell>
          <cell r="P1432">
            <v>4.8000000000000008E-5</v>
          </cell>
          <cell r="Q1432" t="str">
            <v>L</v>
          </cell>
          <cell r="R1432">
            <v>2.5000000000000001E-4</v>
          </cell>
          <cell r="T1432">
            <v>39449</v>
          </cell>
          <cell r="V1432" t="str">
            <v>2008-01</v>
          </cell>
          <cell r="AH1432" t="str">
            <v/>
          </cell>
          <cell r="AJ1432" t="str">
            <v/>
          </cell>
          <cell r="AL1432" t="str">
            <v/>
          </cell>
          <cell r="AM1432">
            <v>0</v>
          </cell>
          <cell r="AN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</row>
        <row r="1433">
          <cell r="C1433" t="str">
            <v>DWG</v>
          </cell>
          <cell r="H1433" t="str">
            <v>10-60-A1-ST-0003</v>
          </cell>
          <cell r="I1433" t="str">
            <v>Salty Water Transfer Pumps to Evaporation pound (A/B) foundation plan &amp; details</v>
          </cell>
          <cell r="O1433">
            <v>0.01</v>
          </cell>
          <cell r="P1433">
            <v>4.8000000000000008E-5</v>
          </cell>
          <cell r="Q1433" t="str">
            <v>L</v>
          </cell>
          <cell r="R1433">
            <v>2.5000000000000001E-4</v>
          </cell>
          <cell r="T1433">
            <v>39449</v>
          </cell>
          <cell r="V1433" t="str">
            <v>2008-01</v>
          </cell>
          <cell r="AH1433" t="str">
            <v/>
          </cell>
          <cell r="AJ1433" t="str">
            <v/>
          </cell>
          <cell r="AL1433" t="str">
            <v/>
          </cell>
          <cell r="AM1433">
            <v>0</v>
          </cell>
          <cell r="AN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</row>
        <row r="1434">
          <cell r="C1434" t="str">
            <v>DWG</v>
          </cell>
          <cell r="H1434" t="str">
            <v>10-60-CSH-ST-0003</v>
          </cell>
          <cell r="I1434" t="str">
            <v>Calculation Sheet For Salty Water Transfer Pumps to Evaporation pound (A/B) foundation</v>
          </cell>
          <cell r="O1434">
            <v>0.01</v>
          </cell>
          <cell r="P1434">
            <v>4.8000000000000008E-5</v>
          </cell>
          <cell r="Q1434" t="str">
            <v>L</v>
          </cell>
          <cell r="R1434">
            <v>2.5000000000000001E-4</v>
          </cell>
          <cell r="T1434">
            <v>39449</v>
          </cell>
          <cell r="V1434" t="str">
            <v>2008-01</v>
          </cell>
          <cell r="AH1434" t="str">
            <v/>
          </cell>
          <cell r="AJ1434" t="str">
            <v/>
          </cell>
          <cell r="AL1434" t="str">
            <v/>
          </cell>
          <cell r="AM1434">
            <v>0</v>
          </cell>
          <cell r="AN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</row>
        <row r="1435">
          <cell r="C1435" t="str">
            <v>DWG</v>
          </cell>
          <cell r="H1435" t="str">
            <v>10-60-A1-ST-0004</v>
          </cell>
          <cell r="I1435" t="str">
            <v>Waste Transfer pumps to Biological Treatment (A/B) foundation plan &amp; details</v>
          </cell>
          <cell r="O1435">
            <v>0.01</v>
          </cell>
          <cell r="P1435">
            <v>4.8000000000000008E-5</v>
          </cell>
          <cell r="Q1435" t="str">
            <v>L</v>
          </cell>
          <cell r="R1435">
            <v>2.5000000000000001E-4</v>
          </cell>
          <cell r="T1435">
            <v>39450</v>
          </cell>
          <cell r="V1435" t="str">
            <v>2008-01</v>
          </cell>
          <cell r="AH1435" t="str">
            <v/>
          </cell>
          <cell r="AJ1435" t="str">
            <v/>
          </cell>
          <cell r="AL1435" t="str">
            <v/>
          </cell>
          <cell r="AM1435">
            <v>0</v>
          </cell>
          <cell r="AN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</row>
        <row r="1436">
          <cell r="C1436" t="str">
            <v>DWG</v>
          </cell>
          <cell r="H1436" t="str">
            <v>10-60-CSH-ST-0004</v>
          </cell>
          <cell r="I1436" t="str">
            <v>Calculation Sheet For Waste Transfer pumps to Biological Treatment (A/B) foundation</v>
          </cell>
          <cell r="O1436">
            <v>0.01</v>
          </cell>
          <cell r="P1436">
            <v>4.8000000000000008E-5</v>
          </cell>
          <cell r="Q1436" t="str">
            <v>L</v>
          </cell>
          <cell r="R1436">
            <v>2.5000000000000001E-4</v>
          </cell>
          <cell r="T1436">
            <v>39450</v>
          </cell>
          <cell r="V1436" t="str">
            <v>2008-01</v>
          </cell>
          <cell r="AH1436" t="str">
            <v/>
          </cell>
          <cell r="AJ1436" t="str">
            <v/>
          </cell>
          <cell r="AL1436" t="str">
            <v/>
          </cell>
          <cell r="AM1436">
            <v>0</v>
          </cell>
          <cell r="AN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</row>
        <row r="1437">
          <cell r="C1437" t="str">
            <v>DWG</v>
          </cell>
          <cell r="H1437" t="str">
            <v>10-60-A1-ST-0005</v>
          </cell>
          <cell r="I1437" t="str">
            <v>Organic/Process Waste Water Transfer Pumps to API Separator (A/B) foundation plan &amp; details</v>
          </cell>
          <cell r="O1437">
            <v>0.01</v>
          </cell>
          <cell r="P1437">
            <v>4.8000000000000008E-5</v>
          </cell>
          <cell r="Q1437" t="str">
            <v>L</v>
          </cell>
          <cell r="R1437">
            <v>2.5000000000000001E-4</v>
          </cell>
          <cell r="T1437">
            <v>39450</v>
          </cell>
          <cell r="V1437" t="str">
            <v>2008-01</v>
          </cell>
          <cell r="AH1437" t="str">
            <v/>
          </cell>
          <cell r="AJ1437" t="str">
            <v/>
          </cell>
          <cell r="AL1437" t="str">
            <v/>
          </cell>
          <cell r="AM1437">
            <v>0</v>
          </cell>
          <cell r="AN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</row>
        <row r="1438">
          <cell r="C1438" t="str">
            <v>DWG</v>
          </cell>
          <cell r="H1438" t="str">
            <v>10-60-CSH-ST-0005</v>
          </cell>
          <cell r="I1438" t="str">
            <v xml:space="preserve">Calculation Sheet For Organic/Process Waste Water Transfer Pumps to API Separator (A/B) foundation </v>
          </cell>
          <cell r="O1438">
            <v>0.01</v>
          </cell>
          <cell r="P1438">
            <v>4.8000000000000008E-5</v>
          </cell>
          <cell r="Q1438" t="str">
            <v>L</v>
          </cell>
          <cell r="R1438">
            <v>2.5000000000000001E-4</v>
          </cell>
          <cell r="T1438">
            <v>39451</v>
          </cell>
          <cell r="V1438" t="str">
            <v>2008-01</v>
          </cell>
          <cell r="AH1438" t="str">
            <v/>
          </cell>
          <cell r="AJ1438" t="str">
            <v/>
          </cell>
          <cell r="AL1438" t="str">
            <v/>
          </cell>
          <cell r="AM1438">
            <v>0</v>
          </cell>
          <cell r="AN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</row>
        <row r="1439">
          <cell r="C1439" t="str">
            <v>DWG</v>
          </cell>
          <cell r="H1439" t="str">
            <v>10-60-A1-ST-0006</v>
          </cell>
          <cell r="I1439" t="str">
            <v>Oily and Sludge Transfer Pumps (A/B) foundation plan &amp; details</v>
          </cell>
          <cell r="O1439">
            <v>0.01</v>
          </cell>
          <cell r="P1439">
            <v>4.8000000000000008E-5</v>
          </cell>
          <cell r="Q1439" t="str">
            <v>L</v>
          </cell>
          <cell r="R1439">
            <v>2.5000000000000001E-4</v>
          </cell>
          <cell r="T1439">
            <v>39451</v>
          </cell>
          <cell r="V1439" t="str">
            <v>2008-01</v>
          </cell>
          <cell r="AH1439" t="str">
            <v/>
          </cell>
          <cell r="AJ1439" t="str">
            <v/>
          </cell>
          <cell r="AL1439" t="str">
            <v/>
          </cell>
          <cell r="AM1439">
            <v>0</v>
          </cell>
          <cell r="AN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</row>
        <row r="1440">
          <cell r="C1440" t="str">
            <v>CLS</v>
          </cell>
          <cell r="H1440" t="str">
            <v>10-60-CSH-ST-0006</v>
          </cell>
          <cell r="I1440" t="str">
            <v>Calculation Sheet For Oily and Sludge Transfer Pumps (A/B) foundation</v>
          </cell>
          <cell r="O1440">
            <v>0.01</v>
          </cell>
          <cell r="P1440">
            <v>4.8000000000000008E-5</v>
          </cell>
          <cell r="Q1440" t="str">
            <v>L</v>
          </cell>
          <cell r="R1440">
            <v>2.5000000000000001E-4</v>
          </cell>
          <cell r="T1440">
            <v>39451</v>
          </cell>
          <cell r="V1440" t="str">
            <v>2008-01</v>
          </cell>
          <cell r="AM1440">
            <v>0</v>
          </cell>
          <cell r="AN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</row>
        <row r="1441">
          <cell r="C1441" t="str">
            <v>DWG</v>
          </cell>
          <cell r="H1441" t="str">
            <v>10-60-A1-ST-0007</v>
          </cell>
          <cell r="I1441" t="str">
            <v>DAF Separator foundation plan &amp; details</v>
          </cell>
          <cell r="O1441">
            <v>0.01</v>
          </cell>
          <cell r="P1441">
            <v>4.8000000000000008E-5</v>
          </cell>
          <cell r="Q1441" t="str">
            <v>L</v>
          </cell>
          <cell r="R1441">
            <v>2.5000000000000001E-4</v>
          </cell>
          <cell r="T1441">
            <v>39452</v>
          </cell>
          <cell r="V1441" t="str">
            <v>2008-01</v>
          </cell>
          <cell r="AM1441">
            <v>0</v>
          </cell>
          <cell r="AN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</row>
        <row r="1442">
          <cell r="C1442" t="str">
            <v>CLS</v>
          </cell>
          <cell r="H1442" t="str">
            <v>10-60-CSH-ST-0007</v>
          </cell>
          <cell r="I1442" t="str">
            <v>Calculation Sheet For DAF Separator foundation</v>
          </cell>
          <cell r="O1442">
            <v>0.01</v>
          </cell>
          <cell r="P1442">
            <v>4.8000000000000008E-5</v>
          </cell>
          <cell r="Q1442" t="str">
            <v>L</v>
          </cell>
          <cell r="R1442">
            <v>2.5000000000000001E-4</v>
          </cell>
          <cell r="T1442">
            <v>39452</v>
          </cell>
          <cell r="V1442" t="str">
            <v>2008-01</v>
          </cell>
          <cell r="AM1442">
            <v>0</v>
          </cell>
          <cell r="AN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</row>
        <row r="1443">
          <cell r="C1443" t="str">
            <v>DWG</v>
          </cell>
          <cell r="H1443" t="str">
            <v>10-60-A1-ST-0008</v>
          </cell>
          <cell r="I1443" t="str">
            <v>DAF Circulation Pumps (A/B) foundation plan &amp; details</v>
          </cell>
          <cell r="O1443">
            <v>0.01</v>
          </cell>
          <cell r="P1443">
            <v>4.8000000000000008E-5</v>
          </cell>
          <cell r="Q1443" t="str">
            <v>L</v>
          </cell>
          <cell r="R1443">
            <v>2.5000000000000001E-4</v>
          </cell>
          <cell r="T1443">
            <v>39452</v>
          </cell>
          <cell r="V1443" t="str">
            <v>2008-01</v>
          </cell>
          <cell r="AM1443">
            <v>0</v>
          </cell>
          <cell r="AN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</row>
        <row r="1444">
          <cell r="C1444" t="str">
            <v>CLS</v>
          </cell>
          <cell r="H1444" t="str">
            <v>10-60-CSH-ST-0008</v>
          </cell>
          <cell r="I1444" t="str">
            <v>Calculation Sheet For DAF Circulation Pumps (A/B) foundation</v>
          </cell>
          <cell r="O1444">
            <v>0.01</v>
          </cell>
          <cell r="P1444">
            <v>4.8000000000000008E-5</v>
          </cell>
          <cell r="Q1444" t="str">
            <v>L</v>
          </cell>
          <cell r="R1444">
            <v>2.5000000000000001E-4</v>
          </cell>
          <cell r="T1444">
            <v>39453</v>
          </cell>
          <cell r="V1444" t="str">
            <v>2008-01</v>
          </cell>
          <cell r="AM1444">
            <v>0</v>
          </cell>
          <cell r="AN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</row>
        <row r="1445">
          <cell r="C1445" t="str">
            <v>DWG</v>
          </cell>
          <cell r="H1445" t="str">
            <v>10-60-A1-ST-0009</v>
          </cell>
          <cell r="I1445" t="str">
            <v>DAF Air Pressure Vessel foundation plan &amp; details</v>
          </cell>
          <cell r="O1445">
            <v>0.01</v>
          </cell>
          <cell r="P1445">
            <v>4.8000000000000008E-5</v>
          </cell>
          <cell r="Q1445" t="str">
            <v>L</v>
          </cell>
          <cell r="R1445">
            <v>2.5000000000000001E-4</v>
          </cell>
          <cell r="T1445">
            <v>39453</v>
          </cell>
          <cell r="V1445" t="str">
            <v>2008-01</v>
          </cell>
          <cell r="AM1445">
            <v>0</v>
          </cell>
          <cell r="AN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</row>
        <row r="1446">
          <cell r="C1446" t="str">
            <v>CLS</v>
          </cell>
          <cell r="H1446" t="str">
            <v>10-60-CSH-ST-0009</v>
          </cell>
          <cell r="I1446" t="str">
            <v>Calculation Sheet For DAF Air Pressure Vessel foundation</v>
          </cell>
          <cell r="O1446">
            <v>0.01</v>
          </cell>
          <cell r="P1446">
            <v>4.8000000000000008E-5</v>
          </cell>
          <cell r="Q1446" t="str">
            <v>L</v>
          </cell>
          <cell r="R1446">
            <v>2.5000000000000001E-4</v>
          </cell>
          <cell r="T1446">
            <v>39453</v>
          </cell>
          <cell r="V1446" t="str">
            <v>2008-01</v>
          </cell>
          <cell r="AM1446">
            <v>0</v>
          </cell>
          <cell r="AN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</row>
        <row r="1447">
          <cell r="C1447" t="str">
            <v>DWG</v>
          </cell>
          <cell r="H1447" t="str">
            <v>10-60-A1-ST-0010</v>
          </cell>
          <cell r="I1447" t="str">
            <v>Oxidation Basin Air Bloers (A/B/C) foundation plan &amp; details</v>
          </cell>
          <cell r="O1447">
            <v>0.01</v>
          </cell>
          <cell r="P1447">
            <v>4.8000000000000008E-5</v>
          </cell>
          <cell r="Q1447" t="str">
            <v>L</v>
          </cell>
          <cell r="R1447">
            <v>2.5000000000000001E-4</v>
          </cell>
          <cell r="T1447">
            <v>39454</v>
          </cell>
          <cell r="V1447" t="str">
            <v>2008-01</v>
          </cell>
          <cell r="AM1447">
            <v>0</v>
          </cell>
          <cell r="AN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</row>
        <row r="1448">
          <cell r="C1448" t="str">
            <v>CLS</v>
          </cell>
          <cell r="H1448" t="str">
            <v>10-60-CSH-ST-0010</v>
          </cell>
          <cell r="I1448" t="str">
            <v>Calculation Sheet For Oxidation Basin Air Bloers (A/B/C) foundation</v>
          </cell>
          <cell r="O1448">
            <v>0.01</v>
          </cell>
          <cell r="P1448">
            <v>4.8000000000000008E-5</v>
          </cell>
          <cell r="Q1448" t="str">
            <v>L</v>
          </cell>
          <cell r="R1448">
            <v>2.5000000000000001E-4</v>
          </cell>
          <cell r="T1448">
            <v>39454</v>
          </cell>
          <cell r="V1448" t="str">
            <v>2008-01</v>
          </cell>
          <cell r="AM1448">
            <v>0</v>
          </cell>
          <cell r="AN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</row>
        <row r="1449">
          <cell r="C1449" t="str">
            <v>DWG</v>
          </cell>
          <cell r="H1449" t="str">
            <v>10-60-A1-ST-0011</v>
          </cell>
          <cell r="I1449" t="str">
            <v>Sedimented Water Transfer Pumps (A/B) foundation plan &amp; details</v>
          </cell>
          <cell r="O1449">
            <v>0.01</v>
          </cell>
          <cell r="P1449">
            <v>4.8000000000000008E-5</v>
          </cell>
          <cell r="Q1449" t="str">
            <v>L</v>
          </cell>
          <cell r="R1449">
            <v>2.5000000000000001E-4</v>
          </cell>
          <cell r="T1449">
            <v>39454</v>
          </cell>
          <cell r="V1449" t="str">
            <v>2008-01</v>
          </cell>
          <cell r="AM1449">
            <v>0</v>
          </cell>
          <cell r="AN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</row>
        <row r="1450">
          <cell r="C1450" t="str">
            <v>CLS</v>
          </cell>
          <cell r="H1450" t="str">
            <v>10-60-CSH-ST-0011</v>
          </cell>
          <cell r="I1450" t="str">
            <v>Calculation Sheet For Sedimented Water Transfer Pumps (A/B) foundation</v>
          </cell>
          <cell r="O1450">
            <v>0.01</v>
          </cell>
          <cell r="P1450">
            <v>4.8000000000000008E-5</v>
          </cell>
          <cell r="Q1450" t="str">
            <v>L</v>
          </cell>
          <cell r="R1450">
            <v>2.5000000000000001E-4</v>
          </cell>
          <cell r="T1450">
            <v>39455</v>
          </cell>
          <cell r="V1450" t="str">
            <v>2008-01</v>
          </cell>
          <cell r="AM1450">
            <v>0</v>
          </cell>
          <cell r="AN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</row>
        <row r="1451">
          <cell r="C1451" t="str">
            <v>DWG</v>
          </cell>
          <cell r="H1451" t="str">
            <v>10-60-A1-ST-0012</v>
          </cell>
          <cell r="I1451" t="str">
            <v>Gravity Sand Filters Backwash Pumps (A/B) foundation plan &amp; details</v>
          </cell>
          <cell r="O1451">
            <v>0.01</v>
          </cell>
          <cell r="P1451">
            <v>4.8000000000000008E-5</v>
          </cell>
          <cell r="Q1451" t="str">
            <v>L</v>
          </cell>
          <cell r="R1451">
            <v>2.5000000000000001E-4</v>
          </cell>
          <cell r="T1451">
            <v>39455</v>
          </cell>
          <cell r="V1451" t="str">
            <v>2008-01</v>
          </cell>
          <cell r="AM1451">
            <v>0</v>
          </cell>
          <cell r="AN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</row>
        <row r="1452">
          <cell r="C1452" t="str">
            <v>CLS</v>
          </cell>
          <cell r="H1452" t="str">
            <v>10-60-CSH-ST-0012</v>
          </cell>
          <cell r="I1452" t="str">
            <v xml:space="preserve">Calculation Sheet For Gravity Sand Filters Backwash Pumps (A/B) foundation </v>
          </cell>
          <cell r="O1452">
            <v>0.01</v>
          </cell>
          <cell r="P1452">
            <v>4.8000000000000008E-5</v>
          </cell>
          <cell r="Q1452" t="str">
            <v>L</v>
          </cell>
          <cell r="R1452">
            <v>2.5000000000000001E-4</v>
          </cell>
          <cell r="T1452">
            <v>39455</v>
          </cell>
          <cell r="V1452" t="str">
            <v>2008-01</v>
          </cell>
          <cell r="AM1452">
            <v>0</v>
          </cell>
          <cell r="AN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</row>
        <row r="1453">
          <cell r="C1453" t="str">
            <v>DWG</v>
          </cell>
          <cell r="H1453" t="str">
            <v>10-60-A1-ST-0013</v>
          </cell>
          <cell r="I1453" t="str">
            <v>Gravity Sand Filter Air Blowers (A/B) foundation plan &amp; details</v>
          </cell>
          <cell r="O1453">
            <v>0.01</v>
          </cell>
          <cell r="P1453">
            <v>4.8000000000000008E-5</v>
          </cell>
          <cell r="Q1453" t="str">
            <v>L</v>
          </cell>
          <cell r="R1453">
            <v>2.5000000000000001E-4</v>
          </cell>
          <cell r="T1453">
            <v>39456</v>
          </cell>
          <cell r="V1453" t="str">
            <v>2008-01</v>
          </cell>
          <cell r="AM1453">
            <v>0</v>
          </cell>
          <cell r="AN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</row>
        <row r="1454">
          <cell r="C1454" t="str">
            <v>CLS</v>
          </cell>
          <cell r="H1454" t="str">
            <v>10-60-CSH-ST-0013</v>
          </cell>
          <cell r="I1454" t="str">
            <v xml:space="preserve">Calculation Sheet For Gravity Sand Filter Air Blowers (A/B) foundation </v>
          </cell>
          <cell r="O1454">
            <v>0.01</v>
          </cell>
          <cell r="P1454">
            <v>4.8000000000000008E-5</v>
          </cell>
          <cell r="Q1454" t="str">
            <v>L</v>
          </cell>
          <cell r="R1454">
            <v>2.5000000000000001E-4</v>
          </cell>
          <cell r="T1454">
            <v>39456</v>
          </cell>
          <cell r="V1454" t="str">
            <v>2008-01</v>
          </cell>
          <cell r="AM1454">
            <v>0</v>
          </cell>
          <cell r="AN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</row>
        <row r="1455">
          <cell r="C1455" t="str">
            <v>DWG</v>
          </cell>
          <cell r="H1455" t="str">
            <v>10-60-A1-ST-0014</v>
          </cell>
          <cell r="I1455" t="str">
            <v>Sludge Transfer Pumps (A/B) foundation plan &amp; details</v>
          </cell>
          <cell r="O1455">
            <v>0.01</v>
          </cell>
          <cell r="P1455">
            <v>4.8000000000000008E-5</v>
          </cell>
          <cell r="Q1455" t="str">
            <v>L</v>
          </cell>
          <cell r="R1455">
            <v>2.5000000000000001E-4</v>
          </cell>
          <cell r="T1455">
            <v>39456</v>
          </cell>
          <cell r="V1455" t="str">
            <v>2008-01</v>
          </cell>
          <cell r="AM1455">
            <v>0</v>
          </cell>
          <cell r="AN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</row>
        <row r="1456">
          <cell r="C1456" t="str">
            <v>CLS</v>
          </cell>
          <cell r="H1456" t="str">
            <v>10-60-CSH-ST-0014</v>
          </cell>
          <cell r="I1456" t="str">
            <v xml:space="preserve">Calculation Sheet For Sludge Transfer Pumps (A/B) foundation </v>
          </cell>
          <cell r="O1456">
            <v>0.01</v>
          </cell>
          <cell r="P1456">
            <v>4.8000000000000008E-5</v>
          </cell>
          <cell r="Q1456" t="str">
            <v>L</v>
          </cell>
          <cell r="R1456">
            <v>2.5000000000000001E-4</v>
          </cell>
          <cell r="T1456">
            <v>39457</v>
          </cell>
          <cell r="V1456" t="str">
            <v>2008-01</v>
          </cell>
          <cell r="AM1456">
            <v>0</v>
          </cell>
          <cell r="AN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</row>
        <row r="1457">
          <cell r="C1457" t="str">
            <v>DWG</v>
          </cell>
          <cell r="H1457" t="str">
            <v>10-60-A1-ST-0015</v>
          </cell>
          <cell r="I1457" t="str">
            <v>Thickened Sludge Pumps to Drying Beds (A/B) foundation plan &amp; details</v>
          </cell>
          <cell r="O1457">
            <v>0.01</v>
          </cell>
          <cell r="P1457">
            <v>4.8000000000000008E-5</v>
          </cell>
          <cell r="Q1457" t="str">
            <v>L</v>
          </cell>
          <cell r="R1457">
            <v>2.5000000000000001E-4</v>
          </cell>
          <cell r="T1457">
            <v>39457</v>
          </cell>
          <cell r="V1457" t="str">
            <v>2008-01</v>
          </cell>
          <cell r="AM1457">
            <v>0</v>
          </cell>
          <cell r="AN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</row>
        <row r="1458">
          <cell r="C1458" t="str">
            <v>CLS</v>
          </cell>
          <cell r="H1458" t="str">
            <v>10-60-CSH-ST-0015</v>
          </cell>
          <cell r="I1458" t="str">
            <v xml:space="preserve">Calculation Sheet For Thickened Sludge Pumps to Drying Beds (A/B) foundation </v>
          </cell>
          <cell r="O1458">
            <v>0.01</v>
          </cell>
          <cell r="P1458">
            <v>4.8000000000000008E-5</v>
          </cell>
          <cell r="Q1458" t="str">
            <v>L</v>
          </cell>
          <cell r="R1458">
            <v>2.5000000000000001E-4</v>
          </cell>
          <cell r="T1458">
            <v>39457</v>
          </cell>
          <cell r="V1458" t="str">
            <v>2008-01</v>
          </cell>
          <cell r="AM1458">
            <v>0</v>
          </cell>
          <cell r="AN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</row>
        <row r="1459">
          <cell r="C1459" t="str">
            <v>DWG</v>
          </cell>
          <cell r="H1459" t="str">
            <v>10-60-A1-ST-0016</v>
          </cell>
          <cell r="I1459" t="str">
            <v>Inorganic Waste Water Transfer Pumps to Flash Mixer (A/B) foundation plan &amp; details</v>
          </cell>
          <cell r="O1459">
            <v>0.01</v>
          </cell>
          <cell r="P1459">
            <v>4.8000000000000008E-5</v>
          </cell>
          <cell r="Q1459" t="str">
            <v>L</v>
          </cell>
          <cell r="R1459">
            <v>2.5000000000000001E-4</v>
          </cell>
          <cell r="T1459">
            <v>39458</v>
          </cell>
          <cell r="V1459" t="str">
            <v>2008-01</v>
          </cell>
          <cell r="AM1459">
            <v>0</v>
          </cell>
          <cell r="AN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</row>
        <row r="1460">
          <cell r="C1460" t="str">
            <v>CLS</v>
          </cell>
          <cell r="H1460" t="str">
            <v>10-60-CSH-ST-0016</v>
          </cell>
          <cell r="I1460" t="str">
            <v>Calculation Sheet For Inorganic Waste Water Transfer Pumps to Flash Mixer (A/B) foundation</v>
          </cell>
          <cell r="O1460">
            <v>0.01</v>
          </cell>
          <cell r="P1460">
            <v>4.8000000000000008E-5</v>
          </cell>
          <cell r="Q1460" t="str">
            <v>L</v>
          </cell>
          <cell r="R1460">
            <v>2.5000000000000001E-4</v>
          </cell>
          <cell r="T1460">
            <v>39458</v>
          </cell>
          <cell r="V1460" t="str">
            <v>2008-01</v>
          </cell>
          <cell r="AM1460">
            <v>0</v>
          </cell>
          <cell r="AN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</row>
        <row r="1461">
          <cell r="C1461" t="str">
            <v>DWG</v>
          </cell>
          <cell r="H1461" t="str">
            <v>10-60-A1-ST-0017</v>
          </cell>
          <cell r="I1461" t="str">
            <v>Recovery Water Transfer Pumps to Filters (A/B) foundation plan &amp; details</v>
          </cell>
          <cell r="O1461">
            <v>0.01</v>
          </cell>
          <cell r="P1461">
            <v>4.8000000000000008E-5</v>
          </cell>
          <cell r="Q1461" t="str">
            <v>L</v>
          </cell>
          <cell r="R1461">
            <v>2.5000000000000001E-4</v>
          </cell>
          <cell r="T1461">
            <v>39458</v>
          </cell>
          <cell r="V1461" t="str">
            <v>2008-01</v>
          </cell>
          <cell r="AM1461">
            <v>0</v>
          </cell>
          <cell r="AN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</row>
        <row r="1462">
          <cell r="C1462" t="str">
            <v>CLS</v>
          </cell>
          <cell r="H1462" t="str">
            <v>10-60-CSH-ST-0017</v>
          </cell>
          <cell r="I1462" t="str">
            <v xml:space="preserve">Calculation Sheet For Recovery Water Transfer Pumps to Filters (A/B) foundation </v>
          </cell>
          <cell r="O1462">
            <v>0.01</v>
          </cell>
          <cell r="P1462">
            <v>4.8000000000000008E-5</v>
          </cell>
          <cell r="Q1462" t="str">
            <v>L</v>
          </cell>
          <cell r="R1462">
            <v>2.5000000000000001E-4</v>
          </cell>
          <cell r="T1462">
            <v>39459</v>
          </cell>
          <cell r="V1462" t="str">
            <v>2008-01</v>
          </cell>
          <cell r="AM1462">
            <v>0</v>
          </cell>
          <cell r="AN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</row>
        <row r="1463">
          <cell r="C1463" t="str">
            <v>DWG</v>
          </cell>
          <cell r="H1463" t="str">
            <v>10-60-A1-ST-0018</v>
          </cell>
          <cell r="I1463" t="str">
            <v>Pressurized Sand Filters (A/B/C/E/F) foundation plan &amp; details</v>
          </cell>
          <cell r="O1463">
            <v>0.01</v>
          </cell>
          <cell r="P1463">
            <v>4.8000000000000008E-5</v>
          </cell>
          <cell r="Q1463" t="str">
            <v>L</v>
          </cell>
          <cell r="R1463">
            <v>2.5000000000000001E-4</v>
          </cell>
          <cell r="T1463">
            <v>39459</v>
          </cell>
          <cell r="V1463" t="str">
            <v>2008-01</v>
          </cell>
          <cell r="AM1463">
            <v>0</v>
          </cell>
          <cell r="AN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</row>
        <row r="1464">
          <cell r="C1464" t="str">
            <v>CLS</v>
          </cell>
          <cell r="H1464" t="str">
            <v>10-60-CSH-ST-0018</v>
          </cell>
          <cell r="I1464" t="str">
            <v>Calculation Sheet For Pressurized Sand Filters (A/B/C/E/F) foundation</v>
          </cell>
          <cell r="O1464">
            <v>0.01</v>
          </cell>
          <cell r="P1464">
            <v>4.8000000000000008E-5</v>
          </cell>
          <cell r="Q1464" t="str">
            <v>L</v>
          </cell>
          <cell r="R1464">
            <v>2.5000000000000001E-4</v>
          </cell>
          <cell r="T1464">
            <v>39459</v>
          </cell>
          <cell r="V1464" t="str">
            <v>2008-01</v>
          </cell>
          <cell r="AM1464">
            <v>0</v>
          </cell>
          <cell r="AN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</row>
        <row r="1465">
          <cell r="C1465" t="str">
            <v>DWG</v>
          </cell>
          <cell r="H1465" t="str">
            <v>10-60-A1-ST-0019</v>
          </cell>
          <cell r="I1465" t="str">
            <v>Sand Filters Air Blowers (A/B) foundation plan &amp; details</v>
          </cell>
          <cell r="O1465">
            <v>0.01</v>
          </cell>
          <cell r="P1465">
            <v>4.8000000000000008E-5</v>
          </cell>
          <cell r="Q1465" t="str">
            <v>L</v>
          </cell>
          <cell r="R1465">
            <v>2.5000000000000001E-4</v>
          </cell>
          <cell r="T1465">
            <v>39460</v>
          </cell>
          <cell r="V1465" t="str">
            <v>2008-01</v>
          </cell>
          <cell r="AM1465">
            <v>0</v>
          </cell>
          <cell r="AN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</row>
        <row r="1466">
          <cell r="C1466" t="str">
            <v>CLS</v>
          </cell>
          <cell r="H1466" t="str">
            <v>10-60-CSH-ST-0019</v>
          </cell>
          <cell r="I1466" t="str">
            <v>Calculation Sheet For Sand Filters Air Blowers (A/B) foundation</v>
          </cell>
          <cell r="O1466">
            <v>0.01</v>
          </cell>
          <cell r="P1466">
            <v>4.8000000000000008E-5</v>
          </cell>
          <cell r="Q1466" t="str">
            <v>L</v>
          </cell>
          <cell r="R1466">
            <v>2.5000000000000001E-4</v>
          </cell>
          <cell r="T1466">
            <v>39460</v>
          </cell>
          <cell r="V1466" t="str">
            <v>2008-01</v>
          </cell>
          <cell r="AM1466">
            <v>0</v>
          </cell>
          <cell r="AN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</row>
        <row r="1467">
          <cell r="C1467" t="str">
            <v>DWG</v>
          </cell>
          <cell r="H1467" t="str">
            <v>10-60-A1-ST-0020</v>
          </cell>
          <cell r="I1467" t="str">
            <v>Filter Backwash Pumps (A/B) foundation plan &amp; details</v>
          </cell>
          <cell r="O1467">
            <v>0.01</v>
          </cell>
          <cell r="P1467">
            <v>4.8000000000000008E-5</v>
          </cell>
          <cell r="Q1467" t="str">
            <v>L</v>
          </cell>
          <cell r="R1467">
            <v>2.5000000000000001E-4</v>
          </cell>
          <cell r="T1467">
            <v>39460</v>
          </cell>
          <cell r="V1467" t="str">
            <v>2008-01</v>
          </cell>
          <cell r="AM1467">
            <v>0</v>
          </cell>
          <cell r="AN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</row>
        <row r="1468">
          <cell r="C1468" t="str">
            <v>CLS</v>
          </cell>
          <cell r="H1468" t="str">
            <v>10-60-CSH-ST-0020</v>
          </cell>
          <cell r="I1468" t="str">
            <v>Calculation Sheet For Filter Backwash Pumps (A/B) foundation</v>
          </cell>
          <cell r="O1468">
            <v>0.01</v>
          </cell>
          <cell r="P1468">
            <v>4.8000000000000008E-5</v>
          </cell>
          <cell r="Q1468" t="str">
            <v>L</v>
          </cell>
          <cell r="R1468">
            <v>2.5000000000000001E-4</v>
          </cell>
          <cell r="T1468">
            <v>39461</v>
          </cell>
          <cell r="V1468" t="str">
            <v>2008-01</v>
          </cell>
          <cell r="AM1468">
            <v>0</v>
          </cell>
          <cell r="AN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</row>
        <row r="1469">
          <cell r="C1469" t="str">
            <v>DWG</v>
          </cell>
          <cell r="H1469" t="str">
            <v>10-60-A1-ST-0021</v>
          </cell>
          <cell r="I1469" t="str">
            <v>Irrigation Pumps (A/B) foundation plan &amp; details</v>
          </cell>
          <cell r="O1469">
            <v>0.01</v>
          </cell>
          <cell r="P1469">
            <v>4.8000000000000008E-5</v>
          </cell>
          <cell r="Q1469" t="str">
            <v>L</v>
          </cell>
          <cell r="R1469">
            <v>2.5000000000000001E-4</v>
          </cell>
          <cell r="T1469">
            <v>39461</v>
          </cell>
          <cell r="V1469" t="str">
            <v>2008-01</v>
          </cell>
          <cell r="AM1469">
            <v>0</v>
          </cell>
          <cell r="AN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</row>
        <row r="1470">
          <cell r="C1470" t="str">
            <v>CLS</v>
          </cell>
          <cell r="H1470" t="str">
            <v>10-60-CSH-ST-0021</v>
          </cell>
          <cell r="I1470" t="str">
            <v xml:space="preserve">Calculation Sheet For Irrigation Pumps (A/B) foundation </v>
          </cell>
          <cell r="O1470">
            <v>0.01</v>
          </cell>
          <cell r="P1470">
            <v>4.8000000000000008E-5</v>
          </cell>
          <cell r="Q1470" t="str">
            <v>L</v>
          </cell>
          <cell r="R1470">
            <v>2.5000000000000001E-4</v>
          </cell>
          <cell r="T1470">
            <v>39461</v>
          </cell>
          <cell r="V1470" t="str">
            <v>2008-01</v>
          </cell>
          <cell r="AM1470">
            <v>0</v>
          </cell>
          <cell r="AN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</row>
        <row r="1471">
          <cell r="C1471" t="str">
            <v>DWG</v>
          </cell>
          <cell r="H1471" t="str">
            <v>10-60-A1-ST-0022</v>
          </cell>
          <cell r="I1471" t="str">
            <v>H2SO4 Unloading Pumps (A/B) foundation plan &amp; details</v>
          </cell>
          <cell r="O1471">
            <v>0.01</v>
          </cell>
          <cell r="P1471">
            <v>4.8000000000000008E-5</v>
          </cell>
          <cell r="Q1471" t="str">
            <v>L</v>
          </cell>
          <cell r="R1471">
            <v>2.5000000000000001E-4</v>
          </cell>
          <cell r="T1471">
            <v>39462</v>
          </cell>
          <cell r="V1471" t="str">
            <v>2008-01</v>
          </cell>
          <cell r="AM1471">
            <v>0</v>
          </cell>
          <cell r="AN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</row>
        <row r="1472">
          <cell r="C1472" t="str">
            <v>CLS</v>
          </cell>
          <cell r="H1472" t="str">
            <v>10-60-CSH-ST-0022</v>
          </cell>
          <cell r="I1472" t="str">
            <v>Calculation Sheet For H2SO4 Unloading Pumps (A/B) foundation</v>
          </cell>
          <cell r="O1472">
            <v>0.01</v>
          </cell>
          <cell r="P1472">
            <v>4.8000000000000008E-5</v>
          </cell>
          <cell r="Q1472" t="str">
            <v>L</v>
          </cell>
          <cell r="R1472">
            <v>2.5000000000000001E-4</v>
          </cell>
          <cell r="T1472">
            <v>39462</v>
          </cell>
          <cell r="V1472" t="str">
            <v>2008-01</v>
          </cell>
          <cell r="AM1472">
            <v>0</v>
          </cell>
          <cell r="AN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</row>
        <row r="1473">
          <cell r="C1473" t="str">
            <v>DWG</v>
          </cell>
          <cell r="H1473" t="str">
            <v>10-60-A1-ST-0023</v>
          </cell>
          <cell r="I1473" t="str">
            <v>H2SO4 Storage Tank foundation plan &amp; details</v>
          </cell>
          <cell r="O1473">
            <v>0.01</v>
          </cell>
          <cell r="P1473">
            <v>4.8000000000000008E-5</v>
          </cell>
          <cell r="Q1473" t="str">
            <v>L</v>
          </cell>
          <cell r="R1473">
            <v>2.5000000000000001E-4</v>
          </cell>
          <cell r="T1473">
            <v>39462</v>
          </cell>
          <cell r="V1473" t="str">
            <v>2008-01</v>
          </cell>
          <cell r="AM1473">
            <v>0</v>
          </cell>
          <cell r="AN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</row>
        <row r="1474">
          <cell r="C1474" t="str">
            <v>CLS</v>
          </cell>
          <cell r="H1474" t="str">
            <v>10-60-CSH-ST-0023</v>
          </cell>
          <cell r="I1474" t="str">
            <v>Calculation Sheet For H2SO4 Storage Tank foundation</v>
          </cell>
          <cell r="O1474">
            <v>0.01</v>
          </cell>
          <cell r="P1474">
            <v>4.8000000000000008E-5</v>
          </cell>
          <cell r="Q1474" t="str">
            <v>L</v>
          </cell>
          <cell r="R1474">
            <v>2.5000000000000001E-4</v>
          </cell>
          <cell r="T1474">
            <v>39463</v>
          </cell>
          <cell r="V1474" t="str">
            <v>2008-01</v>
          </cell>
          <cell r="AM1474">
            <v>0</v>
          </cell>
          <cell r="AN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</row>
        <row r="1475">
          <cell r="C1475" t="str">
            <v>DWG</v>
          </cell>
          <cell r="H1475" t="str">
            <v>10-60-A1-ST-0024</v>
          </cell>
          <cell r="I1475" t="str">
            <v>H2SO4 Dosing Pumps to Salty Waste Water (A/B) foundation plan &amp; details</v>
          </cell>
          <cell r="O1475">
            <v>0.01</v>
          </cell>
          <cell r="P1475">
            <v>4.8000000000000008E-5</v>
          </cell>
          <cell r="Q1475" t="str">
            <v>L</v>
          </cell>
          <cell r="R1475">
            <v>2.5000000000000001E-4</v>
          </cell>
          <cell r="T1475">
            <v>39463</v>
          </cell>
          <cell r="V1475" t="str">
            <v>2008-01</v>
          </cell>
          <cell r="AM1475">
            <v>0</v>
          </cell>
          <cell r="AN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</row>
        <row r="1476">
          <cell r="C1476" t="str">
            <v>CLS</v>
          </cell>
          <cell r="H1476" t="str">
            <v>10-60-CSH-ST-0024</v>
          </cell>
          <cell r="I1476" t="str">
            <v>Calculation Sheet For H2SO4 Dosing Pumps to Salty Waste Water (A/B) foundation</v>
          </cell>
          <cell r="O1476">
            <v>0.01</v>
          </cell>
          <cell r="P1476">
            <v>4.8000000000000008E-5</v>
          </cell>
          <cell r="Q1476" t="str">
            <v>L</v>
          </cell>
          <cell r="R1476">
            <v>2.5000000000000001E-4</v>
          </cell>
          <cell r="T1476">
            <v>39463</v>
          </cell>
          <cell r="V1476" t="str">
            <v>2008-01</v>
          </cell>
          <cell r="AM1476">
            <v>0</v>
          </cell>
          <cell r="AN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</row>
        <row r="1477">
          <cell r="C1477" t="str">
            <v>DWG</v>
          </cell>
          <cell r="H1477" t="str">
            <v>10-60-A1-ST-0025</v>
          </cell>
          <cell r="I1477" t="str">
            <v>NaOH Unloading Pumps (A/B) foundation plan &amp; details</v>
          </cell>
          <cell r="O1477">
            <v>0.01</v>
          </cell>
          <cell r="P1477">
            <v>4.8000000000000008E-5</v>
          </cell>
          <cell r="Q1477" t="str">
            <v>L</v>
          </cell>
          <cell r="R1477">
            <v>2.5000000000000001E-4</v>
          </cell>
          <cell r="T1477">
            <v>39464</v>
          </cell>
          <cell r="V1477" t="str">
            <v>2008-01</v>
          </cell>
          <cell r="AM1477">
            <v>0</v>
          </cell>
          <cell r="AN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</row>
        <row r="1478">
          <cell r="C1478" t="str">
            <v>CLS</v>
          </cell>
          <cell r="H1478" t="str">
            <v>10-60-CSH-ST-0025</v>
          </cell>
          <cell r="I1478" t="str">
            <v>Calculation Sheet For NaOH Unloading Pumps (A/B) foundation</v>
          </cell>
          <cell r="O1478">
            <v>0.01</v>
          </cell>
          <cell r="P1478">
            <v>4.8000000000000008E-5</v>
          </cell>
          <cell r="Q1478" t="str">
            <v>L</v>
          </cell>
          <cell r="R1478">
            <v>2.5000000000000001E-4</v>
          </cell>
          <cell r="T1478">
            <v>39464</v>
          </cell>
          <cell r="V1478" t="str">
            <v>2008-01</v>
          </cell>
          <cell r="AM1478">
            <v>0</v>
          </cell>
          <cell r="AN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</row>
        <row r="1479">
          <cell r="C1479" t="str">
            <v>DWG</v>
          </cell>
          <cell r="H1479" t="str">
            <v>10-60-A1-ST-0026</v>
          </cell>
          <cell r="I1479" t="str">
            <v>NaOH Storage Tank foundation plan &amp; details</v>
          </cell>
          <cell r="O1479">
            <v>0.01</v>
          </cell>
          <cell r="P1479">
            <v>4.8000000000000008E-5</v>
          </cell>
          <cell r="Q1479" t="str">
            <v>L</v>
          </cell>
          <cell r="R1479">
            <v>2.5000000000000001E-4</v>
          </cell>
          <cell r="T1479">
            <v>39464</v>
          </cell>
          <cell r="V1479" t="str">
            <v>2008-01</v>
          </cell>
          <cell r="AM1479">
            <v>0</v>
          </cell>
          <cell r="AN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</row>
        <row r="1480">
          <cell r="C1480" t="str">
            <v>CLS</v>
          </cell>
          <cell r="H1480" t="str">
            <v>10-60-CSH-ST-0026</v>
          </cell>
          <cell r="I1480" t="str">
            <v>Calculation Sheet For NaOH Storage Tank foundation</v>
          </cell>
          <cell r="O1480">
            <v>0.01</v>
          </cell>
          <cell r="P1480">
            <v>4.8000000000000008E-5</v>
          </cell>
          <cell r="Q1480" t="str">
            <v>L</v>
          </cell>
          <cell r="R1480">
            <v>2.5000000000000001E-4</v>
          </cell>
          <cell r="T1480">
            <v>39465</v>
          </cell>
          <cell r="V1480" t="str">
            <v>2008-01</v>
          </cell>
          <cell r="AM1480">
            <v>0</v>
          </cell>
          <cell r="AN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</row>
        <row r="1481">
          <cell r="C1481" t="str">
            <v>DWG</v>
          </cell>
          <cell r="H1481" t="str">
            <v>10-60-A1-ST-0027</v>
          </cell>
          <cell r="I1481" t="str">
            <v>NaOH Dosing Pumps to Organic Waste Water (A/B) foundation plan &amp; details</v>
          </cell>
          <cell r="O1481">
            <v>0.01</v>
          </cell>
          <cell r="P1481">
            <v>4.8000000000000008E-5</v>
          </cell>
          <cell r="Q1481" t="str">
            <v>L</v>
          </cell>
          <cell r="R1481">
            <v>2.5000000000000001E-4</v>
          </cell>
          <cell r="T1481">
            <v>39465</v>
          </cell>
          <cell r="V1481" t="str">
            <v>2008-01</v>
          </cell>
          <cell r="AM1481">
            <v>0</v>
          </cell>
          <cell r="AN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</row>
        <row r="1482">
          <cell r="C1482" t="str">
            <v>CLS</v>
          </cell>
          <cell r="H1482" t="str">
            <v>10-60-CSH-ST-0027</v>
          </cell>
          <cell r="I1482" t="str">
            <v>Calculation Sheet For NaOH Dosing Pumps to Organic Waste Water (A/B) foundation</v>
          </cell>
          <cell r="O1482">
            <v>0.01</v>
          </cell>
          <cell r="P1482">
            <v>4.8000000000000008E-5</v>
          </cell>
          <cell r="Q1482" t="str">
            <v>L</v>
          </cell>
          <cell r="R1482">
            <v>2.5000000000000001E-4</v>
          </cell>
          <cell r="T1482">
            <v>39465</v>
          </cell>
          <cell r="V1482" t="str">
            <v>2008-01</v>
          </cell>
          <cell r="AM1482">
            <v>0</v>
          </cell>
          <cell r="AN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</row>
        <row r="1483">
          <cell r="C1483" t="str">
            <v>DWG</v>
          </cell>
          <cell r="H1483" t="str">
            <v>10-60-A1-ST-0028</v>
          </cell>
          <cell r="I1483" t="str">
            <v>NaOH Dosing Pumps to Inorganic Waste Water (A/B) foundation plan &amp; details</v>
          </cell>
          <cell r="O1483">
            <v>0.01</v>
          </cell>
          <cell r="P1483">
            <v>4.8000000000000008E-5</v>
          </cell>
          <cell r="Q1483" t="str">
            <v>L</v>
          </cell>
          <cell r="R1483">
            <v>2.5000000000000001E-4</v>
          </cell>
          <cell r="T1483">
            <v>39466</v>
          </cell>
          <cell r="V1483" t="str">
            <v>2008-01</v>
          </cell>
          <cell r="AM1483">
            <v>0</v>
          </cell>
          <cell r="AN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</row>
        <row r="1484">
          <cell r="C1484" t="str">
            <v>CLS</v>
          </cell>
          <cell r="H1484" t="str">
            <v>10-60-CSH-ST-0028</v>
          </cell>
          <cell r="I1484" t="str">
            <v>Calculation Sheet For NaOH Dosing Pumps to Inorganic Waste Water (A/B) foundation</v>
          </cell>
          <cell r="O1484">
            <v>0.01</v>
          </cell>
          <cell r="P1484">
            <v>4.8000000000000008E-5</v>
          </cell>
          <cell r="Q1484" t="str">
            <v>L</v>
          </cell>
          <cell r="R1484">
            <v>2.5000000000000001E-4</v>
          </cell>
          <cell r="T1484">
            <v>39466</v>
          </cell>
          <cell r="V1484" t="str">
            <v>2008-01</v>
          </cell>
          <cell r="AM1484">
            <v>0</v>
          </cell>
          <cell r="AN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</row>
        <row r="1485">
          <cell r="C1485" t="str">
            <v>DWG</v>
          </cell>
          <cell r="H1485" t="str">
            <v>10-60-A1-ST-0029</v>
          </cell>
          <cell r="I1485" t="str">
            <v>NaOH Dosing Pumps to Organic Waste Water (A/B) foundation plan &amp; details</v>
          </cell>
          <cell r="O1485">
            <v>1.0999999999999999E-2</v>
          </cell>
          <cell r="P1485">
            <v>5.2800000000000003E-5</v>
          </cell>
          <cell r="Q1485" t="str">
            <v>L</v>
          </cell>
          <cell r="R1485">
            <v>2.5000000000000001E-4</v>
          </cell>
          <cell r="T1485">
            <v>39466</v>
          </cell>
          <cell r="V1485" t="str">
            <v>2008-01</v>
          </cell>
          <cell r="AM1485">
            <v>0</v>
          </cell>
          <cell r="AN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</row>
        <row r="1486">
          <cell r="C1486" t="str">
            <v>CLS</v>
          </cell>
          <cell r="H1486" t="str">
            <v>10-60-CSH-ST-0029</v>
          </cell>
          <cell r="I1486" t="str">
            <v>Calculation Sheet For NaOH Dosing Pumps to Organic Waste Water (A/B) foundation</v>
          </cell>
          <cell r="O1486">
            <v>1.0999999999999999E-2</v>
          </cell>
          <cell r="P1486">
            <v>5.2800000000000003E-5</v>
          </cell>
          <cell r="Q1486" t="str">
            <v>L</v>
          </cell>
          <cell r="R1486">
            <v>2.5000000000000001E-4</v>
          </cell>
          <cell r="T1486">
            <v>39467</v>
          </cell>
          <cell r="V1486" t="str">
            <v>2008-01</v>
          </cell>
          <cell r="AM1486">
            <v>0</v>
          </cell>
          <cell r="AN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</row>
        <row r="1487">
          <cell r="C1487" t="str">
            <v>DWG</v>
          </cell>
          <cell r="H1487" t="str">
            <v>10-60-A1-ST-0030</v>
          </cell>
          <cell r="I1487" t="str">
            <v>NaOH Dosing Pumps to Salty Waste Water (A/B) foundation plan &amp; details</v>
          </cell>
          <cell r="O1487">
            <v>1.0999999999999999E-2</v>
          </cell>
          <cell r="P1487">
            <v>5.2800000000000003E-5</v>
          </cell>
          <cell r="Q1487" t="str">
            <v>L</v>
          </cell>
          <cell r="R1487">
            <v>2.5000000000000001E-4</v>
          </cell>
          <cell r="T1487">
            <v>39467</v>
          </cell>
          <cell r="V1487" t="str">
            <v>2008-01</v>
          </cell>
          <cell r="AM1487">
            <v>0</v>
          </cell>
          <cell r="AN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</row>
        <row r="1488">
          <cell r="C1488" t="str">
            <v>CLS</v>
          </cell>
          <cell r="H1488" t="str">
            <v>10-60-CSH-ST-0030</v>
          </cell>
          <cell r="I1488" t="str">
            <v>Calculation Sheet For NaOH Dosing Pumps to Salty Waste Water (A/B) foundation</v>
          </cell>
          <cell r="O1488">
            <v>1.0999999999999999E-2</v>
          </cell>
          <cell r="P1488">
            <v>5.2800000000000003E-5</v>
          </cell>
          <cell r="Q1488" t="str">
            <v>L</v>
          </cell>
          <cell r="R1488">
            <v>2.5000000000000001E-4</v>
          </cell>
          <cell r="T1488">
            <v>39467</v>
          </cell>
          <cell r="V1488" t="str">
            <v>2008-01</v>
          </cell>
          <cell r="AM1488">
            <v>0</v>
          </cell>
          <cell r="AN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</row>
        <row r="1489">
          <cell r="C1489" t="str">
            <v>DWG</v>
          </cell>
          <cell r="H1489" t="str">
            <v>10-60-A1-ST-0031</v>
          </cell>
          <cell r="I1489" t="str">
            <v>Coagulant Unloading Pumps (A/B) foundation plan &amp; details</v>
          </cell>
          <cell r="O1489">
            <v>1.0999999999999999E-2</v>
          </cell>
          <cell r="P1489">
            <v>5.2800000000000003E-5</v>
          </cell>
          <cell r="Q1489" t="str">
            <v>L</v>
          </cell>
          <cell r="R1489">
            <v>2.5000000000000001E-4</v>
          </cell>
          <cell r="T1489">
            <v>39468</v>
          </cell>
          <cell r="V1489" t="str">
            <v>2008-01</v>
          </cell>
          <cell r="AM1489">
            <v>0</v>
          </cell>
          <cell r="AN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</row>
        <row r="1490">
          <cell r="C1490" t="str">
            <v>CLS</v>
          </cell>
          <cell r="H1490" t="str">
            <v>10-60-CSH-ST-0031</v>
          </cell>
          <cell r="I1490" t="str">
            <v>Calculation Sheet For Coagulant Unloading Pumps (A/B) foundation</v>
          </cell>
          <cell r="O1490">
            <v>1.0999999999999999E-2</v>
          </cell>
          <cell r="P1490">
            <v>5.2800000000000003E-5</v>
          </cell>
          <cell r="Q1490" t="str">
            <v>L</v>
          </cell>
          <cell r="R1490">
            <v>2.5000000000000001E-4</v>
          </cell>
          <cell r="T1490">
            <v>39468</v>
          </cell>
          <cell r="V1490" t="str">
            <v>2008-01</v>
          </cell>
          <cell r="AM1490">
            <v>0</v>
          </cell>
          <cell r="AN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</row>
        <row r="1491">
          <cell r="C1491" t="str">
            <v>DWG</v>
          </cell>
          <cell r="H1491" t="str">
            <v>10-60-A1-ST-0032</v>
          </cell>
          <cell r="I1491" t="str">
            <v>Coagulant Storage Tank foundation plan &amp; details</v>
          </cell>
          <cell r="O1491">
            <v>1.0999999999999999E-2</v>
          </cell>
          <cell r="P1491">
            <v>5.2800000000000003E-5</v>
          </cell>
          <cell r="Q1491" t="str">
            <v>L</v>
          </cell>
          <cell r="R1491">
            <v>2.5000000000000001E-4</v>
          </cell>
          <cell r="T1491">
            <v>39468</v>
          </cell>
          <cell r="V1491" t="str">
            <v>2008-01</v>
          </cell>
          <cell r="AM1491">
            <v>0</v>
          </cell>
          <cell r="AN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</row>
        <row r="1492">
          <cell r="C1492" t="str">
            <v>DWG</v>
          </cell>
          <cell r="H1492" t="str">
            <v>10-60-CSH-ST-0032</v>
          </cell>
          <cell r="I1492" t="str">
            <v>Calculation Sheet For Coagulant Storage Tank foundation</v>
          </cell>
          <cell r="O1492">
            <v>1.0999999999999999E-2</v>
          </cell>
          <cell r="P1492">
            <v>5.2800000000000003E-5</v>
          </cell>
          <cell r="Q1492" t="str">
            <v>L</v>
          </cell>
          <cell r="R1492">
            <v>2.5000000000000001E-4</v>
          </cell>
          <cell r="T1492">
            <v>39469</v>
          </cell>
          <cell r="V1492" t="str">
            <v>2008-01</v>
          </cell>
          <cell r="AH1492" t="str">
            <v/>
          </cell>
          <cell r="AJ1492" t="str">
            <v/>
          </cell>
          <cell r="AL1492" t="str">
            <v/>
          </cell>
          <cell r="AM1492">
            <v>0</v>
          </cell>
          <cell r="AN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</row>
        <row r="1493">
          <cell r="C1493" t="str">
            <v>DWG</v>
          </cell>
          <cell r="H1493" t="str">
            <v>10-60-A1-ST-0033</v>
          </cell>
          <cell r="I1493" t="str">
            <v>Coagulant Dosing Tank foundation plan &amp; details</v>
          </cell>
          <cell r="O1493">
            <v>1.0999999999999999E-2</v>
          </cell>
          <cell r="P1493">
            <v>5.2800000000000003E-5</v>
          </cell>
          <cell r="Q1493" t="str">
            <v>L</v>
          </cell>
          <cell r="R1493">
            <v>2.5000000000000001E-4</v>
          </cell>
          <cell r="T1493">
            <v>39469</v>
          </cell>
          <cell r="V1493" t="str">
            <v>2008-01</v>
          </cell>
          <cell r="AH1493" t="str">
            <v/>
          </cell>
          <cell r="AJ1493" t="str">
            <v/>
          </cell>
          <cell r="AL1493" t="str">
            <v/>
          </cell>
          <cell r="AM1493">
            <v>0</v>
          </cell>
          <cell r="AN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</row>
        <row r="1494">
          <cell r="C1494" t="str">
            <v>DWG</v>
          </cell>
          <cell r="H1494" t="str">
            <v>10-60-CSH-ST-0033</v>
          </cell>
          <cell r="I1494" t="str">
            <v>Calculation Sheet For Coagulant Dosing Tank foundation</v>
          </cell>
          <cell r="O1494">
            <v>1.0999999999999999E-2</v>
          </cell>
          <cell r="P1494">
            <v>5.2800000000000003E-5</v>
          </cell>
          <cell r="Q1494" t="str">
            <v>L</v>
          </cell>
          <cell r="R1494">
            <v>2.5000000000000001E-4</v>
          </cell>
          <cell r="T1494">
            <v>39469</v>
          </cell>
          <cell r="V1494" t="str">
            <v>2008-01</v>
          </cell>
          <cell r="AH1494" t="str">
            <v/>
          </cell>
          <cell r="AJ1494" t="str">
            <v/>
          </cell>
          <cell r="AL1494" t="str">
            <v/>
          </cell>
          <cell r="AM1494">
            <v>0</v>
          </cell>
          <cell r="AN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</row>
        <row r="1495">
          <cell r="C1495" t="str">
            <v>DWG</v>
          </cell>
          <cell r="H1495" t="str">
            <v>10-60-A1-ST-0034</v>
          </cell>
          <cell r="I1495" t="str">
            <v>Coagulant Dosing Pumps to Inorganic Waste Water (A/B) foundation plan &amp; details</v>
          </cell>
          <cell r="O1495">
            <v>1.0999999999999999E-2</v>
          </cell>
          <cell r="P1495">
            <v>5.2800000000000003E-5</v>
          </cell>
          <cell r="Q1495" t="str">
            <v>L</v>
          </cell>
          <cell r="R1495">
            <v>2.5000000000000001E-4</v>
          </cell>
          <cell r="T1495">
            <v>39470</v>
          </cell>
          <cell r="V1495" t="str">
            <v>2008-01</v>
          </cell>
          <cell r="AH1495" t="str">
            <v/>
          </cell>
          <cell r="AJ1495" t="str">
            <v/>
          </cell>
          <cell r="AL1495" t="str">
            <v/>
          </cell>
          <cell r="AM1495">
            <v>0</v>
          </cell>
          <cell r="AN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</row>
        <row r="1496">
          <cell r="C1496" t="str">
            <v>DWG</v>
          </cell>
          <cell r="H1496" t="str">
            <v>10-60-CSH-ST-0034</v>
          </cell>
          <cell r="I1496" t="str">
            <v>Calculation Sheet For Coagulant Dosing Pumps to Inorganic Waste Water (A/B) foundation</v>
          </cell>
          <cell r="O1496">
            <v>1.0999999999999999E-2</v>
          </cell>
          <cell r="P1496">
            <v>5.2800000000000003E-5</v>
          </cell>
          <cell r="Q1496" t="str">
            <v>L</v>
          </cell>
          <cell r="R1496">
            <v>2.5000000000000001E-4</v>
          </cell>
          <cell r="T1496">
            <v>39470</v>
          </cell>
          <cell r="V1496" t="str">
            <v>2008-01</v>
          </cell>
          <cell r="AH1496" t="str">
            <v/>
          </cell>
          <cell r="AJ1496" t="str">
            <v/>
          </cell>
          <cell r="AL1496" t="str">
            <v/>
          </cell>
          <cell r="AM1496">
            <v>0</v>
          </cell>
          <cell r="AN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</row>
        <row r="1497">
          <cell r="C1497" t="str">
            <v>DWG</v>
          </cell>
          <cell r="H1497" t="str">
            <v>10-60-A1-ST-0035</v>
          </cell>
          <cell r="I1497" t="str">
            <v>Coagulant Dosing Pumps to Organic Waste Water (A/B) foundation plan &amp; details</v>
          </cell>
          <cell r="O1497">
            <v>1.0999999999999999E-2</v>
          </cell>
          <cell r="P1497">
            <v>5.2800000000000003E-5</v>
          </cell>
          <cell r="Q1497" t="str">
            <v>L</v>
          </cell>
          <cell r="R1497">
            <v>2.5000000000000001E-4</v>
          </cell>
          <cell r="T1497">
            <v>39470</v>
          </cell>
          <cell r="V1497" t="str">
            <v>2008-01</v>
          </cell>
          <cell r="AH1497" t="str">
            <v/>
          </cell>
          <cell r="AJ1497" t="str">
            <v/>
          </cell>
          <cell r="AL1497" t="str">
            <v/>
          </cell>
          <cell r="AM1497">
            <v>0</v>
          </cell>
          <cell r="AN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</row>
        <row r="1498">
          <cell r="C1498" t="str">
            <v>DWG</v>
          </cell>
          <cell r="H1498" t="str">
            <v>10-60-CSH-ST-0035</v>
          </cell>
          <cell r="I1498" t="str">
            <v>Calculation Sheet For Coagulant Dosing Pumps to Organic Waste Water (A/B) foundation</v>
          </cell>
          <cell r="O1498">
            <v>1.0999999999999999E-2</v>
          </cell>
          <cell r="P1498">
            <v>5.2800000000000003E-5</v>
          </cell>
          <cell r="Q1498" t="str">
            <v>L</v>
          </cell>
          <cell r="R1498">
            <v>2.5000000000000001E-4</v>
          </cell>
          <cell r="T1498">
            <v>39471</v>
          </cell>
          <cell r="V1498" t="str">
            <v>2008-01</v>
          </cell>
          <cell r="AH1498" t="str">
            <v/>
          </cell>
          <cell r="AJ1498" t="str">
            <v/>
          </cell>
          <cell r="AL1498" t="str">
            <v/>
          </cell>
          <cell r="AM1498">
            <v>0</v>
          </cell>
          <cell r="AN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</row>
        <row r="1499">
          <cell r="C1499" t="str">
            <v>DWG</v>
          </cell>
          <cell r="H1499" t="str">
            <v>10-60-A1-ST-0036</v>
          </cell>
          <cell r="I1499" t="str">
            <v>Polyelectrolite Receiving and Storage Tank foundation plan &amp; details</v>
          </cell>
          <cell r="O1499">
            <v>1.0999999999999999E-2</v>
          </cell>
          <cell r="P1499">
            <v>5.2800000000000003E-5</v>
          </cell>
          <cell r="Q1499" t="str">
            <v>L</v>
          </cell>
          <cell r="R1499">
            <v>2.5000000000000001E-4</v>
          </cell>
          <cell r="T1499">
            <v>39471</v>
          </cell>
          <cell r="V1499" t="str">
            <v>2008-01</v>
          </cell>
          <cell r="AH1499" t="str">
            <v/>
          </cell>
          <cell r="AJ1499" t="str">
            <v/>
          </cell>
          <cell r="AL1499" t="str">
            <v/>
          </cell>
          <cell r="AM1499">
            <v>0</v>
          </cell>
          <cell r="AN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</row>
        <row r="1500">
          <cell r="C1500" t="str">
            <v>DWG</v>
          </cell>
          <cell r="H1500" t="str">
            <v>10-60-CSH-ST-0036</v>
          </cell>
          <cell r="I1500" t="str">
            <v>Calculation Sheet For Polyelectrolite Receiving and Storage Tank foundation</v>
          </cell>
          <cell r="O1500">
            <v>1.0999999999999999E-2</v>
          </cell>
          <cell r="P1500">
            <v>5.2800000000000003E-5</v>
          </cell>
          <cell r="Q1500" t="str">
            <v>L</v>
          </cell>
          <cell r="R1500">
            <v>2.5000000000000001E-4</v>
          </cell>
          <cell r="T1500">
            <v>39471</v>
          </cell>
          <cell r="V1500" t="str">
            <v>2008-01</v>
          </cell>
          <cell r="AH1500" t="str">
            <v/>
          </cell>
          <cell r="AJ1500" t="str">
            <v/>
          </cell>
          <cell r="AL1500" t="str">
            <v/>
          </cell>
          <cell r="AM1500">
            <v>0</v>
          </cell>
          <cell r="AN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</row>
        <row r="1501">
          <cell r="C1501" t="str">
            <v>DWG</v>
          </cell>
          <cell r="H1501" t="str">
            <v>10-60-A1-ST-0037</v>
          </cell>
          <cell r="I1501" t="str">
            <v>Polyelectrolite Dosing Tank foundation plan &amp; details</v>
          </cell>
          <cell r="O1501">
            <v>1.0999999999999999E-2</v>
          </cell>
          <cell r="P1501">
            <v>5.2800000000000003E-5</v>
          </cell>
          <cell r="Q1501" t="str">
            <v>L</v>
          </cell>
          <cell r="R1501">
            <v>2.5000000000000001E-4</v>
          </cell>
          <cell r="T1501">
            <v>39472</v>
          </cell>
          <cell r="V1501" t="str">
            <v>2008-01</v>
          </cell>
          <cell r="AH1501" t="str">
            <v/>
          </cell>
          <cell r="AJ1501" t="str">
            <v/>
          </cell>
          <cell r="AL1501" t="str">
            <v/>
          </cell>
          <cell r="AM1501">
            <v>0</v>
          </cell>
          <cell r="AN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</row>
        <row r="1502">
          <cell r="C1502" t="str">
            <v>DWG</v>
          </cell>
          <cell r="H1502" t="str">
            <v>10-60-CSH-ST-0037</v>
          </cell>
          <cell r="I1502" t="str">
            <v xml:space="preserve">Calculation Sheet For Polyelectrolite Dosing Tank foundation </v>
          </cell>
          <cell r="O1502">
            <v>1.0999999999999999E-2</v>
          </cell>
          <cell r="P1502">
            <v>5.2800000000000003E-5</v>
          </cell>
          <cell r="Q1502" t="str">
            <v>L</v>
          </cell>
          <cell r="R1502">
            <v>2.5000000000000001E-4</v>
          </cell>
          <cell r="T1502">
            <v>39472</v>
          </cell>
          <cell r="V1502" t="str">
            <v>2008-01</v>
          </cell>
          <cell r="AH1502" t="str">
            <v/>
          </cell>
          <cell r="AJ1502" t="str">
            <v/>
          </cell>
          <cell r="AL1502" t="str">
            <v/>
          </cell>
          <cell r="AM1502">
            <v>0</v>
          </cell>
          <cell r="AN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</row>
        <row r="1503">
          <cell r="C1503" t="str">
            <v>DWG</v>
          </cell>
          <cell r="H1503" t="str">
            <v>10-60-A1-ST-0038</v>
          </cell>
          <cell r="I1503" t="str">
            <v>Polyelectrolite Dosing Pumps to Inorganic Waste Water (A/B) foundation plan &amp; details</v>
          </cell>
          <cell r="O1503">
            <v>1.0999999999999999E-2</v>
          </cell>
          <cell r="P1503">
            <v>5.2800000000000003E-5</v>
          </cell>
          <cell r="Q1503" t="str">
            <v>L</v>
          </cell>
          <cell r="R1503">
            <v>2.5000000000000001E-4</v>
          </cell>
          <cell r="T1503">
            <v>39472</v>
          </cell>
          <cell r="V1503" t="str">
            <v>2008-01</v>
          </cell>
          <cell r="AH1503" t="str">
            <v/>
          </cell>
          <cell r="AJ1503" t="str">
            <v/>
          </cell>
          <cell r="AL1503" t="str">
            <v/>
          </cell>
          <cell r="AM1503">
            <v>0</v>
          </cell>
          <cell r="AN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</row>
        <row r="1504">
          <cell r="C1504" t="str">
            <v>DWG</v>
          </cell>
          <cell r="H1504" t="str">
            <v>10-60-CSH-ST-0038</v>
          </cell>
          <cell r="I1504" t="str">
            <v>Calculation Sheet For Polyelectrolite Dosing Pumps to Inorganic Waste Water (A/B) foundation</v>
          </cell>
          <cell r="O1504">
            <v>1.0999999999999999E-2</v>
          </cell>
          <cell r="P1504">
            <v>5.2800000000000003E-5</v>
          </cell>
          <cell r="Q1504" t="str">
            <v>L</v>
          </cell>
          <cell r="R1504">
            <v>2.5000000000000001E-4</v>
          </cell>
          <cell r="T1504">
            <v>39473</v>
          </cell>
          <cell r="V1504" t="str">
            <v>2008-01</v>
          </cell>
          <cell r="AH1504" t="str">
            <v/>
          </cell>
          <cell r="AJ1504" t="str">
            <v/>
          </cell>
          <cell r="AL1504" t="str">
            <v/>
          </cell>
          <cell r="AM1504">
            <v>0</v>
          </cell>
          <cell r="AN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</row>
        <row r="1505">
          <cell r="C1505" t="str">
            <v>DWG</v>
          </cell>
          <cell r="H1505" t="str">
            <v>10-60-A1-ST-0039</v>
          </cell>
          <cell r="I1505" t="str">
            <v>Polyelectrolite Receiving and Storage Tank foundation plan &amp; details</v>
          </cell>
          <cell r="O1505">
            <v>1.0999999999999999E-2</v>
          </cell>
          <cell r="P1505">
            <v>5.2800000000000003E-5</v>
          </cell>
          <cell r="Q1505" t="str">
            <v>L</v>
          </cell>
          <cell r="R1505">
            <v>2.5000000000000001E-4</v>
          </cell>
          <cell r="T1505">
            <v>39473</v>
          </cell>
          <cell r="V1505" t="str">
            <v>2008-01</v>
          </cell>
          <cell r="AH1505" t="str">
            <v/>
          </cell>
          <cell r="AJ1505" t="str">
            <v/>
          </cell>
          <cell r="AL1505" t="str">
            <v/>
          </cell>
          <cell r="AM1505">
            <v>0</v>
          </cell>
          <cell r="AN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</row>
        <row r="1506">
          <cell r="C1506" t="str">
            <v>DWG</v>
          </cell>
          <cell r="H1506" t="str">
            <v>10-60-CSH-ST-0039</v>
          </cell>
          <cell r="I1506" t="str">
            <v>Calculation Sheet For Polyelectrolite Receiving and Storage Tank foundation</v>
          </cell>
          <cell r="O1506">
            <v>1.0999999999999999E-2</v>
          </cell>
          <cell r="P1506">
            <v>5.2800000000000003E-5</v>
          </cell>
          <cell r="Q1506" t="str">
            <v>L</v>
          </cell>
          <cell r="R1506">
            <v>2.5000000000000001E-4</v>
          </cell>
          <cell r="T1506">
            <v>39473</v>
          </cell>
          <cell r="V1506" t="str">
            <v>2008-01</v>
          </cell>
          <cell r="AH1506" t="str">
            <v/>
          </cell>
          <cell r="AJ1506" t="str">
            <v/>
          </cell>
          <cell r="AL1506" t="str">
            <v/>
          </cell>
          <cell r="AM1506">
            <v>0</v>
          </cell>
          <cell r="AN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</row>
        <row r="1507">
          <cell r="C1507" t="str">
            <v>DWG</v>
          </cell>
          <cell r="H1507" t="str">
            <v>10-60-A1-ST-0040</v>
          </cell>
          <cell r="I1507" t="str">
            <v>Polyelectrolite Dosing Pumps to Organic Waste Water (A/B) foundation plan &amp; details</v>
          </cell>
          <cell r="O1507">
            <v>1.0999999999999999E-2</v>
          </cell>
          <cell r="P1507">
            <v>5.2800000000000003E-5</v>
          </cell>
          <cell r="Q1507" t="str">
            <v>L</v>
          </cell>
          <cell r="R1507">
            <v>2.5000000000000001E-4</v>
          </cell>
          <cell r="T1507">
            <v>39474</v>
          </cell>
          <cell r="V1507" t="str">
            <v>2008-01</v>
          </cell>
          <cell r="AH1507" t="str">
            <v/>
          </cell>
          <cell r="AJ1507" t="str">
            <v/>
          </cell>
          <cell r="AL1507" t="str">
            <v/>
          </cell>
          <cell r="AM1507">
            <v>0</v>
          </cell>
          <cell r="AN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</row>
        <row r="1508">
          <cell r="C1508" t="str">
            <v>DWG</v>
          </cell>
          <cell r="H1508" t="str">
            <v>10-60-CSH-ST-0040</v>
          </cell>
          <cell r="I1508" t="str">
            <v>Calculation Sheet For Polyelectrolite Dosing Pumps to Organic Waste Water (A/B) foundation</v>
          </cell>
          <cell r="O1508">
            <v>1.0999999999999999E-2</v>
          </cell>
          <cell r="P1508">
            <v>5.2800000000000003E-5</v>
          </cell>
          <cell r="Q1508" t="str">
            <v>L</v>
          </cell>
          <cell r="R1508">
            <v>2.5000000000000001E-4</v>
          </cell>
          <cell r="T1508">
            <v>39474</v>
          </cell>
          <cell r="V1508" t="str">
            <v>2008-01</v>
          </cell>
          <cell r="AH1508" t="str">
            <v/>
          </cell>
          <cell r="AJ1508" t="str">
            <v/>
          </cell>
          <cell r="AL1508" t="str">
            <v/>
          </cell>
          <cell r="AM1508">
            <v>0</v>
          </cell>
          <cell r="AN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</row>
        <row r="1509">
          <cell r="C1509" t="str">
            <v>DWG</v>
          </cell>
          <cell r="H1509" t="str">
            <v>10-60-A1-ST-0041</v>
          </cell>
          <cell r="I1509" t="str">
            <v>Non Oxide Biocide Dosing Tank foundation plan &amp; details</v>
          </cell>
          <cell r="O1509">
            <v>1.0999999999999999E-2</v>
          </cell>
          <cell r="P1509">
            <v>5.2800000000000003E-5</v>
          </cell>
          <cell r="Q1509" t="str">
            <v>L</v>
          </cell>
          <cell r="R1509">
            <v>2.5000000000000001E-4</v>
          </cell>
          <cell r="T1509">
            <v>39474</v>
          </cell>
          <cell r="V1509" t="str">
            <v>2008-01</v>
          </cell>
          <cell r="AH1509" t="str">
            <v/>
          </cell>
          <cell r="AJ1509" t="str">
            <v/>
          </cell>
          <cell r="AL1509" t="str">
            <v/>
          </cell>
          <cell r="AM1509">
            <v>0</v>
          </cell>
          <cell r="AN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</row>
        <row r="1510">
          <cell r="C1510" t="str">
            <v>DWG</v>
          </cell>
          <cell r="H1510" t="str">
            <v>10-60-CSH-ST-0041</v>
          </cell>
          <cell r="I1510" t="str">
            <v>Calculation Sheet For Non Oxide Biocide Dosing Tank foundation</v>
          </cell>
          <cell r="O1510">
            <v>1.0999999999999999E-2</v>
          </cell>
          <cell r="P1510">
            <v>5.2800000000000003E-5</v>
          </cell>
          <cell r="Q1510" t="str">
            <v>L</v>
          </cell>
          <cell r="R1510">
            <v>2.5000000000000001E-4</v>
          </cell>
          <cell r="T1510">
            <v>39475</v>
          </cell>
          <cell r="V1510" t="str">
            <v>2008-01</v>
          </cell>
          <cell r="AH1510" t="str">
            <v/>
          </cell>
          <cell r="AJ1510" t="str">
            <v/>
          </cell>
          <cell r="AL1510" t="str">
            <v/>
          </cell>
          <cell r="AM1510">
            <v>0</v>
          </cell>
          <cell r="AN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</row>
        <row r="1511">
          <cell r="C1511" t="str">
            <v>DWG</v>
          </cell>
          <cell r="H1511" t="str">
            <v>10-60-A1-ST-0042</v>
          </cell>
          <cell r="I1511" t="str">
            <v>Non Oxide Biocide Dosing Pumps (A/B) foundation plan &amp; details</v>
          </cell>
          <cell r="O1511">
            <v>1.0999999999999999E-2</v>
          </cell>
          <cell r="P1511">
            <v>5.2800000000000003E-5</v>
          </cell>
          <cell r="Q1511" t="str">
            <v>L</v>
          </cell>
          <cell r="R1511">
            <v>2.5000000000000001E-4</v>
          </cell>
          <cell r="T1511">
            <v>39475</v>
          </cell>
          <cell r="V1511" t="str">
            <v>2008-01</v>
          </cell>
          <cell r="AH1511" t="str">
            <v/>
          </cell>
          <cell r="AJ1511" t="str">
            <v/>
          </cell>
          <cell r="AL1511" t="str">
            <v/>
          </cell>
          <cell r="AM1511">
            <v>0</v>
          </cell>
          <cell r="AN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</row>
        <row r="1512">
          <cell r="C1512" t="str">
            <v>DWG</v>
          </cell>
          <cell r="H1512" t="str">
            <v>10-60-CSH-ST-0042</v>
          </cell>
          <cell r="I1512" t="str">
            <v>Calculation Sheet For Non Oxide Biocide Dosing Pumps (A/B) foundation</v>
          </cell>
          <cell r="O1512">
            <v>1.0999999999999999E-2</v>
          </cell>
          <cell r="P1512">
            <v>5.2800000000000003E-5</v>
          </cell>
          <cell r="Q1512" t="str">
            <v>L</v>
          </cell>
          <cell r="R1512">
            <v>2.5000000000000001E-4</v>
          </cell>
          <cell r="T1512">
            <v>39475</v>
          </cell>
          <cell r="V1512" t="str">
            <v>2008-01</v>
          </cell>
          <cell r="AH1512" t="str">
            <v/>
          </cell>
          <cell r="AJ1512" t="str">
            <v/>
          </cell>
          <cell r="AL1512" t="str">
            <v/>
          </cell>
          <cell r="AM1512">
            <v>0</v>
          </cell>
          <cell r="AN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</row>
        <row r="1513">
          <cell r="C1513" t="str">
            <v>DWG</v>
          </cell>
          <cell r="H1513" t="str">
            <v>10-60-A1-ST-0043</v>
          </cell>
          <cell r="I1513" t="str">
            <v>Nutrient Preparation Tank foundation plan &amp; details</v>
          </cell>
          <cell r="O1513">
            <v>1.0999999999999999E-2</v>
          </cell>
          <cell r="P1513">
            <v>5.2800000000000003E-5</v>
          </cell>
          <cell r="Q1513" t="str">
            <v>L</v>
          </cell>
          <cell r="R1513">
            <v>2.5000000000000001E-4</v>
          </cell>
          <cell r="T1513">
            <v>39476</v>
          </cell>
          <cell r="V1513" t="str">
            <v>2008-01</v>
          </cell>
          <cell r="AH1513" t="str">
            <v/>
          </cell>
          <cell r="AJ1513" t="str">
            <v/>
          </cell>
          <cell r="AL1513" t="str">
            <v/>
          </cell>
          <cell r="AM1513">
            <v>0</v>
          </cell>
          <cell r="AN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</row>
        <row r="1514">
          <cell r="C1514" t="str">
            <v>DWG</v>
          </cell>
          <cell r="H1514" t="str">
            <v>10-60-CSH-ST-0043</v>
          </cell>
          <cell r="I1514" t="str">
            <v>Calculation Sheet For Nutrient Preparation Tank foundation</v>
          </cell>
          <cell r="O1514">
            <v>1.0999999999999999E-2</v>
          </cell>
          <cell r="P1514">
            <v>5.2800000000000003E-5</v>
          </cell>
          <cell r="Q1514" t="str">
            <v>L</v>
          </cell>
          <cell r="R1514">
            <v>2.5000000000000001E-4</v>
          </cell>
          <cell r="T1514">
            <v>39476</v>
          </cell>
          <cell r="V1514" t="str">
            <v>2008-01</v>
          </cell>
          <cell r="AH1514" t="str">
            <v/>
          </cell>
          <cell r="AJ1514" t="str">
            <v/>
          </cell>
          <cell r="AL1514" t="str">
            <v/>
          </cell>
          <cell r="AM1514">
            <v>0</v>
          </cell>
          <cell r="AN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</row>
        <row r="1515">
          <cell r="C1515" t="str">
            <v>DWG</v>
          </cell>
          <cell r="H1515" t="str">
            <v>10-60-A1-ST-0044</v>
          </cell>
          <cell r="I1515" t="str">
            <v>Nutrient Dosing Tank foundation plan &amp; details</v>
          </cell>
          <cell r="O1515">
            <v>1.0999999999999999E-2</v>
          </cell>
          <cell r="P1515">
            <v>5.2800000000000003E-5</v>
          </cell>
          <cell r="Q1515" t="str">
            <v>L</v>
          </cell>
          <cell r="R1515">
            <v>2.5000000000000001E-4</v>
          </cell>
          <cell r="T1515">
            <v>39476</v>
          </cell>
          <cell r="V1515" t="str">
            <v>2008-01</v>
          </cell>
          <cell r="AH1515" t="str">
            <v/>
          </cell>
          <cell r="AJ1515" t="str">
            <v/>
          </cell>
          <cell r="AL1515" t="str">
            <v/>
          </cell>
          <cell r="AM1515">
            <v>0</v>
          </cell>
          <cell r="AN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</row>
        <row r="1516">
          <cell r="C1516" t="str">
            <v>DWG</v>
          </cell>
          <cell r="H1516" t="str">
            <v>10-60-CSH-ST-0044</v>
          </cell>
          <cell r="I1516" t="str">
            <v>Calculation Sheet For Nutrient Dosing Tank foundation</v>
          </cell>
          <cell r="O1516">
            <v>1.0999999999999999E-2</v>
          </cell>
          <cell r="P1516">
            <v>5.2800000000000003E-5</v>
          </cell>
          <cell r="Q1516" t="str">
            <v>L</v>
          </cell>
          <cell r="R1516">
            <v>2.5000000000000001E-4</v>
          </cell>
          <cell r="T1516">
            <v>39477</v>
          </cell>
          <cell r="V1516" t="str">
            <v>2008-01</v>
          </cell>
          <cell r="AH1516" t="str">
            <v/>
          </cell>
          <cell r="AJ1516" t="str">
            <v/>
          </cell>
          <cell r="AL1516" t="str">
            <v/>
          </cell>
          <cell r="AM1516">
            <v>0</v>
          </cell>
          <cell r="AN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</row>
        <row r="1517">
          <cell r="C1517" t="str">
            <v>DWG</v>
          </cell>
          <cell r="H1517" t="str">
            <v>10-60-A1-ST-0045</v>
          </cell>
          <cell r="I1517" t="str">
            <v>Nutrient Dosing Pumps to Organic Waste Water (A/B) foundation plan &amp; details</v>
          </cell>
          <cell r="O1517">
            <v>1.0999999999999999E-2</v>
          </cell>
          <cell r="P1517">
            <v>5.2800000000000003E-5</v>
          </cell>
          <cell r="Q1517" t="str">
            <v>L</v>
          </cell>
          <cell r="R1517">
            <v>2.5000000000000001E-4</v>
          </cell>
          <cell r="T1517">
            <v>39477</v>
          </cell>
          <cell r="V1517" t="str">
            <v>2008-01</v>
          </cell>
          <cell r="AH1517" t="str">
            <v/>
          </cell>
          <cell r="AJ1517" t="str">
            <v/>
          </cell>
          <cell r="AL1517" t="str">
            <v/>
          </cell>
          <cell r="AM1517">
            <v>0</v>
          </cell>
          <cell r="AN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</row>
        <row r="1518">
          <cell r="C1518" t="str">
            <v>DWG</v>
          </cell>
          <cell r="H1518" t="str">
            <v>10-60-CSH-ST-0045</v>
          </cell>
          <cell r="I1518" t="str">
            <v>Calculation Sheet For Nutrient Dosing Pumps to Organic Waste Water (A/B) foundation</v>
          </cell>
          <cell r="O1518">
            <v>1.0999999999999999E-2</v>
          </cell>
          <cell r="P1518">
            <v>5.2800000000000003E-5</v>
          </cell>
          <cell r="Q1518" t="str">
            <v>L</v>
          </cell>
          <cell r="R1518">
            <v>2.5000000000000001E-4</v>
          </cell>
          <cell r="T1518">
            <v>39477</v>
          </cell>
          <cell r="V1518" t="str">
            <v>2008-01</v>
          </cell>
          <cell r="AH1518" t="str">
            <v/>
          </cell>
          <cell r="AJ1518" t="str">
            <v/>
          </cell>
          <cell r="AL1518" t="str">
            <v/>
          </cell>
          <cell r="AM1518">
            <v>0</v>
          </cell>
          <cell r="AN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</row>
        <row r="1519">
          <cell r="C1519" t="str">
            <v>DWG</v>
          </cell>
          <cell r="H1519" t="str">
            <v>10-60-A1-ST-0046</v>
          </cell>
          <cell r="I1519" t="str">
            <v>Emolsion Breaker Dosing Tank foundation plan &amp; details</v>
          </cell>
          <cell r="O1519">
            <v>1.0999999999999999E-2</v>
          </cell>
          <cell r="P1519">
            <v>5.2800000000000003E-5</v>
          </cell>
          <cell r="Q1519" t="str">
            <v>L</v>
          </cell>
          <cell r="R1519">
            <v>2.5000000000000001E-4</v>
          </cell>
          <cell r="T1519">
            <v>39478</v>
          </cell>
          <cell r="V1519" t="str">
            <v>2008-01</v>
          </cell>
          <cell r="AH1519" t="str">
            <v/>
          </cell>
          <cell r="AJ1519" t="str">
            <v/>
          </cell>
          <cell r="AL1519" t="str">
            <v/>
          </cell>
          <cell r="AM1519">
            <v>0</v>
          </cell>
          <cell r="AN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</row>
        <row r="1520">
          <cell r="C1520" t="str">
            <v>DWG</v>
          </cell>
          <cell r="H1520" t="str">
            <v>10-60-CSH-ST-0046</v>
          </cell>
          <cell r="I1520" t="str">
            <v>Calculation Sheet For Emolsion Breaker Dosing Tank foundation</v>
          </cell>
          <cell r="O1520">
            <v>1.0999999999999999E-2</v>
          </cell>
          <cell r="P1520">
            <v>5.2800000000000003E-5</v>
          </cell>
          <cell r="Q1520" t="str">
            <v>L</v>
          </cell>
          <cell r="R1520">
            <v>2.5000000000000001E-4</v>
          </cell>
          <cell r="T1520">
            <v>39478</v>
          </cell>
          <cell r="V1520" t="str">
            <v>2008-01</v>
          </cell>
          <cell r="AH1520" t="str">
            <v/>
          </cell>
          <cell r="AJ1520" t="str">
            <v/>
          </cell>
          <cell r="AL1520" t="str">
            <v/>
          </cell>
          <cell r="AM1520">
            <v>0</v>
          </cell>
          <cell r="AN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</row>
        <row r="1521">
          <cell r="C1521" t="str">
            <v>DWG</v>
          </cell>
          <cell r="H1521" t="str">
            <v>10-60-A1-ST-0047</v>
          </cell>
          <cell r="I1521" t="str">
            <v>Nutrient Preparation Tank foundation plan &amp; details</v>
          </cell>
          <cell r="O1521">
            <v>1.0999999999999999E-2</v>
          </cell>
          <cell r="P1521">
            <v>5.2800000000000003E-5</v>
          </cell>
          <cell r="Q1521" t="str">
            <v>L</v>
          </cell>
          <cell r="R1521">
            <v>2.5000000000000001E-4</v>
          </cell>
          <cell r="T1521">
            <v>39478</v>
          </cell>
          <cell r="V1521" t="str">
            <v>2008-01</v>
          </cell>
          <cell r="AH1521" t="str">
            <v/>
          </cell>
          <cell r="AJ1521" t="str">
            <v/>
          </cell>
          <cell r="AL1521" t="str">
            <v/>
          </cell>
          <cell r="AM1521">
            <v>0</v>
          </cell>
          <cell r="AN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</row>
        <row r="1522">
          <cell r="C1522" t="str">
            <v>DWG</v>
          </cell>
          <cell r="H1522" t="str">
            <v>10-60-CSH-ST-0047</v>
          </cell>
          <cell r="I1522" t="str">
            <v>Calculation Sheet For Nutrient Preparation Tank foundation</v>
          </cell>
          <cell r="O1522">
            <v>1.0999999999999999E-2</v>
          </cell>
          <cell r="P1522">
            <v>5.2800000000000003E-5</v>
          </cell>
          <cell r="Q1522" t="str">
            <v>L</v>
          </cell>
          <cell r="R1522">
            <v>2.5000000000000001E-4</v>
          </cell>
          <cell r="T1522">
            <v>39479</v>
          </cell>
          <cell r="V1522" t="str">
            <v>2008-02</v>
          </cell>
          <cell r="AH1522" t="str">
            <v/>
          </cell>
          <cell r="AJ1522" t="str">
            <v/>
          </cell>
          <cell r="AL1522" t="str">
            <v/>
          </cell>
          <cell r="AM1522">
            <v>0</v>
          </cell>
          <cell r="AN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</row>
        <row r="1523">
          <cell r="C1523" t="str">
            <v>DWG</v>
          </cell>
          <cell r="H1523" t="str">
            <v>10-60-A1-ST-0048</v>
          </cell>
          <cell r="I1523" t="str">
            <v>Emolsion Breaker Dosing Pumps to Organic Waste Water (A/B) foundation plan &amp; details</v>
          </cell>
          <cell r="O1523">
            <v>1.0999999999999999E-2</v>
          </cell>
          <cell r="P1523">
            <v>5.2800000000000003E-5</v>
          </cell>
          <cell r="Q1523" t="str">
            <v>L</v>
          </cell>
          <cell r="R1523">
            <v>2.5000000000000001E-4</v>
          </cell>
          <cell r="T1523">
            <v>39479</v>
          </cell>
          <cell r="V1523" t="str">
            <v>2008-02</v>
          </cell>
          <cell r="AH1523" t="str">
            <v/>
          </cell>
          <cell r="AJ1523" t="str">
            <v/>
          </cell>
          <cell r="AL1523" t="str">
            <v/>
          </cell>
          <cell r="AM1523">
            <v>0</v>
          </cell>
          <cell r="AN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</row>
        <row r="1524">
          <cell r="C1524" t="str">
            <v>DWG</v>
          </cell>
          <cell r="H1524" t="str">
            <v>10-60-CSH-ST-0048</v>
          </cell>
          <cell r="I1524" t="str">
            <v>Calculation Sheet For Emolsion Breaker Dosing Pumps to Organic Waste Water (A/B) foundation</v>
          </cell>
          <cell r="O1524">
            <v>1.0999999999999999E-2</v>
          </cell>
          <cell r="P1524">
            <v>5.2800000000000003E-5</v>
          </cell>
          <cell r="Q1524" t="str">
            <v>L</v>
          </cell>
          <cell r="R1524">
            <v>2.5000000000000001E-4</v>
          </cell>
          <cell r="T1524">
            <v>39479</v>
          </cell>
          <cell r="V1524" t="str">
            <v>2008-02</v>
          </cell>
          <cell r="AH1524" t="str">
            <v/>
          </cell>
          <cell r="AJ1524" t="str">
            <v/>
          </cell>
          <cell r="AL1524" t="str">
            <v/>
          </cell>
          <cell r="AM1524">
            <v>0</v>
          </cell>
          <cell r="AN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</row>
        <row r="1525">
          <cell r="C1525" t="str">
            <v>DWG</v>
          </cell>
          <cell r="H1525" t="str">
            <v>Steel Structures</v>
          </cell>
          <cell r="N1525">
            <v>0.15</v>
          </cell>
          <cell r="O1525">
            <v>1</v>
          </cell>
          <cell r="P1525">
            <v>3.5999999999999999E-3</v>
          </cell>
          <cell r="R1525">
            <v>1.3599999999999999E-3</v>
          </cell>
          <cell r="T1525" t="str">
            <v>.</v>
          </cell>
          <cell r="U1525" t="str">
            <v>.</v>
          </cell>
          <cell r="V1525" t="str">
            <v>.</v>
          </cell>
          <cell r="AG1525" t="str">
            <v>.</v>
          </cell>
          <cell r="AH1525" t="str">
            <v/>
          </cell>
          <cell r="AJ1525" t="str">
            <v/>
          </cell>
          <cell r="AL1525" t="str">
            <v/>
          </cell>
          <cell r="AM1525">
            <v>0</v>
          </cell>
          <cell r="AN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</row>
        <row r="1526">
          <cell r="C1526" t="str">
            <v>DWG</v>
          </cell>
          <cell r="H1526" t="str">
            <v>10-60-A1-ST-0049</v>
          </cell>
          <cell r="I1526" t="str">
            <v>Crane and Related Beams Plan &amp; details</v>
          </cell>
          <cell r="O1526">
            <v>0.25</v>
          </cell>
          <cell r="P1526">
            <v>8.9999999999999998E-4</v>
          </cell>
          <cell r="Q1526" t="str">
            <v>L</v>
          </cell>
          <cell r="R1526">
            <v>4.2999999999999999E-4</v>
          </cell>
          <cell r="T1526">
            <v>39480</v>
          </cell>
          <cell r="V1526" t="str">
            <v>2008-02</v>
          </cell>
          <cell r="AH1526" t="str">
            <v/>
          </cell>
          <cell r="AJ1526" t="str">
            <v/>
          </cell>
          <cell r="AL1526" t="str">
            <v/>
          </cell>
          <cell r="AM1526">
            <v>0</v>
          </cell>
          <cell r="AN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</row>
        <row r="1527">
          <cell r="C1527" t="str">
            <v>CLS</v>
          </cell>
          <cell r="H1527" t="str">
            <v>10-60-CSH-ST-0049</v>
          </cell>
          <cell r="I1527" t="str">
            <v>Calculation Sheet For  Crane and Related Beamsc</v>
          </cell>
          <cell r="O1527">
            <v>0.25</v>
          </cell>
          <cell r="P1527">
            <v>8.9999999999999998E-4</v>
          </cell>
          <cell r="Q1527" t="str">
            <v>L</v>
          </cell>
          <cell r="R1527">
            <v>4.2999999999999999E-4</v>
          </cell>
          <cell r="T1527">
            <v>39480</v>
          </cell>
          <cell r="V1527" t="str">
            <v>2008-02</v>
          </cell>
          <cell r="AM1527">
            <v>0</v>
          </cell>
          <cell r="AN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</row>
        <row r="1528">
          <cell r="C1528" t="str">
            <v>DWG</v>
          </cell>
          <cell r="H1528" t="str">
            <v>10-60-A1-ST-0050</v>
          </cell>
          <cell r="I1528" t="str">
            <v>Platform Plan &amp; details</v>
          </cell>
          <cell r="O1528">
            <v>0.25</v>
          </cell>
          <cell r="P1528">
            <v>8.9999999999999998E-4</v>
          </cell>
          <cell r="Q1528" t="str">
            <v>L</v>
          </cell>
          <cell r="R1528">
            <v>2.5000000000000001E-4</v>
          </cell>
          <cell r="T1528">
            <v>39480</v>
          </cell>
          <cell r="V1528" t="str">
            <v>2008-02</v>
          </cell>
          <cell r="AM1528">
            <v>0</v>
          </cell>
          <cell r="AN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</row>
        <row r="1529">
          <cell r="C1529" t="str">
            <v>DWG</v>
          </cell>
          <cell r="H1529" t="str">
            <v>10-60-CSH-ST-0050</v>
          </cell>
          <cell r="I1529" t="str">
            <v>Calculation Sheet For  Platform</v>
          </cell>
          <cell r="O1529">
            <v>0.25</v>
          </cell>
          <cell r="P1529">
            <v>8.9999999999999998E-4</v>
          </cell>
          <cell r="Q1529" t="str">
            <v>L</v>
          </cell>
          <cell r="R1529">
            <v>2.5000000000000001E-4</v>
          </cell>
          <cell r="T1529">
            <v>39481</v>
          </cell>
          <cell r="V1529" t="str">
            <v>2008-02</v>
          </cell>
          <cell r="AH1529" t="str">
            <v/>
          </cell>
          <cell r="AJ1529" t="str">
            <v/>
          </cell>
          <cell r="AL1529" t="str">
            <v/>
          </cell>
          <cell r="AM1529">
            <v>0</v>
          </cell>
          <cell r="AN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</row>
        <row r="1530">
          <cell r="C1530" t="str">
            <v>DWG</v>
          </cell>
          <cell r="H1530" t="str">
            <v>Concrete Structures</v>
          </cell>
          <cell r="N1530">
            <v>0.4</v>
          </cell>
          <cell r="O1530">
            <v>1.0000000000000004</v>
          </cell>
          <cell r="P1530">
            <v>9.6000000000000009E-3</v>
          </cell>
          <cell r="R1530">
            <v>1.3540000000000009E-2</v>
          </cell>
          <cell r="T1530" t="str">
            <v>.</v>
          </cell>
          <cell r="U1530" t="str">
            <v>.</v>
          </cell>
          <cell r="V1530" t="str">
            <v>.</v>
          </cell>
          <cell r="AG1530" t="str">
            <v>.</v>
          </cell>
          <cell r="AH1530" t="str">
            <v/>
          </cell>
          <cell r="AJ1530" t="str">
            <v/>
          </cell>
          <cell r="AL1530" t="str">
            <v/>
          </cell>
          <cell r="AM1530">
            <v>0</v>
          </cell>
          <cell r="AN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</row>
        <row r="1531">
          <cell r="C1531" t="str">
            <v>DWG</v>
          </cell>
          <cell r="H1531" t="str">
            <v>10-60-A1-ST-0051</v>
          </cell>
          <cell r="I1531" t="str">
            <v>First Rain Water Basin Structural details</v>
          </cell>
          <cell r="O1531">
            <v>0.03</v>
          </cell>
          <cell r="P1531">
            <v>2.8800000000000001E-4</v>
          </cell>
          <cell r="Q1531" t="str">
            <v>L</v>
          </cell>
          <cell r="R1531">
            <v>2.5000000000000001E-4</v>
          </cell>
          <cell r="T1531">
            <v>39481</v>
          </cell>
          <cell r="V1531" t="str">
            <v>2008-02</v>
          </cell>
          <cell r="AH1531" t="str">
            <v/>
          </cell>
          <cell r="AJ1531" t="str">
            <v/>
          </cell>
          <cell r="AL1531" t="str">
            <v/>
          </cell>
          <cell r="AM1531">
            <v>0</v>
          </cell>
          <cell r="AN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</row>
        <row r="1532">
          <cell r="C1532" t="str">
            <v>DWG</v>
          </cell>
          <cell r="H1532" t="str">
            <v>10-60-CSH-ST-0051</v>
          </cell>
          <cell r="I1532" t="str">
            <v>Calculation Sheet For  First Rain Water Basin</v>
          </cell>
          <cell r="O1532">
            <v>0.03</v>
          </cell>
          <cell r="P1532">
            <v>2.8800000000000001E-4</v>
          </cell>
          <cell r="Q1532" t="str">
            <v>L</v>
          </cell>
          <cell r="R1532">
            <v>2.5000000000000001E-4</v>
          </cell>
          <cell r="T1532">
            <v>39481</v>
          </cell>
          <cell r="V1532" t="str">
            <v>2008-02</v>
          </cell>
          <cell r="AH1532" t="str">
            <v/>
          </cell>
          <cell r="AJ1532" t="str">
            <v/>
          </cell>
          <cell r="AL1532" t="str">
            <v/>
          </cell>
          <cell r="AM1532">
            <v>0</v>
          </cell>
          <cell r="AN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</row>
        <row r="1533">
          <cell r="C1533" t="str">
            <v>DWG</v>
          </cell>
          <cell r="H1533" t="str">
            <v>10-60-A1-ST-0052</v>
          </cell>
          <cell r="I1533" t="str">
            <v>Static Lamellar Separator Structural details</v>
          </cell>
          <cell r="O1533">
            <v>0.03</v>
          </cell>
          <cell r="P1533">
            <v>2.8800000000000001E-4</v>
          </cell>
          <cell r="Q1533" t="str">
            <v>L</v>
          </cell>
          <cell r="R1533">
            <v>2.5000000000000001E-4</v>
          </cell>
          <cell r="T1533">
            <v>39482</v>
          </cell>
          <cell r="V1533" t="str">
            <v>2008-02</v>
          </cell>
          <cell r="AH1533" t="str">
            <v/>
          </cell>
          <cell r="AJ1533" t="str">
            <v/>
          </cell>
          <cell r="AL1533" t="str">
            <v/>
          </cell>
          <cell r="AM1533">
            <v>0</v>
          </cell>
          <cell r="AN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</row>
        <row r="1534">
          <cell r="C1534" t="str">
            <v>DWG</v>
          </cell>
          <cell r="H1534" t="str">
            <v>10-60-CSH-ST-0052</v>
          </cell>
          <cell r="I1534" t="str">
            <v>Calculation Sheet For  Static Lamellar Separator</v>
          </cell>
          <cell r="O1534">
            <v>0.03</v>
          </cell>
          <cell r="P1534">
            <v>2.8800000000000001E-4</v>
          </cell>
          <cell r="Q1534" t="str">
            <v>L</v>
          </cell>
          <cell r="R1534">
            <v>2.5000000000000001E-4</v>
          </cell>
          <cell r="T1534">
            <v>39482</v>
          </cell>
          <cell r="V1534" t="str">
            <v>2008-02</v>
          </cell>
          <cell r="AH1534" t="str">
            <v/>
          </cell>
          <cell r="AJ1534" t="str">
            <v/>
          </cell>
          <cell r="AL1534" t="str">
            <v/>
          </cell>
          <cell r="AM1534">
            <v>0</v>
          </cell>
          <cell r="AN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</row>
        <row r="1535">
          <cell r="C1535" t="str">
            <v>DWG</v>
          </cell>
          <cell r="H1535" t="str">
            <v>10-60-A1-ST-0053</v>
          </cell>
          <cell r="I1535" t="str">
            <v>Second Rain Water Basin Structural details</v>
          </cell>
          <cell r="O1535">
            <v>0.02</v>
          </cell>
          <cell r="P1535">
            <v>1.9200000000000003E-4</v>
          </cell>
          <cell r="Q1535" t="str">
            <v>L</v>
          </cell>
          <cell r="R1535">
            <v>2.5000000000000001E-4</v>
          </cell>
          <cell r="T1535">
            <v>39482</v>
          </cell>
          <cell r="V1535" t="str">
            <v>2008-02</v>
          </cell>
          <cell r="AH1535" t="str">
            <v/>
          </cell>
          <cell r="AJ1535" t="str">
            <v/>
          </cell>
          <cell r="AL1535" t="str">
            <v/>
          </cell>
          <cell r="AM1535">
            <v>0</v>
          </cell>
          <cell r="AN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</row>
        <row r="1536">
          <cell r="C1536" t="str">
            <v>DWG</v>
          </cell>
          <cell r="H1536" t="str">
            <v>10-60-CSH-ST-0053</v>
          </cell>
          <cell r="I1536" t="str">
            <v>Calculation Sheet For Second Rain Water Basin</v>
          </cell>
          <cell r="O1536">
            <v>0.02</v>
          </cell>
          <cell r="P1536">
            <v>1.9200000000000003E-4</v>
          </cell>
          <cell r="Q1536" t="str">
            <v>L</v>
          </cell>
          <cell r="R1536">
            <v>2.5000000000000001E-4</v>
          </cell>
          <cell r="T1536">
            <v>39483</v>
          </cell>
          <cell r="V1536" t="str">
            <v>2008-02</v>
          </cell>
          <cell r="AH1536" t="str">
            <v/>
          </cell>
          <cell r="AJ1536" t="str">
            <v/>
          </cell>
          <cell r="AL1536" t="str">
            <v/>
          </cell>
          <cell r="AM1536">
            <v>0</v>
          </cell>
          <cell r="AN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</row>
        <row r="1537">
          <cell r="C1537" t="str">
            <v>DWG</v>
          </cell>
          <cell r="H1537" t="str">
            <v>10-60-A1-ST-0054</v>
          </cell>
          <cell r="I1537" t="str">
            <v>Salty Water Equalizing Basin Structural details</v>
          </cell>
          <cell r="O1537">
            <v>0.02</v>
          </cell>
          <cell r="P1537">
            <v>1.9200000000000003E-4</v>
          </cell>
          <cell r="Q1537" t="str">
            <v>L</v>
          </cell>
          <cell r="R1537">
            <v>2.5000000000000001E-4</v>
          </cell>
          <cell r="T1537">
            <v>39483</v>
          </cell>
          <cell r="V1537" t="str">
            <v>2008-02</v>
          </cell>
          <cell r="AH1537" t="str">
            <v/>
          </cell>
          <cell r="AJ1537" t="str">
            <v/>
          </cell>
          <cell r="AL1537" t="str">
            <v/>
          </cell>
          <cell r="AM1537">
            <v>0</v>
          </cell>
          <cell r="AN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</row>
        <row r="1538">
          <cell r="C1538" t="str">
            <v>CLS</v>
          </cell>
          <cell r="H1538" t="str">
            <v>10-60-CSH-ST-0054</v>
          </cell>
          <cell r="I1538" t="str">
            <v>Calculation Sheet For Salty Water Equalizing Basin</v>
          </cell>
          <cell r="O1538">
            <v>0.02</v>
          </cell>
          <cell r="P1538">
            <v>1.9200000000000003E-4</v>
          </cell>
          <cell r="Q1538" t="str">
            <v>L</v>
          </cell>
          <cell r="R1538">
            <v>2.5000000000000001E-4</v>
          </cell>
          <cell r="T1538">
            <v>39483</v>
          </cell>
          <cell r="V1538" t="str">
            <v>2008-02</v>
          </cell>
          <cell r="AM1538">
            <v>0</v>
          </cell>
          <cell r="AN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</row>
        <row r="1539">
          <cell r="C1539" t="str">
            <v>DWG</v>
          </cell>
          <cell r="H1539" t="str">
            <v>10-60-A1-ST-0055</v>
          </cell>
          <cell r="I1539" t="str">
            <v>Waste Equalization Basin Structural details</v>
          </cell>
          <cell r="O1539">
            <v>0.02</v>
          </cell>
          <cell r="P1539">
            <v>1.9200000000000003E-4</v>
          </cell>
          <cell r="Q1539" t="str">
            <v>L</v>
          </cell>
          <cell r="R1539">
            <v>2.5000000000000001E-4</v>
          </cell>
          <cell r="T1539">
            <v>39484</v>
          </cell>
          <cell r="V1539" t="str">
            <v>2008-02</v>
          </cell>
          <cell r="AM1539">
            <v>0</v>
          </cell>
          <cell r="AN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</row>
        <row r="1540">
          <cell r="C1540" t="str">
            <v>CLS</v>
          </cell>
          <cell r="H1540" t="str">
            <v>10-60-CSH-ST-0055</v>
          </cell>
          <cell r="I1540" t="str">
            <v>Calculation Sheet For Waste Equalization Basin</v>
          </cell>
          <cell r="O1540">
            <v>0.02</v>
          </cell>
          <cell r="P1540">
            <v>1.9200000000000003E-4</v>
          </cell>
          <cell r="Q1540" t="str">
            <v>L</v>
          </cell>
          <cell r="R1540">
            <v>2.5000000000000001E-4</v>
          </cell>
          <cell r="T1540">
            <v>39484</v>
          </cell>
          <cell r="V1540" t="str">
            <v>2008-02</v>
          </cell>
          <cell r="AM1540">
            <v>0</v>
          </cell>
          <cell r="AN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</row>
        <row r="1541">
          <cell r="C1541" t="str">
            <v>DWG</v>
          </cell>
          <cell r="H1541" t="str">
            <v>10-60-A1-ST-0056</v>
          </cell>
          <cell r="I1541" t="str">
            <v>Evaporation Pound Structural details</v>
          </cell>
          <cell r="O1541">
            <v>0.02</v>
          </cell>
          <cell r="P1541">
            <v>1.9200000000000003E-4</v>
          </cell>
          <cell r="Q1541" t="str">
            <v>L</v>
          </cell>
          <cell r="R1541">
            <v>9.3000000000000005E-4</v>
          </cell>
          <cell r="T1541">
            <v>39484</v>
          </cell>
          <cell r="V1541" t="str">
            <v>2008-02</v>
          </cell>
          <cell r="AM1541">
            <v>0</v>
          </cell>
          <cell r="AN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</row>
        <row r="1542">
          <cell r="C1542" t="str">
            <v>CLS</v>
          </cell>
          <cell r="H1542" t="str">
            <v>10-60-CSH-ST-0056</v>
          </cell>
          <cell r="I1542" t="str">
            <v xml:space="preserve">Calculation Sheet For  Evaporation Pound </v>
          </cell>
          <cell r="O1542">
            <v>0.02</v>
          </cell>
          <cell r="P1542">
            <v>1.9200000000000003E-4</v>
          </cell>
          <cell r="Q1542" t="str">
            <v>L</v>
          </cell>
          <cell r="R1542">
            <v>9.3000000000000005E-4</v>
          </cell>
          <cell r="T1542">
            <v>39485</v>
          </cell>
          <cell r="V1542" t="str">
            <v>2008-02</v>
          </cell>
          <cell r="AM1542">
            <v>0</v>
          </cell>
          <cell r="AN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</row>
        <row r="1543">
          <cell r="C1543" t="str">
            <v>DWG</v>
          </cell>
          <cell r="H1543" t="str">
            <v>10-60-A1-ST-0057</v>
          </cell>
          <cell r="I1543" t="str">
            <v>Organic/Process Waste Water Equalization Basin Structural details</v>
          </cell>
          <cell r="O1543">
            <v>0.02</v>
          </cell>
          <cell r="P1543">
            <v>1.9200000000000003E-4</v>
          </cell>
          <cell r="Q1543" t="str">
            <v>L</v>
          </cell>
          <cell r="R1543">
            <v>2.5000000000000001E-4</v>
          </cell>
          <cell r="T1543">
            <v>39485</v>
          </cell>
          <cell r="V1543" t="str">
            <v>2008-02</v>
          </cell>
          <cell r="AM1543">
            <v>0</v>
          </cell>
          <cell r="AN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</row>
        <row r="1544">
          <cell r="C1544" t="str">
            <v>CLS</v>
          </cell>
          <cell r="H1544" t="str">
            <v>10-60-CSH-ST-0057</v>
          </cell>
          <cell r="I1544" t="str">
            <v>Calculation Sheet For  Organic/Process Waste Water Equalization Basin</v>
          </cell>
          <cell r="O1544">
            <v>0.02</v>
          </cell>
          <cell r="P1544">
            <v>1.9200000000000003E-4</v>
          </cell>
          <cell r="Q1544" t="str">
            <v>L</v>
          </cell>
          <cell r="R1544">
            <v>2.5000000000000001E-4</v>
          </cell>
          <cell r="T1544">
            <v>39485</v>
          </cell>
          <cell r="V1544" t="str">
            <v>2008-02</v>
          </cell>
          <cell r="AM1544">
            <v>0</v>
          </cell>
          <cell r="AN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</row>
        <row r="1545">
          <cell r="C1545" t="str">
            <v>DWG</v>
          </cell>
          <cell r="H1545" t="str">
            <v>10-60-A1-ST-0058</v>
          </cell>
          <cell r="I1545" t="str">
            <v>API Separator Structural details</v>
          </cell>
          <cell r="O1545">
            <v>0.02</v>
          </cell>
          <cell r="P1545">
            <v>1.9200000000000003E-4</v>
          </cell>
          <cell r="Q1545" t="str">
            <v>L</v>
          </cell>
          <cell r="R1545">
            <v>2.5000000000000001E-4</v>
          </cell>
          <cell r="T1545">
            <v>39486</v>
          </cell>
          <cell r="V1545" t="str">
            <v>2008-02</v>
          </cell>
          <cell r="AM1545">
            <v>0</v>
          </cell>
          <cell r="AN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</row>
        <row r="1546">
          <cell r="C1546" t="str">
            <v>CLS</v>
          </cell>
          <cell r="H1546" t="str">
            <v>10-60-CSH-ST-0058</v>
          </cell>
          <cell r="I1546" t="str">
            <v>Calculation Sheet For  API Separator</v>
          </cell>
          <cell r="O1546">
            <v>0.02</v>
          </cell>
          <cell r="P1546">
            <v>1.9200000000000003E-4</v>
          </cell>
          <cell r="Q1546" t="str">
            <v>L</v>
          </cell>
          <cell r="R1546">
            <v>2.5000000000000001E-4</v>
          </cell>
          <cell r="T1546">
            <v>39486</v>
          </cell>
          <cell r="V1546" t="str">
            <v>2008-02</v>
          </cell>
          <cell r="AM1546">
            <v>0</v>
          </cell>
          <cell r="AN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</row>
        <row r="1547">
          <cell r="C1547" t="str">
            <v>DWG</v>
          </cell>
          <cell r="H1547" t="str">
            <v>10-60-A1-ST-0059</v>
          </cell>
          <cell r="I1547" t="str">
            <v>Oil and Sludge Sump Structural details</v>
          </cell>
          <cell r="O1547">
            <v>0.02</v>
          </cell>
          <cell r="P1547">
            <v>1.9200000000000003E-4</v>
          </cell>
          <cell r="Q1547" t="str">
            <v>L</v>
          </cell>
          <cell r="R1547">
            <v>2.5000000000000001E-4</v>
          </cell>
          <cell r="T1547">
            <v>39486</v>
          </cell>
          <cell r="V1547" t="str">
            <v>2008-02</v>
          </cell>
          <cell r="AM1547">
            <v>0</v>
          </cell>
          <cell r="AN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</row>
        <row r="1548">
          <cell r="C1548" t="str">
            <v>CLS</v>
          </cell>
          <cell r="H1548" t="str">
            <v>10-60-CSH-ST-0059</v>
          </cell>
          <cell r="I1548" t="str">
            <v>Calculation Sheet For  Oil and Sludge Sump</v>
          </cell>
          <cell r="O1548">
            <v>0.02</v>
          </cell>
          <cell r="P1548">
            <v>1.9200000000000003E-4</v>
          </cell>
          <cell r="Q1548" t="str">
            <v>L</v>
          </cell>
          <cell r="R1548">
            <v>2.5000000000000001E-4</v>
          </cell>
          <cell r="T1548">
            <v>39487</v>
          </cell>
          <cell r="V1548" t="str">
            <v>2008-02</v>
          </cell>
          <cell r="AM1548">
            <v>0</v>
          </cell>
          <cell r="AN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</row>
        <row r="1549">
          <cell r="C1549" t="str">
            <v>DWG</v>
          </cell>
          <cell r="H1549" t="str">
            <v>10-60-A1-ST-0060</v>
          </cell>
          <cell r="I1549" t="str">
            <v>Oxidation Basin A Structural details</v>
          </cell>
          <cell r="O1549">
            <v>0.02</v>
          </cell>
          <cell r="P1549">
            <v>1.9200000000000003E-4</v>
          </cell>
          <cell r="Q1549" t="str">
            <v>L</v>
          </cell>
          <cell r="R1549">
            <v>2.5000000000000001E-4</v>
          </cell>
          <cell r="T1549">
            <v>39487</v>
          </cell>
          <cell r="V1549" t="str">
            <v>2008-02</v>
          </cell>
          <cell r="AM1549">
            <v>0</v>
          </cell>
          <cell r="AN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</row>
        <row r="1550">
          <cell r="C1550" t="str">
            <v>CLS</v>
          </cell>
          <cell r="H1550" t="str">
            <v>10-60-CSH-ST-0060</v>
          </cell>
          <cell r="I1550" t="str">
            <v>Calculation Sheet For  Oxidation Basin</v>
          </cell>
          <cell r="O1550">
            <v>0.02</v>
          </cell>
          <cell r="P1550">
            <v>1.9200000000000003E-4</v>
          </cell>
          <cell r="Q1550" t="str">
            <v>L</v>
          </cell>
          <cell r="R1550">
            <v>2.5000000000000001E-4</v>
          </cell>
          <cell r="T1550">
            <v>39487</v>
          </cell>
          <cell r="V1550" t="str">
            <v>2008-02</v>
          </cell>
          <cell r="AM1550">
            <v>0</v>
          </cell>
          <cell r="AN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</row>
        <row r="1551">
          <cell r="C1551" t="str">
            <v>DWG</v>
          </cell>
          <cell r="H1551" t="str">
            <v>10-60-A1-ST-0061</v>
          </cell>
          <cell r="I1551" t="str">
            <v>Oxidation Basin B Structural details</v>
          </cell>
          <cell r="O1551">
            <v>0.02</v>
          </cell>
          <cell r="P1551">
            <v>1.9200000000000003E-4</v>
          </cell>
          <cell r="Q1551" t="str">
            <v>L</v>
          </cell>
          <cell r="R1551">
            <v>2.5000000000000001E-4</v>
          </cell>
          <cell r="T1551">
            <v>39488</v>
          </cell>
          <cell r="V1551" t="str">
            <v>2008-02</v>
          </cell>
          <cell r="AM1551">
            <v>0</v>
          </cell>
          <cell r="AN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</row>
        <row r="1552">
          <cell r="C1552" t="str">
            <v>CLS</v>
          </cell>
          <cell r="H1552" t="str">
            <v>10-60-CSH-ST-0061</v>
          </cell>
          <cell r="I1552" t="str">
            <v>Calculation Sheet For  Oxidation Basin</v>
          </cell>
          <cell r="O1552">
            <v>0.02</v>
          </cell>
          <cell r="P1552">
            <v>1.9200000000000003E-4</v>
          </cell>
          <cell r="Q1552" t="str">
            <v>L</v>
          </cell>
          <cell r="R1552">
            <v>2.5000000000000001E-4</v>
          </cell>
          <cell r="T1552">
            <v>39488</v>
          </cell>
          <cell r="V1552" t="str">
            <v>2008-02</v>
          </cell>
          <cell r="AM1552">
            <v>0</v>
          </cell>
          <cell r="AN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</row>
        <row r="1553">
          <cell r="C1553" t="str">
            <v>DWG</v>
          </cell>
          <cell r="H1553" t="str">
            <v>10-60-A1-ST-0062</v>
          </cell>
          <cell r="I1553" t="str">
            <v>Sedimentation Basin Structural details</v>
          </cell>
          <cell r="O1553">
            <v>0.02</v>
          </cell>
          <cell r="P1553">
            <v>1.9200000000000003E-4</v>
          </cell>
          <cell r="Q1553" t="str">
            <v>L</v>
          </cell>
          <cell r="R1553">
            <v>2.5000000000000001E-4</v>
          </cell>
          <cell r="T1553">
            <v>39488</v>
          </cell>
          <cell r="V1553" t="str">
            <v>2008-02</v>
          </cell>
          <cell r="AM1553">
            <v>0</v>
          </cell>
          <cell r="AN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</row>
        <row r="1554">
          <cell r="C1554" t="str">
            <v>CLS</v>
          </cell>
          <cell r="H1554" t="str">
            <v>10-60-CSH-ST-0062</v>
          </cell>
          <cell r="I1554" t="str">
            <v xml:space="preserve">Calculation Sheet For  Sedimentation Basin </v>
          </cell>
          <cell r="O1554">
            <v>0.02</v>
          </cell>
          <cell r="P1554">
            <v>1.9200000000000003E-4</v>
          </cell>
          <cell r="Q1554" t="str">
            <v>L</v>
          </cell>
          <cell r="R1554">
            <v>2.5000000000000001E-4</v>
          </cell>
          <cell r="T1554">
            <v>39489</v>
          </cell>
          <cell r="V1554" t="str">
            <v>2008-02</v>
          </cell>
          <cell r="AM1554">
            <v>0</v>
          </cell>
          <cell r="AN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</row>
        <row r="1555">
          <cell r="C1555" t="str">
            <v>DWG</v>
          </cell>
          <cell r="H1555" t="str">
            <v>10-60-A1-ST-0063</v>
          </cell>
          <cell r="I1555" t="str">
            <v>Sedimented Water Holding Basin Structural details</v>
          </cell>
          <cell r="O1555">
            <v>0.02</v>
          </cell>
          <cell r="P1555">
            <v>1.9200000000000003E-4</v>
          </cell>
          <cell r="Q1555" t="str">
            <v>L</v>
          </cell>
          <cell r="R1555">
            <v>2.5000000000000001E-4</v>
          </cell>
          <cell r="T1555">
            <v>39489</v>
          </cell>
          <cell r="V1555" t="str">
            <v>2008-02</v>
          </cell>
          <cell r="AM1555">
            <v>0</v>
          </cell>
          <cell r="AN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</row>
        <row r="1556">
          <cell r="C1556" t="str">
            <v>CLS</v>
          </cell>
          <cell r="H1556" t="str">
            <v>10-60-CSH-ST-0063</v>
          </cell>
          <cell r="I1556" t="str">
            <v>Calculation Sheet For  Sedimented Water Holding Basin</v>
          </cell>
          <cell r="O1556">
            <v>0.02</v>
          </cell>
          <cell r="P1556">
            <v>1.9200000000000003E-4</v>
          </cell>
          <cell r="Q1556" t="str">
            <v>L</v>
          </cell>
          <cell r="R1556">
            <v>2.5000000000000001E-4</v>
          </cell>
          <cell r="T1556">
            <v>39489</v>
          </cell>
          <cell r="V1556" t="str">
            <v>2008-02</v>
          </cell>
          <cell r="AM1556">
            <v>0</v>
          </cell>
          <cell r="AN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</row>
        <row r="1557">
          <cell r="C1557" t="str">
            <v>DWG</v>
          </cell>
          <cell r="H1557" t="str">
            <v>10-60-A1-ST-0064</v>
          </cell>
          <cell r="I1557" t="str">
            <v>Gravity Sand Filters (A/B) Structural details</v>
          </cell>
          <cell r="O1557">
            <v>0.02</v>
          </cell>
          <cell r="P1557">
            <v>1.9200000000000003E-4</v>
          </cell>
          <cell r="Q1557" t="str">
            <v>L</v>
          </cell>
          <cell r="R1557">
            <v>2.5000000000000001E-4</v>
          </cell>
          <cell r="T1557">
            <v>39490</v>
          </cell>
          <cell r="V1557" t="str">
            <v>2008-02</v>
          </cell>
          <cell r="AM1557">
            <v>0</v>
          </cell>
          <cell r="AN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</row>
        <row r="1558">
          <cell r="C1558" t="str">
            <v>CLS</v>
          </cell>
          <cell r="H1558" t="str">
            <v>10-60-CSH-ST-0064</v>
          </cell>
          <cell r="I1558" t="str">
            <v xml:space="preserve">Calculation Sheet For  Gravity Sand Filters (A/B) </v>
          </cell>
          <cell r="O1558">
            <v>0.02</v>
          </cell>
          <cell r="P1558">
            <v>1.9200000000000003E-4</v>
          </cell>
          <cell r="Q1558" t="str">
            <v>L</v>
          </cell>
          <cell r="R1558">
            <v>2.5000000000000001E-4</v>
          </cell>
          <cell r="T1558">
            <v>39490</v>
          </cell>
          <cell r="V1558" t="str">
            <v>2008-02</v>
          </cell>
          <cell r="AM1558">
            <v>0</v>
          </cell>
          <cell r="AN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</row>
        <row r="1559">
          <cell r="C1559" t="str">
            <v>DWG</v>
          </cell>
          <cell r="H1559" t="str">
            <v>10-60-A1-ST-0065</v>
          </cell>
          <cell r="I1559" t="str">
            <v>Treated Organic Waste Water Holding Basin Structural details</v>
          </cell>
          <cell r="O1559">
            <v>0.02</v>
          </cell>
          <cell r="P1559">
            <v>1.9200000000000003E-4</v>
          </cell>
          <cell r="Q1559" t="str">
            <v>L</v>
          </cell>
          <cell r="R1559">
            <v>2.5000000000000001E-4</v>
          </cell>
          <cell r="T1559">
            <v>39490</v>
          </cell>
          <cell r="V1559" t="str">
            <v>2008-02</v>
          </cell>
          <cell r="AM1559">
            <v>0</v>
          </cell>
          <cell r="AN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</row>
        <row r="1560">
          <cell r="C1560" t="str">
            <v>CLS</v>
          </cell>
          <cell r="H1560" t="str">
            <v>10-60-CSH-ST-0065</v>
          </cell>
          <cell r="I1560" t="str">
            <v>Calculation Sheet For  Treated Organic Waste Water Holding Basin</v>
          </cell>
          <cell r="O1560">
            <v>0.02</v>
          </cell>
          <cell r="P1560">
            <v>1.9200000000000003E-4</v>
          </cell>
          <cell r="Q1560" t="str">
            <v>L</v>
          </cell>
          <cell r="R1560">
            <v>2.5000000000000001E-4</v>
          </cell>
          <cell r="T1560">
            <v>39491</v>
          </cell>
          <cell r="V1560" t="str">
            <v>2008-02</v>
          </cell>
          <cell r="AM1560">
            <v>0</v>
          </cell>
          <cell r="AN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</row>
        <row r="1561">
          <cell r="C1561" t="str">
            <v>DWG</v>
          </cell>
          <cell r="H1561" t="str">
            <v>10-60-A1-ST-0066</v>
          </cell>
          <cell r="I1561" t="str">
            <v>Sedimented Sludge Holding Basin Structural details</v>
          </cell>
          <cell r="O1561">
            <v>0.02</v>
          </cell>
          <cell r="P1561">
            <v>1.9200000000000003E-4</v>
          </cell>
          <cell r="Q1561" t="str">
            <v>L</v>
          </cell>
          <cell r="R1561">
            <v>2.5000000000000001E-4</v>
          </cell>
          <cell r="T1561">
            <v>39491</v>
          </cell>
          <cell r="V1561" t="str">
            <v>2008-02</v>
          </cell>
          <cell r="AM1561">
            <v>0</v>
          </cell>
          <cell r="AN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</row>
        <row r="1562">
          <cell r="C1562" t="str">
            <v>CLS</v>
          </cell>
          <cell r="H1562" t="str">
            <v>10-60-CSH-ST-0066</v>
          </cell>
          <cell r="I1562" t="str">
            <v xml:space="preserve">Calculation Sheet For  Sedimented Sludge Holding Basin </v>
          </cell>
          <cell r="O1562">
            <v>0.02</v>
          </cell>
          <cell r="P1562">
            <v>1.9200000000000003E-4</v>
          </cell>
          <cell r="Q1562" t="str">
            <v>L</v>
          </cell>
          <cell r="R1562">
            <v>2.5000000000000001E-4</v>
          </cell>
          <cell r="T1562">
            <v>39491</v>
          </cell>
          <cell r="V1562" t="str">
            <v>2008-02</v>
          </cell>
          <cell r="AM1562">
            <v>0</v>
          </cell>
          <cell r="AN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</row>
        <row r="1563">
          <cell r="C1563" t="str">
            <v>DWG</v>
          </cell>
          <cell r="H1563" t="str">
            <v>10-60-A1-ST-0067</v>
          </cell>
          <cell r="I1563" t="str">
            <v>Sludge Thickner Structural details</v>
          </cell>
          <cell r="O1563">
            <v>0.02</v>
          </cell>
          <cell r="P1563">
            <v>1.9200000000000003E-4</v>
          </cell>
          <cell r="Q1563" t="str">
            <v>L</v>
          </cell>
          <cell r="R1563">
            <v>2.5000000000000001E-4</v>
          </cell>
          <cell r="T1563">
            <v>39492</v>
          </cell>
          <cell r="V1563" t="str">
            <v>2008-02</v>
          </cell>
          <cell r="AM1563">
            <v>0</v>
          </cell>
          <cell r="AN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</row>
        <row r="1564">
          <cell r="C1564" t="str">
            <v>CLS</v>
          </cell>
          <cell r="H1564" t="str">
            <v>10-60-CSH-ST-0067</v>
          </cell>
          <cell r="I1564" t="str">
            <v xml:space="preserve">Calculation Sheet For Sludge Thickner </v>
          </cell>
          <cell r="O1564">
            <v>0.02</v>
          </cell>
          <cell r="P1564">
            <v>1.9200000000000003E-4</v>
          </cell>
          <cell r="Q1564" t="str">
            <v>L</v>
          </cell>
          <cell r="R1564">
            <v>2.5000000000000001E-4</v>
          </cell>
          <cell r="T1564">
            <v>39492</v>
          </cell>
          <cell r="V1564" t="str">
            <v>2008-02</v>
          </cell>
          <cell r="AM1564">
            <v>0</v>
          </cell>
          <cell r="AN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</row>
        <row r="1565">
          <cell r="C1565" t="str">
            <v>DWG</v>
          </cell>
          <cell r="H1565" t="str">
            <v>10-60-A1-ST-0068</v>
          </cell>
          <cell r="I1565" t="str">
            <v>Drying Beds (A/B) Structural details</v>
          </cell>
          <cell r="O1565">
            <v>0.02</v>
          </cell>
          <cell r="P1565">
            <v>1.9200000000000003E-4</v>
          </cell>
          <cell r="Q1565" t="str">
            <v>L</v>
          </cell>
          <cell r="R1565">
            <v>2.5000000000000001E-4</v>
          </cell>
          <cell r="T1565">
            <v>39492</v>
          </cell>
          <cell r="V1565" t="str">
            <v>2008-02</v>
          </cell>
          <cell r="AM1565">
            <v>0</v>
          </cell>
          <cell r="AN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</row>
        <row r="1566">
          <cell r="C1566" t="str">
            <v>CLS</v>
          </cell>
          <cell r="H1566" t="str">
            <v>10-60-CSH-ST-0068</v>
          </cell>
          <cell r="I1566" t="str">
            <v xml:space="preserve">Calculation Sheet For  Drying Beds (A/B) </v>
          </cell>
          <cell r="O1566">
            <v>0.02</v>
          </cell>
          <cell r="P1566">
            <v>1.9200000000000003E-4</v>
          </cell>
          <cell r="Q1566" t="str">
            <v>L</v>
          </cell>
          <cell r="R1566">
            <v>2.5000000000000001E-4</v>
          </cell>
          <cell r="T1566">
            <v>39493</v>
          </cell>
          <cell r="V1566" t="str">
            <v>2008-02</v>
          </cell>
          <cell r="AM1566">
            <v>0</v>
          </cell>
          <cell r="AN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</row>
        <row r="1567">
          <cell r="C1567" t="str">
            <v>DWG</v>
          </cell>
          <cell r="H1567" t="str">
            <v>10-60-A1-ST-0069</v>
          </cell>
          <cell r="I1567" t="str">
            <v>Inorganic Waste Water Equalization Basin Structural details</v>
          </cell>
          <cell r="O1567">
            <v>0.02</v>
          </cell>
          <cell r="P1567">
            <v>1.9200000000000003E-4</v>
          </cell>
          <cell r="Q1567" t="str">
            <v>L</v>
          </cell>
          <cell r="R1567">
            <v>2.5000000000000001E-4</v>
          </cell>
          <cell r="T1567">
            <v>39493</v>
          </cell>
          <cell r="V1567" t="str">
            <v>2008-02</v>
          </cell>
          <cell r="AM1567">
            <v>0</v>
          </cell>
          <cell r="AN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</row>
        <row r="1568">
          <cell r="C1568" t="str">
            <v>CLS</v>
          </cell>
          <cell r="H1568" t="str">
            <v>10-60-CSH-ST-0069</v>
          </cell>
          <cell r="I1568" t="str">
            <v xml:space="preserve">Calculation Sheet For  Inorganic Waste Water Equalization Basin </v>
          </cell>
          <cell r="O1568">
            <v>0.02</v>
          </cell>
          <cell r="P1568">
            <v>1.9200000000000003E-4</v>
          </cell>
          <cell r="Q1568" t="str">
            <v>L</v>
          </cell>
          <cell r="R1568">
            <v>2.5000000000000001E-4</v>
          </cell>
          <cell r="T1568">
            <v>39493</v>
          </cell>
          <cell r="V1568" t="str">
            <v>2008-02</v>
          </cell>
          <cell r="AM1568">
            <v>0</v>
          </cell>
          <cell r="AN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</row>
        <row r="1569">
          <cell r="C1569" t="str">
            <v>DWG</v>
          </cell>
          <cell r="H1569" t="str">
            <v>10-60-A1-ST-0070</v>
          </cell>
          <cell r="I1569" t="str">
            <v>Flash Mixing Chamber Structural details</v>
          </cell>
          <cell r="O1569">
            <v>0.02</v>
          </cell>
          <cell r="P1569">
            <v>1.9200000000000003E-4</v>
          </cell>
          <cell r="Q1569" t="str">
            <v>L</v>
          </cell>
          <cell r="R1569">
            <v>2.5000000000000001E-4</v>
          </cell>
          <cell r="T1569">
            <v>39494</v>
          </cell>
          <cell r="V1569" t="str">
            <v>2008-02</v>
          </cell>
          <cell r="AM1569">
            <v>0</v>
          </cell>
          <cell r="AN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</row>
        <row r="1570">
          <cell r="C1570" t="str">
            <v>CLS</v>
          </cell>
          <cell r="H1570" t="str">
            <v>10-60-CSH-ST-0070</v>
          </cell>
          <cell r="I1570" t="str">
            <v xml:space="preserve">Calculation Sheet For  Flash Mixing Chamber </v>
          </cell>
          <cell r="O1570">
            <v>0.02</v>
          </cell>
          <cell r="P1570">
            <v>1.9200000000000003E-4</v>
          </cell>
          <cell r="Q1570" t="str">
            <v>L</v>
          </cell>
          <cell r="R1570">
            <v>2.5000000000000001E-4</v>
          </cell>
          <cell r="T1570">
            <v>39494</v>
          </cell>
          <cell r="V1570" t="str">
            <v>2008-02</v>
          </cell>
          <cell r="AM1570">
            <v>0</v>
          </cell>
          <cell r="AN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</row>
        <row r="1571">
          <cell r="C1571" t="str">
            <v>DWG</v>
          </cell>
          <cell r="H1571" t="str">
            <v>10-60-A1-ST-0071</v>
          </cell>
          <cell r="I1571" t="str">
            <v>Floculation Chamber Structural details</v>
          </cell>
          <cell r="O1571">
            <v>0.02</v>
          </cell>
          <cell r="P1571">
            <v>1.9200000000000003E-4</v>
          </cell>
          <cell r="Q1571" t="str">
            <v>L</v>
          </cell>
          <cell r="R1571">
            <v>2.5000000000000001E-4</v>
          </cell>
          <cell r="T1571">
            <v>39494</v>
          </cell>
          <cell r="V1571" t="str">
            <v>2008-02</v>
          </cell>
          <cell r="AM1571">
            <v>0</v>
          </cell>
          <cell r="AN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</row>
        <row r="1572">
          <cell r="C1572" t="str">
            <v>CLS</v>
          </cell>
          <cell r="H1572" t="str">
            <v>10-60-CSH-ST-0071</v>
          </cell>
          <cell r="I1572" t="str">
            <v xml:space="preserve">Calculation Sheet For  Floculation Chamber </v>
          </cell>
          <cell r="O1572">
            <v>0.02</v>
          </cell>
          <cell r="P1572">
            <v>1.9200000000000003E-4</v>
          </cell>
          <cell r="Q1572" t="str">
            <v>L</v>
          </cell>
          <cell r="R1572">
            <v>2.5000000000000001E-4</v>
          </cell>
          <cell r="T1572">
            <v>39495</v>
          </cell>
          <cell r="V1572" t="str">
            <v>2008-02</v>
          </cell>
          <cell r="AM1572">
            <v>0</v>
          </cell>
          <cell r="AN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</row>
        <row r="1573">
          <cell r="C1573" t="str">
            <v>DWG</v>
          </cell>
          <cell r="H1573" t="str">
            <v>10-60-A1-ST-0072</v>
          </cell>
          <cell r="I1573" t="str">
            <v>Waste Water Clarifier Structural details</v>
          </cell>
          <cell r="O1573">
            <v>0.02</v>
          </cell>
          <cell r="P1573">
            <v>1.9200000000000003E-4</v>
          </cell>
          <cell r="Q1573" t="str">
            <v>L</v>
          </cell>
          <cell r="R1573">
            <v>3.4000000000000002E-4</v>
          </cell>
          <cell r="T1573">
            <v>39495</v>
          </cell>
          <cell r="V1573" t="str">
            <v>2008-02</v>
          </cell>
          <cell r="AM1573">
            <v>0</v>
          </cell>
          <cell r="AN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</row>
        <row r="1574">
          <cell r="C1574" t="str">
            <v>CLS</v>
          </cell>
          <cell r="H1574" t="str">
            <v>10-60-CSH-ST-0072</v>
          </cell>
          <cell r="I1574" t="str">
            <v xml:space="preserve">Calculation Sheet For  Waste Water Clarifier </v>
          </cell>
          <cell r="O1574">
            <v>0.02</v>
          </cell>
          <cell r="P1574">
            <v>1.9200000000000003E-4</v>
          </cell>
          <cell r="Q1574" t="str">
            <v>L</v>
          </cell>
          <cell r="R1574">
            <v>3.4000000000000002E-4</v>
          </cell>
          <cell r="T1574">
            <v>39495</v>
          </cell>
          <cell r="V1574" t="str">
            <v>2008-02</v>
          </cell>
          <cell r="AM1574">
            <v>0</v>
          </cell>
          <cell r="AN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</row>
        <row r="1575">
          <cell r="C1575" t="str">
            <v>DWG</v>
          </cell>
          <cell r="H1575" t="str">
            <v>10-60-A1-ST-0073</v>
          </cell>
          <cell r="I1575" t="str">
            <v>Recovery Water  Collection Basin Structural details</v>
          </cell>
          <cell r="O1575">
            <v>0.02</v>
          </cell>
          <cell r="P1575">
            <v>1.9200000000000003E-4</v>
          </cell>
          <cell r="Q1575" t="str">
            <v>L</v>
          </cell>
          <cell r="R1575">
            <v>2.5000000000000001E-4</v>
          </cell>
          <cell r="T1575">
            <v>39496</v>
          </cell>
          <cell r="V1575" t="str">
            <v>2008-02</v>
          </cell>
          <cell r="AH1575" t="str">
            <v/>
          </cell>
          <cell r="AJ1575" t="str">
            <v/>
          </cell>
          <cell r="AL1575" t="str">
            <v/>
          </cell>
          <cell r="AM1575">
            <v>0</v>
          </cell>
          <cell r="AN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</row>
        <row r="1576">
          <cell r="C1576" t="str">
            <v>DWG</v>
          </cell>
          <cell r="H1576" t="str">
            <v>10-60-CSH-ST-0073</v>
          </cell>
          <cell r="I1576" t="str">
            <v xml:space="preserve">Calculation Sheet For  Recovery Water  Collection Basin </v>
          </cell>
          <cell r="O1576">
            <v>0.02</v>
          </cell>
          <cell r="P1576">
            <v>1.9200000000000003E-4</v>
          </cell>
          <cell r="Q1576" t="str">
            <v>L</v>
          </cell>
          <cell r="R1576">
            <v>2.5000000000000001E-4</v>
          </cell>
          <cell r="T1576">
            <v>39496</v>
          </cell>
          <cell r="V1576" t="str">
            <v>2008-02</v>
          </cell>
          <cell r="AH1576" t="str">
            <v/>
          </cell>
          <cell r="AJ1576" t="str">
            <v/>
          </cell>
          <cell r="AL1576" t="str">
            <v/>
          </cell>
          <cell r="AM1576">
            <v>0</v>
          </cell>
          <cell r="AN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</row>
        <row r="1577">
          <cell r="C1577" t="str">
            <v>DWG</v>
          </cell>
          <cell r="H1577" t="str">
            <v>10-60-A1-ST-0074</v>
          </cell>
          <cell r="I1577" t="str">
            <v>Filtered Water Basin Structural details</v>
          </cell>
          <cell r="O1577">
            <v>0.02</v>
          </cell>
          <cell r="P1577">
            <v>1.9200000000000003E-4</v>
          </cell>
          <cell r="Q1577" t="str">
            <v>L</v>
          </cell>
          <cell r="R1577">
            <v>2.5000000000000001E-4</v>
          </cell>
          <cell r="T1577">
            <v>39496</v>
          </cell>
          <cell r="V1577" t="str">
            <v>2008-02</v>
          </cell>
          <cell r="AH1577" t="str">
            <v/>
          </cell>
          <cell r="AJ1577" t="str">
            <v/>
          </cell>
          <cell r="AL1577" t="str">
            <v/>
          </cell>
          <cell r="AM1577">
            <v>0</v>
          </cell>
          <cell r="AN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</row>
        <row r="1578">
          <cell r="C1578" t="str">
            <v>DWG</v>
          </cell>
          <cell r="H1578" t="str">
            <v>10-60-CSH-ST-0074</v>
          </cell>
          <cell r="I1578" t="str">
            <v xml:space="preserve">Calculation Sheet For Filtered Water Basin </v>
          </cell>
          <cell r="O1578">
            <v>0.02</v>
          </cell>
          <cell r="P1578">
            <v>1.9200000000000003E-4</v>
          </cell>
          <cell r="Q1578" t="str">
            <v>L</v>
          </cell>
          <cell r="R1578">
            <v>2.5000000000000001E-4</v>
          </cell>
          <cell r="T1578">
            <v>39497</v>
          </cell>
          <cell r="V1578" t="str">
            <v>2008-02</v>
          </cell>
          <cell r="AH1578" t="str">
            <v/>
          </cell>
          <cell r="AJ1578" t="str">
            <v/>
          </cell>
          <cell r="AL1578" t="str">
            <v/>
          </cell>
          <cell r="AM1578">
            <v>0</v>
          </cell>
          <cell r="AN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</row>
        <row r="1579">
          <cell r="C1579" t="str">
            <v>DWG</v>
          </cell>
          <cell r="H1579" t="str">
            <v>Civil Works</v>
          </cell>
          <cell r="N1579">
            <v>0.1</v>
          </cell>
          <cell r="O1579">
            <v>1</v>
          </cell>
          <cell r="P1579">
            <v>2.4000000000000002E-3</v>
          </cell>
          <cell r="R1579">
            <v>8.5999999999999998E-4</v>
          </cell>
          <cell r="T1579" t="str">
            <v>.</v>
          </cell>
          <cell r="U1579" t="str">
            <v>.</v>
          </cell>
          <cell r="V1579" t="str">
            <v>.</v>
          </cell>
          <cell r="AG1579" t="str">
            <v>.</v>
          </cell>
          <cell r="AH1579" t="str">
            <v/>
          </cell>
          <cell r="AJ1579" t="str">
            <v/>
          </cell>
          <cell r="AL1579" t="str">
            <v/>
          </cell>
          <cell r="AM1579">
            <v>0</v>
          </cell>
          <cell r="AN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</row>
        <row r="1580">
          <cell r="C1580" t="str">
            <v>DWG</v>
          </cell>
          <cell r="H1580" t="str">
            <v>10-60-A1-CI-0001</v>
          </cell>
          <cell r="I1580" t="str">
            <v>Paving plan &amp; details</v>
          </cell>
          <cell r="O1580">
            <v>0.5</v>
          </cell>
          <cell r="P1580">
            <v>1.2000000000000001E-3</v>
          </cell>
          <cell r="Q1580" t="str">
            <v>L</v>
          </cell>
          <cell r="R1580">
            <v>4.2999999999999999E-4</v>
          </cell>
          <cell r="T1580">
            <v>39497</v>
          </cell>
          <cell r="V1580" t="str">
            <v>2008-02</v>
          </cell>
          <cell r="AH1580" t="str">
            <v/>
          </cell>
          <cell r="AJ1580" t="str">
            <v/>
          </cell>
          <cell r="AL1580" t="str">
            <v/>
          </cell>
          <cell r="AM1580">
            <v>0</v>
          </cell>
          <cell r="AN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</row>
        <row r="1581">
          <cell r="C1581" t="str">
            <v>DWG</v>
          </cell>
          <cell r="H1581" t="str">
            <v>10-60-A1-CI-0002</v>
          </cell>
          <cell r="I1581" t="str">
            <v>Concrete Cable Trench and Duct Bank plan&amp; details</v>
          </cell>
          <cell r="O1581">
            <v>0.5</v>
          </cell>
          <cell r="P1581">
            <v>1.2000000000000001E-3</v>
          </cell>
          <cell r="Q1581" t="str">
            <v>L</v>
          </cell>
          <cell r="R1581">
            <v>4.2999999999999999E-4</v>
          </cell>
          <cell r="T1581">
            <v>39497</v>
          </cell>
          <cell r="V1581" t="str">
            <v>2008-02</v>
          </cell>
          <cell r="AH1581" t="str">
            <v/>
          </cell>
          <cell r="AJ1581" t="str">
            <v/>
          </cell>
          <cell r="AL1581" t="str">
            <v/>
          </cell>
          <cell r="AM1581">
            <v>0</v>
          </cell>
          <cell r="AN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</row>
        <row r="1582">
          <cell r="C1582" t="str">
            <v>DWG</v>
          </cell>
          <cell r="G1582" t="str">
            <v>Electrical and Control Systems</v>
          </cell>
          <cell r="M1582">
            <v>7.0000000000000007E-2</v>
          </cell>
          <cell r="N1582">
            <v>1</v>
          </cell>
          <cell r="P1582">
            <v>1.4000000000000002E-2</v>
          </cell>
          <cell r="R1582">
            <v>1.1800000000000001E-2</v>
          </cell>
          <cell r="T1582" t="str">
            <v>.</v>
          </cell>
          <cell r="U1582" t="str">
            <v>.</v>
          </cell>
          <cell r="V1582" t="str">
            <v>.</v>
          </cell>
          <cell r="AG1582" t="str">
            <v>.</v>
          </cell>
          <cell r="AH1582" t="str">
            <v/>
          </cell>
          <cell r="AJ1582" t="str">
            <v/>
          </cell>
          <cell r="AL1582" t="str">
            <v/>
          </cell>
          <cell r="AM1582">
            <v>0</v>
          </cell>
          <cell r="AN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</row>
        <row r="1583">
          <cell r="C1583" t="str">
            <v>DWG</v>
          </cell>
          <cell r="H1583" t="str">
            <v>MV/LV Common switchgear room 1</v>
          </cell>
          <cell r="N1583">
            <v>0.25</v>
          </cell>
          <cell r="O1583">
            <v>1</v>
          </cell>
          <cell r="P1583">
            <v>3.5000000000000005E-3</v>
          </cell>
          <cell r="R1583">
            <v>3.2300000000000002E-3</v>
          </cell>
          <cell r="T1583" t="str">
            <v>.</v>
          </cell>
          <cell r="U1583" t="str">
            <v>.</v>
          </cell>
          <cell r="V1583" t="str">
            <v>.</v>
          </cell>
          <cell r="AG1583" t="str">
            <v>.</v>
          </cell>
          <cell r="AH1583" t="str">
            <v/>
          </cell>
          <cell r="AJ1583" t="str">
            <v/>
          </cell>
          <cell r="AL1583" t="str">
            <v/>
          </cell>
          <cell r="AM1583">
            <v>0</v>
          </cell>
          <cell r="AN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</row>
        <row r="1584">
          <cell r="C1584" t="str">
            <v>DWG</v>
          </cell>
          <cell r="H1584" t="str">
            <v>10-00-A1-BL-0001</v>
          </cell>
          <cell r="I1584" t="str">
            <v>Architectural drawings</v>
          </cell>
          <cell r="O1584">
            <v>0.34</v>
          </cell>
          <cell r="P1584">
            <v>1.1900000000000003E-3</v>
          </cell>
          <cell r="Q1584" t="str">
            <v>L</v>
          </cell>
          <cell r="R1584">
            <v>9.3000000000000005E-4</v>
          </cell>
          <cell r="AM1584">
            <v>0</v>
          </cell>
          <cell r="AN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</row>
        <row r="1585">
          <cell r="C1585" t="str">
            <v>DWG</v>
          </cell>
          <cell r="H1585" t="str">
            <v>10-00-A1-ST-0001</v>
          </cell>
          <cell r="I1585" t="str">
            <v>Structural drawings</v>
          </cell>
          <cell r="O1585">
            <v>0.33</v>
          </cell>
          <cell r="P1585">
            <v>1.1550000000000002E-3</v>
          </cell>
          <cell r="Q1585" t="str">
            <v>L</v>
          </cell>
          <cell r="R1585">
            <v>1.15E-3</v>
          </cell>
          <cell r="AJ1585" t="str">
            <v/>
          </cell>
          <cell r="AL1585" t="str">
            <v/>
          </cell>
          <cell r="AM1585">
            <v>0</v>
          </cell>
          <cell r="AN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</row>
        <row r="1586">
          <cell r="C1586" t="str">
            <v>DWG</v>
          </cell>
          <cell r="H1586" t="str">
            <v>10-00-CSH-ST-0001</v>
          </cell>
          <cell r="I1586" t="str">
            <v>Calculation Sheet For MV/LV Common switchgear room 1</v>
          </cell>
          <cell r="O1586">
            <v>0.33</v>
          </cell>
          <cell r="P1586">
            <v>1.1550000000000002E-3</v>
          </cell>
          <cell r="Q1586" t="str">
            <v>L</v>
          </cell>
          <cell r="R1586">
            <v>1.15E-3</v>
          </cell>
          <cell r="T1586">
            <v>39498</v>
          </cell>
          <cell r="V1586" t="str">
            <v>2008-02</v>
          </cell>
          <cell r="AH1586" t="str">
            <v/>
          </cell>
          <cell r="AJ1586" t="str">
            <v/>
          </cell>
          <cell r="AL1586" t="str">
            <v/>
          </cell>
          <cell r="AM1586">
            <v>0</v>
          </cell>
          <cell r="AN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</row>
        <row r="1587">
          <cell r="C1587" t="str">
            <v>DWG</v>
          </cell>
          <cell r="H1587" t="str">
            <v>LV common swithcgear 2</v>
          </cell>
          <cell r="N1587">
            <v>0.15</v>
          </cell>
          <cell r="O1587">
            <v>1</v>
          </cell>
          <cell r="P1587">
            <v>2.1000000000000003E-3</v>
          </cell>
          <cell r="R1587">
            <v>3.2300000000000002E-3</v>
          </cell>
          <cell r="T1587" t="str">
            <v>.</v>
          </cell>
          <cell r="U1587" t="str">
            <v>.</v>
          </cell>
          <cell r="V1587" t="str">
            <v>.</v>
          </cell>
          <cell r="AG1587" t="str">
            <v>.</v>
          </cell>
          <cell r="AH1587" t="str">
            <v/>
          </cell>
          <cell r="AJ1587" t="str">
            <v/>
          </cell>
          <cell r="AL1587" t="str">
            <v/>
          </cell>
          <cell r="AM1587">
            <v>0</v>
          </cell>
          <cell r="AN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</row>
        <row r="1588">
          <cell r="C1588" t="str">
            <v>DWG</v>
          </cell>
          <cell r="H1588" t="str">
            <v>10-00-A1-BL-0002</v>
          </cell>
          <cell r="I1588" t="str">
            <v>Architectural drawings</v>
          </cell>
          <cell r="O1588">
            <v>0.34</v>
          </cell>
          <cell r="P1588">
            <v>7.1400000000000012E-4</v>
          </cell>
          <cell r="Q1588" t="str">
            <v>L</v>
          </cell>
          <cell r="R1588">
            <v>9.3000000000000005E-4</v>
          </cell>
          <cell r="T1588">
            <v>39499</v>
          </cell>
          <cell r="V1588" t="str">
            <v>2008-02</v>
          </cell>
          <cell r="AM1588">
            <v>0</v>
          </cell>
          <cell r="AN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</row>
        <row r="1589">
          <cell r="C1589" t="str">
            <v>DWG</v>
          </cell>
          <cell r="H1589" t="str">
            <v>10-00-A1-ST-0002</v>
          </cell>
          <cell r="I1589" t="str">
            <v>Structural drawings</v>
          </cell>
          <cell r="O1589">
            <v>0.33</v>
          </cell>
          <cell r="P1589">
            <v>6.9300000000000015E-4</v>
          </cell>
          <cell r="Q1589" t="str">
            <v>L</v>
          </cell>
          <cell r="R1589">
            <v>1.15E-3</v>
          </cell>
          <cell r="T1589">
            <v>39499</v>
          </cell>
          <cell r="V1589" t="str">
            <v>2008-02</v>
          </cell>
          <cell r="AH1589" t="str">
            <v/>
          </cell>
          <cell r="AJ1589" t="str">
            <v/>
          </cell>
          <cell r="AL1589" t="str">
            <v/>
          </cell>
          <cell r="AM1589">
            <v>0</v>
          </cell>
          <cell r="AN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</row>
        <row r="1590">
          <cell r="C1590" t="str">
            <v>DWG</v>
          </cell>
          <cell r="H1590" t="str">
            <v>10-00-CSH-ST-0002</v>
          </cell>
          <cell r="I1590" t="str">
            <v>Calculation Sheet For LV common swithcgear 2</v>
          </cell>
          <cell r="O1590">
            <v>0.33</v>
          </cell>
          <cell r="P1590">
            <v>6.9300000000000015E-4</v>
          </cell>
          <cell r="Q1590" t="str">
            <v>L</v>
          </cell>
          <cell r="R1590">
            <v>1.15E-3</v>
          </cell>
          <cell r="T1590">
            <v>39499</v>
          </cell>
          <cell r="V1590" t="str">
            <v>2008-02</v>
          </cell>
          <cell r="AH1590" t="str">
            <v/>
          </cell>
          <cell r="AJ1590" t="str">
            <v/>
          </cell>
          <cell r="AL1590" t="str">
            <v/>
          </cell>
          <cell r="AM1590">
            <v>0</v>
          </cell>
          <cell r="AN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</row>
        <row r="1591">
          <cell r="C1591" t="str">
            <v>DWG</v>
          </cell>
          <cell r="H1591" t="str">
            <v>Central Control Building</v>
          </cell>
          <cell r="N1591">
            <v>0.25</v>
          </cell>
          <cell r="O1591">
            <v>1</v>
          </cell>
          <cell r="P1591">
            <v>3.5000000000000005E-3</v>
          </cell>
          <cell r="R1591">
            <v>3.2300000000000002E-3</v>
          </cell>
          <cell r="T1591" t="str">
            <v>.</v>
          </cell>
          <cell r="U1591" t="str">
            <v>.</v>
          </cell>
          <cell r="V1591" t="str">
            <v>.</v>
          </cell>
          <cell r="AG1591" t="str">
            <v>.</v>
          </cell>
          <cell r="AH1591" t="str">
            <v/>
          </cell>
          <cell r="AJ1591" t="str">
            <v/>
          </cell>
          <cell r="AL1591" t="str">
            <v/>
          </cell>
          <cell r="AM1591">
            <v>0</v>
          </cell>
          <cell r="AN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</row>
        <row r="1592">
          <cell r="C1592" t="str">
            <v>DWG</v>
          </cell>
          <cell r="H1592" t="str">
            <v>10-00-A1-BL-0003</v>
          </cell>
          <cell r="I1592" t="str">
            <v>Architectural drawings</v>
          </cell>
          <cell r="O1592">
            <v>0.34</v>
          </cell>
          <cell r="P1592">
            <v>1.1900000000000003E-3</v>
          </cell>
          <cell r="Q1592" t="str">
            <v>L</v>
          </cell>
          <cell r="R1592">
            <v>9.3000000000000005E-4</v>
          </cell>
          <cell r="AJ1592" t="str">
            <v/>
          </cell>
          <cell r="AL1592" t="str">
            <v/>
          </cell>
          <cell r="AM1592">
            <v>0</v>
          </cell>
          <cell r="AN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</row>
        <row r="1593">
          <cell r="C1593" t="str">
            <v>DWG</v>
          </cell>
          <cell r="H1593" t="str">
            <v>10-00-A1-ST-0003</v>
          </cell>
          <cell r="I1593" t="str">
            <v>Structural drawings</v>
          </cell>
          <cell r="O1593">
            <v>0.33</v>
          </cell>
          <cell r="P1593">
            <v>1.1550000000000002E-3</v>
          </cell>
          <cell r="Q1593" t="str">
            <v>L</v>
          </cell>
          <cell r="R1593">
            <v>1.15E-3</v>
          </cell>
          <cell r="T1593">
            <v>39500</v>
          </cell>
          <cell r="V1593" t="str">
            <v>2008-02</v>
          </cell>
          <cell r="AM1593">
            <v>0</v>
          </cell>
          <cell r="AN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</row>
        <row r="1594">
          <cell r="C1594" t="str">
            <v>DWG</v>
          </cell>
          <cell r="H1594" t="str">
            <v>10-00-CSH-ST-0003</v>
          </cell>
          <cell r="I1594" t="str">
            <v>Calculation Sheet For Central Control Building</v>
          </cell>
          <cell r="O1594">
            <v>0.33</v>
          </cell>
          <cell r="P1594">
            <v>1.1550000000000002E-3</v>
          </cell>
          <cell r="Q1594" t="str">
            <v>L</v>
          </cell>
          <cell r="R1594">
            <v>1.15E-3</v>
          </cell>
          <cell r="T1594">
            <v>39500</v>
          </cell>
          <cell r="V1594" t="str">
            <v>2008-02</v>
          </cell>
          <cell r="AH1594" t="str">
            <v/>
          </cell>
          <cell r="AJ1594" t="str">
            <v/>
          </cell>
          <cell r="AL1594" t="str">
            <v/>
          </cell>
          <cell r="AM1594">
            <v>0</v>
          </cell>
          <cell r="AN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</row>
        <row r="1595">
          <cell r="C1595" t="str">
            <v>DWG</v>
          </cell>
          <cell r="H1595" t="str">
            <v>Equipment Foundations</v>
          </cell>
          <cell r="N1595">
            <v>0.2</v>
          </cell>
          <cell r="O1595">
            <v>1</v>
          </cell>
          <cell r="P1595">
            <v>2.8000000000000004E-3</v>
          </cell>
          <cell r="R1595">
            <v>1.6800000000000001E-3</v>
          </cell>
          <cell r="T1595" t="str">
            <v>.</v>
          </cell>
          <cell r="U1595" t="str">
            <v>.</v>
          </cell>
          <cell r="V1595" t="str">
            <v>.</v>
          </cell>
          <cell r="AG1595" t="str">
            <v>.</v>
          </cell>
          <cell r="AH1595" t="str">
            <v/>
          </cell>
          <cell r="AJ1595" t="str">
            <v/>
          </cell>
          <cell r="AL1595" t="str">
            <v/>
          </cell>
          <cell r="AM1595">
            <v>0</v>
          </cell>
          <cell r="AN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</row>
        <row r="1596">
          <cell r="C1596" t="str">
            <v>DWG</v>
          </cell>
          <cell r="H1596" t="str">
            <v>10-00-A1-ST-0004</v>
          </cell>
          <cell r="I1596" t="str">
            <v>Power Transformer 230/20 KV, 50 MVA (A/B) foundation plan &amp; details</v>
          </cell>
          <cell r="O1596">
            <v>0.17</v>
          </cell>
          <cell r="P1596">
            <v>4.7600000000000008E-4</v>
          </cell>
          <cell r="Q1596" t="str">
            <v>L</v>
          </cell>
          <cell r="R1596">
            <v>3.4000000000000002E-4</v>
          </cell>
          <cell r="T1596">
            <v>39500</v>
          </cell>
          <cell r="V1596" t="str">
            <v>2008-02</v>
          </cell>
          <cell r="AH1596" t="str">
            <v/>
          </cell>
          <cell r="AJ1596" t="str">
            <v/>
          </cell>
          <cell r="AL1596" t="str">
            <v/>
          </cell>
          <cell r="AM1596">
            <v>0</v>
          </cell>
          <cell r="AN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</row>
        <row r="1597">
          <cell r="C1597" t="str">
            <v>CLS</v>
          </cell>
          <cell r="H1597" t="str">
            <v>10-00-ESS-ST-0004</v>
          </cell>
          <cell r="I1597" t="str">
            <v>Calculation Sheet For Power Transformer 230/20 KV, 50 MVA (A/B) foundation</v>
          </cell>
          <cell r="O1597">
            <v>0.17</v>
          </cell>
          <cell r="P1597">
            <v>4.7600000000000008E-4</v>
          </cell>
          <cell r="Q1597" t="str">
            <v>L</v>
          </cell>
          <cell r="R1597">
            <v>3.4000000000000002E-4</v>
          </cell>
          <cell r="T1597">
            <v>39501</v>
          </cell>
          <cell r="V1597" t="str">
            <v>2008-02</v>
          </cell>
          <cell r="AM1597">
            <v>0</v>
          </cell>
          <cell r="AN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</row>
        <row r="1598">
          <cell r="C1598" t="str">
            <v>DWG</v>
          </cell>
          <cell r="H1598" t="str">
            <v>10-00-A1-ST-0005</v>
          </cell>
          <cell r="I1598" t="str">
            <v>Distribution Transformer 20/0.4 KV, any Duty (A to J) foundation plan &amp; details</v>
          </cell>
          <cell r="O1598">
            <v>0.17</v>
          </cell>
          <cell r="P1598">
            <v>4.7600000000000008E-4</v>
          </cell>
          <cell r="Q1598" t="str">
            <v>L</v>
          </cell>
          <cell r="R1598">
            <v>2.5000000000000001E-4</v>
          </cell>
          <cell r="T1598">
            <v>39501</v>
          </cell>
          <cell r="V1598" t="str">
            <v>2008-02</v>
          </cell>
          <cell r="AM1598">
            <v>0</v>
          </cell>
          <cell r="AN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</row>
        <row r="1599">
          <cell r="C1599" t="str">
            <v>CLS</v>
          </cell>
          <cell r="H1599" t="str">
            <v>10-00-CSH-ST-0005</v>
          </cell>
          <cell r="I1599" t="str">
            <v>Calculation Sheet For Distribution Transformer 20/0.4 KV, any Duty (A to J) foundation</v>
          </cell>
          <cell r="O1599">
            <v>0.17</v>
          </cell>
          <cell r="P1599">
            <v>4.7600000000000008E-4</v>
          </cell>
          <cell r="Q1599" t="str">
            <v>L</v>
          </cell>
          <cell r="R1599">
            <v>2.5000000000000001E-4</v>
          </cell>
          <cell r="T1599">
            <v>39501</v>
          </cell>
          <cell r="V1599" t="str">
            <v>2008-02</v>
          </cell>
          <cell r="AM1599">
            <v>0</v>
          </cell>
          <cell r="AN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</row>
        <row r="1600">
          <cell r="C1600" t="str">
            <v>DWG</v>
          </cell>
          <cell r="H1600" t="str">
            <v>10-00-A1-ST-0006</v>
          </cell>
          <cell r="I1600" t="str">
            <v>Distribution Transformer 20/6.3 KV, any Duty (A/B) foundation plan &amp; details</v>
          </cell>
          <cell r="O1600">
            <v>0.16</v>
          </cell>
          <cell r="P1600">
            <v>4.4800000000000005E-4</v>
          </cell>
          <cell r="Q1600" t="str">
            <v>L</v>
          </cell>
          <cell r="R1600">
            <v>2.5000000000000001E-4</v>
          </cell>
          <cell r="T1600">
            <v>39501</v>
          </cell>
          <cell r="V1600" t="str">
            <v>2008-02</v>
          </cell>
          <cell r="AH1600" t="str">
            <v/>
          </cell>
          <cell r="AJ1600" t="str">
            <v/>
          </cell>
          <cell r="AL1600" t="str">
            <v/>
          </cell>
          <cell r="AM1600">
            <v>0</v>
          </cell>
          <cell r="AN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</row>
        <row r="1601">
          <cell r="C1601" t="str">
            <v>DWG</v>
          </cell>
          <cell r="H1601" t="str">
            <v>10-00-CSH-ST-0006</v>
          </cell>
          <cell r="I1601" t="str">
            <v>Calculation Sheet For Distribution Transformer 20/6.3 KV, any Duty (A/B) foundation</v>
          </cell>
          <cell r="O1601">
            <v>0.16</v>
          </cell>
          <cell r="P1601">
            <v>4.4800000000000005E-4</v>
          </cell>
          <cell r="Q1601" t="str">
            <v>L</v>
          </cell>
          <cell r="R1601">
            <v>2.5000000000000001E-4</v>
          </cell>
          <cell r="T1601">
            <v>39501</v>
          </cell>
          <cell r="V1601" t="str">
            <v>2008-02</v>
          </cell>
          <cell r="AH1601" t="str">
            <v/>
          </cell>
          <cell r="AJ1601" t="str">
            <v/>
          </cell>
          <cell r="AL1601" t="str">
            <v/>
          </cell>
          <cell r="AM1601">
            <v>0</v>
          </cell>
          <cell r="AN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</row>
        <row r="1602">
          <cell r="C1602" t="str">
            <v>DWG</v>
          </cell>
          <cell r="H1602" t="str">
            <v>Civil Works</v>
          </cell>
          <cell r="N1602">
            <v>0.15</v>
          </cell>
          <cell r="O1602">
            <v>1</v>
          </cell>
          <cell r="P1602">
            <v>2.1000000000000003E-3</v>
          </cell>
          <cell r="R1602">
            <v>4.2999999999999999E-4</v>
          </cell>
          <cell r="T1602" t="str">
            <v>.</v>
          </cell>
          <cell r="U1602" t="str">
            <v>.</v>
          </cell>
          <cell r="V1602" t="str">
            <v>.</v>
          </cell>
          <cell r="AG1602" t="str">
            <v>.</v>
          </cell>
          <cell r="AH1602" t="str">
            <v/>
          </cell>
          <cell r="AJ1602" t="str">
            <v/>
          </cell>
          <cell r="AL1602" t="str">
            <v/>
          </cell>
          <cell r="AM1602">
            <v>0</v>
          </cell>
          <cell r="AN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</row>
        <row r="1603">
          <cell r="C1603" t="str">
            <v>DWG</v>
          </cell>
          <cell r="H1603" t="str">
            <v>10-00-A1-CI-0001</v>
          </cell>
          <cell r="I1603" t="str">
            <v>Roads &amp; Pavement Plan and Details</v>
          </cell>
          <cell r="O1603">
            <v>1</v>
          </cell>
          <cell r="P1603">
            <v>2.1000000000000003E-3</v>
          </cell>
          <cell r="Q1603" t="str">
            <v>L</v>
          </cell>
          <cell r="R1603">
            <v>4.2999999999999999E-4</v>
          </cell>
          <cell r="T1603">
            <v>39501</v>
          </cell>
          <cell r="V1603" t="str">
            <v>2008-02</v>
          </cell>
          <cell r="AH1603" t="str">
            <v/>
          </cell>
          <cell r="AJ1603" t="str">
            <v/>
          </cell>
          <cell r="AL1603" t="str">
            <v/>
          </cell>
          <cell r="AM1603">
            <v>0</v>
          </cell>
          <cell r="AN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</row>
        <row r="1604">
          <cell r="C1604" t="str">
            <v>DWG</v>
          </cell>
          <cell r="G1604" t="str">
            <v>Cooling Tower</v>
          </cell>
          <cell r="M1604">
            <v>0.11</v>
          </cell>
          <cell r="N1604">
            <v>1</v>
          </cell>
          <cell r="P1604">
            <v>2.2000000000000002E-2</v>
          </cell>
          <cell r="R1604">
            <v>1.9760000000000007E-2</v>
          </cell>
          <cell r="T1604" t="str">
            <v>.</v>
          </cell>
          <cell r="U1604" t="str">
            <v>.</v>
          </cell>
          <cell r="V1604" t="str">
            <v>.</v>
          </cell>
          <cell r="AG1604" t="str">
            <v>.</v>
          </cell>
          <cell r="AH1604" t="str">
            <v/>
          </cell>
          <cell r="AJ1604" t="str">
            <v/>
          </cell>
          <cell r="AL1604" t="str">
            <v/>
          </cell>
          <cell r="AM1604">
            <v>0</v>
          </cell>
          <cell r="AN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</row>
        <row r="1605">
          <cell r="C1605" t="str">
            <v>DWG</v>
          </cell>
          <cell r="H1605" t="str">
            <v>Cooling Tower pump house (for dosing/MCC/Control system)</v>
          </cell>
          <cell r="N1605">
            <v>0.05</v>
          </cell>
          <cell r="O1605">
            <v>1</v>
          </cell>
          <cell r="P1605">
            <v>1.1000000000000001E-3</v>
          </cell>
          <cell r="R1605">
            <v>1.42E-3</v>
          </cell>
          <cell r="T1605" t="str">
            <v>.</v>
          </cell>
          <cell r="U1605" t="str">
            <v>.</v>
          </cell>
          <cell r="V1605" t="str">
            <v>.</v>
          </cell>
          <cell r="AG1605" t="str">
            <v>.</v>
          </cell>
          <cell r="AH1605" t="str">
            <v/>
          </cell>
          <cell r="AJ1605" t="str">
            <v/>
          </cell>
          <cell r="AL1605" t="str">
            <v/>
          </cell>
          <cell r="AM1605">
            <v>0</v>
          </cell>
          <cell r="AN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</row>
        <row r="1606">
          <cell r="C1606" t="str">
            <v>DWG</v>
          </cell>
          <cell r="H1606" t="str">
            <v>10-70-A1-BL-0001</v>
          </cell>
          <cell r="I1606" t="str">
            <v>Architectural drawings</v>
          </cell>
          <cell r="O1606">
            <v>0.34</v>
          </cell>
          <cell r="P1606">
            <v>3.7400000000000004E-4</v>
          </cell>
          <cell r="Q1606" t="str">
            <v>L</v>
          </cell>
          <cell r="R1606">
            <v>3.4000000000000002E-4</v>
          </cell>
          <cell r="T1606">
            <v>39457</v>
          </cell>
          <cell r="V1606" t="str">
            <v>2008-01</v>
          </cell>
          <cell r="AH1606" t="str">
            <v/>
          </cell>
          <cell r="AJ1606" t="str">
            <v/>
          </cell>
          <cell r="AL1606" t="str">
            <v/>
          </cell>
          <cell r="AM1606">
            <v>0</v>
          </cell>
          <cell r="AN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</row>
        <row r="1607">
          <cell r="C1607" t="str">
            <v>DWG</v>
          </cell>
          <cell r="H1607" t="str">
            <v>10-70-A1-ST-0001</v>
          </cell>
          <cell r="I1607" t="str">
            <v>Structural drawings</v>
          </cell>
          <cell r="O1607">
            <v>0.33</v>
          </cell>
          <cell r="P1607">
            <v>3.6300000000000004E-4</v>
          </cell>
          <cell r="Q1607" t="str">
            <v>L</v>
          </cell>
          <cell r="R1607">
            <v>5.4000000000000001E-4</v>
          </cell>
          <cell r="T1607">
            <v>39477</v>
          </cell>
          <cell r="V1607" t="str">
            <v>2008-01</v>
          </cell>
          <cell r="AM1607">
            <v>0</v>
          </cell>
          <cell r="AN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</row>
        <row r="1608">
          <cell r="C1608" t="str">
            <v>DWG</v>
          </cell>
          <cell r="H1608" t="str">
            <v>10-70-CSH-ST-0001</v>
          </cell>
          <cell r="I1608" t="str">
            <v>Calculation Sheet For Cooling Tower pump house (for dosing/MCC/Control system)</v>
          </cell>
          <cell r="O1608">
            <v>0.33</v>
          </cell>
          <cell r="P1608">
            <v>3.6300000000000004E-4</v>
          </cell>
          <cell r="Q1608" t="str">
            <v>L</v>
          </cell>
          <cell r="R1608">
            <v>5.4000000000000001E-4</v>
          </cell>
          <cell r="T1608">
            <v>39477</v>
          </cell>
          <cell r="V1608" t="str">
            <v>2008-01</v>
          </cell>
          <cell r="AH1608" t="str">
            <v/>
          </cell>
          <cell r="AJ1608" t="str">
            <v/>
          </cell>
          <cell r="AL1608" t="str">
            <v/>
          </cell>
          <cell r="AM1608">
            <v>0</v>
          </cell>
          <cell r="AN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</row>
        <row r="1609">
          <cell r="C1609" t="str">
            <v>DWG</v>
          </cell>
          <cell r="H1609" t="str">
            <v>Equipment Foundations</v>
          </cell>
          <cell r="N1609">
            <v>0.15</v>
          </cell>
          <cell r="O1609">
            <v>1.0000000000000004</v>
          </cell>
          <cell r="P1609">
            <v>3.3000000000000004E-3</v>
          </cell>
          <cell r="R1609">
            <v>1.0360000000000006E-2</v>
          </cell>
          <cell r="T1609" t="str">
            <v>.</v>
          </cell>
          <cell r="U1609" t="str">
            <v>.</v>
          </cell>
          <cell r="V1609" t="str">
            <v>.</v>
          </cell>
          <cell r="AG1609" t="str">
            <v>.</v>
          </cell>
          <cell r="AH1609" t="str">
            <v/>
          </cell>
          <cell r="AJ1609" t="str">
            <v/>
          </cell>
          <cell r="AL1609" t="str">
            <v/>
          </cell>
          <cell r="AM1609">
            <v>0</v>
          </cell>
          <cell r="AN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</row>
        <row r="1610">
          <cell r="C1610" t="str">
            <v>DWG</v>
          </cell>
          <cell r="H1610" t="str">
            <v>10-70-A1-ST-0003</v>
          </cell>
          <cell r="I1610" t="str">
            <v>Main vertical pumps (A/B/C/D) foundation plan &amp; details</v>
          </cell>
          <cell r="O1610">
            <v>2.5000000000000001E-2</v>
          </cell>
          <cell r="P1610">
            <v>8.2500000000000013E-5</v>
          </cell>
          <cell r="Q1610" t="str">
            <v>L</v>
          </cell>
          <cell r="R1610">
            <v>4.2999999999999999E-4</v>
          </cell>
          <cell r="T1610">
            <v>39455</v>
          </cell>
          <cell r="V1610" t="str">
            <v>2008-01</v>
          </cell>
          <cell r="AH1610" t="str">
            <v/>
          </cell>
          <cell r="AJ1610" t="str">
            <v/>
          </cell>
          <cell r="AL1610" t="str">
            <v/>
          </cell>
          <cell r="AM1610">
            <v>0</v>
          </cell>
          <cell r="AN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</row>
        <row r="1611">
          <cell r="C1611" t="str">
            <v>DWG</v>
          </cell>
          <cell r="H1611" t="str">
            <v>10-70-CSH-ST-0003</v>
          </cell>
          <cell r="I1611" t="str">
            <v>Calculation Sheet For Main vertical pumps (A/B/C/D) foundation</v>
          </cell>
          <cell r="O1611">
            <v>2.5000000000000001E-2</v>
          </cell>
          <cell r="P1611">
            <v>8.2500000000000013E-5</v>
          </cell>
          <cell r="Q1611" t="str">
            <v>L</v>
          </cell>
          <cell r="R1611">
            <v>4.2999999999999999E-4</v>
          </cell>
          <cell r="T1611">
            <v>39455</v>
          </cell>
          <cell r="V1611" t="str">
            <v>2008-01</v>
          </cell>
          <cell r="AH1611" t="str">
            <v/>
          </cell>
          <cell r="AJ1611" t="str">
            <v/>
          </cell>
          <cell r="AL1611" t="str">
            <v/>
          </cell>
          <cell r="AM1611">
            <v>0</v>
          </cell>
          <cell r="AN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</row>
        <row r="1612">
          <cell r="C1612" t="str">
            <v>DWG</v>
          </cell>
          <cell r="H1612" t="str">
            <v>10-70-A1-ST-0004</v>
          </cell>
          <cell r="I1612" t="str">
            <v>Side Stream Filters (A/B) foundation plan &amp; details</v>
          </cell>
          <cell r="O1612">
            <v>2.5000000000000001E-2</v>
          </cell>
          <cell r="P1612">
            <v>8.2500000000000013E-5</v>
          </cell>
          <cell r="Q1612" t="str">
            <v>L</v>
          </cell>
          <cell r="R1612">
            <v>2.5000000000000001E-4</v>
          </cell>
          <cell r="T1612">
            <v>39456</v>
          </cell>
          <cell r="V1612" t="str">
            <v>2008-01</v>
          </cell>
          <cell r="AH1612" t="str">
            <v/>
          </cell>
          <cell r="AJ1612" t="str">
            <v/>
          </cell>
          <cell r="AL1612" t="str">
            <v/>
          </cell>
          <cell r="AM1612">
            <v>0</v>
          </cell>
          <cell r="AN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</row>
        <row r="1613">
          <cell r="C1613" t="str">
            <v>DWG</v>
          </cell>
          <cell r="H1613" t="str">
            <v>10-70-CSH-ST-0004</v>
          </cell>
          <cell r="I1613" t="str">
            <v xml:space="preserve">Calculation Sheet For Side Stream Filters (A/B) foundation  </v>
          </cell>
          <cell r="O1613">
            <v>2.5000000000000001E-2</v>
          </cell>
          <cell r="P1613">
            <v>8.2500000000000013E-5</v>
          </cell>
          <cell r="Q1613" t="str">
            <v>L</v>
          </cell>
          <cell r="R1613">
            <v>2.5000000000000001E-4</v>
          </cell>
          <cell r="T1613">
            <v>39457</v>
          </cell>
          <cell r="V1613" t="str">
            <v>2008-01</v>
          </cell>
          <cell r="AH1613" t="str">
            <v/>
          </cell>
          <cell r="AJ1613" t="str">
            <v/>
          </cell>
          <cell r="AL1613" t="str">
            <v/>
          </cell>
          <cell r="AM1613">
            <v>0</v>
          </cell>
          <cell r="AN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</row>
        <row r="1614">
          <cell r="C1614" t="str">
            <v>DWG</v>
          </cell>
          <cell r="H1614" t="str">
            <v>10-70-A1-ST-0005</v>
          </cell>
          <cell r="I1614" t="str">
            <v>Side Stream Back wash blowers (A/B) foundation plan &amp; details</v>
          </cell>
          <cell r="O1614">
            <v>2.5000000000000001E-2</v>
          </cell>
          <cell r="P1614">
            <v>8.2500000000000013E-5</v>
          </cell>
          <cell r="Q1614" t="str">
            <v>L</v>
          </cell>
          <cell r="R1614">
            <v>2.5000000000000001E-4</v>
          </cell>
          <cell r="T1614">
            <v>39458</v>
          </cell>
          <cell r="V1614" t="str">
            <v>2008-01</v>
          </cell>
          <cell r="AH1614" t="str">
            <v/>
          </cell>
          <cell r="AJ1614" t="str">
            <v/>
          </cell>
          <cell r="AL1614" t="str">
            <v/>
          </cell>
          <cell r="AM1614">
            <v>0</v>
          </cell>
          <cell r="AN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</row>
        <row r="1615">
          <cell r="C1615" t="str">
            <v>DWG</v>
          </cell>
          <cell r="H1615" t="str">
            <v>10-70-CSH-ST-0005</v>
          </cell>
          <cell r="I1615" t="str">
            <v>Calculation Sheet For Side Stream Back wash blowers (A/B) foundation</v>
          </cell>
          <cell r="O1615">
            <v>2.5000000000000001E-2</v>
          </cell>
          <cell r="P1615">
            <v>8.2500000000000013E-5</v>
          </cell>
          <cell r="Q1615" t="str">
            <v>L</v>
          </cell>
          <cell r="R1615">
            <v>2.5000000000000001E-4</v>
          </cell>
          <cell r="T1615">
            <v>39459</v>
          </cell>
          <cell r="V1615" t="str">
            <v>2008-01</v>
          </cell>
          <cell r="AH1615" t="str">
            <v/>
          </cell>
          <cell r="AJ1615" t="str">
            <v/>
          </cell>
          <cell r="AL1615" t="str">
            <v/>
          </cell>
          <cell r="AM1615">
            <v>0</v>
          </cell>
          <cell r="AN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</row>
        <row r="1616">
          <cell r="C1616" t="str">
            <v>DWG</v>
          </cell>
          <cell r="H1616" t="str">
            <v>10-70-A1-ST-0006</v>
          </cell>
          <cell r="I1616" t="str">
            <v>Bioside Dosing Tank foundation plan &amp; details</v>
          </cell>
          <cell r="O1616">
            <v>2.5000000000000001E-2</v>
          </cell>
          <cell r="P1616">
            <v>8.2500000000000013E-5</v>
          </cell>
          <cell r="Q1616" t="str">
            <v>L</v>
          </cell>
          <cell r="R1616">
            <v>2.5000000000000001E-4</v>
          </cell>
          <cell r="T1616">
            <v>39459</v>
          </cell>
          <cell r="V1616" t="str">
            <v>2008-01</v>
          </cell>
          <cell r="AH1616" t="str">
            <v/>
          </cell>
          <cell r="AJ1616" t="str">
            <v/>
          </cell>
          <cell r="AL1616" t="str">
            <v/>
          </cell>
          <cell r="AM1616">
            <v>0</v>
          </cell>
          <cell r="AN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</row>
        <row r="1617">
          <cell r="C1617" t="str">
            <v>DWG</v>
          </cell>
          <cell r="H1617" t="str">
            <v>10-70-CSH-ST-0006</v>
          </cell>
          <cell r="I1617" t="str">
            <v>Calculation Sheet For Bioside Dosing Tank foundation</v>
          </cell>
          <cell r="O1617">
            <v>2.5000000000000001E-2</v>
          </cell>
          <cell r="P1617">
            <v>8.2500000000000013E-5</v>
          </cell>
          <cell r="Q1617" t="str">
            <v>L</v>
          </cell>
          <cell r="R1617">
            <v>2.5000000000000001E-4</v>
          </cell>
          <cell r="T1617">
            <v>39460</v>
          </cell>
          <cell r="V1617" t="str">
            <v>2008-01</v>
          </cell>
          <cell r="AH1617" t="str">
            <v/>
          </cell>
          <cell r="AJ1617" t="str">
            <v/>
          </cell>
          <cell r="AL1617" t="str">
            <v/>
          </cell>
          <cell r="AM1617">
            <v>0</v>
          </cell>
          <cell r="AN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</row>
        <row r="1618">
          <cell r="C1618" t="str">
            <v>DWG</v>
          </cell>
          <cell r="H1618" t="str">
            <v>10-70-A1-ST-0007</v>
          </cell>
          <cell r="I1618" t="str">
            <v>Bioside Dising Pumps (A/B) foundation plan &amp; details</v>
          </cell>
          <cell r="O1618">
            <v>2.5000000000000001E-2</v>
          </cell>
          <cell r="P1618">
            <v>8.2500000000000013E-5</v>
          </cell>
          <cell r="Q1618" t="str">
            <v>L</v>
          </cell>
          <cell r="R1618">
            <v>2.5000000000000001E-4</v>
          </cell>
          <cell r="T1618">
            <v>39461</v>
          </cell>
          <cell r="V1618" t="str">
            <v>2008-01</v>
          </cell>
          <cell r="AH1618" t="str">
            <v/>
          </cell>
          <cell r="AJ1618" t="str">
            <v/>
          </cell>
          <cell r="AL1618" t="str">
            <v/>
          </cell>
          <cell r="AM1618">
            <v>0</v>
          </cell>
          <cell r="AN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</row>
        <row r="1619">
          <cell r="C1619" t="str">
            <v>CLS</v>
          </cell>
          <cell r="H1619" t="str">
            <v>10-70-CSH-ST-0007</v>
          </cell>
          <cell r="I1619" t="str">
            <v>Calculation Sheet For Bioside Dising Pumps (A/B) foundation</v>
          </cell>
          <cell r="O1619">
            <v>2.5000000000000001E-2</v>
          </cell>
          <cell r="P1619">
            <v>8.2500000000000013E-5</v>
          </cell>
          <cell r="Q1619" t="str">
            <v>L</v>
          </cell>
          <cell r="R1619">
            <v>2.5000000000000001E-4</v>
          </cell>
          <cell r="T1619">
            <v>39462</v>
          </cell>
          <cell r="V1619" t="str">
            <v>2008-01</v>
          </cell>
          <cell r="AM1619">
            <v>0</v>
          </cell>
          <cell r="AN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</row>
        <row r="1620">
          <cell r="C1620" t="str">
            <v>DWG</v>
          </cell>
          <cell r="H1620" t="str">
            <v>10-70-A1-ST-0008</v>
          </cell>
          <cell r="I1620" t="str">
            <v>Bioside Unloading Pump foundation plan &amp; details</v>
          </cell>
          <cell r="O1620">
            <v>2.5000000000000001E-2</v>
          </cell>
          <cell r="P1620">
            <v>8.2500000000000013E-5</v>
          </cell>
          <cell r="Q1620" t="str">
            <v>L</v>
          </cell>
          <cell r="R1620">
            <v>2.5000000000000001E-4</v>
          </cell>
          <cell r="T1620">
            <v>39463</v>
          </cell>
          <cell r="V1620" t="str">
            <v>2008-01</v>
          </cell>
          <cell r="AM1620">
            <v>0</v>
          </cell>
          <cell r="AN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</row>
        <row r="1621">
          <cell r="C1621" t="str">
            <v>CLS</v>
          </cell>
          <cell r="H1621" t="str">
            <v>10-70-CSH-ST-0008</v>
          </cell>
          <cell r="I1621" t="str">
            <v>Calculation Sheet For Bioside Unloading Pump foundation</v>
          </cell>
          <cell r="O1621">
            <v>2.5000000000000001E-2</v>
          </cell>
          <cell r="P1621">
            <v>8.2500000000000013E-5</v>
          </cell>
          <cell r="Q1621" t="str">
            <v>L</v>
          </cell>
          <cell r="R1621">
            <v>2.5000000000000001E-4</v>
          </cell>
          <cell r="T1621">
            <v>39464</v>
          </cell>
          <cell r="V1621" t="str">
            <v>2008-01</v>
          </cell>
          <cell r="AM1621">
            <v>0</v>
          </cell>
          <cell r="AN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</row>
        <row r="1622">
          <cell r="C1622" t="str">
            <v>DWG</v>
          </cell>
          <cell r="H1622" t="str">
            <v>10-70-A1-ST-0009</v>
          </cell>
          <cell r="I1622" t="str">
            <v>Hypochlorite Dosing Tank foundation plan &amp; details</v>
          </cell>
          <cell r="O1622">
            <v>2.5000000000000001E-2</v>
          </cell>
          <cell r="P1622">
            <v>8.2500000000000013E-5</v>
          </cell>
          <cell r="Q1622" t="str">
            <v>L</v>
          </cell>
          <cell r="R1622">
            <v>2.5000000000000001E-4</v>
          </cell>
          <cell r="T1622">
            <v>39464</v>
          </cell>
          <cell r="V1622" t="str">
            <v>2008-01</v>
          </cell>
          <cell r="AM1622">
            <v>0</v>
          </cell>
          <cell r="AN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</row>
        <row r="1623">
          <cell r="C1623" t="str">
            <v>CLS</v>
          </cell>
          <cell r="H1623" t="str">
            <v>10-70-CSH-ST-0009</v>
          </cell>
          <cell r="I1623" t="str">
            <v>Calculation Sheet For Hypochlorite Dosing Tank foundation</v>
          </cell>
          <cell r="O1623">
            <v>2.5000000000000001E-2</v>
          </cell>
          <cell r="P1623">
            <v>8.2500000000000013E-5</v>
          </cell>
          <cell r="Q1623" t="str">
            <v>L</v>
          </cell>
          <cell r="R1623">
            <v>2.5000000000000001E-4</v>
          </cell>
          <cell r="T1623">
            <v>39465</v>
          </cell>
          <cell r="V1623" t="str">
            <v>2008-01</v>
          </cell>
          <cell r="AM1623">
            <v>0</v>
          </cell>
          <cell r="AN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</row>
        <row r="1624">
          <cell r="C1624" t="str">
            <v>DWG</v>
          </cell>
          <cell r="H1624" t="str">
            <v>10-70-A1-ST-0010</v>
          </cell>
          <cell r="I1624" t="str">
            <v>Hypochlorite Dising Pumps (A/B) foundation plan &amp; details</v>
          </cell>
          <cell r="O1624">
            <v>2.5000000000000001E-2</v>
          </cell>
          <cell r="P1624">
            <v>8.2500000000000013E-5</v>
          </cell>
          <cell r="Q1624" t="str">
            <v>L</v>
          </cell>
          <cell r="R1624">
            <v>2.5000000000000001E-4</v>
          </cell>
          <cell r="T1624">
            <v>39466</v>
          </cell>
          <cell r="V1624" t="str">
            <v>2008-01</v>
          </cell>
          <cell r="AM1624">
            <v>0</v>
          </cell>
          <cell r="AN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</row>
        <row r="1625">
          <cell r="C1625" t="str">
            <v>CLS</v>
          </cell>
          <cell r="H1625" t="str">
            <v>10-70-CSH-ST-0010</v>
          </cell>
          <cell r="I1625" t="str">
            <v xml:space="preserve">Calculation Sheet For Hypochlorite Dising Pumps (A/B) foundation </v>
          </cell>
          <cell r="O1625">
            <v>2.5000000000000001E-2</v>
          </cell>
          <cell r="P1625">
            <v>8.2500000000000013E-5</v>
          </cell>
          <cell r="Q1625" t="str">
            <v>L</v>
          </cell>
          <cell r="R1625">
            <v>2.5000000000000001E-4</v>
          </cell>
          <cell r="T1625">
            <v>39466</v>
          </cell>
          <cell r="V1625" t="str">
            <v>2008-01</v>
          </cell>
          <cell r="AM1625">
            <v>0</v>
          </cell>
          <cell r="AN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</row>
        <row r="1626">
          <cell r="C1626" t="str">
            <v>DWG</v>
          </cell>
          <cell r="H1626" t="str">
            <v>10-70-A1-ST-0011</v>
          </cell>
          <cell r="I1626" t="str">
            <v>Hypochlorite Unloading Pump foundation plan &amp; details</v>
          </cell>
          <cell r="O1626">
            <v>2.5000000000000001E-2</v>
          </cell>
          <cell r="P1626">
            <v>8.2500000000000013E-5</v>
          </cell>
          <cell r="Q1626" t="str">
            <v>L</v>
          </cell>
          <cell r="R1626">
            <v>2.5000000000000001E-4</v>
          </cell>
          <cell r="T1626">
            <v>39467</v>
          </cell>
          <cell r="V1626" t="str">
            <v>2008-01</v>
          </cell>
          <cell r="AM1626">
            <v>0</v>
          </cell>
          <cell r="AN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</row>
        <row r="1627">
          <cell r="C1627" t="str">
            <v>CLS</v>
          </cell>
          <cell r="H1627" t="str">
            <v>10-70-CSH-ST-0011</v>
          </cell>
          <cell r="I1627" t="str">
            <v>Calculation Sheet ForHypochlorite Unloading Pump foundation</v>
          </cell>
          <cell r="O1627">
            <v>2.5000000000000001E-2</v>
          </cell>
          <cell r="P1627">
            <v>8.2500000000000013E-5</v>
          </cell>
          <cell r="Q1627" t="str">
            <v>L</v>
          </cell>
          <cell r="R1627">
            <v>2.5000000000000001E-4</v>
          </cell>
          <cell r="T1627">
            <v>39468</v>
          </cell>
          <cell r="V1627" t="str">
            <v>2008-01</v>
          </cell>
          <cell r="AM1627">
            <v>0</v>
          </cell>
          <cell r="AN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</row>
        <row r="1628">
          <cell r="C1628" t="str">
            <v>DWG</v>
          </cell>
          <cell r="H1628" t="str">
            <v>10-70-A1-ST-0012</v>
          </cell>
          <cell r="I1628" t="str">
            <v>Dispersant Dosing Tank foundation plan &amp; details</v>
          </cell>
          <cell r="O1628">
            <v>2.5000000000000001E-2</v>
          </cell>
          <cell r="P1628">
            <v>8.2500000000000013E-5</v>
          </cell>
          <cell r="Q1628" t="str">
            <v>L</v>
          </cell>
          <cell r="R1628">
            <v>2.5000000000000001E-4</v>
          </cell>
          <cell r="T1628">
            <v>39469</v>
          </cell>
          <cell r="V1628" t="str">
            <v>2008-01</v>
          </cell>
          <cell r="AM1628">
            <v>0</v>
          </cell>
          <cell r="AN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</row>
        <row r="1629">
          <cell r="C1629" t="str">
            <v>CLS</v>
          </cell>
          <cell r="H1629" t="str">
            <v>10-70-CSH-ST-0012</v>
          </cell>
          <cell r="I1629" t="str">
            <v xml:space="preserve">Calculation Sheet For Dispersant Dosing Tank foundation </v>
          </cell>
          <cell r="O1629">
            <v>2.5000000000000001E-2</v>
          </cell>
          <cell r="P1629">
            <v>8.2500000000000013E-5</v>
          </cell>
          <cell r="Q1629" t="str">
            <v>L</v>
          </cell>
          <cell r="R1629">
            <v>2.5000000000000001E-4</v>
          </cell>
          <cell r="T1629">
            <v>39470</v>
          </cell>
          <cell r="V1629" t="str">
            <v>2008-01</v>
          </cell>
          <cell r="AM1629">
            <v>0</v>
          </cell>
          <cell r="AN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</row>
        <row r="1630">
          <cell r="C1630" t="str">
            <v>DWG</v>
          </cell>
          <cell r="H1630" t="str">
            <v>10-70-A1-ST-0013</v>
          </cell>
          <cell r="I1630" t="str">
            <v>Dispersant Dising Pumps (A/B) foundation plan &amp; details</v>
          </cell>
          <cell r="O1630">
            <v>2.5000000000000001E-2</v>
          </cell>
          <cell r="P1630">
            <v>8.2500000000000013E-5</v>
          </cell>
          <cell r="Q1630" t="str">
            <v>L</v>
          </cell>
          <cell r="R1630">
            <v>2.5000000000000001E-4</v>
          </cell>
          <cell r="T1630">
            <v>39470</v>
          </cell>
          <cell r="V1630" t="str">
            <v>2008-01</v>
          </cell>
          <cell r="AM1630">
            <v>0</v>
          </cell>
          <cell r="AN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</row>
        <row r="1631">
          <cell r="C1631" t="str">
            <v>CLS</v>
          </cell>
          <cell r="H1631" t="str">
            <v>10-70-CSH-ST-0013</v>
          </cell>
          <cell r="I1631" t="str">
            <v>Calculation Sheet For Dispersant Dising Pumps (A/B) foundation</v>
          </cell>
          <cell r="O1631">
            <v>2.5000000000000001E-2</v>
          </cell>
          <cell r="P1631">
            <v>8.2500000000000013E-5</v>
          </cell>
          <cell r="Q1631" t="str">
            <v>L</v>
          </cell>
          <cell r="R1631">
            <v>2.5000000000000001E-4</v>
          </cell>
          <cell r="T1631">
            <v>39471</v>
          </cell>
          <cell r="V1631" t="str">
            <v>2008-01</v>
          </cell>
          <cell r="AM1631">
            <v>0</v>
          </cell>
          <cell r="AN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</row>
        <row r="1632">
          <cell r="C1632" t="str">
            <v>DWG</v>
          </cell>
          <cell r="H1632" t="str">
            <v>10-70-A1-ST-0014</v>
          </cell>
          <cell r="I1632" t="str">
            <v>Dispersant Unloading Pump foundation plan &amp; details</v>
          </cell>
          <cell r="O1632">
            <v>2.5000000000000001E-2</v>
          </cell>
          <cell r="P1632">
            <v>8.2500000000000013E-5</v>
          </cell>
          <cell r="Q1632" t="str">
            <v>L</v>
          </cell>
          <cell r="R1632">
            <v>2.5000000000000001E-4</v>
          </cell>
          <cell r="T1632">
            <v>39472</v>
          </cell>
          <cell r="V1632" t="str">
            <v>2008-01</v>
          </cell>
          <cell r="AM1632">
            <v>0</v>
          </cell>
          <cell r="AN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</row>
        <row r="1633">
          <cell r="C1633" t="str">
            <v>CLS</v>
          </cell>
          <cell r="H1633" t="str">
            <v>10-70-CSH-ST-0014</v>
          </cell>
          <cell r="I1633" t="str">
            <v xml:space="preserve">Calculation Sheet For Dispersant Unloading Pump foundation </v>
          </cell>
          <cell r="O1633">
            <v>2.5000000000000001E-2</v>
          </cell>
          <cell r="P1633">
            <v>8.2500000000000013E-5</v>
          </cell>
          <cell r="Q1633" t="str">
            <v>L</v>
          </cell>
          <cell r="R1633">
            <v>2.5000000000000001E-4</v>
          </cell>
          <cell r="T1633">
            <v>39472</v>
          </cell>
          <cell r="V1633" t="str">
            <v>2008-01</v>
          </cell>
          <cell r="AM1633">
            <v>0</v>
          </cell>
          <cell r="AN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</row>
        <row r="1634">
          <cell r="C1634" t="str">
            <v>DWG</v>
          </cell>
          <cell r="H1634" t="str">
            <v>10-70-A1-ST-0015</v>
          </cell>
          <cell r="I1634" t="str">
            <v>Corrosion Inhibitor Dosing Tank foundation plan &amp; details</v>
          </cell>
          <cell r="O1634">
            <v>2.5000000000000001E-2</v>
          </cell>
          <cell r="P1634">
            <v>8.2500000000000013E-5</v>
          </cell>
          <cell r="Q1634" t="str">
            <v>L</v>
          </cell>
          <cell r="R1634">
            <v>2.5000000000000001E-4</v>
          </cell>
          <cell r="T1634">
            <v>39473</v>
          </cell>
          <cell r="V1634" t="str">
            <v>2008-01</v>
          </cell>
          <cell r="AM1634">
            <v>0</v>
          </cell>
          <cell r="AN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</row>
        <row r="1635">
          <cell r="C1635" t="str">
            <v>CLS</v>
          </cell>
          <cell r="H1635" t="str">
            <v>10-70-CSH-ST-0015</v>
          </cell>
          <cell r="I1635" t="str">
            <v xml:space="preserve">Calculation Sheet For Corrosion Inhibitor Dosing Tank foundation </v>
          </cell>
          <cell r="O1635">
            <v>2.5000000000000001E-2</v>
          </cell>
          <cell r="P1635">
            <v>8.2500000000000013E-5</v>
          </cell>
          <cell r="Q1635" t="str">
            <v>L</v>
          </cell>
          <cell r="R1635">
            <v>2.5000000000000001E-4</v>
          </cell>
          <cell r="T1635">
            <v>39474</v>
          </cell>
          <cell r="V1635" t="str">
            <v>2008-01</v>
          </cell>
          <cell r="AM1635">
            <v>0</v>
          </cell>
          <cell r="AN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</row>
        <row r="1636">
          <cell r="C1636" t="str">
            <v>DWG</v>
          </cell>
          <cell r="H1636" t="str">
            <v>10-70-A1-ST-0016</v>
          </cell>
          <cell r="I1636" t="str">
            <v>Corrosion Inhibitor Dising Pumps (A/B) foundation plan &amp; details</v>
          </cell>
          <cell r="O1636">
            <v>2.5000000000000001E-2</v>
          </cell>
          <cell r="P1636">
            <v>8.2500000000000013E-5</v>
          </cell>
          <cell r="Q1636" t="str">
            <v>L</v>
          </cell>
          <cell r="R1636">
            <v>2.5000000000000001E-4</v>
          </cell>
          <cell r="T1636">
            <v>39476</v>
          </cell>
          <cell r="V1636" t="str">
            <v>2008-01</v>
          </cell>
          <cell r="AM1636">
            <v>0</v>
          </cell>
          <cell r="AN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</row>
        <row r="1637">
          <cell r="C1637" t="str">
            <v>CLS</v>
          </cell>
          <cell r="H1637" t="str">
            <v>10-70-CSH-ST-0016</v>
          </cell>
          <cell r="I1637" t="str">
            <v>Calculation Sheet For Corrosion Inhibitor Dising Pumps (A/B) foundation</v>
          </cell>
          <cell r="O1637">
            <v>2.5000000000000001E-2</v>
          </cell>
          <cell r="P1637">
            <v>8.2500000000000013E-5</v>
          </cell>
          <cell r="Q1637" t="str">
            <v>L</v>
          </cell>
          <cell r="R1637">
            <v>2.5000000000000001E-4</v>
          </cell>
          <cell r="T1637">
            <v>39477</v>
          </cell>
          <cell r="V1637" t="str">
            <v>2008-01</v>
          </cell>
          <cell r="AM1637">
            <v>0</v>
          </cell>
          <cell r="AN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</row>
        <row r="1638">
          <cell r="C1638" t="str">
            <v>DWG</v>
          </cell>
          <cell r="H1638" t="str">
            <v>10-70-A1-ST-0017</v>
          </cell>
          <cell r="I1638" t="str">
            <v>Corrosion Inhibitor Unloading Pump foundation plan &amp; details</v>
          </cell>
          <cell r="O1638">
            <v>2.5000000000000001E-2</v>
          </cell>
          <cell r="P1638">
            <v>8.2500000000000013E-5</v>
          </cell>
          <cell r="Q1638" t="str">
            <v>L</v>
          </cell>
          <cell r="R1638">
            <v>2.5000000000000001E-4</v>
          </cell>
          <cell r="T1638">
            <v>39477</v>
          </cell>
          <cell r="V1638" t="str">
            <v>2008-01</v>
          </cell>
          <cell r="AM1638">
            <v>0</v>
          </cell>
          <cell r="AN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</row>
        <row r="1639">
          <cell r="C1639" t="str">
            <v>CLS</v>
          </cell>
          <cell r="H1639" t="str">
            <v>10-70-CSH-ST-0017</v>
          </cell>
          <cell r="I1639" t="str">
            <v xml:space="preserve">Calculation Sheet For Corrosion Inhibitor Unloading Pump foundation  </v>
          </cell>
          <cell r="O1639">
            <v>2.5000000000000001E-2</v>
          </cell>
          <cell r="P1639">
            <v>8.2500000000000013E-5</v>
          </cell>
          <cell r="Q1639" t="str">
            <v>L</v>
          </cell>
          <cell r="R1639">
            <v>2.5000000000000001E-4</v>
          </cell>
          <cell r="T1639">
            <v>39478</v>
          </cell>
          <cell r="V1639" t="str">
            <v>2008-01</v>
          </cell>
          <cell r="AM1639">
            <v>0</v>
          </cell>
          <cell r="AN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</row>
        <row r="1640">
          <cell r="C1640" t="str">
            <v>DWG</v>
          </cell>
          <cell r="H1640" t="str">
            <v>10-70-A1-ST-0018</v>
          </cell>
          <cell r="I1640" t="str">
            <v>H2SO4 Dosing Tank foundation plan &amp; details</v>
          </cell>
          <cell r="O1640">
            <v>2.5000000000000001E-2</v>
          </cell>
          <cell r="P1640">
            <v>8.2500000000000013E-5</v>
          </cell>
          <cell r="Q1640" t="str">
            <v>L</v>
          </cell>
          <cell r="R1640">
            <v>2.5000000000000001E-4</v>
          </cell>
          <cell r="T1640">
            <v>39479</v>
          </cell>
          <cell r="V1640" t="str">
            <v>2008-02</v>
          </cell>
          <cell r="AM1640">
            <v>0</v>
          </cell>
          <cell r="AN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</row>
        <row r="1641">
          <cell r="C1641" t="str">
            <v>CLS</v>
          </cell>
          <cell r="H1641" t="str">
            <v>10-70-CSH-ST-0018</v>
          </cell>
          <cell r="I1641" t="str">
            <v xml:space="preserve">Calculation Sheet For H2SO4 Dosing Tank foundation </v>
          </cell>
          <cell r="O1641">
            <v>2.5000000000000001E-2</v>
          </cell>
          <cell r="P1641">
            <v>8.2500000000000013E-5</v>
          </cell>
          <cell r="Q1641" t="str">
            <v>L</v>
          </cell>
          <cell r="R1641">
            <v>2.5000000000000001E-4</v>
          </cell>
          <cell r="T1641">
            <v>39479</v>
          </cell>
          <cell r="V1641" t="str">
            <v>2008-02</v>
          </cell>
          <cell r="AM1641">
            <v>0</v>
          </cell>
          <cell r="AN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</row>
        <row r="1642">
          <cell r="C1642" t="str">
            <v>DWG</v>
          </cell>
          <cell r="H1642" t="str">
            <v>10-70-A1-ST-0019</v>
          </cell>
          <cell r="I1642" t="str">
            <v>H2SO4 Dising Pumps (A/B) foundation plan &amp; details</v>
          </cell>
          <cell r="O1642">
            <v>2.5000000000000001E-2</v>
          </cell>
          <cell r="P1642">
            <v>8.2500000000000013E-5</v>
          </cell>
          <cell r="Q1642" t="str">
            <v>L</v>
          </cell>
          <cell r="R1642">
            <v>2.5000000000000001E-4</v>
          </cell>
          <cell r="T1642">
            <v>39480</v>
          </cell>
          <cell r="V1642" t="str">
            <v>2008-02</v>
          </cell>
          <cell r="AM1642">
            <v>0</v>
          </cell>
          <cell r="AN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</row>
        <row r="1643">
          <cell r="C1643" t="str">
            <v>CLS</v>
          </cell>
          <cell r="H1643" t="str">
            <v>10-70-CSH-ST-0019</v>
          </cell>
          <cell r="I1643" t="str">
            <v xml:space="preserve">Calculation Sheet For H2SO4 Dising Pumps (A/B) foundation </v>
          </cell>
          <cell r="O1643">
            <v>2.5000000000000001E-2</v>
          </cell>
          <cell r="P1643">
            <v>8.2500000000000013E-5</v>
          </cell>
          <cell r="Q1643" t="str">
            <v>L</v>
          </cell>
          <cell r="R1643">
            <v>2.5000000000000001E-4</v>
          </cell>
          <cell r="T1643">
            <v>39480</v>
          </cell>
          <cell r="V1643" t="str">
            <v>2008-02</v>
          </cell>
          <cell r="AM1643">
            <v>0</v>
          </cell>
          <cell r="AN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</row>
        <row r="1644">
          <cell r="C1644" t="str">
            <v>DWG</v>
          </cell>
          <cell r="H1644" t="str">
            <v>10-70-A1-ST-0020</v>
          </cell>
          <cell r="I1644" t="str">
            <v>H2SO4 Unloading Pump foundation plan &amp; details</v>
          </cell>
          <cell r="O1644">
            <v>2.5000000000000001E-2</v>
          </cell>
          <cell r="P1644">
            <v>8.2500000000000013E-5</v>
          </cell>
          <cell r="Q1644" t="str">
            <v>L</v>
          </cell>
          <cell r="R1644">
            <v>2.5000000000000001E-4</v>
          </cell>
          <cell r="T1644">
            <v>39481</v>
          </cell>
          <cell r="V1644" t="str">
            <v>2008-02</v>
          </cell>
          <cell r="AM1644">
            <v>0</v>
          </cell>
          <cell r="AN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</row>
        <row r="1645">
          <cell r="C1645" t="str">
            <v>CLS</v>
          </cell>
          <cell r="H1645" t="str">
            <v>10-70-CSH-ST-0020</v>
          </cell>
          <cell r="I1645" t="str">
            <v>Calculation Sheet For H2SO4 Unloading Pump foundation</v>
          </cell>
          <cell r="O1645">
            <v>2.5000000000000001E-2</v>
          </cell>
          <cell r="P1645">
            <v>8.2500000000000013E-5</v>
          </cell>
          <cell r="Q1645" t="str">
            <v>L</v>
          </cell>
          <cell r="R1645">
            <v>2.5000000000000001E-4</v>
          </cell>
          <cell r="T1645">
            <v>39482</v>
          </cell>
          <cell r="V1645" t="str">
            <v>2008-02</v>
          </cell>
          <cell r="AM1645">
            <v>0</v>
          </cell>
          <cell r="AN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</row>
        <row r="1646">
          <cell r="C1646" t="str">
            <v>DWG</v>
          </cell>
          <cell r="H1646" t="str">
            <v>10-70-A1-ST-0021</v>
          </cell>
          <cell r="I1646" t="str">
            <v>Chlorine Gas Evaporator foundation plan &amp; details</v>
          </cell>
          <cell r="O1646">
            <v>2.5000000000000001E-2</v>
          </cell>
          <cell r="P1646">
            <v>8.2500000000000013E-5</v>
          </cell>
          <cell r="Q1646" t="str">
            <v>L</v>
          </cell>
          <cell r="R1646">
            <v>2.5000000000000001E-4</v>
          </cell>
          <cell r="T1646">
            <v>39483</v>
          </cell>
          <cell r="V1646" t="str">
            <v>2008-02</v>
          </cell>
          <cell r="AM1646">
            <v>0</v>
          </cell>
          <cell r="AN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</row>
        <row r="1647">
          <cell r="C1647" t="str">
            <v>CLS</v>
          </cell>
          <cell r="H1647" t="str">
            <v>10-70-CSH-ST-0021</v>
          </cell>
          <cell r="I1647" t="str">
            <v xml:space="preserve">Calculation Sheet For Chlorine Gas Evaporator foundation </v>
          </cell>
          <cell r="O1647">
            <v>2.5000000000000001E-2</v>
          </cell>
          <cell r="P1647">
            <v>8.2500000000000013E-5</v>
          </cell>
          <cell r="Q1647" t="str">
            <v>L</v>
          </cell>
          <cell r="R1647">
            <v>2.5000000000000001E-4</v>
          </cell>
          <cell r="T1647">
            <v>39483</v>
          </cell>
          <cell r="V1647" t="str">
            <v>2008-02</v>
          </cell>
          <cell r="AM1647">
            <v>0</v>
          </cell>
          <cell r="AN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</row>
        <row r="1648">
          <cell r="C1648" t="str">
            <v>DWG</v>
          </cell>
          <cell r="H1648" t="str">
            <v>10-70-A1-ST-0022</v>
          </cell>
          <cell r="I1648" t="str">
            <v>Chlorine Gas dosing unit foundation plan &amp; details</v>
          </cell>
          <cell r="O1648">
            <v>2.5000000000000001E-2</v>
          </cell>
          <cell r="P1648">
            <v>8.2500000000000013E-5</v>
          </cell>
          <cell r="Q1648" t="str">
            <v>L</v>
          </cell>
          <cell r="R1648">
            <v>2.5000000000000001E-4</v>
          </cell>
          <cell r="T1648">
            <v>39484</v>
          </cell>
          <cell r="V1648" t="str">
            <v>2008-02</v>
          </cell>
          <cell r="AM1648">
            <v>0</v>
          </cell>
          <cell r="AN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</row>
        <row r="1649">
          <cell r="C1649" t="str">
            <v>CLS</v>
          </cell>
          <cell r="H1649" t="str">
            <v>10-70-CSH-ST-0022</v>
          </cell>
          <cell r="I1649" t="str">
            <v>Calculation Sheet For Chlorine Gas dosing unit foundation plan</v>
          </cell>
          <cell r="O1649">
            <v>2.5000000000000001E-2</v>
          </cell>
          <cell r="P1649">
            <v>8.2500000000000013E-5</v>
          </cell>
          <cell r="Q1649" t="str">
            <v>L</v>
          </cell>
          <cell r="R1649">
            <v>2.5000000000000001E-4</v>
          </cell>
          <cell r="T1649">
            <v>39485</v>
          </cell>
          <cell r="V1649" t="str">
            <v>2008-02</v>
          </cell>
          <cell r="AM1649">
            <v>0</v>
          </cell>
          <cell r="AN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</row>
        <row r="1650">
          <cell r="C1650" t="str">
            <v>DWG</v>
          </cell>
          <cell r="H1650" t="str">
            <v>Steel Structures</v>
          </cell>
          <cell r="N1650">
            <v>0.2</v>
          </cell>
          <cell r="O1650">
            <v>1</v>
          </cell>
          <cell r="P1650">
            <v>4.4000000000000003E-3</v>
          </cell>
          <cell r="R1650">
            <v>1.8599999999999999E-3</v>
          </cell>
          <cell r="T1650" t="str">
            <v>.</v>
          </cell>
          <cell r="U1650" t="str">
            <v>.</v>
          </cell>
          <cell r="V1650" t="str">
            <v>.</v>
          </cell>
          <cell r="AG1650" t="str">
            <v>.</v>
          </cell>
          <cell r="AH1650" t="str">
            <v/>
          </cell>
          <cell r="AJ1650" t="str">
            <v/>
          </cell>
          <cell r="AL1650" t="str">
            <v/>
          </cell>
          <cell r="AM1650">
            <v>0</v>
          </cell>
          <cell r="AN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</row>
        <row r="1651">
          <cell r="C1651" t="str">
            <v>DWG</v>
          </cell>
          <cell r="H1651" t="str">
            <v>10-70-A1-ST-0023</v>
          </cell>
          <cell r="I1651" t="str">
            <v>Crane and Related Beams</v>
          </cell>
          <cell r="O1651">
            <v>0.15</v>
          </cell>
          <cell r="P1651">
            <v>6.6E-4</v>
          </cell>
          <cell r="Q1651" t="str">
            <v>L</v>
          </cell>
          <cell r="R1651">
            <v>3.4000000000000002E-4</v>
          </cell>
          <cell r="T1651">
            <v>39486</v>
          </cell>
          <cell r="V1651" t="str">
            <v>2008-02</v>
          </cell>
          <cell r="AH1651" t="str">
            <v/>
          </cell>
          <cell r="AJ1651" t="str">
            <v/>
          </cell>
          <cell r="AL1651" t="str">
            <v/>
          </cell>
          <cell r="AM1651">
            <v>0</v>
          </cell>
          <cell r="AN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</row>
        <row r="1652">
          <cell r="C1652" t="str">
            <v>DWG</v>
          </cell>
          <cell r="H1652" t="str">
            <v>10-70-CSH-ST-0023</v>
          </cell>
          <cell r="I1652" t="str">
            <v>Calculation Sheet For Crane and Related Beams</v>
          </cell>
          <cell r="O1652">
            <v>0.15</v>
          </cell>
          <cell r="P1652">
            <v>6.6E-4</v>
          </cell>
          <cell r="Q1652" t="str">
            <v>L</v>
          </cell>
          <cell r="R1652">
            <v>3.2000000000000003E-4</v>
          </cell>
          <cell r="T1652">
            <v>39487</v>
          </cell>
          <cell r="V1652" t="str">
            <v>2008-02</v>
          </cell>
          <cell r="AH1652" t="str">
            <v/>
          </cell>
          <cell r="AJ1652" t="str">
            <v/>
          </cell>
          <cell r="AL1652" t="str">
            <v/>
          </cell>
          <cell r="AM1652">
            <v>0</v>
          </cell>
          <cell r="AN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</row>
        <row r="1653">
          <cell r="C1653" t="str">
            <v>DWG</v>
          </cell>
          <cell r="H1653" t="str">
            <v>10-70-A1-ST-0024</v>
          </cell>
          <cell r="I1653" t="str">
            <v>Grating</v>
          </cell>
          <cell r="O1653">
            <v>0.14000000000000001</v>
          </cell>
          <cell r="P1653">
            <v>6.1600000000000012E-4</v>
          </cell>
          <cell r="Q1653" t="str">
            <v>L</v>
          </cell>
          <cell r="R1653">
            <v>2.0000000000000001E-4</v>
          </cell>
          <cell r="T1653">
            <v>39488</v>
          </cell>
          <cell r="V1653" t="str">
            <v>2008-02</v>
          </cell>
          <cell r="AM1653">
            <v>0</v>
          </cell>
          <cell r="AN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</row>
        <row r="1654">
          <cell r="C1654" t="str">
            <v>DWG</v>
          </cell>
          <cell r="H1654" t="str">
            <v>10-70-A1-ST-0025</v>
          </cell>
          <cell r="I1654" t="str">
            <v>Platform</v>
          </cell>
          <cell r="O1654">
            <v>0.14000000000000001</v>
          </cell>
          <cell r="P1654">
            <v>6.1600000000000012E-4</v>
          </cell>
          <cell r="Q1654" t="str">
            <v>L</v>
          </cell>
          <cell r="R1654">
            <v>2.5000000000000001E-4</v>
          </cell>
          <cell r="T1654">
            <v>39489</v>
          </cell>
          <cell r="V1654" t="str">
            <v>2008-02</v>
          </cell>
          <cell r="AM1654">
            <v>0</v>
          </cell>
          <cell r="AN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</row>
        <row r="1655">
          <cell r="C1655" t="str">
            <v>CLS</v>
          </cell>
          <cell r="H1655" t="str">
            <v>10-70-CSH-ST-0025</v>
          </cell>
          <cell r="I1655" t="str">
            <v>Calculation Sheet For Platform</v>
          </cell>
          <cell r="O1655">
            <v>0.14000000000000001</v>
          </cell>
          <cell r="P1655">
            <v>6.1600000000000012E-4</v>
          </cell>
          <cell r="Q1655" t="str">
            <v>L</v>
          </cell>
          <cell r="R1655">
            <v>2.5000000000000001E-4</v>
          </cell>
          <cell r="T1655">
            <v>39490</v>
          </cell>
          <cell r="V1655" t="str">
            <v>2008-02</v>
          </cell>
          <cell r="AM1655">
            <v>0</v>
          </cell>
          <cell r="AN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</row>
        <row r="1656">
          <cell r="C1656" t="str">
            <v>DWG</v>
          </cell>
          <cell r="H1656" t="str">
            <v>10-70-A1-ST-0026</v>
          </cell>
          <cell r="I1656" t="str">
            <v>Stair &amp; Ladder</v>
          </cell>
          <cell r="O1656">
            <v>0.14000000000000001</v>
          </cell>
          <cell r="P1656">
            <v>6.1600000000000012E-4</v>
          </cell>
          <cell r="Q1656" t="str">
            <v>L</v>
          </cell>
          <cell r="R1656">
            <v>2.5000000000000001E-4</v>
          </cell>
          <cell r="T1656">
            <v>39491</v>
          </cell>
          <cell r="V1656" t="str">
            <v>2008-02</v>
          </cell>
          <cell r="AM1656">
            <v>0</v>
          </cell>
          <cell r="AN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</row>
        <row r="1657">
          <cell r="C1657" t="str">
            <v>DWG</v>
          </cell>
          <cell r="H1657" t="str">
            <v>10-70-A1-ST-0027</v>
          </cell>
          <cell r="I1657" t="str">
            <v>Handrail</v>
          </cell>
          <cell r="O1657">
            <v>0.14000000000000001</v>
          </cell>
          <cell r="P1657">
            <v>6.1600000000000012E-4</v>
          </cell>
          <cell r="Q1657" t="str">
            <v>L</v>
          </cell>
          <cell r="R1657">
            <v>2.5000000000000001E-4</v>
          </cell>
          <cell r="T1657">
            <v>39492</v>
          </cell>
          <cell r="V1657" t="str">
            <v>2008-02</v>
          </cell>
          <cell r="AH1657" t="str">
            <v/>
          </cell>
          <cell r="AJ1657" t="str">
            <v/>
          </cell>
          <cell r="AL1657" t="str">
            <v/>
          </cell>
          <cell r="AM1657">
            <v>0</v>
          </cell>
          <cell r="AN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</row>
        <row r="1658">
          <cell r="C1658" t="str">
            <v>DWG</v>
          </cell>
          <cell r="H1658" t="str">
            <v>Concrete Structures</v>
          </cell>
          <cell r="N1658">
            <v>0.5</v>
          </cell>
          <cell r="O1658">
            <v>1</v>
          </cell>
          <cell r="P1658">
            <v>1.1000000000000001E-2</v>
          </cell>
          <cell r="R1658">
            <v>5.2600000000000008E-3</v>
          </cell>
          <cell r="T1658" t="str">
            <v>.</v>
          </cell>
          <cell r="U1658" t="str">
            <v>.</v>
          </cell>
          <cell r="V1658" t="str">
            <v>.</v>
          </cell>
          <cell r="AG1658" t="str">
            <v>.</v>
          </cell>
          <cell r="AH1658" t="str">
            <v/>
          </cell>
          <cell r="AJ1658" t="str">
            <v/>
          </cell>
          <cell r="AL1658" t="str">
            <v/>
          </cell>
          <cell r="AM1658">
            <v>0</v>
          </cell>
          <cell r="AN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</row>
        <row r="1659">
          <cell r="C1659" t="str">
            <v>DWG</v>
          </cell>
          <cell r="H1659" t="str">
            <v>10-70-A1-ST-0028</v>
          </cell>
          <cell r="I1659" t="str">
            <v>Cooling Tower Basin</v>
          </cell>
          <cell r="O1659">
            <v>0.25</v>
          </cell>
          <cell r="P1659">
            <v>2.7500000000000003E-3</v>
          </cell>
          <cell r="Q1659" t="str">
            <v>L</v>
          </cell>
          <cell r="R1659">
            <v>4.2999999999999999E-4</v>
          </cell>
          <cell r="T1659">
            <v>39416</v>
          </cell>
          <cell r="U1659" t="str">
            <v>*</v>
          </cell>
          <cell r="V1659" t="str">
            <v>2007-11</v>
          </cell>
          <cell r="AH1659" t="str">
            <v/>
          </cell>
          <cell r="AJ1659" t="str">
            <v/>
          </cell>
          <cell r="AL1659" t="str">
            <v/>
          </cell>
          <cell r="AM1659">
            <v>0</v>
          </cell>
          <cell r="AN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</row>
        <row r="1660">
          <cell r="H1660" t="str">
            <v>10-70-CSH-ST-0028</v>
          </cell>
          <cell r="I1660" t="str">
            <v>Calculation Sheet For Cooling Tower Basin</v>
          </cell>
          <cell r="O1660">
            <v>0.25</v>
          </cell>
          <cell r="Q1660" t="str">
            <v>L</v>
          </cell>
          <cell r="R1660">
            <v>4.2999999999999999E-4</v>
          </cell>
          <cell r="T1660">
            <v>39477</v>
          </cell>
          <cell r="V1660" t="str">
            <v>2008-01</v>
          </cell>
          <cell r="AM1660">
            <v>0</v>
          </cell>
          <cell r="AN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</row>
        <row r="1661">
          <cell r="H1661" t="str">
            <v>10-70-CSH-ST-0029</v>
          </cell>
          <cell r="I1661" t="str">
            <v>Calculation Sheet For Cooling Tower Concrete</v>
          </cell>
          <cell r="O1661">
            <v>0.25</v>
          </cell>
          <cell r="Q1661" t="str">
            <v>L</v>
          </cell>
          <cell r="R1661">
            <v>2.2000000000000001E-3</v>
          </cell>
          <cell r="T1661">
            <v>39483</v>
          </cell>
          <cell r="V1661" t="str">
            <v>2008-02</v>
          </cell>
          <cell r="AM1661">
            <v>0</v>
          </cell>
          <cell r="AN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</row>
        <row r="1662">
          <cell r="C1662" t="str">
            <v>DWG</v>
          </cell>
          <cell r="H1662" t="str">
            <v>10-70-A1-ST-0029</v>
          </cell>
          <cell r="I1662" t="str">
            <v>Cooling Tower Concrete Structure</v>
          </cell>
          <cell r="O1662">
            <v>0.25</v>
          </cell>
          <cell r="P1662">
            <v>2.7500000000000003E-3</v>
          </cell>
          <cell r="Q1662" t="str">
            <v>L</v>
          </cell>
          <cell r="R1662">
            <v>2.2000000000000001E-3</v>
          </cell>
          <cell r="T1662">
            <v>39416</v>
          </cell>
          <cell r="U1662" t="str">
            <v>*</v>
          </cell>
          <cell r="V1662" t="str">
            <v>2007-11</v>
          </cell>
          <cell r="AH1662" t="str">
            <v/>
          </cell>
          <cell r="AJ1662" t="str">
            <v/>
          </cell>
          <cell r="AL1662" t="str">
            <v/>
          </cell>
          <cell r="AM1662">
            <v>0</v>
          </cell>
          <cell r="AN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</row>
        <row r="1663">
          <cell r="C1663" t="str">
            <v>DWG</v>
          </cell>
          <cell r="H1663" t="str">
            <v>Civil Works</v>
          </cell>
          <cell r="N1663">
            <v>0.1</v>
          </cell>
          <cell r="O1663">
            <v>1</v>
          </cell>
          <cell r="P1663">
            <v>2.2000000000000001E-3</v>
          </cell>
          <cell r="R1663">
            <v>8.5999999999999998E-4</v>
          </cell>
          <cell r="T1663" t="str">
            <v>.</v>
          </cell>
          <cell r="U1663" t="str">
            <v>.</v>
          </cell>
          <cell r="V1663" t="str">
            <v>.</v>
          </cell>
          <cell r="AG1663" t="str">
            <v>.</v>
          </cell>
          <cell r="AH1663" t="str">
            <v/>
          </cell>
          <cell r="AJ1663" t="str">
            <v/>
          </cell>
          <cell r="AL1663" t="str">
            <v/>
          </cell>
          <cell r="AM1663">
            <v>0</v>
          </cell>
          <cell r="AN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</row>
        <row r="1664">
          <cell r="C1664" t="str">
            <v>DWG</v>
          </cell>
          <cell r="H1664" t="str">
            <v>10-70-A1-CI-0001</v>
          </cell>
          <cell r="I1664" t="str">
            <v xml:space="preserve">Concrete Cable Trench and Duct Bank plan&amp; details </v>
          </cell>
          <cell r="O1664">
            <v>0.5</v>
          </cell>
          <cell r="P1664">
            <v>1.1000000000000001E-3</v>
          </cell>
          <cell r="Q1664" t="str">
            <v>L</v>
          </cell>
          <cell r="R1664">
            <v>4.2999999999999999E-4</v>
          </cell>
          <cell r="T1664">
            <v>39492</v>
          </cell>
          <cell r="V1664" t="str">
            <v>2008-02</v>
          </cell>
          <cell r="AH1664" t="str">
            <v/>
          </cell>
          <cell r="AJ1664" t="str">
            <v/>
          </cell>
          <cell r="AL1664" t="str">
            <v/>
          </cell>
          <cell r="AM1664">
            <v>0</v>
          </cell>
          <cell r="AN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</row>
        <row r="1665">
          <cell r="C1665" t="str">
            <v>DWG</v>
          </cell>
          <cell r="H1665" t="str">
            <v>10-70-A1-CI-0003</v>
          </cell>
          <cell r="I1665" t="str">
            <v>Roads &amp; Pavement Plan and Details</v>
          </cell>
          <cell r="O1665">
            <v>0.5</v>
          </cell>
          <cell r="P1665">
            <v>1.1000000000000001E-3</v>
          </cell>
          <cell r="Q1665" t="str">
            <v>L</v>
          </cell>
          <cell r="R1665">
            <v>4.2999999999999999E-4</v>
          </cell>
          <cell r="T1665">
            <v>39493</v>
          </cell>
          <cell r="V1665" t="str">
            <v>2008-02</v>
          </cell>
          <cell r="AH1665" t="str">
            <v/>
          </cell>
          <cell r="AJ1665" t="str">
            <v/>
          </cell>
          <cell r="AL1665" t="str">
            <v/>
          </cell>
          <cell r="AM1665">
            <v>0</v>
          </cell>
          <cell r="AN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</row>
        <row r="1666">
          <cell r="C1666" t="str">
            <v>DWG</v>
          </cell>
          <cell r="G1666" t="str">
            <v>Fire Fighting System</v>
          </cell>
          <cell r="M1666">
            <v>0.09</v>
          </cell>
          <cell r="N1666">
            <v>1</v>
          </cell>
          <cell r="P1666">
            <v>1.7999999999999999E-2</v>
          </cell>
          <cell r="R1666">
            <v>8.6099999999999996E-3</v>
          </cell>
          <cell r="T1666" t="str">
            <v>.</v>
          </cell>
          <cell r="U1666" t="str">
            <v>.</v>
          </cell>
          <cell r="V1666" t="str">
            <v>.</v>
          </cell>
          <cell r="AG1666" t="str">
            <v>.</v>
          </cell>
          <cell r="AM1666">
            <v>6.3E-2</v>
          </cell>
          <cell r="AN1666">
            <v>1.134E-3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</row>
        <row r="1667">
          <cell r="C1667" t="str">
            <v>DWG</v>
          </cell>
          <cell r="H1667" t="str">
            <v>Fire fighting Pump House next to Cooling Tower House</v>
          </cell>
          <cell r="N1667">
            <v>0.25</v>
          </cell>
          <cell r="O1667">
            <v>1</v>
          </cell>
          <cell r="P1667">
            <v>4.4999999999999997E-3</v>
          </cell>
          <cell r="R1667">
            <v>1.42E-3</v>
          </cell>
          <cell r="T1667" t="str">
            <v>.</v>
          </cell>
          <cell r="U1667" t="str">
            <v>.</v>
          </cell>
          <cell r="V1667" t="str">
            <v>.</v>
          </cell>
          <cell r="AG1667" t="str">
            <v>.</v>
          </cell>
          <cell r="AH1667" t="str">
            <v/>
          </cell>
          <cell r="AJ1667" t="str">
            <v/>
          </cell>
          <cell r="AL1667" t="str">
            <v/>
          </cell>
          <cell r="AM1667">
            <v>0</v>
          </cell>
          <cell r="AN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</row>
        <row r="1668">
          <cell r="C1668" t="str">
            <v>DWG</v>
          </cell>
          <cell r="H1668" t="str">
            <v>10-80-A1-BL-0001</v>
          </cell>
          <cell r="I1668" t="str">
            <v>Architectural drawings</v>
          </cell>
          <cell r="O1668">
            <v>0.34</v>
          </cell>
          <cell r="P1668">
            <v>1.5299999999999999E-3</v>
          </cell>
          <cell r="Q1668" t="str">
            <v>V</v>
          </cell>
          <cell r="R1668">
            <v>3.4000000000000002E-4</v>
          </cell>
          <cell r="T1668">
            <v>39446</v>
          </cell>
          <cell r="U1668" t="str">
            <v>*</v>
          </cell>
          <cell r="V1668" t="str">
            <v>2007-12</v>
          </cell>
          <cell r="AH1668" t="str">
            <v/>
          </cell>
          <cell r="AJ1668" t="str">
            <v/>
          </cell>
          <cell r="AL1668" t="str">
            <v/>
          </cell>
          <cell r="AM1668">
            <v>0</v>
          </cell>
          <cell r="AN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</row>
        <row r="1669">
          <cell r="C1669" t="str">
            <v>DWG</v>
          </cell>
          <cell r="H1669" t="str">
            <v>10-80-A1-ST-0001</v>
          </cell>
          <cell r="I1669" t="str">
            <v>Structural drawings</v>
          </cell>
          <cell r="O1669">
            <v>0.33</v>
          </cell>
          <cell r="P1669">
            <v>1.485E-3</v>
          </cell>
          <cell r="Q1669" t="str">
            <v>L</v>
          </cell>
          <cell r="R1669">
            <v>5.4000000000000001E-4</v>
          </cell>
          <cell r="T1669">
            <v>39467</v>
          </cell>
          <cell r="V1669" t="str">
            <v>2008-01</v>
          </cell>
          <cell r="AM1669">
            <v>0</v>
          </cell>
          <cell r="AN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</row>
        <row r="1670">
          <cell r="C1670" t="str">
            <v>DWG</v>
          </cell>
          <cell r="H1670" t="str">
            <v>10-80-CSH-ST-0001</v>
          </cell>
          <cell r="I1670" t="str">
            <v xml:space="preserve">Calculation Sheet For Fire fighting Pump House </v>
          </cell>
          <cell r="O1670">
            <v>0.33</v>
          </cell>
          <cell r="P1670">
            <v>1.485E-3</v>
          </cell>
          <cell r="Q1670" t="str">
            <v>L</v>
          </cell>
          <cell r="R1670">
            <v>5.4000000000000001E-4</v>
          </cell>
          <cell r="T1670">
            <v>39467</v>
          </cell>
          <cell r="V1670" t="str">
            <v>2008-01</v>
          </cell>
          <cell r="AH1670" t="str">
            <v/>
          </cell>
          <cell r="AJ1670" t="str">
            <v/>
          </cell>
          <cell r="AL1670" t="str">
            <v/>
          </cell>
          <cell r="AM1670">
            <v>0</v>
          </cell>
          <cell r="AN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</row>
        <row r="1671">
          <cell r="C1671" t="str">
            <v>DWG</v>
          </cell>
          <cell r="H1671" t="str">
            <v xml:space="preserve">Fire Station </v>
          </cell>
          <cell r="N1671">
            <v>0.1</v>
          </cell>
          <cell r="O1671">
            <v>1</v>
          </cell>
          <cell r="P1671">
            <v>1.8E-3</v>
          </cell>
          <cell r="R1671">
            <v>1.9300000000000001E-3</v>
          </cell>
          <cell r="T1671" t="str">
            <v>.</v>
          </cell>
          <cell r="U1671" t="str">
            <v>.</v>
          </cell>
          <cell r="V1671" t="str">
            <v>.</v>
          </cell>
          <cell r="AG1671" t="str">
            <v>.</v>
          </cell>
          <cell r="AH1671" t="str">
            <v/>
          </cell>
          <cell r="AJ1671" t="str">
            <v/>
          </cell>
          <cell r="AL1671" t="str">
            <v/>
          </cell>
          <cell r="AM1671">
            <v>0</v>
          </cell>
          <cell r="AN1671">
            <v>6.7500000000000004E-4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</row>
        <row r="1672">
          <cell r="C1672" t="str">
            <v>DWG</v>
          </cell>
          <cell r="H1672" t="str">
            <v>10-80-A1-BL-0003</v>
          </cell>
          <cell r="I1672" t="str">
            <v>Architectural drawings</v>
          </cell>
          <cell r="O1672">
            <v>0.34</v>
          </cell>
          <cell r="P1672">
            <v>6.1200000000000002E-4</v>
          </cell>
          <cell r="Q1672" t="str">
            <v>I</v>
          </cell>
          <cell r="R1672">
            <v>4.2999999999999999E-4</v>
          </cell>
          <cell r="AJ1672" t="str">
            <v/>
          </cell>
          <cell r="AL1672" t="str">
            <v/>
          </cell>
          <cell r="AM1672">
            <v>0</v>
          </cell>
          <cell r="AN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</row>
        <row r="1673">
          <cell r="C1673" t="str">
            <v>DWG</v>
          </cell>
          <cell r="H1673" t="str">
            <v>10-80-A1-ST-0002</v>
          </cell>
          <cell r="I1673" t="str">
            <v>Structural drawings</v>
          </cell>
          <cell r="O1673">
            <v>0.33</v>
          </cell>
          <cell r="P1673">
            <v>5.9400000000000002E-4</v>
          </cell>
          <cell r="R1673">
            <v>7.5000000000000002E-4</v>
          </cell>
          <cell r="V1673" t="str">
            <v>ارسال شده</v>
          </cell>
          <cell r="W1673">
            <v>0</v>
          </cell>
          <cell r="X1673">
            <v>300</v>
          </cell>
          <cell r="Y1673" t="str">
            <v>17-11-07</v>
          </cell>
          <cell r="Z1673" t="str">
            <v>F-0483</v>
          </cell>
          <cell r="AA1673" t="str">
            <v>09-12-07</v>
          </cell>
          <cell r="AG1673" t="str">
            <v>GBT</v>
          </cell>
          <cell r="AH1673" t="str">
            <v>x</v>
          </cell>
          <cell r="AM1673">
            <v>0.45</v>
          </cell>
          <cell r="AN1673">
            <v>3.3750000000000002E-4</v>
          </cell>
          <cell r="AQ1673">
            <v>2.6729999999999999E-4</v>
          </cell>
          <cell r="AR1673">
            <v>3.3750000000000002E-4</v>
          </cell>
          <cell r="AS1673">
            <v>45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45</v>
          </cell>
        </row>
        <row r="1674">
          <cell r="C1674" t="str">
            <v>DWG</v>
          </cell>
          <cell r="H1674" t="str">
            <v>10-80-CSH-ST-0002</v>
          </cell>
          <cell r="I1674" t="str">
            <v>Calculation Sheet For Fire Station</v>
          </cell>
          <cell r="O1674">
            <v>0.33</v>
          </cell>
          <cell r="P1674">
            <v>5.9400000000000002E-4</v>
          </cell>
          <cell r="R1674">
            <v>7.5000000000000002E-4</v>
          </cell>
          <cell r="V1674" t="str">
            <v>ارسال شده</v>
          </cell>
          <cell r="W1674">
            <v>0</v>
          </cell>
          <cell r="X1674">
            <v>423</v>
          </cell>
          <cell r="Y1674" t="str">
            <v>09-12-07</v>
          </cell>
          <cell r="AG1674" t="str">
            <v>KRPC</v>
          </cell>
          <cell r="AH1674" t="str">
            <v>x</v>
          </cell>
          <cell r="AJ1674" t="str">
            <v/>
          </cell>
          <cell r="AL1674" t="str">
            <v/>
          </cell>
          <cell r="AM1674">
            <v>0.45</v>
          </cell>
          <cell r="AN1674">
            <v>3.3750000000000002E-4</v>
          </cell>
          <cell r="AQ1674">
            <v>2.6729999999999999E-4</v>
          </cell>
          <cell r="AR1674">
            <v>3.3750000000000002E-4</v>
          </cell>
          <cell r="AS1674">
            <v>45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45</v>
          </cell>
        </row>
        <row r="1675">
          <cell r="C1675" t="str">
            <v>DWG</v>
          </cell>
          <cell r="H1675" t="str">
            <v>Equipment Foundations</v>
          </cell>
          <cell r="N1675">
            <v>0.25</v>
          </cell>
          <cell r="O1675">
            <v>0.99999999999999989</v>
          </cell>
          <cell r="P1675">
            <v>4.4999999999999997E-3</v>
          </cell>
          <cell r="R1675">
            <v>3.0400000000000002E-3</v>
          </cell>
          <cell r="T1675" t="str">
            <v>.</v>
          </cell>
          <cell r="U1675" t="str">
            <v>.</v>
          </cell>
          <cell r="V1675" t="str">
            <v>.</v>
          </cell>
          <cell r="AG1675" t="str">
            <v>.</v>
          </cell>
          <cell r="AH1675" t="str">
            <v/>
          </cell>
          <cell r="AJ1675" t="str">
            <v/>
          </cell>
          <cell r="AL1675" t="str">
            <v/>
          </cell>
          <cell r="AM1675">
            <v>0</v>
          </cell>
          <cell r="AN1675">
            <v>4.5899999999999999E-4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</row>
        <row r="1676">
          <cell r="C1676" t="str">
            <v>DWG</v>
          </cell>
          <cell r="H1676" t="str">
            <v>10-80-A1-ST-0003</v>
          </cell>
          <cell r="I1676" t="str">
            <v>Main Electric Pumps (A/B)  foundation plan &amp; details</v>
          </cell>
          <cell r="O1676">
            <v>0.1</v>
          </cell>
          <cell r="P1676">
            <v>4.4999999999999999E-4</v>
          </cell>
          <cell r="Q1676" t="str">
            <v>V</v>
          </cell>
          <cell r="R1676">
            <v>3.4000000000000002E-4</v>
          </cell>
          <cell r="T1676">
            <v>39431</v>
          </cell>
          <cell r="U1676" t="str">
            <v>*</v>
          </cell>
          <cell r="V1676" t="str">
            <v>2007-12</v>
          </cell>
          <cell r="AH1676" t="str">
            <v/>
          </cell>
          <cell r="AJ1676" t="str">
            <v/>
          </cell>
          <cell r="AL1676" t="str">
            <v/>
          </cell>
          <cell r="AM1676">
            <v>0</v>
          </cell>
          <cell r="AN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</row>
        <row r="1677">
          <cell r="C1677" t="str">
            <v>DWG</v>
          </cell>
          <cell r="H1677" t="str">
            <v>10-80-CSH-ST-0003</v>
          </cell>
          <cell r="I1677" t="str">
            <v>Calculation Sheet For Main Electric Pumps (A/B)  foundation</v>
          </cell>
          <cell r="O1677">
            <v>0.1</v>
          </cell>
          <cell r="P1677">
            <v>4.4999999999999999E-4</v>
          </cell>
          <cell r="Q1677" t="str">
            <v>L</v>
          </cell>
          <cell r="R1677">
            <v>3.4000000000000002E-4</v>
          </cell>
          <cell r="T1677">
            <v>39446</v>
          </cell>
          <cell r="U1677" t="str">
            <v>*</v>
          </cell>
          <cell r="V1677" t="str">
            <v>2007-12</v>
          </cell>
          <cell r="AH1677" t="str">
            <v/>
          </cell>
          <cell r="AJ1677" t="str">
            <v/>
          </cell>
          <cell r="AL1677" t="str">
            <v/>
          </cell>
          <cell r="AM1677">
            <v>0</v>
          </cell>
          <cell r="AN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</row>
        <row r="1678">
          <cell r="C1678" t="str">
            <v>DWG</v>
          </cell>
          <cell r="H1678" t="str">
            <v>10-80-A1-ST-0010</v>
          </cell>
          <cell r="I1678" t="str">
            <v>Fire Fighting Tank  foundation plan &amp; details</v>
          </cell>
          <cell r="O1678">
            <v>0.1</v>
          </cell>
          <cell r="P1678">
            <v>4.4999999999999999E-4</v>
          </cell>
          <cell r="Q1678" t="str">
            <v>L</v>
          </cell>
          <cell r="R1678">
            <v>3.4000000000000002E-4</v>
          </cell>
          <cell r="V1678" t="str">
            <v>ارسال شده</v>
          </cell>
          <cell r="W1678" t="str">
            <v>03</v>
          </cell>
          <cell r="X1678" t="str">
            <v>146175</v>
          </cell>
          <cell r="Y1678" t="str">
            <v>09-10-0725-10-07</v>
          </cell>
          <cell r="Z1678" t="str">
            <v>F-0209</v>
          </cell>
          <cell r="AA1678" t="str">
            <v>11-10-07</v>
          </cell>
          <cell r="AF1678" t="str">
            <v>86-07-18</v>
          </cell>
          <cell r="AG1678" t="str">
            <v>KRPC</v>
          </cell>
          <cell r="AH1678" t="str">
            <v>x</v>
          </cell>
          <cell r="AI1678" t="str">
            <v>x</v>
          </cell>
          <cell r="AJ1678" t="str">
            <v>x</v>
          </cell>
          <cell r="AM1678">
            <v>0.75</v>
          </cell>
          <cell r="AN1678">
            <v>2.5500000000000002E-4</v>
          </cell>
          <cell r="AQ1678">
            <v>3.3750000000000002E-4</v>
          </cell>
          <cell r="AR1678">
            <v>2.5500000000000002E-4</v>
          </cell>
          <cell r="AS1678">
            <v>45</v>
          </cell>
          <cell r="AT1678">
            <v>60</v>
          </cell>
          <cell r="AU1678">
            <v>75</v>
          </cell>
          <cell r="AV1678">
            <v>0</v>
          </cell>
          <cell r="AW1678">
            <v>0</v>
          </cell>
          <cell r="AX1678">
            <v>75</v>
          </cell>
        </row>
        <row r="1679">
          <cell r="H1679" t="str">
            <v>10-80-CSH-ST-0010</v>
          </cell>
          <cell r="I1679" t="str">
            <v>Calculation Sheet For Fire Fighting Tank  foundation</v>
          </cell>
          <cell r="O1679">
            <v>0.1</v>
          </cell>
          <cell r="Q1679" t="str">
            <v>L</v>
          </cell>
          <cell r="R1679">
            <v>3.4000000000000002E-4</v>
          </cell>
          <cell r="V1679" t="str">
            <v>ارسال شده</v>
          </cell>
          <cell r="W1679" t="str">
            <v>01</v>
          </cell>
          <cell r="X1679" t="str">
            <v>84420</v>
          </cell>
          <cell r="Y1679" t="str">
            <v>F-0165</v>
          </cell>
          <cell r="Z1679" t="str">
            <v>20-08-07</v>
          </cell>
          <cell r="AG1679" t="str">
            <v>KRPC</v>
          </cell>
          <cell r="AH1679" t="str">
            <v>x</v>
          </cell>
          <cell r="AI1679" t="str">
            <v>x</v>
          </cell>
          <cell r="AM1679">
            <v>0.6</v>
          </cell>
          <cell r="AN1679">
            <v>2.04E-4</v>
          </cell>
          <cell r="AQ1679">
            <v>0</v>
          </cell>
          <cell r="AR1679">
            <v>2.04E-4</v>
          </cell>
          <cell r="AS1679">
            <v>45</v>
          </cell>
          <cell r="AT1679">
            <v>60</v>
          </cell>
          <cell r="AU1679">
            <v>0</v>
          </cell>
          <cell r="AV1679">
            <v>0</v>
          </cell>
          <cell r="AW1679">
            <v>0</v>
          </cell>
          <cell r="AX1679">
            <v>60</v>
          </cell>
        </row>
        <row r="1680">
          <cell r="C1680" t="str">
            <v>DWG</v>
          </cell>
          <cell r="H1680" t="str">
            <v>10-80-A1-ST-0007</v>
          </cell>
          <cell r="I1680" t="str">
            <v>Main Diesel Pumps (A/B) foundation plan &amp; details</v>
          </cell>
          <cell r="O1680">
            <v>0.1</v>
          </cell>
          <cell r="P1680">
            <v>4.4999999999999999E-4</v>
          </cell>
          <cell r="Q1680" t="str">
            <v>L</v>
          </cell>
          <cell r="R1680">
            <v>2.5000000000000001E-4</v>
          </cell>
          <cell r="T1680">
            <v>39452</v>
          </cell>
          <cell r="V1680" t="str">
            <v>2008-01</v>
          </cell>
          <cell r="AM1680">
            <v>0</v>
          </cell>
          <cell r="AN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</row>
        <row r="1681">
          <cell r="C1681" t="str">
            <v>CLS</v>
          </cell>
          <cell r="H1681" t="str">
            <v>10-80-CSH-ST-0007</v>
          </cell>
          <cell r="I1681" t="str">
            <v xml:space="preserve">Calculation Sheet For Main Diesel Pumps (A/B) foundation </v>
          </cell>
          <cell r="O1681">
            <v>0.1</v>
          </cell>
          <cell r="P1681">
            <v>4.4999999999999999E-4</v>
          </cell>
          <cell r="Q1681" t="str">
            <v>L</v>
          </cell>
          <cell r="R1681">
            <v>2.5000000000000001E-4</v>
          </cell>
          <cell r="T1681">
            <v>39456</v>
          </cell>
          <cell r="V1681" t="str">
            <v>2008-01</v>
          </cell>
          <cell r="AM1681">
            <v>0</v>
          </cell>
          <cell r="AN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</row>
        <row r="1682">
          <cell r="C1682" t="str">
            <v>DWG</v>
          </cell>
          <cell r="H1682" t="str">
            <v>10-80-A1-ST-0005</v>
          </cell>
          <cell r="I1682" t="str">
            <v>Jocky Pumps (A/B) foundation plan &amp; details</v>
          </cell>
          <cell r="O1682">
            <v>0.1</v>
          </cell>
          <cell r="P1682">
            <v>4.4999999999999999E-4</v>
          </cell>
          <cell r="Q1682" t="str">
            <v>L</v>
          </cell>
          <cell r="R1682">
            <v>2.5000000000000001E-4</v>
          </cell>
          <cell r="T1682">
            <v>39457</v>
          </cell>
          <cell r="V1682" t="str">
            <v>2008-01</v>
          </cell>
          <cell r="AH1682" t="str">
            <v/>
          </cell>
          <cell r="AJ1682" t="str">
            <v/>
          </cell>
          <cell r="AL1682" t="str">
            <v/>
          </cell>
          <cell r="AM1682">
            <v>0</v>
          </cell>
          <cell r="AN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</row>
        <row r="1683">
          <cell r="C1683" t="str">
            <v>DWG</v>
          </cell>
          <cell r="H1683" t="str">
            <v>10-80-CSH-ST-0005</v>
          </cell>
          <cell r="I1683" t="str">
            <v>Calculation Sheet For Jocky Pumps (A/B) foundation</v>
          </cell>
          <cell r="O1683">
            <v>0.1</v>
          </cell>
          <cell r="P1683">
            <v>4.4999999999999999E-4</v>
          </cell>
          <cell r="Q1683" t="str">
            <v>L</v>
          </cell>
          <cell r="R1683">
            <v>2.5000000000000001E-4</v>
          </cell>
          <cell r="T1683">
            <v>39462</v>
          </cell>
          <cell r="V1683" t="str">
            <v>2008-01</v>
          </cell>
          <cell r="AH1683" t="str">
            <v/>
          </cell>
          <cell r="AJ1683" t="str">
            <v/>
          </cell>
          <cell r="AL1683" t="str">
            <v/>
          </cell>
          <cell r="AM1683">
            <v>0</v>
          </cell>
          <cell r="AN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</row>
        <row r="1684">
          <cell r="C1684" t="str">
            <v>DWG</v>
          </cell>
          <cell r="H1684" t="str">
            <v>10-80-A1-ST-0006</v>
          </cell>
          <cell r="I1684" t="str">
            <v>Daily Gasoil Tank foundation plan &amp; details</v>
          </cell>
          <cell r="O1684">
            <v>0.1</v>
          </cell>
          <cell r="P1684">
            <v>4.4999999999999999E-4</v>
          </cell>
          <cell r="R1684">
            <v>3.4000000000000002E-4</v>
          </cell>
          <cell r="T1684">
            <v>39464</v>
          </cell>
          <cell r="V1684" t="str">
            <v>2008-01</v>
          </cell>
          <cell r="AH1684" t="str">
            <v/>
          </cell>
          <cell r="AJ1684" t="str">
            <v/>
          </cell>
          <cell r="AL1684" t="str">
            <v/>
          </cell>
          <cell r="AM1684">
            <v>0</v>
          </cell>
          <cell r="AN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</row>
        <row r="1685">
          <cell r="C1685" t="str">
            <v>CLS</v>
          </cell>
          <cell r="H1685" t="str">
            <v>10-80-CSH-ST-0006</v>
          </cell>
          <cell r="I1685" t="str">
            <v xml:space="preserve">Calculation Sheet For Daily Gasoil Tank foundation </v>
          </cell>
          <cell r="O1685">
            <v>0.1</v>
          </cell>
          <cell r="P1685">
            <v>4.4999999999999999E-4</v>
          </cell>
          <cell r="R1685">
            <v>3.4000000000000002E-4</v>
          </cell>
          <cell r="T1685">
            <v>39467</v>
          </cell>
          <cell r="V1685" t="str">
            <v>2008-01</v>
          </cell>
          <cell r="AM1685">
            <v>0</v>
          </cell>
          <cell r="AN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</row>
        <row r="1686">
          <cell r="C1686" t="str">
            <v>DWG</v>
          </cell>
          <cell r="H1686" t="str">
            <v>Steel Structures</v>
          </cell>
          <cell r="N1686">
            <v>0.35</v>
          </cell>
          <cell r="O1686">
            <v>1</v>
          </cell>
          <cell r="P1686">
            <v>6.2999999999999992E-3</v>
          </cell>
          <cell r="R1686">
            <v>1.3600000000000001E-3</v>
          </cell>
          <cell r="U1686" t="str">
            <v>.</v>
          </cell>
          <cell r="V1686" t="str">
            <v>.</v>
          </cell>
          <cell r="AG1686" t="str">
            <v>.</v>
          </cell>
          <cell r="AH1686" t="str">
            <v/>
          </cell>
          <cell r="AJ1686" t="str">
            <v/>
          </cell>
          <cell r="AL1686" t="str">
            <v/>
          </cell>
          <cell r="AM1686">
            <v>0</v>
          </cell>
          <cell r="AN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</row>
        <row r="1687">
          <cell r="C1687" t="str">
            <v>DWG</v>
          </cell>
          <cell r="H1687" t="str">
            <v>10-80-A1-ST-0008</v>
          </cell>
          <cell r="I1687" t="str">
            <v>Crane and Hoist Beam</v>
          </cell>
          <cell r="O1687">
            <v>0.25</v>
          </cell>
          <cell r="P1687">
            <v>1.5749999999999998E-3</v>
          </cell>
          <cell r="Q1687" t="str">
            <v>L</v>
          </cell>
          <cell r="R1687">
            <v>3.4000000000000002E-4</v>
          </cell>
          <cell r="T1687">
            <v>39472</v>
          </cell>
          <cell r="V1687" t="str">
            <v>2008-01</v>
          </cell>
          <cell r="AH1687" t="str">
            <v/>
          </cell>
          <cell r="AJ1687" t="str">
            <v/>
          </cell>
          <cell r="AL1687" t="str">
            <v/>
          </cell>
          <cell r="AM1687">
            <v>0</v>
          </cell>
          <cell r="AN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</row>
        <row r="1688">
          <cell r="C1688" t="str">
            <v>CLS</v>
          </cell>
          <cell r="H1688" t="str">
            <v>10-80-CSH-ST-0008</v>
          </cell>
          <cell r="I1688" t="str">
            <v>Calculation Sheet For Crane and Hoist Beam</v>
          </cell>
          <cell r="O1688">
            <v>0.25</v>
          </cell>
          <cell r="P1688">
            <v>1.5749999999999998E-3</v>
          </cell>
          <cell r="Q1688" t="str">
            <v>L</v>
          </cell>
          <cell r="R1688">
            <v>3.4000000000000002E-4</v>
          </cell>
          <cell r="T1688">
            <v>39474</v>
          </cell>
          <cell r="V1688" t="str">
            <v>2008-01</v>
          </cell>
          <cell r="AM1688">
            <v>0</v>
          </cell>
          <cell r="AN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</row>
        <row r="1689">
          <cell r="C1689" t="str">
            <v>DWG</v>
          </cell>
          <cell r="H1689" t="str">
            <v>10-80-A1-ST-0009</v>
          </cell>
          <cell r="I1689" t="str">
            <v>Pipes &amp; Support</v>
          </cell>
          <cell r="O1689">
            <v>0.25</v>
          </cell>
          <cell r="P1689">
            <v>1.5749999999999998E-3</v>
          </cell>
          <cell r="Q1689" t="str">
            <v>L</v>
          </cell>
          <cell r="R1689">
            <v>3.4000000000000002E-4</v>
          </cell>
          <cell r="T1689">
            <v>39476</v>
          </cell>
          <cell r="V1689" t="str">
            <v>2008-01</v>
          </cell>
          <cell r="AM1689">
            <v>0</v>
          </cell>
          <cell r="AN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</row>
        <row r="1690">
          <cell r="C1690" t="str">
            <v>DWG</v>
          </cell>
          <cell r="H1690" t="str">
            <v>10-80-CSH-ST-0009</v>
          </cell>
          <cell r="I1690" t="str">
            <v>Calculation Sheet For Pipes &amp; Support</v>
          </cell>
          <cell r="O1690">
            <v>0.25</v>
          </cell>
          <cell r="P1690">
            <v>1.5749999999999998E-3</v>
          </cell>
          <cell r="Q1690" t="str">
            <v>L</v>
          </cell>
          <cell r="R1690">
            <v>3.4000000000000002E-4</v>
          </cell>
          <cell r="T1690">
            <v>39477</v>
          </cell>
          <cell r="V1690" t="str">
            <v>2008-01</v>
          </cell>
          <cell r="AH1690" t="str">
            <v/>
          </cell>
          <cell r="AJ1690" t="str">
            <v/>
          </cell>
          <cell r="AL1690" t="str">
            <v/>
          </cell>
          <cell r="AM1690">
            <v>0</v>
          </cell>
          <cell r="AN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</row>
        <row r="1691">
          <cell r="C1691" t="str">
            <v>DWG</v>
          </cell>
          <cell r="H1691" t="str">
            <v>Civil Works</v>
          </cell>
          <cell r="N1691">
            <v>0.05</v>
          </cell>
          <cell r="O1691">
            <v>1</v>
          </cell>
          <cell r="P1691">
            <v>8.9999999999999998E-4</v>
          </cell>
          <cell r="R1691">
            <v>8.5999999999999998E-4</v>
          </cell>
          <cell r="U1691" t="str">
            <v>.</v>
          </cell>
          <cell r="V1691" t="str">
            <v>.</v>
          </cell>
          <cell r="AG1691" t="str">
            <v>.</v>
          </cell>
          <cell r="AH1691" t="str">
            <v/>
          </cell>
          <cell r="AJ1691" t="str">
            <v/>
          </cell>
          <cell r="AL1691" t="str">
            <v/>
          </cell>
          <cell r="AM1691">
            <v>0</v>
          </cell>
          <cell r="AN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</row>
        <row r="1692">
          <cell r="C1692" t="str">
            <v>DWG</v>
          </cell>
          <cell r="H1692" t="str">
            <v>10-80-A1-CI-0001</v>
          </cell>
          <cell r="I1692" t="str">
            <v xml:space="preserve">Concrete Cable Trench and Duct Bank plan&amp; details </v>
          </cell>
          <cell r="O1692">
            <v>0.5</v>
          </cell>
          <cell r="P1692">
            <v>4.4999999999999999E-4</v>
          </cell>
          <cell r="Q1692" t="str">
            <v>L</v>
          </cell>
          <cell r="R1692">
            <v>4.2999999999999999E-4</v>
          </cell>
          <cell r="T1692">
            <v>39483</v>
          </cell>
          <cell r="V1692" t="str">
            <v>2008-02</v>
          </cell>
          <cell r="AH1692" t="str">
            <v/>
          </cell>
          <cell r="AJ1692" t="str">
            <v/>
          </cell>
          <cell r="AL1692" t="str">
            <v/>
          </cell>
          <cell r="AM1692">
            <v>0</v>
          </cell>
          <cell r="AN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</row>
        <row r="1693">
          <cell r="C1693" t="str">
            <v>DWG</v>
          </cell>
          <cell r="H1693" t="str">
            <v>10-80-A1-CI-0002</v>
          </cell>
          <cell r="I1693" t="str">
            <v>Roads &amp; Pavement Plan and Details</v>
          </cell>
          <cell r="O1693">
            <v>0.5</v>
          </cell>
          <cell r="P1693">
            <v>4.4999999999999999E-4</v>
          </cell>
          <cell r="Q1693" t="str">
            <v>L</v>
          </cell>
          <cell r="R1693">
            <v>4.2999999999999999E-4</v>
          </cell>
          <cell r="T1693">
            <v>39483</v>
          </cell>
          <cell r="V1693" t="str">
            <v>2008-02</v>
          </cell>
          <cell r="AH1693" t="str">
            <v/>
          </cell>
          <cell r="AJ1693" t="str">
            <v/>
          </cell>
          <cell r="AL1693" t="str">
            <v/>
          </cell>
          <cell r="AM1693">
            <v>0</v>
          </cell>
          <cell r="AN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</row>
        <row r="1694">
          <cell r="C1694" t="str">
            <v>DWG</v>
          </cell>
          <cell r="G1694" t="str">
            <v>Flare</v>
          </cell>
          <cell r="M1694">
            <v>4.4999999999999998E-2</v>
          </cell>
          <cell r="N1694">
            <v>1</v>
          </cell>
          <cell r="P1694">
            <v>8.9999999999999993E-3</v>
          </cell>
          <cell r="R1694">
            <v>5.4399999999999995E-3</v>
          </cell>
          <cell r="U1694" t="str">
            <v>.</v>
          </cell>
          <cell r="V1694" t="str">
            <v>.</v>
          </cell>
          <cell r="AG1694" t="str">
            <v>.</v>
          </cell>
          <cell r="AH1694" t="str">
            <v/>
          </cell>
          <cell r="AJ1694" t="str">
            <v/>
          </cell>
          <cell r="AL1694" t="str">
            <v/>
          </cell>
          <cell r="AM1694">
            <v>0</v>
          </cell>
          <cell r="AN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</row>
        <row r="1695">
          <cell r="C1695" t="str">
            <v>DWG</v>
          </cell>
          <cell r="H1695" t="str">
            <v>Steel Structures</v>
          </cell>
          <cell r="N1695">
            <v>0.35</v>
          </cell>
          <cell r="O1695">
            <v>1</v>
          </cell>
          <cell r="P1695">
            <v>3.1499999999999996E-3</v>
          </cell>
          <cell r="R1695">
            <v>1.8599999999999999E-3</v>
          </cell>
          <cell r="U1695" t="str">
            <v>.</v>
          </cell>
          <cell r="V1695" t="str">
            <v>.</v>
          </cell>
          <cell r="AG1695" t="str">
            <v>.</v>
          </cell>
          <cell r="AH1695" t="str">
            <v/>
          </cell>
          <cell r="AJ1695" t="str">
            <v/>
          </cell>
          <cell r="AL1695" t="str">
            <v/>
          </cell>
          <cell r="AM1695">
            <v>0</v>
          </cell>
          <cell r="AN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</row>
        <row r="1696">
          <cell r="C1696" t="str">
            <v>DWG</v>
          </cell>
          <cell r="H1696" t="str">
            <v>10-90-A1-ST-0001</v>
          </cell>
          <cell r="I1696" t="str">
            <v>Flare Stack Structural Details</v>
          </cell>
          <cell r="O1696">
            <v>0.17</v>
          </cell>
          <cell r="P1696">
            <v>5.3549999999999995E-4</v>
          </cell>
          <cell r="Q1696" t="str">
            <v>L</v>
          </cell>
          <cell r="R1696">
            <v>4.2999999999999999E-4</v>
          </cell>
          <cell r="T1696">
            <v>39487</v>
          </cell>
          <cell r="V1696" t="str">
            <v>2008-02</v>
          </cell>
          <cell r="AH1696" t="str">
            <v/>
          </cell>
          <cell r="AJ1696" t="str">
            <v/>
          </cell>
          <cell r="AL1696" t="str">
            <v/>
          </cell>
          <cell r="AM1696">
            <v>0</v>
          </cell>
          <cell r="AN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</row>
        <row r="1697">
          <cell r="C1697" t="str">
            <v>CLS</v>
          </cell>
          <cell r="H1697" t="str">
            <v>10-90-CSH-ST-0001</v>
          </cell>
          <cell r="I1697" t="str">
            <v>Calculation Sheet For Flare Stack</v>
          </cell>
          <cell r="O1697">
            <v>0.17</v>
          </cell>
          <cell r="P1697">
            <v>5.3549999999999995E-4</v>
          </cell>
          <cell r="Q1697" t="str">
            <v>L</v>
          </cell>
          <cell r="R1697">
            <v>4.2999999999999999E-4</v>
          </cell>
          <cell r="T1697">
            <v>39454</v>
          </cell>
          <cell r="V1697" t="str">
            <v>2008-01</v>
          </cell>
          <cell r="AM1697">
            <v>0</v>
          </cell>
          <cell r="AN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</row>
        <row r="1698">
          <cell r="C1698" t="str">
            <v>DWG</v>
          </cell>
          <cell r="H1698" t="str">
            <v>10-90-A1-ST-0002</v>
          </cell>
          <cell r="I1698" t="str">
            <v xml:space="preserve">Platform Plan and Details </v>
          </cell>
          <cell r="O1698">
            <v>0.17</v>
          </cell>
          <cell r="P1698">
            <v>5.3549999999999995E-4</v>
          </cell>
          <cell r="Q1698" t="str">
            <v>L</v>
          </cell>
          <cell r="R1698">
            <v>2.5000000000000001E-4</v>
          </cell>
          <cell r="T1698">
            <v>39456</v>
          </cell>
          <cell r="V1698" t="str">
            <v>2008-01</v>
          </cell>
          <cell r="AM1698">
            <v>0</v>
          </cell>
          <cell r="AN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</row>
        <row r="1699">
          <cell r="C1699" t="str">
            <v>CLS</v>
          </cell>
          <cell r="H1699" t="str">
            <v>10-90-CSH-ST-0002</v>
          </cell>
          <cell r="I1699" t="str">
            <v>Calculation Sheet For Platform Plan and Details</v>
          </cell>
          <cell r="O1699">
            <v>0.17</v>
          </cell>
          <cell r="P1699">
            <v>5.3549999999999995E-4</v>
          </cell>
          <cell r="Q1699" t="str">
            <v>L</v>
          </cell>
          <cell r="R1699">
            <v>2.5000000000000001E-4</v>
          </cell>
          <cell r="T1699">
            <v>39459</v>
          </cell>
          <cell r="V1699" t="str">
            <v>2008-01</v>
          </cell>
          <cell r="AM1699">
            <v>0</v>
          </cell>
          <cell r="AN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</row>
        <row r="1700">
          <cell r="C1700" t="str">
            <v>DWG</v>
          </cell>
          <cell r="H1700" t="str">
            <v>10-90-A1-ST-0003</v>
          </cell>
          <cell r="I1700" t="str">
            <v>Pipe Supports Details</v>
          </cell>
          <cell r="O1700">
            <v>0.16</v>
          </cell>
          <cell r="P1700">
            <v>5.0399999999999989E-4</v>
          </cell>
          <cell r="Q1700" t="str">
            <v>L</v>
          </cell>
          <cell r="R1700">
            <v>2.5000000000000001E-4</v>
          </cell>
          <cell r="T1700">
            <v>39462</v>
          </cell>
          <cell r="V1700" t="str">
            <v>2008-01</v>
          </cell>
          <cell r="AH1700" t="str">
            <v/>
          </cell>
          <cell r="AJ1700" t="str">
            <v/>
          </cell>
          <cell r="AL1700" t="str">
            <v/>
          </cell>
          <cell r="AM1700">
            <v>0</v>
          </cell>
          <cell r="AN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</row>
        <row r="1701">
          <cell r="C1701" t="str">
            <v>DWG</v>
          </cell>
          <cell r="H1701" t="str">
            <v>10-90-CSH-ST-0003</v>
          </cell>
          <cell r="I1701" t="str">
            <v>Calculation Sheet For Pipes &amp; Support</v>
          </cell>
          <cell r="O1701">
            <v>0.16</v>
          </cell>
          <cell r="P1701">
            <v>5.0399999999999989E-4</v>
          </cell>
          <cell r="Q1701" t="str">
            <v>L</v>
          </cell>
          <cell r="R1701">
            <v>2.5000000000000001E-4</v>
          </cell>
          <cell r="T1701">
            <v>39464</v>
          </cell>
          <cell r="V1701" t="str">
            <v>2008-01</v>
          </cell>
          <cell r="AH1701" t="str">
            <v/>
          </cell>
          <cell r="AJ1701" t="str">
            <v/>
          </cell>
          <cell r="AL1701" t="str">
            <v/>
          </cell>
          <cell r="AM1701">
            <v>0</v>
          </cell>
          <cell r="AN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</row>
        <row r="1702">
          <cell r="C1702" t="str">
            <v>DWG</v>
          </cell>
          <cell r="H1702" t="str">
            <v>Concrete Structures</v>
          </cell>
          <cell r="N1702">
            <v>0.25</v>
          </cell>
          <cell r="O1702">
            <v>1</v>
          </cell>
          <cell r="P1702">
            <v>2.2499999999999998E-3</v>
          </cell>
          <cell r="R1702">
            <v>1.3599999999999999E-3</v>
          </cell>
          <cell r="U1702" t="str">
            <v>.</v>
          </cell>
          <cell r="V1702" t="str">
            <v>.</v>
          </cell>
          <cell r="AG1702" t="str">
            <v>.</v>
          </cell>
          <cell r="AH1702" t="str">
            <v/>
          </cell>
          <cell r="AJ1702" t="str">
            <v/>
          </cell>
          <cell r="AL1702" t="str">
            <v/>
          </cell>
          <cell r="AM1702">
            <v>0</v>
          </cell>
          <cell r="AN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</row>
        <row r="1703">
          <cell r="C1703" t="str">
            <v>DWG</v>
          </cell>
          <cell r="H1703" t="str">
            <v>10-90-A1-ST-0004</v>
          </cell>
          <cell r="I1703" t="str">
            <v>Flare K.O Drum Structural details</v>
          </cell>
          <cell r="O1703">
            <v>0.25</v>
          </cell>
          <cell r="P1703">
            <v>5.6249999999999996E-4</v>
          </cell>
          <cell r="Q1703" t="str">
            <v>L</v>
          </cell>
          <cell r="R1703">
            <v>4.2999999999999999E-4</v>
          </cell>
          <cell r="T1703">
            <v>39467</v>
          </cell>
          <cell r="V1703" t="str">
            <v>2008-01</v>
          </cell>
          <cell r="AM1703">
            <v>0</v>
          </cell>
          <cell r="AN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</row>
        <row r="1704">
          <cell r="C1704" t="str">
            <v>CLS</v>
          </cell>
          <cell r="H1704" t="str">
            <v>10-90-CSH-ST-0004</v>
          </cell>
          <cell r="I1704" t="str">
            <v>Calculation Sheet For Flare K.O Drum</v>
          </cell>
          <cell r="O1704">
            <v>0.25</v>
          </cell>
          <cell r="P1704">
            <v>5.6249999999999996E-4</v>
          </cell>
          <cell r="Q1704" t="str">
            <v>L</v>
          </cell>
          <cell r="R1704">
            <v>4.2999999999999999E-4</v>
          </cell>
          <cell r="T1704">
            <v>39469</v>
          </cell>
          <cell r="V1704" t="str">
            <v>2008-01</v>
          </cell>
          <cell r="AM1704">
            <v>0</v>
          </cell>
          <cell r="AN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</row>
        <row r="1705">
          <cell r="C1705" t="str">
            <v>DWG</v>
          </cell>
          <cell r="H1705" t="str">
            <v>10-90-A1-ST-0005</v>
          </cell>
          <cell r="I1705" t="str">
            <v>Pipe Slippers Plan and Details</v>
          </cell>
          <cell r="O1705">
            <v>0.25</v>
          </cell>
          <cell r="P1705">
            <v>5.6249999999999996E-4</v>
          </cell>
          <cell r="Q1705" t="str">
            <v>L</v>
          </cell>
          <cell r="R1705">
            <v>2.5000000000000001E-4</v>
          </cell>
          <cell r="T1705">
            <v>39472</v>
          </cell>
          <cell r="V1705" t="str">
            <v>2008-01</v>
          </cell>
          <cell r="AH1705" t="str">
            <v/>
          </cell>
          <cell r="AJ1705" t="str">
            <v/>
          </cell>
          <cell r="AL1705" t="str">
            <v/>
          </cell>
          <cell r="AM1705">
            <v>0</v>
          </cell>
          <cell r="AN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</row>
        <row r="1706">
          <cell r="C1706" t="str">
            <v>DWG</v>
          </cell>
          <cell r="H1706" t="str">
            <v>10-90-CSH-ST-0005</v>
          </cell>
          <cell r="I1706" t="str">
            <v>Calculation Sheet For Pipe Slippers</v>
          </cell>
          <cell r="O1706">
            <v>0.25</v>
          </cell>
          <cell r="P1706">
            <v>5.6249999999999996E-4</v>
          </cell>
          <cell r="Q1706" t="str">
            <v>L</v>
          </cell>
          <cell r="R1706">
            <v>2.5000000000000001E-4</v>
          </cell>
          <cell r="T1706">
            <v>39474</v>
          </cell>
          <cell r="V1706" t="str">
            <v>2008-01</v>
          </cell>
          <cell r="AH1706" t="str">
            <v/>
          </cell>
          <cell r="AJ1706" t="str">
            <v/>
          </cell>
          <cell r="AL1706" t="str">
            <v/>
          </cell>
          <cell r="AM1706">
            <v>0</v>
          </cell>
          <cell r="AN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</row>
        <row r="1707">
          <cell r="C1707" t="str">
            <v>DWG</v>
          </cell>
          <cell r="H1707" t="str">
            <v>Equipment Foundations</v>
          </cell>
          <cell r="N1707">
            <v>0.2</v>
          </cell>
          <cell r="O1707">
            <v>1</v>
          </cell>
          <cell r="P1707">
            <v>1.8E-3</v>
          </cell>
          <cell r="R1707">
            <v>1.3599999999999999E-3</v>
          </cell>
          <cell r="U1707" t="str">
            <v>.</v>
          </cell>
          <cell r="V1707" t="str">
            <v>.</v>
          </cell>
          <cell r="AG1707" t="str">
            <v>.</v>
          </cell>
          <cell r="AH1707" t="str">
            <v/>
          </cell>
          <cell r="AJ1707" t="str">
            <v/>
          </cell>
          <cell r="AL1707" t="str">
            <v/>
          </cell>
          <cell r="AM1707">
            <v>0</v>
          </cell>
          <cell r="AN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</row>
        <row r="1708">
          <cell r="C1708" t="str">
            <v>DWG</v>
          </cell>
          <cell r="H1708" t="str">
            <v>10-90-A1-ST-0006</v>
          </cell>
          <cell r="I1708" t="str">
            <v>Flare Stack foundation plan &amp; details</v>
          </cell>
          <cell r="O1708">
            <v>0.25</v>
          </cell>
          <cell r="P1708">
            <v>4.4999999999999999E-4</v>
          </cell>
          <cell r="Q1708" t="str">
            <v>L</v>
          </cell>
          <cell r="R1708">
            <v>4.2999999999999999E-4</v>
          </cell>
          <cell r="T1708">
            <v>39475</v>
          </cell>
          <cell r="V1708" t="str">
            <v>2008-01</v>
          </cell>
          <cell r="AH1708" t="str">
            <v/>
          </cell>
          <cell r="AJ1708" t="str">
            <v/>
          </cell>
          <cell r="AL1708" t="str">
            <v/>
          </cell>
          <cell r="AM1708">
            <v>0</v>
          </cell>
          <cell r="AN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</row>
        <row r="1709">
          <cell r="C1709" t="str">
            <v>CLS</v>
          </cell>
          <cell r="H1709" t="str">
            <v>10-90-CSH-ST-0006</v>
          </cell>
          <cell r="I1709" t="str">
            <v>Calculation Sheet For Flare Stack foundation</v>
          </cell>
          <cell r="O1709">
            <v>0.25</v>
          </cell>
          <cell r="P1709">
            <v>4.4999999999999999E-4</v>
          </cell>
          <cell r="Q1709" t="str">
            <v>L</v>
          </cell>
          <cell r="R1709">
            <v>4.2999999999999999E-4</v>
          </cell>
          <cell r="T1709">
            <v>39477</v>
          </cell>
          <cell r="V1709" t="str">
            <v>2008-01</v>
          </cell>
          <cell r="AM1709">
            <v>0</v>
          </cell>
          <cell r="AN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</row>
        <row r="1710">
          <cell r="C1710" t="str">
            <v>DWG</v>
          </cell>
          <cell r="H1710" t="str">
            <v>10-90-A1-ST-0007</v>
          </cell>
          <cell r="I1710" t="str">
            <v>K.O Drum Liquid Pumps (A/B) foundation plan &amp; details</v>
          </cell>
          <cell r="O1710">
            <v>0.25</v>
          </cell>
          <cell r="P1710">
            <v>4.4999999999999999E-4</v>
          </cell>
          <cell r="Q1710" t="str">
            <v>L</v>
          </cell>
          <cell r="R1710">
            <v>2.5000000000000001E-4</v>
          </cell>
          <cell r="T1710">
            <v>39483</v>
          </cell>
          <cell r="V1710" t="str">
            <v>2008-02</v>
          </cell>
          <cell r="AM1710">
            <v>0</v>
          </cell>
          <cell r="AN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</row>
        <row r="1711">
          <cell r="C1711" t="str">
            <v>DWG</v>
          </cell>
          <cell r="H1711" t="str">
            <v>10-90-CSH-ST-0007</v>
          </cell>
          <cell r="I1711" t="str">
            <v>Calculation Sheet For K.O Drum Liquid Pumps (A/B) foundation</v>
          </cell>
          <cell r="O1711">
            <v>0.25</v>
          </cell>
          <cell r="P1711">
            <v>4.4999999999999999E-4</v>
          </cell>
          <cell r="Q1711" t="str">
            <v>L</v>
          </cell>
          <cell r="R1711">
            <v>2.5000000000000001E-4</v>
          </cell>
          <cell r="T1711">
            <v>39485</v>
          </cell>
          <cell r="V1711" t="str">
            <v>2008-02</v>
          </cell>
          <cell r="AH1711" t="str">
            <v/>
          </cell>
          <cell r="AJ1711" t="str">
            <v/>
          </cell>
          <cell r="AL1711" t="str">
            <v/>
          </cell>
          <cell r="AM1711">
            <v>0</v>
          </cell>
          <cell r="AN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</row>
        <row r="1712">
          <cell r="C1712" t="str">
            <v>DWG</v>
          </cell>
          <cell r="H1712" t="str">
            <v>Civil Works</v>
          </cell>
          <cell r="N1712">
            <v>0.2</v>
          </cell>
          <cell r="O1712">
            <v>1</v>
          </cell>
          <cell r="P1712">
            <v>1.8E-3</v>
          </cell>
          <cell r="R1712">
            <v>8.5999999999999998E-4</v>
          </cell>
          <cell r="U1712" t="str">
            <v>.</v>
          </cell>
          <cell r="V1712" t="str">
            <v>.</v>
          </cell>
          <cell r="AG1712" t="str">
            <v>.</v>
          </cell>
          <cell r="AH1712" t="str">
            <v/>
          </cell>
          <cell r="AJ1712" t="str">
            <v/>
          </cell>
          <cell r="AL1712" t="str">
            <v/>
          </cell>
          <cell r="AM1712">
            <v>0</v>
          </cell>
          <cell r="AN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</row>
        <row r="1713">
          <cell r="C1713" t="str">
            <v>DWG</v>
          </cell>
          <cell r="H1713" t="str">
            <v>10-90-A1-CI-0001</v>
          </cell>
          <cell r="I1713" t="str">
            <v xml:space="preserve">Cable Trench &amp; Duct Bank plan&amp; details </v>
          </cell>
          <cell r="O1713">
            <v>0.5</v>
          </cell>
          <cell r="P1713">
            <v>8.9999999999999998E-4</v>
          </cell>
          <cell r="Q1713" t="str">
            <v>L</v>
          </cell>
          <cell r="R1713">
            <v>4.2999999999999999E-4</v>
          </cell>
          <cell r="T1713">
            <v>39487</v>
          </cell>
          <cell r="V1713" t="str">
            <v>2008-02</v>
          </cell>
          <cell r="AH1713" t="str">
            <v/>
          </cell>
          <cell r="AJ1713" t="str">
            <v/>
          </cell>
          <cell r="AL1713" t="str">
            <v/>
          </cell>
          <cell r="AM1713">
            <v>0</v>
          </cell>
          <cell r="AN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</row>
        <row r="1714">
          <cell r="C1714" t="str">
            <v>DWG</v>
          </cell>
          <cell r="H1714" t="str">
            <v>10-90-A1-CI-0002</v>
          </cell>
          <cell r="I1714" t="str">
            <v>Paving plan &amp; details</v>
          </cell>
          <cell r="O1714">
            <v>0.5</v>
          </cell>
          <cell r="P1714">
            <v>8.9999999999999998E-4</v>
          </cell>
          <cell r="Q1714" t="str">
            <v>L</v>
          </cell>
          <cell r="R1714">
            <v>4.2999999999999999E-4</v>
          </cell>
          <cell r="T1714">
            <v>39490</v>
          </cell>
          <cell r="V1714" t="str">
            <v>2008-02</v>
          </cell>
          <cell r="AH1714" t="str">
            <v/>
          </cell>
          <cell r="AJ1714" t="str">
            <v/>
          </cell>
          <cell r="AL1714" t="str">
            <v/>
          </cell>
          <cell r="AM1714">
            <v>0</v>
          </cell>
          <cell r="AN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</row>
        <row r="1715">
          <cell r="C1715" t="str">
            <v>DWG</v>
          </cell>
          <cell r="G1715" t="str">
            <v>Steam Generation Unit</v>
          </cell>
          <cell r="M1715">
            <v>0.09</v>
          </cell>
          <cell r="N1715">
            <v>1.0000000000000002</v>
          </cell>
          <cell r="P1715">
            <v>1.7999999999999999E-2</v>
          </cell>
          <cell r="R1715">
            <v>1.9600000000000006E-2</v>
          </cell>
          <cell r="U1715" t="str">
            <v>.</v>
          </cell>
          <cell r="V1715" t="str">
            <v>.</v>
          </cell>
          <cell r="AG1715" t="str">
            <v>.</v>
          </cell>
          <cell r="AH1715" t="str">
            <v/>
          </cell>
          <cell r="AJ1715" t="str">
            <v/>
          </cell>
          <cell r="AL1715" t="str">
            <v/>
          </cell>
          <cell r="AM1715">
            <v>1.9833333333333335E-2</v>
          </cell>
          <cell r="AN1715">
            <v>3.57E-4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</row>
        <row r="1716">
          <cell r="C1716" t="str">
            <v>DWG</v>
          </cell>
          <cell r="H1716" t="str">
            <v>Boiler pump house/Boiler MCC room</v>
          </cell>
          <cell r="N1716">
            <v>0.2</v>
          </cell>
          <cell r="O1716">
            <v>1</v>
          </cell>
          <cell r="P1716">
            <v>3.5999999999999999E-3</v>
          </cell>
          <cell r="R1716">
            <v>3.3299999999999996E-3</v>
          </cell>
          <cell r="U1716" t="str">
            <v>.</v>
          </cell>
          <cell r="V1716" t="str">
            <v>.</v>
          </cell>
          <cell r="AG1716" t="str">
            <v>.</v>
          </cell>
          <cell r="AH1716" t="str">
            <v/>
          </cell>
          <cell r="AJ1716" t="str">
            <v/>
          </cell>
          <cell r="AL1716" t="str">
            <v/>
          </cell>
          <cell r="AM1716">
            <v>0</v>
          </cell>
          <cell r="AN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</row>
        <row r="1717">
          <cell r="C1717" t="str">
            <v>DWG</v>
          </cell>
          <cell r="H1717" t="str">
            <v>10-10-A1-BL-0001</v>
          </cell>
          <cell r="I1717" t="str">
            <v>Architectural drawings</v>
          </cell>
          <cell r="O1717">
            <v>0.34</v>
          </cell>
          <cell r="P1717">
            <v>1.224E-3</v>
          </cell>
          <cell r="Q1717" t="str">
            <v>V</v>
          </cell>
          <cell r="R1717">
            <v>9.3000000000000005E-4</v>
          </cell>
          <cell r="T1717">
            <v>39436</v>
          </cell>
          <cell r="U1717" t="str">
            <v>*</v>
          </cell>
          <cell r="V1717" t="str">
            <v>2007-12</v>
          </cell>
          <cell r="AM1717">
            <v>0</v>
          </cell>
          <cell r="AN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</row>
        <row r="1718">
          <cell r="C1718" t="str">
            <v>DWG</v>
          </cell>
          <cell r="H1718" t="str">
            <v>10-10-A1-ST-0001</v>
          </cell>
          <cell r="I1718" t="str">
            <v>Structural drawings</v>
          </cell>
          <cell r="O1718">
            <v>0.33</v>
          </cell>
          <cell r="P1718">
            <v>1.188E-3</v>
          </cell>
          <cell r="Q1718" t="str">
            <v>L</v>
          </cell>
          <cell r="R1718">
            <v>1.1999999999999999E-3</v>
          </cell>
          <cell r="T1718">
            <v>39457</v>
          </cell>
          <cell r="V1718" t="str">
            <v>2008-02</v>
          </cell>
          <cell r="AH1718" t="str">
            <v/>
          </cell>
          <cell r="AJ1718" t="str">
            <v/>
          </cell>
          <cell r="AL1718" t="str">
            <v/>
          </cell>
          <cell r="AM1718">
            <v>0</v>
          </cell>
          <cell r="AN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</row>
        <row r="1719">
          <cell r="C1719" t="str">
            <v>DWG</v>
          </cell>
          <cell r="H1719" t="str">
            <v>10-10-CSH-ST-0001</v>
          </cell>
          <cell r="I1719" t="str">
            <v>Calculation Sheet For Boiler pump house/Boiler MCC room</v>
          </cell>
          <cell r="O1719">
            <v>0.33</v>
          </cell>
          <cell r="P1719">
            <v>1.188E-3</v>
          </cell>
          <cell r="Q1719" t="str">
            <v>L</v>
          </cell>
          <cell r="R1719">
            <v>1.1999999999999999E-3</v>
          </cell>
          <cell r="T1719">
            <v>39457</v>
          </cell>
          <cell r="V1719" t="str">
            <v>2008-01</v>
          </cell>
          <cell r="AH1719" t="str">
            <v/>
          </cell>
          <cell r="AJ1719" t="str">
            <v/>
          </cell>
          <cell r="AL1719" t="str">
            <v/>
          </cell>
          <cell r="AM1719">
            <v>0</v>
          </cell>
          <cell r="AN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</row>
        <row r="1720">
          <cell r="C1720" t="str">
            <v>DWG</v>
          </cell>
          <cell r="H1720" t="str">
            <v>Fuel oil (Gasoil) Pump House</v>
          </cell>
          <cell r="N1720">
            <v>0.2</v>
          </cell>
          <cell r="O1720">
            <v>1</v>
          </cell>
          <cell r="P1720">
            <v>3.5999999999999999E-3</v>
          </cell>
          <cell r="R1720">
            <v>1.9300000000000001E-3</v>
          </cell>
          <cell r="U1720" t="str">
            <v>.</v>
          </cell>
          <cell r="V1720" t="str">
            <v>.</v>
          </cell>
          <cell r="AG1720" t="str">
            <v>.</v>
          </cell>
          <cell r="AH1720" t="str">
            <v/>
          </cell>
          <cell r="AJ1720" t="str">
            <v/>
          </cell>
          <cell r="AL1720" t="str">
            <v/>
          </cell>
          <cell r="AM1720">
            <v>0</v>
          </cell>
          <cell r="AN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</row>
        <row r="1721">
          <cell r="C1721" t="str">
            <v>DWG</v>
          </cell>
          <cell r="H1721" t="str">
            <v>10-10-A1-BL-0002</v>
          </cell>
          <cell r="I1721" t="str">
            <v>Architectural drawings</v>
          </cell>
          <cell r="O1721">
            <v>0.34</v>
          </cell>
          <cell r="P1721">
            <v>1.224E-3</v>
          </cell>
          <cell r="Q1721" t="str">
            <v>V</v>
          </cell>
          <cell r="R1721">
            <v>4.2999999999999999E-4</v>
          </cell>
          <cell r="T1721">
            <v>39436</v>
          </cell>
          <cell r="U1721" t="str">
            <v>*</v>
          </cell>
          <cell r="V1721" t="str">
            <v>2007-12</v>
          </cell>
          <cell r="AM1721">
            <v>0</v>
          </cell>
          <cell r="AN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</row>
        <row r="1722">
          <cell r="C1722" t="str">
            <v>DWG</v>
          </cell>
          <cell r="H1722" t="str">
            <v>10-10-A1-ST-0002</v>
          </cell>
          <cell r="I1722" t="str">
            <v>Structural drawings</v>
          </cell>
          <cell r="O1722">
            <v>0.33</v>
          </cell>
          <cell r="P1722">
            <v>1.188E-3</v>
          </cell>
          <cell r="Q1722" t="str">
            <v>L</v>
          </cell>
          <cell r="R1722">
            <v>7.5000000000000002E-4</v>
          </cell>
          <cell r="T1722">
            <v>39457</v>
          </cell>
          <cell r="V1722" t="str">
            <v>2008-01</v>
          </cell>
          <cell r="AH1722" t="str">
            <v/>
          </cell>
          <cell r="AJ1722" t="str">
            <v/>
          </cell>
          <cell r="AL1722" t="str">
            <v/>
          </cell>
          <cell r="AM1722">
            <v>0</v>
          </cell>
          <cell r="AN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</row>
        <row r="1723">
          <cell r="C1723" t="str">
            <v>DWG</v>
          </cell>
          <cell r="H1723" t="str">
            <v>10-10-CSH-ST-0002</v>
          </cell>
          <cell r="I1723" t="str">
            <v>Calculation Sheet For Fuel oil (Gasoil) Pump House</v>
          </cell>
          <cell r="O1723">
            <v>0.33</v>
          </cell>
          <cell r="P1723">
            <v>1.188E-3</v>
          </cell>
          <cell r="Q1723" t="str">
            <v>V</v>
          </cell>
          <cell r="R1723">
            <v>7.5000000000000002E-4</v>
          </cell>
          <cell r="T1723">
            <v>39432</v>
          </cell>
          <cell r="U1723" t="str">
            <v>*</v>
          </cell>
          <cell r="V1723" t="str">
            <v>2007-12</v>
          </cell>
          <cell r="AH1723" t="str">
            <v/>
          </cell>
          <cell r="AJ1723" t="str">
            <v/>
          </cell>
          <cell r="AL1723" t="str">
            <v/>
          </cell>
          <cell r="AM1723">
            <v>0</v>
          </cell>
          <cell r="AN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</row>
        <row r="1724">
          <cell r="C1724" t="str">
            <v>DWG</v>
          </cell>
          <cell r="H1724" t="str">
            <v>Equipment Foundations</v>
          </cell>
          <cell r="N1724">
            <v>0.2</v>
          </cell>
          <cell r="O1724">
            <v>1.0000000000000004</v>
          </cell>
          <cell r="P1724">
            <v>3.5999999999999999E-3</v>
          </cell>
          <cell r="R1724">
            <v>1.1440000000000006E-2</v>
          </cell>
          <cell r="U1724" t="str">
            <v>.</v>
          </cell>
          <cell r="V1724" t="str">
            <v>.</v>
          </cell>
          <cell r="AG1724" t="str">
            <v>.</v>
          </cell>
          <cell r="AH1724" t="str">
            <v/>
          </cell>
          <cell r="AJ1724" t="str">
            <v/>
          </cell>
          <cell r="AL1724" t="str">
            <v/>
          </cell>
          <cell r="AM1724">
            <v>0</v>
          </cell>
          <cell r="AN1724">
            <v>3.57E-4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</row>
        <row r="1725">
          <cell r="C1725" t="str">
            <v>DWG</v>
          </cell>
          <cell r="H1725" t="str">
            <v>10-10-A1-ST-0003</v>
          </cell>
          <cell r="I1725" t="str">
            <v>HPS Boiler A foundation plan &amp; details</v>
          </cell>
          <cell r="O1725">
            <v>2.5000000000000001E-2</v>
          </cell>
          <cell r="P1725">
            <v>9.0000000000000006E-5</v>
          </cell>
          <cell r="Q1725" t="str">
            <v>V</v>
          </cell>
          <cell r="R1725">
            <v>3.4000000000000002E-4</v>
          </cell>
          <cell r="T1725">
            <v>39434</v>
          </cell>
          <cell r="U1725" t="str">
            <v>*</v>
          </cell>
          <cell r="V1725" t="str">
            <v>2007-12</v>
          </cell>
          <cell r="AH1725" t="str">
            <v/>
          </cell>
          <cell r="AJ1725" t="str">
            <v/>
          </cell>
          <cell r="AL1725" t="str">
            <v/>
          </cell>
          <cell r="AM1725">
            <v>0</v>
          </cell>
          <cell r="AN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</row>
        <row r="1726">
          <cell r="C1726" t="str">
            <v>DWG</v>
          </cell>
          <cell r="H1726" t="str">
            <v>10-10-CSH-ST-0003</v>
          </cell>
          <cell r="I1726" t="str">
            <v>Calculation Sheet For HPS Boiler A foundation</v>
          </cell>
          <cell r="O1726">
            <v>2.5000000000000001E-2</v>
          </cell>
          <cell r="P1726">
            <v>9.0000000000000006E-5</v>
          </cell>
          <cell r="Q1726" t="str">
            <v>V</v>
          </cell>
          <cell r="R1726">
            <v>3.4000000000000002E-4</v>
          </cell>
          <cell r="T1726">
            <v>39436</v>
          </cell>
          <cell r="U1726" t="str">
            <v>*</v>
          </cell>
          <cell r="V1726" t="str">
            <v>2007-12</v>
          </cell>
          <cell r="AH1726" t="str">
            <v/>
          </cell>
          <cell r="AJ1726" t="str">
            <v/>
          </cell>
          <cell r="AL1726" t="str">
            <v/>
          </cell>
          <cell r="AM1726">
            <v>0</v>
          </cell>
          <cell r="AN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</row>
        <row r="1727">
          <cell r="C1727" t="str">
            <v>DWG</v>
          </cell>
          <cell r="H1727" t="str">
            <v>10-10-A1-ST-0004</v>
          </cell>
          <cell r="I1727" t="str">
            <v>HPS Boiler B foundation plan &amp; details</v>
          </cell>
          <cell r="O1727">
            <v>2.5000000000000001E-2</v>
          </cell>
          <cell r="P1727">
            <v>9.0000000000000006E-5</v>
          </cell>
          <cell r="Q1727" t="str">
            <v>V</v>
          </cell>
          <cell r="R1727">
            <v>3.4000000000000002E-4</v>
          </cell>
          <cell r="T1727">
            <v>39438</v>
          </cell>
          <cell r="U1727" t="str">
            <v>*</v>
          </cell>
          <cell r="V1727" t="str">
            <v>2007-12</v>
          </cell>
          <cell r="AH1727" t="str">
            <v/>
          </cell>
          <cell r="AJ1727" t="str">
            <v/>
          </cell>
          <cell r="AL1727" t="str">
            <v/>
          </cell>
          <cell r="AM1727">
            <v>0</v>
          </cell>
          <cell r="AN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</row>
        <row r="1728">
          <cell r="C1728" t="str">
            <v>DWG</v>
          </cell>
          <cell r="H1728" t="str">
            <v>10-10-CSH-ST-0004</v>
          </cell>
          <cell r="I1728" t="str">
            <v>Calculation Sheet For HPS Boiler B foundation</v>
          </cell>
          <cell r="O1728">
            <v>2.5000000000000001E-2</v>
          </cell>
          <cell r="P1728">
            <v>9.0000000000000006E-5</v>
          </cell>
          <cell r="Q1728" t="str">
            <v>V</v>
          </cell>
          <cell r="R1728">
            <v>3.4000000000000002E-4</v>
          </cell>
          <cell r="T1728">
            <v>39440</v>
          </cell>
          <cell r="U1728" t="str">
            <v>*</v>
          </cell>
          <cell r="V1728" t="str">
            <v>2007-12</v>
          </cell>
          <cell r="AH1728" t="str">
            <v/>
          </cell>
          <cell r="AJ1728" t="str">
            <v/>
          </cell>
          <cell r="AL1728" t="str">
            <v/>
          </cell>
          <cell r="AM1728">
            <v>0</v>
          </cell>
          <cell r="AN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</row>
        <row r="1729">
          <cell r="C1729" t="str">
            <v>DWG</v>
          </cell>
          <cell r="H1729" t="str">
            <v>10-10-A1-ST-0005</v>
          </cell>
          <cell r="I1729" t="str">
            <v>HHPS Boiler foundation plan &amp; details</v>
          </cell>
          <cell r="O1729">
            <v>2.5000000000000001E-2</v>
          </cell>
          <cell r="P1729">
            <v>9.0000000000000006E-5</v>
          </cell>
          <cell r="Q1729" t="str">
            <v>V</v>
          </cell>
          <cell r="R1729">
            <v>2.5000000000000001E-4</v>
          </cell>
          <cell r="T1729">
            <v>39442</v>
          </cell>
          <cell r="U1729" t="str">
            <v>*</v>
          </cell>
          <cell r="V1729" t="str">
            <v>2007-12</v>
          </cell>
          <cell r="AH1729" t="str">
            <v/>
          </cell>
          <cell r="AJ1729" t="str">
            <v/>
          </cell>
          <cell r="AL1729" t="str">
            <v/>
          </cell>
          <cell r="AM1729">
            <v>0</v>
          </cell>
          <cell r="AN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</row>
        <row r="1730">
          <cell r="C1730" t="str">
            <v>DWG</v>
          </cell>
          <cell r="H1730" t="str">
            <v>10-10-CSH-ST-0005</v>
          </cell>
          <cell r="I1730" t="str">
            <v>Calculation Sheet For HHPS Boiler foundation</v>
          </cell>
          <cell r="O1730">
            <v>2.5000000000000001E-2</v>
          </cell>
          <cell r="P1730">
            <v>9.0000000000000006E-5</v>
          </cell>
          <cell r="Q1730" t="str">
            <v>V</v>
          </cell>
          <cell r="R1730">
            <v>2.5000000000000001E-4</v>
          </cell>
          <cell r="T1730">
            <v>39444</v>
          </cell>
          <cell r="U1730" t="str">
            <v>*</v>
          </cell>
          <cell r="V1730" t="str">
            <v>2007-12</v>
          </cell>
          <cell r="AH1730" t="str">
            <v/>
          </cell>
          <cell r="AJ1730" t="str">
            <v/>
          </cell>
          <cell r="AL1730" t="str">
            <v/>
          </cell>
          <cell r="AM1730">
            <v>0</v>
          </cell>
          <cell r="AN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</row>
        <row r="1731">
          <cell r="C1731" t="str">
            <v>DWG</v>
          </cell>
          <cell r="H1731" t="str">
            <v>10-10-A1-ST-0006</v>
          </cell>
          <cell r="I1731" t="str">
            <v>BFW pumps for HPS (A/B/C) foundation plan &amp; details</v>
          </cell>
          <cell r="O1731">
            <v>2.5000000000000001E-2</v>
          </cell>
          <cell r="P1731">
            <v>9.0000000000000006E-5</v>
          </cell>
          <cell r="Q1731" t="str">
            <v>V</v>
          </cell>
          <cell r="R1731">
            <v>2.5000000000000001E-4</v>
          </cell>
          <cell r="T1731">
            <v>39446</v>
          </cell>
          <cell r="U1731" t="str">
            <v>*</v>
          </cell>
          <cell r="V1731" t="str">
            <v>2007-12</v>
          </cell>
          <cell r="AH1731" t="str">
            <v/>
          </cell>
          <cell r="AJ1731" t="str">
            <v/>
          </cell>
          <cell r="AL1731" t="str">
            <v/>
          </cell>
          <cell r="AM1731">
            <v>0</v>
          </cell>
          <cell r="AN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</row>
        <row r="1732">
          <cell r="C1732" t="str">
            <v>DWG</v>
          </cell>
          <cell r="H1732" t="str">
            <v>10-10-CSH-ST-0006</v>
          </cell>
          <cell r="I1732" t="str">
            <v>Calculation Sheet For BFW pumps for HPS (A/B/C) foundation</v>
          </cell>
          <cell r="O1732">
            <v>2.5000000000000001E-2</v>
          </cell>
          <cell r="P1732">
            <v>9.0000000000000006E-5</v>
          </cell>
          <cell r="Q1732" t="str">
            <v>L</v>
          </cell>
          <cell r="R1732">
            <v>2.5000000000000001E-4</v>
          </cell>
          <cell r="T1732">
            <v>39448</v>
          </cell>
          <cell r="V1732" t="str">
            <v>2008-01</v>
          </cell>
          <cell r="AH1732" t="str">
            <v/>
          </cell>
          <cell r="AJ1732" t="str">
            <v/>
          </cell>
          <cell r="AL1732" t="str">
            <v/>
          </cell>
          <cell r="AM1732">
            <v>0</v>
          </cell>
          <cell r="AN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</row>
        <row r="1733">
          <cell r="C1733" t="str">
            <v>DWG</v>
          </cell>
          <cell r="H1733" t="str">
            <v>10-10-A1-ST-0007</v>
          </cell>
          <cell r="I1733" t="str">
            <v>BFW pumps for HHPS (A/B) foundation plan &amp; details</v>
          </cell>
          <cell r="O1733">
            <v>2.5000000000000001E-2</v>
          </cell>
          <cell r="P1733">
            <v>9.0000000000000006E-5</v>
          </cell>
          <cell r="Q1733" t="str">
            <v>L</v>
          </cell>
          <cell r="R1733">
            <v>2.5000000000000001E-4</v>
          </cell>
          <cell r="T1733">
            <v>39450</v>
          </cell>
          <cell r="V1733" t="str">
            <v>2008-01</v>
          </cell>
          <cell r="AH1733" t="str">
            <v/>
          </cell>
          <cell r="AJ1733" t="str">
            <v/>
          </cell>
          <cell r="AL1733" t="str">
            <v/>
          </cell>
          <cell r="AM1733">
            <v>0</v>
          </cell>
          <cell r="AN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</row>
        <row r="1734">
          <cell r="C1734" t="str">
            <v>DWG</v>
          </cell>
          <cell r="H1734" t="str">
            <v>10-10-CSH-ST-0007</v>
          </cell>
          <cell r="I1734" t="str">
            <v xml:space="preserve">Calculation Sheet For BFW pumps for HHPS (A/B) foundation </v>
          </cell>
          <cell r="O1734">
            <v>2.5000000000000001E-2</v>
          </cell>
          <cell r="P1734">
            <v>9.0000000000000006E-5</v>
          </cell>
          <cell r="Q1734" t="str">
            <v>L</v>
          </cell>
          <cell r="R1734">
            <v>2.5000000000000001E-4</v>
          </cell>
          <cell r="T1734">
            <v>39450</v>
          </cell>
          <cell r="V1734" t="str">
            <v>2008-01</v>
          </cell>
          <cell r="AH1734" t="str">
            <v/>
          </cell>
          <cell r="AJ1734" t="str">
            <v/>
          </cell>
          <cell r="AL1734" t="str">
            <v/>
          </cell>
          <cell r="AM1734">
            <v>0</v>
          </cell>
          <cell r="AN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</row>
        <row r="1735">
          <cell r="C1735" t="str">
            <v>DWG</v>
          </cell>
          <cell r="H1735" t="str">
            <v>10-10-A1-ST-0008</v>
          </cell>
          <cell r="I1735" t="str">
            <v>Phosphate chemical dosing Tank foundation plan &amp; details</v>
          </cell>
          <cell r="O1735">
            <v>2.5000000000000001E-2</v>
          </cell>
          <cell r="P1735">
            <v>9.0000000000000006E-5</v>
          </cell>
          <cell r="Q1735" t="str">
            <v>L</v>
          </cell>
          <cell r="R1735">
            <v>3.4000000000000002E-4</v>
          </cell>
          <cell r="T1735">
            <v>39451</v>
          </cell>
          <cell r="V1735" t="str">
            <v>2008-01</v>
          </cell>
          <cell r="AM1735">
            <v>0</v>
          </cell>
          <cell r="AN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</row>
        <row r="1736">
          <cell r="C1736" t="str">
            <v>CLS</v>
          </cell>
          <cell r="H1736" t="str">
            <v>10-10-CSH-ST-0008</v>
          </cell>
          <cell r="I1736" t="str">
            <v xml:space="preserve">Calculation Sheet For Phosphate chemical dosing Tank foundation </v>
          </cell>
          <cell r="O1736">
            <v>2.5000000000000001E-2</v>
          </cell>
          <cell r="P1736">
            <v>9.0000000000000006E-5</v>
          </cell>
          <cell r="Q1736" t="str">
            <v>L</v>
          </cell>
          <cell r="R1736">
            <v>3.4000000000000002E-4</v>
          </cell>
          <cell r="T1736">
            <v>39453</v>
          </cell>
          <cell r="V1736" t="str">
            <v>2008-01</v>
          </cell>
          <cell r="AM1736">
            <v>0</v>
          </cell>
          <cell r="AN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</row>
        <row r="1737">
          <cell r="C1737" t="str">
            <v>DWG</v>
          </cell>
          <cell r="H1737" t="str">
            <v>10-10-A1-ST-0009</v>
          </cell>
          <cell r="I1737" t="str">
            <v>Morpholin Chemical Dosing Tank foundation plan &amp; details</v>
          </cell>
          <cell r="O1737">
            <v>2.5000000000000001E-2</v>
          </cell>
          <cell r="P1737">
            <v>9.0000000000000006E-5</v>
          </cell>
          <cell r="Q1737" t="str">
            <v>L</v>
          </cell>
          <cell r="R1737">
            <v>3.4000000000000002E-4</v>
          </cell>
          <cell r="T1737">
            <v>39454</v>
          </cell>
          <cell r="V1737" t="str">
            <v>2008-01</v>
          </cell>
          <cell r="AM1737">
            <v>0</v>
          </cell>
          <cell r="AN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</row>
        <row r="1738">
          <cell r="C1738" t="str">
            <v>CLS</v>
          </cell>
          <cell r="H1738" t="str">
            <v>10-10-CSH-ST-0009</v>
          </cell>
          <cell r="I1738" t="str">
            <v>Calculation Sheet For Morpholin Chemical Dosing Tank foundation</v>
          </cell>
          <cell r="O1738">
            <v>2.5000000000000001E-2</v>
          </cell>
          <cell r="P1738">
            <v>9.0000000000000006E-5</v>
          </cell>
          <cell r="Q1738" t="str">
            <v>L</v>
          </cell>
          <cell r="R1738">
            <v>3.4000000000000002E-4</v>
          </cell>
          <cell r="T1738">
            <v>39455</v>
          </cell>
          <cell r="V1738" t="str">
            <v>2008-01</v>
          </cell>
          <cell r="AM1738">
            <v>0</v>
          </cell>
          <cell r="AN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</row>
        <row r="1739">
          <cell r="C1739" t="str">
            <v>DWG</v>
          </cell>
          <cell r="H1739" t="str">
            <v>10-10-A1-ST-0010</v>
          </cell>
          <cell r="I1739" t="str">
            <v>Hydrazin Chemical Dosing Tank foundation plan &amp; details</v>
          </cell>
          <cell r="O1739">
            <v>2.5000000000000001E-2</v>
          </cell>
          <cell r="P1739">
            <v>9.0000000000000006E-5</v>
          </cell>
          <cell r="Q1739" t="str">
            <v>L</v>
          </cell>
          <cell r="R1739">
            <v>2.5000000000000001E-4</v>
          </cell>
          <cell r="T1739">
            <v>39457</v>
          </cell>
          <cell r="V1739" t="str">
            <v>2008-01</v>
          </cell>
          <cell r="AM1739">
            <v>0</v>
          </cell>
          <cell r="AN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</row>
        <row r="1740">
          <cell r="C1740" t="str">
            <v>CLS</v>
          </cell>
          <cell r="H1740" t="str">
            <v>10-10-CSH-ST-0010</v>
          </cell>
          <cell r="I1740" t="str">
            <v>Calculation Sheet For .Hydrazin Chemical Dosing Tank foundation</v>
          </cell>
          <cell r="O1740">
            <v>2.5000000000000001E-2</v>
          </cell>
          <cell r="P1740">
            <v>9.0000000000000006E-5</v>
          </cell>
          <cell r="Q1740" t="str">
            <v>L</v>
          </cell>
          <cell r="R1740">
            <v>2.5000000000000001E-4</v>
          </cell>
          <cell r="T1740">
            <v>39458</v>
          </cell>
          <cell r="V1740" t="str">
            <v>2008-01</v>
          </cell>
          <cell r="AM1740">
            <v>0</v>
          </cell>
          <cell r="AN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</row>
        <row r="1741">
          <cell r="C1741" t="str">
            <v>DWG</v>
          </cell>
          <cell r="H1741" t="str">
            <v>10-10-A1-ST-0011</v>
          </cell>
          <cell r="I1741" t="str">
            <v>Phosphate chemical dosing Pumps (A/B/C/D/E/F) foundation plan &amp; details</v>
          </cell>
          <cell r="O1741">
            <v>2.5000000000000001E-2</v>
          </cell>
          <cell r="P1741">
            <v>9.0000000000000006E-5</v>
          </cell>
          <cell r="Q1741" t="str">
            <v>L</v>
          </cell>
          <cell r="R1741">
            <v>3.4000000000000002E-4</v>
          </cell>
          <cell r="T1741">
            <v>39459</v>
          </cell>
          <cell r="V1741" t="str">
            <v>2008-01</v>
          </cell>
          <cell r="AM1741">
            <v>0</v>
          </cell>
          <cell r="AN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</row>
        <row r="1742">
          <cell r="C1742" t="str">
            <v>CLS</v>
          </cell>
          <cell r="H1742" t="str">
            <v>10-10-CSH-ST-0011</v>
          </cell>
          <cell r="I1742" t="str">
            <v>Calculation Sheet For Phosphate chemical dosing Pumps (A/B/C/D/E/F) foundation</v>
          </cell>
          <cell r="O1742">
            <v>2.5000000000000001E-2</v>
          </cell>
          <cell r="P1742">
            <v>9.0000000000000006E-5</v>
          </cell>
          <cell r="Q1742" t="str">
            <v>L</v>
          </cell>
          <cell r="R1742">
            <v>3.4000000000000002E-4</v>
          </cell>
          <cell r="T1742">
            <v>39460</v>
          </cell>
          <cell r="V1742" t="str">
            <v>2008-01</v>
          </cell>
          <cell r="AM1742">
            <v>0</v>
          </cell>
          <cell r="AN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</row>
        <row r="1743">
          <cell r="C1743" t="str">
            <v>DWG</v>
          </cell>
          <cell r="H1743" t="str">
            <v>10-10-A1-ST-0012</v>
          </cell>
          <cell r="I1743" t="str">
            <v>Morpholin Chemical Dosing Pumps (A/B/C/D/E/F) foundation plan &amp; details</v>
          </cell>
          <cell r="O1743">
            <v>2.5000000000000001E-2</v>
          </cell>
          <cell r="P1743">
            <v>9.0000000000000006E-5</v>
          </cell>
          <cell r="Q1743" t="str">
            <v>L</v>
          </cell>
          <cell r="R1743">
            <v>3.4000000000000002E-4</v>
          </cell>
          <cell r="T1743">
            <v>39461</v>
          </cell>
          <cell r="V1743" t="str">
            <v>2008-01</v>
          </cell>
          <cell r="AM1743">
            <v>0</v>
          </cell>
          <cell r="AN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</row>
        <row r="1744">
          <cell r="C1744" t="str">
            <v>CLS</v>
          </cell>
          <cell r="H1744" t="str">
            <v>10-10-CSH-ST-0012</v>
          </cell>
          <cell r="I1744" t="str">
            <v xml:space="preserve">Calculation Sheet For Morpholin Chemical Dosing Pumps (A/B/C/D/E/F) foundation </v>
          </cell>
          <cell r="O1744">
            <v>2.5000000000000001E-2</v>
          </cell>
          <cell r="P1744">
            <v>9.0000000000000006E-5</v>
          </cell>
          <cell r="Q1744" t="str">
            <v>L</v>
          </cell>
          <cell r="R1744">
            <v>3.4000000000000002E-4</v>
          </cell>
          <cell r="T1744">
            <v>39461</v>
          </cell>
          <cell r="V1744" t="str">
            <v>2008-01</v>
          </cell>
          <cell r="AM1744">
            <v>0</v>
          </cell>
          <cell r="AN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</row>
        <row r="1745">
          <cell r="C1745" t="str">
            <v>DWG</v>
          </cell>
          <cell r="H1745" t="str">
            <v>10-10-A1-ST-0013</v>
          </cell>
          <cell r="I1745" t="str">
            <v>Hydrazin Chemical Dosing  Pumps (A/B) foundation plan &amp; details</v>
          </cell>
          <cell r="O1745">
            <v>2.5000000000000001E-2</v>
          </cell>
          <cell r="P1745">
            <v>9.0000000000000006E-5</v>
          </cell>
          <cell r="Q1745" t="str">
            <v>L</v>
          </cell>
          <cell r="R1745">
            <v>2.5000000000000001E-4</v>
          </cell>
          <cell r="T1745">
            <v>39462</v>
          </cell>
          <cell r="V1745" t="str">
            <v>2008-01</v>
          </cell>
          <cell r="AM1745">
            <v>0</v>
          </cell>
          <cell r="AN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</row>
        <row r="1746">
          <cell r="C1746" t="str">
            <v>CLS</v>
          </cell>
          <cell r="H1746" t="str">
            <v>10-10-CSH-ST-0013</v>
          </cell>
          <cell r="I1746" t="str">
            <v>Calculation Sheet For Hydrazin Chemical Dosing  Pumps (A/B) foundation</v>
          </cell>
          <cell r="O1746">
            <v>2.5000000000000001E-2</v>
          </cell>
          <cell r="P1746">
            <v>9.0000000000000006E-5</v>
          </cell>
          <cell r="Q1746" t="str">
            <v>L</v>
          </cell>
          <cell r="R1746">
            <v>2.5000000000000001E-4</v>
          </cell>
          <cell r="T1746">
            <v>39463</v>
          </cell>
          <cell r="V1746" t="str">
            <v>2008-01</v>
          </cell>
          <cell r="AM1746">
            <v>0</v>
          </cell>
          <cell r="AN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</row>
        <row r="1747">
          <cell r="C1747" t="str">
            <v>DWG</v>
          </cell>
          <cell r="H1747" t="str">
            <v>10-10-A1-ST-0014</v>
          </cell>
          <cell r="I1747" t="str">
            <v>Intermitent Blowdown Tank foundation plan &amp; details</v>
          </cell>
          <cell r="O1747">
            <v>2.5000000000000001E-2</v>
          </cell>
          <cell r="P1747">
            <v>9.0000000000000006E-5</v>
          </cell>
          <cell r="Q1747" t="str">
            <v>L</v>
          </cell>
          <cell r="R1747">
            <v>2.5000000000000001E-4</v>
          </cell>
          <cell r="T1747">
            <v>39464</v>
          </cell>
          <cell r="V1747" t="str">
            <v>2008-01</v>
          </cell>
          <cell r="AM1747">
            <v>0</v>
          </cell>
          <cell r="AN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</row>
        <row r="1748">
          <cell r="C1748" t="str">
            <v>CLS</v>
          </cell>
          <cell r="H1748" t="str">
            <v>10-10-CSH-ST-0014</v>
          </cell>
          <cell r="I1748" t="str">
            <v>Calculation Sheet For  Intermitent Blowdown Tank foundation</v>
          </cell>
          <cell r="O1748">
            <v>2.5000000000000001E-2</v>
          </cell>
          <cell r="P1748">
            <v>9.0000000000000006E-5</v>
          </cell>
          <cell r="Q1748" t="str">
            <v>L</v>
          </cell>
          <cell r="R1748">
            <v>2.5000000000000001E-4</v>
          </cell>
          <cell r="T1748">
            <v>39465</v>
          </cell>
          <cell r="V1748" t="str">
            <v>2008-01</v>
          </cell>
          <cell r="AM1748">
            <v>0</v>
          </cell>
          <cell r="AN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</row>
        <row r="1749">
          <cell r="C1749" t="str">
            <v>CLS</v>
          </cell>
          <cell r="H1749" t="str">
            <v>10-10-A1-ST-0015</v>
          </cell>
          <cell r="I1749" t="str">
            <v>Continuous Blowdown Tank foundation plan &amp; details</v>
          </cell>
          <cell r="O1749">
            <v>2.5000000000000001E-2</v>
          </cell>
          <cell r="P1749">
            <v>9.0000000000000006E-5</v>
          </cell>
          <cell r="Q1749" t="str">
            <v>L</v>
          </cell>
          <cell r="R1749">
            <v>2.5000000000000001E-4</v>
          </cell>
          <cell r="T1749">
            <v>39466</v>
          </cell>
          <cell r="V1749" t="str">
            <v>2008-01</v>
          </cell>
          <cell r="AM1749">
            <v>0</v>
          </cell>
          <cell r="AN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</row>
        <row r="1750">
          <cell r="C1750" t="str">
            <v>CLS</v>
          </cell>
          <cell r="H1750" t="str">
            <v>10-10-CSH-ST-0015</v>
          </cell>
          <cell r="I1750" t="str">
            <v xml:space="preserve">Calculation Sheet For Continuous Blowdown Tank foundation </v>
          </cell>
          <cell r="O1750">
            <v>2.5000000000000001E-2</v>
          </cell>
          <cell r="P1750">
            <v>9.0000000000000006E-5</v>
          </cell>
          <cell r="Q1750" t="str">
            <v>L</v>
          </cell>
          <cell r="R1750">
            <v>2.5000000000000001E-4</v>
          </cell>
          <cell r="T1750">
            <v>39466</v>
          </cell>
          <cell r="V1750" t="str">
            <v>2008-01</v>
          </cell>
          <cell r="AM1750">
            <v>0</v>
          </cell>
          <cell r="AN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</row>
        <row r="1751">
          <cell r="C1751" t="str">
            <v>DWG</v>
          </cell>
          <cell r="H1751" t="str">
            <v>10-10-A1-ST-0016</v>
          </cell>
          <cell r="I1751" t="str">
            <v>Steam Deaerator steel Structure foundation plan &amp; details</v>
          </cell>
          <cell r="O1751">
            <v>2.5000000000000001E-2</v>
          </cell>
          <cell r="P1751">
            <v>9.0000000000000006E-5</v>
          </cell>
          <cell r="Q1751" t="str">
            <v>L</v>
          </cell>
          <cell r="R1751">
            <v>3.4000000000000002E-4</v>
          </cell>
          <cell r="T1751">
            <v>39467</v>
          </cell>
          <cell r="V1751" t="str">
            <v>2008-01</v>
          </cell>
          <cell r="AM1751">
            <v>0</v>
          </cell>
          <cell r="AN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</row>
        <row r="1752">
          <cell r="C1752" t="str">
            <v>CLS</v>
          </cell>
          <cell r="H1752" t="str">
            <v>10-10-CSH-ST-0016</v>
          </cell>
          <cell r="I1752" t="str">
            <v xml:space="preserve">Calculation Sheet For Steam Deaerator steel Structure foundation </v>
          </cell>
          <cell r="O1752">
            <v>2.5000000000000001E-2</v>
          </cell>
          <cell r="P1752">
            <v>9.0000000000000006E-5</v>
          </cell>
          <cell r="Q1752" t="str">
            <v>L</v>
          </cell>
          <cell r="R1752">
            <v>3.4000000000000002E-4</v>
          </cell>
          <cell r="T1752">
            <v>39468</v>
          </cell>
          <cell r="V1752" t="str">
            <v>2008-01</v>
          </cell>
          <cell r="AM1752">
            <v>0</v>
          </cell>
          <cell r="AN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</row>
        <row r="1753">
          <cell r="C1753" t="str">
            <v>DWG</v>
          </cell>
          <cell r="H1753" t="str">
            <v>10-10-A1-ST-0017</v>
          </cell>
          <cell r="I1753" t="str">
            <v>Stack HHPS Boiler foundation plan &amp; details</v>
          </cell>
          <cell r="O1753">
            <v>2.5000000000000001E-2</v>
          </cell>
          <cell r="P1753">
            <v>9.0000000000000006E-5</v>
          </cell>
          <cell r="Q1753" t="str">
            <v>L</v>
          </cell>
          <cell r="R1753">
            <v>2.5000000000000001E-4</v>
          </cell>
          <cell r="T1753">
            <v>39469</v>
          </cell>
          <cell r="V1753" t="str">
            <v>2008-01</v>
          </cell>
          <cell r="AM1753">
            <v>0</v>
          </cell>
          <cell r="AN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</row>
        <row r="1754">
          <cell r="C1754" t="str">
            <v>CLS</v>
          </cell>
          <cell r="H1754" t="str">
            <v>10-10-CSH-ST-0017</v>
          </cell>
          <cell r="I1754" t="str">
            <v>Calculation Sheet For Stack HHPS Boiler foundation</v>
          </cell>
          <cell r="O1754">
            <v>2.5000000000000001E-2</v>
          </cell>
          <cell r="P1754">
            <v>9.0000000000000006E-5</v>
          </cell>
          <cell r="Q1754" t="str">
            <v>L</v>
          </cell>
          <cell r="R1754">
            <v>2.5000000000000001E-4</v>
          </cell>
          <cell r="T1754">
            <v>39470</v>
          </cell>
          <cell r="V1754" t="str">
            <v>2008-01</v>
          </cell>
          <cell r="AM1754">
            <v>0</v>
          </cell>
          <cell r="AN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</row>
        <row r="1755">
          <cell r="C1755" t="str">
            <v>DWG</v>
          </cell>
          <cell r="H1755" t="str">
            <v>10-10-A1-ST-0018</v>
          </cell>
          <cell r="I1755" t="str">
            <v>Stack HPS Boiler A foundation plan &amp; details</v>
          </cell>
          <cell r="O1755">
            <v>2.5000000000000001E-2</v>
          </cell>
          <cell r="P1755">
            <v>9.0000000000000006E-5</v>
          </cell>
          <cell r="Q1755" t="str">
            <v>L</v>
          </cell>
          <cell r="R1755">
            <v>2.5000000000000001E-4</v>
          </cell>
          <cell r="T1755">
            <v>39471</v>
          </cell>
          <cell r="V1755" t="str">
            <v>2008-01</v>
          </cell>
          <cell r="AM1755">
            <v>0</v>
          </cell>
          <cell r="AN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</row>
        <row r="1756">
          <cell r="C1756" t="str">
            <v>CLS</v>
          </cell>
          <cell r="H1756" t="str">
            <v>10-10-CSH-ST-0018</v>
          </cell>
          <cell r="I1756" t="str">
            <v>Calculation Sheet For Stack HPS Boiler A foundation</v>
          </cell>
          <cell r="O1756">
            <v>2.5000000000000001E-2</v>
          </cell>
          <cell r="P1756">
            <v>9.0000000000000006E-5</v>
          </cell>
          <cell r="Q1756" t="str">
            <v>L</v>
          </cell>
          <cell r="R1756">
            <v>2.5000000000000001E-4</v>
          </cell>
          <cell r="T1756">
            <v>39472</v>
          </cell>
          <cell r="V1756" t="str">
            <v>2008-01</v>
          </cell>
          <cell r="AM1756">
            <v>0</v>
          </cell>
          <cell r="AN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</row>
        <row r="1757">
          <cell r="C1757" t="str">
            <v>DWG</v>
          </cell>
          <cell r="H1757" t="str">
            <v>10-10-A1-ST-0019</v>
          </cell>
          <cell r="I1757" t="str">
            <v>Stack HPS Boiler B foundation plan &amp; details</v>
          </cell>
          <cell r="O1757">
            <v>2.5000000000000001E-2</v>
          </cell>
          <cell r="P1757">
            <v>9.0000000000000006E-5</v>
          </cell>
          <cell r="Q1757" t="str">
            <v>L</v>
          </cell>
          <cell r="R1757">
            <v>2.5000000000000001E-4</v>
          </cell>
          <cell r="T1757">
            <v>39473</v>
          </cell>
          <cell r="V1757" t="str">
            <v>2008-01</v>
          </cell>
          <cell r="AM1757">
            <v>0</v>
          </cell>
          <cell r="AN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</row>
        <row r="1758">
          <cell r="C1758" t="str">
            <v>CLS</v>
          </cell>
          <cell r="H1758" t="str">
            <v>10-10-CSH-ST-0019</v>
          </cell>
          <cell r="I1758" t="str">
            <v>Calculation Sheet For Stack HPS Boiler B foundation</v>
          </cell>
          <cell r="O1758">
            <v>2.5000000000000001E-2</v>
          </cell>
          <cell r="P1758">
            <v>9.0000000000000006E-5</v>
          </cell>
          <cell r="Q1758" t="str">
            <v>L</v>
          </cell>
          <cell r="R1758">
            <v>2.5000000000000001E-4</v>
          </cell>
          <cell r="T1758">
            <v>39474</v>
          </cell>
          <cell r="V1758" t="str">
            <v>2008-01</v>
          </cell>
          <cell r="AM1758">
            <v>0</v>
          </cell>
          <cell r="AN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</row>
        <row r="1759">
          <cell r="C1759" t="str">
            <v>DWG</v>
          </cell>
          <cell r="H1759" t="str">
            <v>10-10-A1-ST-0020</v>
          </cell>
          <cell r="I1759" t="str">
            <v>Fuel oil Storage Tank (1*3000 m3) foundation plan &amp; details</v>
          </cell>
          <cell r="O1759">
            <v>2.5000000000000001E-2</v>
          </cell>
          <cell r="P1759">
            <v>9.0000000000000006E-5</v>
          </cell>
          <cell r="R1759">
            <v>3.4000000000000002E-4</v>
          </cell>
          <cell r="V1759" t="str">
            <v>ارسال شده</v>
          </cell>
          <cell r="W1759">
            <v>0</v>
          </cell>
          <cell r="X1759">
            <v>275</v>
          </cell>
          <cell r="Y1759" t="str">
            <v>05-11-07</v>
          </cell>
          <cell r="Z1759" t="str">
            <v>F-0455</v>
          </cell>
          <cell r="AA1759" t="str">
            <v>05-12-07</v>
          </cell>
          <cell r="AG1759" t="str">
            <v>GBT</v>
          </cell>
          <cell r="AH1759" t="str">
            <v>x</v>
          </cell>
          <cell r="AM1759">
            <v>0.45</v>
          </cell>
          <cell r="AN1759">
            <v>1.5300000000000001E-4</v>
          </cell>
          <cell r="AQ1759">
            <v>4.0500000000000002E-5</v>
          </cell>
          <cell r="AR1759">
            <v>1.5300000000000001E-4</v>
          </cell>
          <cell r="AS1759">
            <v>45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45</v>
          </cell>
        </row>
        <row r="1760">
          <cell r="C1760" t="str">
            <v>CLS</v>
          </cell>
          <cell r="H1760" t="str">
            <v>10-10-CSH-ST-0020</v>
          </cell>
          <cell r="I1760" t="str">
            <v xml:space="preserve">Calculation Sheet For Fuel oil Storage Tank (1*3000 m3) foundation </v>
          </cell>
          <cell r="O1760">
            <v>2.5000000000000001E-2</v>
          </cell>
          <cell r="P1760">
            <v>9.0000000000000006E-5</v>
          </cell>
          <cell r="R1760">
            <v>3.4000000000000002E-4</v>
          </cell>
          <cell r="V1760" t="str">
            <v>ارسال شده</v>
          </cell>
          <cell r="W1760" t="str">
            <v>01</v>
          </cell>
          <cell r="X1760" t="str">
            <v>277422</v>
          </cell>
          <cell r="Y1760" t="str">
            <v>07-11-0709-12-07</v>
          </cell>
          <cell r="AG1760" t="str">
            <v>KRPC</v>
          </cell>
          <cell r="AH1760" t="str">
            <v>x</v>
          </cell>
          <cell r="AI1760" t="str">
            <v>x</v>
          </cell>
          <cell r="AM1760">
            <v>0.6</v>
          </cell>
          <cell r="AN1760">
            <v>2.04E-4</v>
          </cell>
          <cell r="AQ1760">
            <v>5.4000000000000005E-5</v>
          </cell>
          <cell r="AR1760">
            <v>2.04E-4</v>
          </cell>
          <cell r="AS1760">
            <v>45</v>
          </cell>
          <cell r="AT1760">
            <v>60</v>
          </cell>
          <cell r="AU1760">
            <v>0</v>
          </cell>
          <cell r="AV1760">
            <v>0</v>
          </cell>
          <cell r="AW1760">
            <v>0</v>
          </cell>
          <cell r="AX1760">
            <v>60</v>
          </cell>
        </row>
        <row r="1761">
          <cell r="C1761" t="str">
            <v>DWG</v>
          </cell>
          <cell r="H1761" t="str">
            <v>10-10-A1-ST-0021</v>
          </cell>
          <cell r="I1761" t="str">
            <v>Fuel oil Pumps to Boilers (A/B) foundation plan &amp; details</v>
          </cell>
          <cell r="O1761">
            <v>2.5000000000000001E-2</v>
          </cell>
          <cell r="P1761">
            <v>9.0000000000000006E-5</v>
          </cell>
          <cell r="Q1761" t="str">
            <v>L</v>
          </cell>
          <cell r="R1761">
            <v>2.5000000000000001E-4</v>
          </cell>
          <cell r="T1761">
            <v>39478</v>
          </cell>
          <cell r="V1761" t="str">
            <v>2008-01</v>
          </cell>
          <cell r="AM1761">
            <v>0</v>
          </cell>
          <cell r="AN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</row>
        <row r="1762">
          <cell r="C1762" t="str">
            <v>CLS</v>
          </cell>
          <cell r="H1762" t="str">
            <v>10-10-CSH-ST-0021</v>
          </cell>
          <cell r="I1762" t="str">
            <v>Calculation Sheet For  Fuel oil Pumps to Boilers (A/B) foundation</v>
          </cell>
          <cell r="O1762">
            <v>2.5000000000000001E-2</v>
          </cell>
          <cell r="P1762">
            <v>9.0000000000000006E-5</v>
          </cell>
          <cell r="Q1762" t="str">
            <v>L</v>
          </cell>
          <cell r="R1762">
            <v>2.5000000000000001E-4</v>
          </cell>
          <cell r="T1762">
            <v>39479</v>
          </cell>
          <cell r="V1762" t="str">
            <v>2008-02</v>
          </cell>
          <cell r="AM1762">
            <v>0</v>
          </cell>
          <cell r="AN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</row>
        <row r="1763">
          <cell r="C1763" t="str">
            <v>DWG</v>
          </cell>
          <cell r="H1763" t="str">
            <v>10-10-A1-ST-0022</v>
          </cell>
          <cell r="I1763" t="str">
            <v>Fuel oil Pumps to Diesel Daily Tanks &amp; Emergency Diesel foundation plan &amp; details</v>
          </cell>
          <cell r="O1763">
            <v>2.5000000000000001E-2</v>
          </cell>
          <cell r="P1763">
            <v>9.0000000000000006E-5</v>
          </cell>
          <cell r="Q1763" t="str">
            <v>L</v>
          </cell>
          <cell r="R1763">
            <v>2.5000000000000001E-4</v>
          </cell>
          <cell r="T1763">
            <v>39481</v>
          </cell>
          <cell r="V1763" t="str">
            <v>2008-02</v>
          </cell>
          <cell r="AM1763">
            <v>0</v>
          </cell>
          <cell r="AN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</row>
        <row r="1764">
          <cell r="C1764" t="str">
            <v>CLS</v>
          </cell>
          <cell r="H1764" t="str">
            <v>10-10-CSH-ST-0022</v>
          </cell>
          <cell r="I1764" t="str">
            <v>Calculation Sheet For Fuel oil Pumps to Diesel Daily Tanks &amp; Emergency Diesel foundation</v>
          </cell>
          <cell r="O1764">
            <v>2.5000000000000001E-2</v>
          </cell>
          <cell r="P1764">
            <v>9.0000000000000006E-5</v>
          </cell>
          <cell r="Q1764" t="str">
            <v>L</v>
          </cell>
          <cell r="R1764">
            <v>2.5000000000000001E-4</v>
          </cell>
          <cell r="T1764">
            <v>39482</v>
          </cell>
          <cell r="V1764" t="str">
            <v>2008-02</v>
          </cell>
          <cell r="AM1764">
            <v>0</v>
          </cell>
          <cell r="AN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</row>
        <row r="1765">
          <cell r="C1765" t="str">
            <v>DWG</v>
          </cell>
          <cell r="H1765" t="str">
            <v>Steel Structures</v>
          </cell>
          <cell r="N1765">
            <v>0.3</v>
          </cell>
          <cell r="O1765">
            <v>1</v>
          </cell>
          <cell r="P1765">
            <v>5.3999999999999994E-3</v>
          </cell>
          <cell r="R1765">
            <v>2.0400000000000001E-3</v>
          </cell>
          <cell r="U1765" t="str">
            <v>.</v>
          </cell>
          <cell r="V1765" t="str">
            <v>.</v>
          </cell>
          <cell r="AG1765" t="str">
            <v>.</v>
          </cell>
          <cell r="AH1765" t="str">
            <v/>
          </cell>
          <cell r="AJ1765" t="str">
            <v/>
          </cell>
          <cell r="AL1765" t="str">
            <v/>
          </cell>
          <cell r="AM1765">
            <v>0</v>
          </cell>
          <cell r="AN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</row>
        <row r="1766">
          <cell r="C1766" t="str">
            <v>DWG</v>
          </cell>
          <cell r="H1766" t="str">
            <v>10-10-A1-ST-0023</v>
          </cell>
          <cell r="I1766" t="str">
            <v>Crane and Related Beams Plan and Details</v>
          </cell>
          <cell r="O1766">
            <v>0.17</v>
          </cell>
          <cell r="P1766">
            <v>9.1799999999999998E-4</v>
          </cell>
          <cell r="Q1766" t="str">
            <v>L</v>
          </cell>
          <cell r="R1766">
            <v>3.4000000000000002E-4</v>
          </cell>
          <cell r="T1766">
            <v>39483</v>
          </cell>
          <cell r="V1766" t="str">
            <v>2008-02</v>
          </cell>
          <cell r="AH1766" t="str">
            <v/>
          </cell>
          <cell r="AJ1766" t="str">
            <v/>
          </cell>
          <cell r="AL1766" t="str">
            <v/>
          </cell>
          <cell r="AM1766">
            <v>0</v>
          </cell>
          <cell r="AN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</row>
        <row r="1767">
          <cell r="C1767" t="str">
            <v>CLS</v>
          </cell>
          <cell r="H1767" t="str">
            <v>10-10-CSH-ST-0023</v>
          </cell>
          <cell r="I1767" t="str">
            <v xml:space="preserve">Calculation Sheet For Crane and Related Beams </v>
          </cell>
          <cell r="O1767">
            <v>0.17</v>
          </cell>
          <cell r="P1767">
            <v>9.1799999999999998E-4</v>
          </cell>
          <cell r="Q1767" t="str">
            <v>L</v>
          </cell>
          <cell r="R1767">
            <v>3.4000000000000002E-4</v>
          </cell>
          <cell r="T1767">
            <v>39484</v>
          </cell>
          <cell r="V1767" t="str">
            <v>2008-02</v>
          </cell>
          <cell r="AM1767">
            <v>0</v>
          </cell>
          <cell r="AN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</row>
        <row r="1768">
          <cell r="C1768" t="str">
            <v>DWG</v>
          </cell>
          <cell r="H1768" t="str">
            <v>10-10-A1-ST-0024</v>
          </cell>
          <cell r="I1768" t="str">
            <v>Platform Plan and Details</v>
          </cell>
          <cell r="O1768">
            <v>0.17</v>
          </cell>
          <cell r="P1768">
            <v>9.1799999999999998E-4</v>
          </cell>
          <cell r="Q1768" t="str">
            <v>L</v>
          </cell>
          <cell r="R1768">
            <v>3.4000000000000002E-4</v>
          </cell>
          <cell r="T1768">
            <v>39485</v>
          </cell>
          <cell r="V1768" t="str">
            <v>2008-02</v>
          </cell>
          <cell r="AM1768">
            <v>0</v>
          </cell>
          <cell r="AN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</row>
        <row r="1769">
          <cell r="C1769" t="str">
            <v>CLS</v>
          </cell>
          <cell r="H1769" t="str">
            <v>10-10-CSH-ST-0024</v>
          </cell>
          <cell r="I1769" t="str">
            <v>Calculation Sheet For Platform</v>
          </cell>
          <cell r="O1769">
            <v>0.17</v>
          </cell>
          <cell r="P1769">
            <v>9.1799999999999998E-4</v>
          </cell>
          <cell r="Q1769" t="str">
            <v>L</v>
          </cell>
          <cell r="R1769">
            <v>3.4000000000000002E-4</v>
          </cell>
          <cell r="T1769">
            <v>39486</v>
          </cell>
          <cell r="V1769" t="str">
            <v>2008-02</v>
          </cell>
          <cell r="AM1769">
            <v>0</v>
          </cell>
          <cell r="AN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</row>
        <row r="1770">
          <cell r="C1770" t="str">
            <v>DWG</v>
          </cell>
          <cell r="H1770" t="str">
            <v>10-10-A1-ST-0025</v>
          </cell>
          <cell r="I1770" t="str">
            <v>Shelter Plan and Details</v>
          </cell>
          <cell r="O1770">
            <v>0.16</v>
          </cell>
          <cell r="P1770">
            <v>8.6399999999999997E-4</v>
          </cell>
          <cell r="Q1770" t="str">
            <v>L</v>
          </cell>
          <cell r="R1770">
            <v>3.4000000000000002E-4</v>
          </cell>
          <cell r="T1770">
            <v>39487</v>
          </cell>
          <cell r="V1770" t="str">
            <v>2008-02</v>
          </cell>
          <cell r="AH1770" t="str">
            <v/>
          </cell>
          <cell r="AJ1770" t="str">
            <v/>
          </cell>
          <cell r="AL1770" t="str">
            <v/>
          </cell>
          <cell r="AM1770">
            <v>0</v>
          </cell>
          <cell r="AN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</row>
        <row r="1771">
          <cell r="C1771" t="str">
            <v>DWG</v>
          </cell>
          <cell r="H1771" t="str">
            <v>10-10-CSH-ST-0025</v>
          </cell>
          <cell r="I1771" t="str">
            <v>Calculation Sheet For Shelter</v>
          </cell>
          <cell r="O1771">
            <v>0.16</v>
          </cell>
          <cell r="P1771">
            <v>8.6399999999999997E-4</v>
          </cell>
          <cell r="Q1771" t="str">
            <v>L</v>
          </cell>
          <cell r="R1771">
            <v>3.4000000000000002E-4</v>
          </cell>
          <cell r="T1771">
            <v>39488</v>
          </cell>
          <cell r="V1771" t="str">
            <v>2008-02</v>
          </cell>
          <cell r="AH1771" t="str">
            <v/>
          </cell>
          <cell r="AJ1771" t="str">
            <v/>
          </cell>
          <cell r="AL1771" t="str">
            <v/>
          </cell>
          <cell r="AM1771">
            <v>0</v>
          </cell>
          <cell r="AN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</row>
        <row r="1772">
          <cell r="C1772" t="str">
            <v>DWG</v>
          </cell>
          <cell r="H1772" t="str">
            <v>Civil Works</v>
          </cell>
          <cell r="N1772">
            <v>0.1</v>
          </cell>
          <cell r="O1772">
            <v>1</v>
          </cell>
          <cell r="P1772">
            <v>1.8E-3</v>
          </cell>
          <cell r="R1772">
            <v>8.5999999999999998E-4</v>
          </cell>
          <cell r="U1772" t="str">
            <v>.</v>
          </cell>
          <cell r="V1772" t="str">
            <v>.</v>
          </cell>
          <cell r="AG1772" t="str">
            <v>.</v>
          </cell>
          <cell r="AH1772" t="str">
            <v/>
          </cell>
          <cell r="AJ1772" t="str">
            <v/>
          </cell>
          <cell r="AL1772" t="str">
            <v/>
          </cell>
          <cell r="AM1772">
            <v>0</v>
          </cell>
          <cell r="AN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</row>
        <row r="1773">
          <cell r="C1773" t="str">
            <v>DWG</v>
          </cell>
          <cell r="H1773" t="str">
            <v>10-10-A1-CI-0001</v>
          </cell>
          <cell r="I1773" t="str">
            <v>Concrete Cable Trench Plan &amp; details</v>
          </cell>
          <cell r="O1773">
            <v>0.5</v>
          </cell>
          <cell r="P1773">
            <v>8.9999999999999998E-4</v>
          </cell>
          <cell r="Q1773" t="str">
            <v>L</v>
          </cell>
          <cell r="R1773">
            <v>4.2999999999999999E-4</v>
          </cell>
          <cell r="T1773">
            <v>39493</v>
          </cell>
          <cell r="V1773" t="str">
            <v>2008-02</v>
          </cell>
          <cell r="AH1773" t="str">
            <v/>
          </cell>
          <cell r="AJ1773" t="str">
            <v/>
          </cell>
          <cell r="AL1773" t="str">
            <v/>
          </cell>
          <cell r="AM1773">
            <v>0</v>
          </cell>
          <cell r="AN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</row>
        <row r="1774">
          <cell r="C1774" t="str">
            <v>DWG</v>
          </cell>
          <cell r="H1774" t="str">
            <v>10-10-A1-CI-0002</v>
          </cell>
          <cell r="I1774" t="str">
            <v>Paving plan &amp; details</v>
          </cell>
          <cell r="O1774">
            <v>0.5</v>
          </cell>
          <cell r="P1774">
            <v>8.9999999999999998E-4</v>
          </cell>
          <cell r="Q1774" t="str">
            <v>L</v>
          </cell>
          <cell r="R1774">
            <v>4.2999999999999999E-4</v>
          </cell>
          <cell r="T1774">
            <v>39498</v>
          </cell>
          <cell r="V1774" t="str">
            <v>2008-02</v>
          </cell>
          <cell r="AH1774" t="str">
            <v/>
          </cell>
          <cell r="AJ1774" t="str">
            <v/>
          </cell>
          <cell r="AL1774" t="str">
            <v/>
          </cell>
          <cell r="AM1774">
            <v>0</v>
          </cell>
          <cell r="AN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</row>
        <row r="1775">
          <cell r="C1775" t="str">
            <v>DWG</v>
          </cell>
          <cell r="G1775" t="str">
            <v>Spherical Storage</v>
          </cell>
          <cell r="M1775">
            <v>0.05</v>
          </cell>
          <cell r="N1775">
            <v>1</v>
          </cell>
          <cell r="P1775">
            <v>1.0000000000000002E-2</v>
          </cell>
          <cell r="R1775">
            <v>6.2600000000000017E-3</v>
          </cell>
          <cell r="U1775" t="str">
            <v>.</v>
          </cell>
          <cell r="V1775" t="str">
            <v>.</v>
          </cell>
          <cell r="AG1775" t="str">
            <v>.</v>
          </cell>
          <cell r="AH1775" t="str">
            <v/>
          </cell>
          <cell r="AJ1775" t="str">
            <v/>
          </cell>
          <cell r="AL1775" t="str">
            <v/>
          </cell>
          <cell r="AM1775">
            <v>0</v>
          </cell>
          <cell r="AN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</row>
        <row r="1776">
          <cell r="C1776" t="str">
            <v>DWG</v>
          </cell>
          <cell r="H1776" t="str">
            <v>Equipment Foundations</v>
          </cell>
          <cell r="N1776">
            <v>0.4</v>
          </cell>
          <cell r="O1776">
            <v>1</v>
          </cell>
          <cell r="P1776">
            <v>4.000000000000001E-3</v>
          </cell>
          <cell r="R1776">
            <v>4.720000000000002E-3</v>
          </cell>
          <cell r="U1776" t="str">
            <v>.</v>
          </cell>
          <cell r="V1776" t="str">
            <v>.</v>
          </cell>
          <cell r="AG1776" t="str">
            <v>.</v>
          </cell>
          <cell r="AH1776" t="str">
            <v/>
          </cell>
          <cell r="AJ1776" t="str">
            <v/>
          </cell>
          <cell r="AL1776" t="str">
            <v/>
          </cell>
          <cell r="AM1776">
            <v>0</v>
          </cell>
          <cell r="AN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</row>
        <row r="1777">
          <cell r="C1777" t="str">
            <v>DWG</v>
          </cell>
          <cell r="H1777" t="str">
            <v>10-97-A1-ST-0001</v>
          </cell>
          <cell r="I1777" t="str">
            <v>Butene-1 Spherical Tank A  foundation plan &amp; details</v>
          </cell>
          <cell r="O1777">
            <v>6.25E-2</v>
          </cell>
          <cell r="P1777">
            <v>2.5000000000000006E-4</v>
          </cell>
          <cell r="Q1777" t="str">
            <v>V</v>
          </cell>
          <cell r="R1777">
            <v>3.4000000000000002E-4</v>
          </cell>
          <cell r="T1777">
            <v>39431</v>
          </cell>
          <cell r="U1777" t="str">
            <v>*</v>
          </cell>
          <cell r="V1777" t="str">
            <v>2007-12</v>
          </cell>
          <cell r="AH1777" t="str">
            <v/>
          </cell>
          <cell r="AJ1777" t="str">
            <v/>
          </cell>
          <cell r="AL1777" t="str">
            <v/>
          </cell>
          <cell r="AM1777">
            <v>0</v>
          </cell>
          <cell r="AN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</row>
        <row r="1778">
          <cell r="C1778" t="str">
            <v>DWG</v>
          </cell>
          <cell r="H1778" t="str">
            <v>10-97-CSH-ST-0001</v>
          </cell>
          <cell r="I1778" t="str">
            <v>Calculation Sheet For Butene-1 Spherical Tank A  foundation</v>
          </cell>
          <cell r="O1778">
            <v>6.25E-2</v>
          </cell>
          <cell r="P1778">
            <v>2.5000000000000006E-4</v>
          </cell>
          <cell r="Q1778" t="str">
            <v>V</v>
          </cell>
          <cell r="R1778">
            <v>3.4000000000000002E-4</v>
          </cell>
          <cell r="T1778">
            <v>39434</v>
          </cell>
          <cell r="U1778" t="str">
            <v>*</v>
          </cell>
          <cell r="V1778" t="str">
            <v>2007-12</v>
          </cell>
          <cell r="AH1778" t="str">
            <v/>
          </cell>
          <cell r="AJ1778" t="str">
            <v/>
          </cell>
          <cell r="AL1778" t="str">
            <v/>
          </cell>
          <cell r="AM1778">
            <v>0</v>
          </cell>
          <cell r="AN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</row>
        <row r="1779">
          <cell r="C1779" t="str">
            <v>DWG</v>
          </cell>
          <cell r="H1779" t="str">
            <v>10-97-A1-ST-0002</v>
          </cell>
          <cell r="I1779" t="str">
            <v>Butene-1 Spherical Tank B foundation plan &amp; details</v>
          </cell>
          <cell r="O1779">
            <v>6.25E-2</v>
          </cell>
          <cell r="P1779">
            <v>2.5000000000000006E-4</v>
          </cell>
          <cell r="Q1779" t="str">
            <v>V</v>
          </cell>
          <cell r="R1779">
            <v>3.4000000000000002E-4</v>
          </cell>
          <cell r="T1779">
            <v>39437</v>
          </cell>
          <cell r="U1779" t="str">
            <v>*</v>
          </cell>
          <cell r="V1779" t="str">
            <v>2007-12</v>
          </cell>
          <cell r="AH1779" t="str">
            <v/>
          </cell>
          <cell r="AJ1779" t="str">
            <v/>
          </cell>
          <cell r="AL1779" t="str">
            <v/>
          </cell>
          <cell r="AM1779">
            <v>0</v>
          </cell>
          <cell r="AN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</row>
        <row r="1780">
          <cell r="C1780" t="str">
            <v>CLS</v>
          </cell>
          <cell r="H1780" t="str">
            <v>10-97-CSH-ST-0002</v>
          </cell>
          <cell r="I1780" t="str">
            <v>Calculation Sheet Butene-1 Spherical Tank B foundation</v>
          </cell>
          <cell r="O1780">
            <v>6.25E-2</v>
          </cell>
          <cell r="P1780">
            <v>2.5000000000000006E-4</v>
          </cell>
          <cell r="Q1780" t="str">
            <v>V</v>
          </cell>
          <cell r="R1780">
            <v>3.4000000000000002E-4</v>
          </cell>
          <cell r="T1780">
            <v>39440</v>
          </cell>
          <cell r="U1780" t="str">
            <v>*</v>
          </cell>
          <cell r="V1780" t="str">
            <v>2007-12</v>
          </cell>
          <cell r="AM1780">
            <v>0</v>
          </cell>
          <cell r="AN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</row>
        <row r="1781">
          <cell r="C1781" t="str">
            <v>DWG</v>
          </cell>
          <cell r="H1781" t="str">
            <v>10-97-A1-ST-0003</v>
          </cell>
          <cell r="I1781" t="str">
            <v>Propylen Spherical Tank foundation plan &amp; details</v>
          </cell>
          <cell r="O1781">
            <v>6.25E-2</v>
          </cell>
          <cell r="P1781">
            <v>2.5000000000000006E-4</v>
          </cell>
          <cell r="Q1781" t="str">
            <v>V</v>
          </cell>
          <cell r="R1781">
            <v>3.4000000000000002E-4</v>
          </cell>
          <cell r="T1781">
            <v>39443</v>
          </cell>
          <cell r="U1781" t="str">
            <v>*</v>
          </cell>
          <cell r="V1781" t="str">
            <v>2007-12</v>
          </cell>
          <cell r="AM1781">
            <v>0</v>
          </cell>
          <cell r="AN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</row>
        <row r="1782">
          <cell r="C1782" t="str">
            <v>CLS</v>
          </cell>
          <cell r="H1782" t="str">
            <v>10-97-CSH-ST-0003</v>
          </cell>
          <cell r="I1782" t="str">
            <v>Calculation Sheet Propylen Spherical Tank foundation</v>
          </cell>
          <cell r="O1782">
            <v>6.25E-2</v>
          </cell>
          <cell r="P1782">
            <v>2.5000000000000006E-4</v>
          </cell>
          <cell r="Q1782" t="str">
            <v>V</v>
          </cell>
          <cell r="R1782">
            <v>3.4000000000000002E-4</v>
          </cell>
          <cell r="T1782">
            <v>39446</v>
          </cell>
          <cell r="U1782" t="str">
            <v>*</v>
          </cell>
          <cell r="V1782" t="str">
            <v>2007-12</v>
          </cell>
          <cell r="AM1782">
            <v>0</v>
          </cell>
          <cell r="AN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</row>
        <row r="1783">
          <cell r="C1783" t="str">
            <v>DWG</v>
          </cell>
          <cell r="H1783" t="str">
            <v>10-97-A1-ST-0004</v>
          </cell>
          <cell r="I1783" t="str">
            <v>Butene-1 Loading Pumps (A/B) foundation plan &amp; details</v>
          </cell>
          <cell r="O1783">
            <v>6.25E-2</v>
          </cell>
          <cell r="P1783">
            <v>2.5000000000000006E-4</v>
          </cell>
          <cell r="Q1783" t="str">
            <v>L</v>
          </cell>
          <cell r="R1783">
            <v>2.5000000000000001E-4</v>
          </cell>
          <cell r="T1783">
            <v>39450</v>
          </cell>
          <cell r="V1783" t="str">
            <v>2008-01</v>
          </cell>
          <cell r="AM1783">
            <v>0</v>
          </cell>
          <cell r="AN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</row>
        <row r="1784">
          <cell r="C1784" t="str">
            <v>CLS</v>
          </cell>
          <cell r="H1784" t="str">
            <v>10-97-CSH-ST-0004</v>
          </cell>
          <cell r="I1784" t="str">
            <v xml:space="preserve">Calculation Sheet For Butene-1 Loading Pumps (A/B) foundation </v>
          </cell>
          <cell r="O1784">
            <v>6.25E-2</v>
          </cell>
          <cell r="P1784">
            <v>2.5000000000000006E-4</v>
          </cell>
          <cell r="Q1784" t="str">
            <v>L</v>
          </cell>
          <cell r="R1784">
            <v>2.5000000000000001E-4</v>
          </cell>
          <cell r="T1784">
            <v>39453</v>
          </cell>
          <cell r="V1784" t="str">
            <v>2008-01</v>
          </cell>
          <cell r="AM1784">
            <v>0</v>
          </cell>
          <cell r="AN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</row>
        <row r="1785">
          <cell r="C1785" t="str">
            <v>DWG</v>
          </cell>
          <cell r="H1785" t="str">
            <v>10-97-A1-ST-0005</v>
          </cell>
          <cell r="I1785" t="str">
            <v>Butene-1 Unloading Pumps (A/B) foundation plan &amp; details</v>
          </cell>
          <cell r="O1785">
            <v>6.25E-2</v>
          </cell>
          <cell r="P1785">
            <v>2.5000000000000006E-4</v>
          </cell>
          <cell r="Q1785" t="str">
            <v>L</v>
          </cell>
          <cell r="R1785">
            <v>2.5000000000000001E-4</v>
          </cell>
          <cell r="T1785">
            <v>39456</v>
          </cell>
          <cell r="V1785" t="str">
            <v>2008-01</v>
          </cell>
          <cell r="AM1785">
            <v>0</v>
          </cell>
          <cell r="AN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</row>
        <row r="1786">
          <cell r="C1786" t="str">
            <v>CLS</v>
          </cell>
          <cell r="H1786" t="str">
            <v>10-97-CSH-ST-005</v>
          </cell>
          <cell r="I1786" t="str">
            <v>Calculation Sheet For Butene-1 Unloading Pumps (A/B) foundation</v>
          </cell>
          <cell r="O1786">
            <v>6.25E-2</v>
          </cell>
          <cell r="P1786">
            <v>2.5000000000000006E-4</v>
          </cell>
          <cell r="Q1786" t="str">
            <v>L</v>
          </cell>
          <cell r="R1786">
            <v>2.5000000000000001E-4</v>
          </cell>
          <cell r="T1786">
            <v>39459</v>
          </cell>
          <cell r="V1786" t="str">
            <v>2008-01</v>
          </cell>
          <cell r="AM1786">
            <v>0</v>
          </cell>
          <cell r="AN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</row>
        <row r="1787">
          <cell r="C1787" t="str">
            <v>DWG</v>
          </cell>
          <cell r="H1787" t="str">
            <v>10-97-A1-ST-0006</v>
          </cell>
          <cell r="I1787" t="str">
            <v>Propylen Loading Pumps (A/B) foundation plan &amp; details</v>
          </cell>
          <cell r="O1787">
            <v>6.25E-2</v>
          </cell>
          <cell r="P1787">
            <v>2.5000000000000006E-4</v>
          </cell>
          <cell r="Q1787" t="str">
            <v>L</v>
          </cell>
          <cell r="R1787">
            <v>2.5000000000000001E-4</v>
          </cell>
          <cell r="T1787">
            <v>39462</v>
          </cell>
          <cell r="V1787" t="str">
            <v>2008-01</v>
          </cell>
          <cell r="AM1787">
            <v>0</v>
          </cell>
          <cell r="AN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</row>
        <row r="1788">
          <cell r="C1788" t="str">
            <v>CLS</v>
          </cell>
          <cell r="H1788" t="str">
            <v>10-97-CSH-ST-0006</v>
          </cell>
          <cell r="I1788" t="str">
            <v>Calculation Sheet For Propylen Loading Pumps (A/B) foundatio</v>
          </cell>
          <cell r="O1788">
            <v>6.25E-2</v>
          </cell>
          <cell r="P1788">
            <v>2.5000000000000006E-4</v>
          </cell>
          <cell r="Q1788" t="str">
            <v>L</v>
          </cell>
          <cell r="R1788">
            <v>2.5000000000000001E-4</v>
          </cell>
          <cell r="T1788">
            <v>39465</v>
          </cell>
          <cell r="V1788" t="str">
            <v>2008-01</v>
          </cell>
          <cell r="AM1788">
            <v>0</v>
          </cell>
          <cell r="AN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</row>
        <row r="1789">
          <cell r="C1789" t="str">
            <v>DWG</v>
          </cell>
          <cell r="H1789" t="str">
            <v>10-97-A1-ST-0007</v>
          </cell>
          <cell r="I1789" t="str">
            <v>Propylen Unloading Pumps (A/B) foundation plan &amp; details</v>
          </cell>
          <cell r="O1789">
            <v>6.25E-2</v>
          </cell>
          <cell r="P1789">
            <v>2.5000000000000006E-4</v>
          </cell>
          <cell r="Q1789" t="str">
            <v>L</v>
          </cell>
          <cell r="R1789">
            <v>2.5000000000000001E-4</v>
          </cell>
          <cell r="T1789">
            <v>39468</v>
          </cell>
          <cell r="V1789" t="str">
            <v>2008-01</v>
          </cell>
          <cell r="AM1789">
            <v>0</v>
          </cell>
          <cell r="AN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</row>
        <row r="1790">
          <cell r="C1790" t="str">
            <v>DWG</v>
          </cell>
          <cell r="H1790" t="str">
            <v>10-97-CSH-ST-0007</v>
          </cell>
          <cell r="I1790" t="str">
            <v xml:space="preserve">Calculation Sheet For Propylen Unloading Pumps (A/B) foundation </v>
          </cell>
          <cell r="O1790">
            <v>6.25E-2</v>
          </cell>
          <cell r="P1790">
            <v>2.5000000000000006E-4</v>
          </cell>
          <cell r="Q1790" t="str">
            <v>L</v>
          </cell>
          <cell r="R1790">
            <v>2.5000000000000001E-4</v>
          </cell>
          <cell r="T1790">
            <v>39471</v>
          </cell>
          <cell r="V1790" t="str">
            <v>2008-01</v>
          </cell>
          <cell r="AH1790" t="str">
            <v/>
          </cell>
          <cell r="AJ1790" t="str">
            <v/>
          </cell>
          <cell r="AL1790" t="str">
            <v/>
          </cell>
          <cell r="AM1790">
            <v>0</v>
          </cell>
          <cell r="AN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</row>
        <row r="1791">
          <cell r="C1791" t="str">
            <v>DWG</v>
          </cell>
          <cell r="H1791" t="str">
            <v>10-97-A1-ST-0008</v>
          </cell>
          <cell r="I1791" t="str">
            <v>Loading and Unloading Shelter foundation plan &amp; details</v>
          </cell>
          <cell r="O1791">
            <v>6.25E-2</v>
          </cell>
          <cell r="P1791">
            <v>2.5000000000000006E-4</v>
          </cell>
          <cell r="Q1791" t="str">
            <v>L</v>
          </cell>
          <cell r="R1791">
            <v>3.4000000000000002E-4</v>
          </cell>
          <cell r="T1791">
            <v>39474</v>
          </cell>
          <cell r="V1791" t="str">
            <v>2008-01</v>
          </cell>
          <cell r="AH1791" t="str">
            <v/>
          </cell>
          <cell r="AJ1791" t="str">
            <v/>
          </cell>
          <cell r="AL1791" t="str">
            <v/>
          </cell>
          <cell r="AM1791">
            <v>0</v>
          </cell>
          <cell r="AN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</row>
        <row r="1792">
          <cell r="C1792" t="str">
            <v>DWG</v>
          </cell>
          <cell r="H1792" t="str">
            <v>10-97-CSH-ST-0008</v>
          </cell>
          <cell r="I1792" t="str">
            <v>Calculation Sheet For Loading and Unloading Shelter foundation</v>
          </cell>
          <cell r="O1792">
            <v>6.25E-2</v>
          </cell>
          <cell r="P1792">
            <v>2.5000000000000006E-4</v>
          </cell>
          <cell r="Q1792" t="str">
            <v>L</v>
          </cell>
          <cell r="R1792">
            <v>3.4000000000000002E-4</v>
          </cell>
          <cell r="T1792">
            <v>39477</v>
          </cell>
          <cell r="V1792" t="str">
            <v>2008-01</v>
          </cell>
          <cell r="AH1792" t="str">
            <v/>
          </cell>
          <cell r="AJ1792" t="str">
            <v/>
          </cell>
          <cell r="AL1792" t="str">
            <v/>
          </cell>
          <cell r="AM1792">
            <v>0</v>
          </cell>
          <cell r="AN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</row>
        <row r="1793">
          <cell r="C1793" t="str">
            <v>DWG</v>
          </cell>
          <cell r="H1793" t="str">
            <v>Steel Structures</v>
          </cell>
          <cell r="N1793">
            <v>0.4</v>
          </cell>
          <cell r="O1793">
            <v>1</v>
          </cell>
          <cell r="P1793">
            <v>4.000000000000001E-3</v>
          </cell>
          <cell r="R1793">
            <v>6.8000000000000005E-4</v>
          </cell>
          <cell r="U1793" t="str">
            <v>.</v>
          </cell>
          <cell r="V1793" t="str">
            <v>.</v>
          </cell>
          <cell r="AG1793" t="str">
            <v>.</v>
          </cell>
          <cell r="AH1793" t="str">
            <v/>
          </cell>
          <cell r="AJ1793" t="str">
            <v/>
          </cell>
          <cell r="AL1793" t="str">
            <v/>
          </cell>
          <cell r="AM1793">
            <v>0</v>
          </cell>
          <cell r="AN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</row>
        <row r="1794">
          <cell r="C1794" t="str">
            <v>DWG</v>
          </cell>
          <cell r="H1794" t="str">
            <v>10-97-A1-ST-0009</v>
          </cell>
          <cell r="I1794" t="str">
            <v>Loading Shelter plan &amp; details</v>
          </cell>
          <cell r="O1794">
            <v>0.5</v>
          </cell>
          <cell r="P1794">
            <v>2.0000000000000005E-3</v>
          </cell>
          <cell r="Q1794" t="str">
            <v>L</v>
          </cell>
          <cell r="R1794">
            <v>3.4000000000000002E-4</v>
          </cell>
          <cell r="T1794">
            <v>39480</v>
          </cell>
          <cell r="V1794" t="str">
            <v>2008-02</v>
          </cell>
          <cell r="AM1794">
            <v>0</v>
          </cell>
          <cell r="AN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</row>
        <row r="1795">
          <cell r="C1795" t="str">
            <v>DWG</v>
          </cell>
          <cell r="H1795" t="str">
            <v>10-97-CSH-ST-0009</v>
          </cell>
          <cell r="I1795" t="str">
            <v xml:space="preserve">Calculation Sheet For Loading Shelter </v>
          </cell>
          <cell r="O1795">
            <v>0.5</v>
          </cell>
          <cell r="P1795">
            <v>2.0000000000000005E-3</v>
          </cell>
          <cell r="Q1795" t="str">
            <v>L</v>
          </cell>
          <cell r="R1795">
            <v>3.4000000000000002E-4</v>
          </cell>
          <cell r="T1795">
            <v>39483</v>
          </cell>
          <cell r="V1795" t="str">
            <v>2008-02</v>
          </cell>
          <cell r="AH1795" t="str">
            <v/>
          </cell>
          <cell r="AJ1795" t="str">
            <v/>
          </cell>
          <cell r="AL1795" t="str">
            <v/>
          </cell>
          <cell r="AM1795">
            <v>0</v>
          </cell>
          <cell r="AN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</row>
        <row r="1796">
          <cell r="C1796" t="str">
            <v>DWG</v>
          </cell>
          <cell r="H1796" t="str">
            <v>Civil Works</v>
          </cell>
          <cell r="N1796">
            <v>0.2</v>
          </cell>
          <cell r="O1796">
            <v>1</v>
          </cell>
          <cell r="P1796">
            <v>2.0000000000000005E-3</v>
          </cell>
          <cell r="R1796">
            <v>8.5999999999999998E-4</v>
          </cell>
          <cell r="U1796" t="str">
            <v>.</v>
          </cell>
          <cell r="V1796" t="str">
            <v>.</v>
          </cell>
          <cell r="AG1796" t="str">
            <v>.</v>
          </cell>
          <cell r="AH1796" t="str">
            <v/>
          </cell>
          <cell r="AJ1796" t="str">
            <v/>
          </cell>
          <cell r="AL1796" t="str">
            <v/>
          </cell>
          <cell r="AM1796">
            <v>0</v>
          </cell>
          <cell r="AN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</row>
        <row r="1797">
          <cell r="C1797" t="str">
            <v>DWG</v>
          </cell>
          <cell r="H1797" t="str">
            <v>10-97-A1-CI-0001</v>
          </cell>
          <cell r="I1797" t="str">
            <v>Concrete Cable Trench Plan &amp; details</v>
          </cell>
          <cell r="O1797">
            <v>0.5</v>
          </cell>
          <cell r="P1797">
            <v>1.0000000000000002E-3</v>
          </cell>
          <cell r="Q1797" t="str">
            <v>L</v>
          </cell>
          <cell r="R1797">
            <v>4.2999999999999999E-4</v>
          </cell>
          <cell r="T1797">
            <v>39486</v>
          </cell>
          <cell r="V1797" t="str">
            <v>2008-02</v>
          </cell>
          <cell r="AH1797" t="str">
            <v/>
          </cell>
          <cell r="AJ1797" t="str">
            <v/>
          </cell>
          <cell r="AL1797" t="str">
            <v/>
          </cell>
          <cell r="AM1797">
            <v>0</v>
          </cell>
          <cell r="AN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</row>
        <row r="1798">
          <cell r="C1798" t="str">
            <v>DWG</v>
          </cell>
          <cell r="H1798" t="str">
            <v>10-97-A1-CI-0002</v>
          </cell>
          <cell r="I1798" t="str">
            <v>Paving plan &amp; details</v>
          </cell>
          <cell r="O1798">
            <v>0.5</v>
          </cell>
          <cell r="P1798">
            <v>1.0000000000000002E-3</v>
          </cell>
          <cell r="Q1798" t="str">
            <v>L</v>
          </cell>
          <cell r="R1798">
            <v>4.2999999999999999E-4</v>
          </cell>
          <cell r="T1798">
            <v>39493</v>
          </cell>
          <cell r="V1798" t="str">
            <v>2008-02</v>
          </cell>
          <cell r="AH1798" t="str">
            <v/>
          </cell>
          <cell r="AJ1798" t="str">
            <v/>
          </cell>
          <cell r="AL1798" t="str">
            <v/>
          </cell>
          <cell r="AM1798">
            <v>0</v>
          </cell>
          <cell r="AN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</row>
        <row r="1799">
          <cell r="C1799" t="str">
            <v>DWG</v>
          </cell>
          <cell r="G1799" t="str">
            <v>Offsite</v>
          </cell>
          <cell r="M1799">
            <v>0.06</v>
          </cell>
          <cell r="N1799">
            <v>1</v>
          </cell>
          <cell r="P1799">
            <v>1.2E-2</v>
          </cell>
          <cell r="R1799">
            <v>1.218E-2</v>
          </cell>
          <cell r="U1799" t="str">
            <v>.</v>
          </cell>
          <cell r="V1799" t="str">
            <v>.</v>
          </cell>
          <cell r="AG1799" t="str">
            <v>.</v>
          </cell>
          <cell r="AH1799" t="str">
            <v/>
          </cell>
          <cell r="AJ1799" t="str">
            <v/>
          </cell>
          <cell r="AL1799" t="str">
            <v/>
          </cell>
          <cell r="AM1799">
            <v>9.1249999999999998E-2</v>
          </cell>
          <cell r="AN1799">
            <v>1.0950000000000001E-3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</row>
        <row r="1800">
          <cell r="C1800" t="str">
            <v>DWG</v>
          </cell>
          <cell r="H1800" t="str">
            <v>PipeRacks and Pipe Supports</v>
          </cell>
          <cell r="N1800">
            <v>0.8</v>
          </cell>
          <cell r="O1800">
            <v>1</v>
          </cell>
          <cell r="P1800">
            <v>9.6000000000000009E-3</v>
          </cell>
          <cell r="R1800">
            <v>1.9400000000000001E-3</v>
          </cell>
          <cell r="U1800" t="str">
            <v>.</v>
          </cell>
          <cell r="V1800" t="str">
            <v>.</v>
          </cell>
          <cell r="AG1800" t="str">
            <v>.</v>
          </cell>
          <cell r="AH1800" t="str">
            <v/>
          </cell>
          <cell r="AJ1800" t="str">
            <v/>
          </cell>
          <cell r="AL1800" t="str">
            <v/>
          </cell>
          <cell r="AM1800">
            <v>0</v>
          </cell>
          <cell r="AN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</row>
        <row r="1801">
          <cell r="C1801" t="str">
            <v>DWG</v>
          </cell>
          <cell r="H1801" t="str">
            <v>10-XX-A1-ST-0001</v>
          </cell>
          <cell r="I1801" t="str">
            <v>Pipe racks Structural Details</v>
          </cell>
          <cell r="O1801">
            <v>0.25</v>
          </cell>
          <cell r="P1801">
            <v>2.4000000000000002E-3</v>
          </cell>
          <cell r="Q1801" t="str">
            <v>I</v>
          </cell>
          <cell r="R1801">
            <v>5.4000000000000001E-4</v>
          </cell>
          <cell r="T1801">
            <v>39407</v>
          </cell>
          <cell r="U1801" t="str">
            <v>*</v>
          </cell>
          <cell r="V1801" t="str">
            <v>2007-11</v>
          </cell>
          <cell r="AM1801">
            <v>0</v>
          </cell>
          <cell r="AN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</row>
        <row r="1802">
          <cell r="C1802" t="str">
            <v>CLS</v>
          </cell>
          <cell r="H1802" t="str">
            <v>10-XX-CSH-ST-0001</v>
          </cell>
          <cell r="I1802" t="str">
            <v>Calculation Sheet For Pipe racks</v>
          </cell>
          <cell r="O1802">
            <v>0.25</v>
          </cell>
          <cell r="P1802">
            <v>2.4000000000000002E-3</v>
          </cell>
          <cell r="Q1802" t="str">
            <v>I</v>
          </cell>
          <cell r="R1802">
            <v>5.4000000000000001E-4</v>
          </cell>
          <cell r="T1802">
            <v>39416</v>
          </cell>
          <cell r="U1802" t="str">
            <v>*</v>
          </cell>
          <cell r="V1802" t="str">
            <v>2007-11</v>
          </cell>
          <cell r="AM1802">
            <v>0</v>
          </cell>
          <cell r="AN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</row>
        <row r="1803">
          <cell r="C1803" t="str">
            <v>DWG</v>
          </cell>
          <cell r="H1803" t="str">
            <v>10-XX-A1-ST-0002</v>
          </cell>
          <cell r="I1803" t="str">
            <v>Pipe support details</v>
          </cell>
          <cell r="O1803">
            <v>0.25</v>
          </cell>
          <cell r="P1803">
            <v>2.4000000000000002E-3</v>
          </cell>
          <cell r="Q1803" t="str">
            <v>L</v>
          </cell>
          <cell r="R1803">
            <v>4.2999999999999999E-4</v>
          </cell>
          <cell r="T1803">
            <v>39462</v>
          </cell>
          <cell r="V1803" t="str">
            <v>2008-01</v>
          </cell>
          <cell r="AH1803" t="str">
            <v/>
          </cell>
          <cell r="AJ1803" t="str">
            <v/>
          </cell>
          <cell r="AL1803" t="str">
            <v/>
          </cell>
          <cell r="AM1803">
            <v>0</v>
          </cell>
          <cell r="AN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</row>
        <row r="1804">
          <cell r="C1804" t="str">
            <v>DWG</v>
          </cell>
          <cell r="H1804" t="str">
            <v>10-XX-CSH-ST-0002</v>
          </cell>
          <cell r="I1804" t="str">
            <v xml:space="preserve">Calculation Sheet For Pipe support </v>
          </cell>
          <cell r="O1804">
            <v>0.25</v>
          </cell>
          <cell r="P1804">
            <v>2.4000000000000002E-3</v>
          </cell>
          <cell r="Q1804" t="str">
            <v>L</v>
          </cell>
          <cell r="R1804">
            <v>4.2999999999999999E-4</v>
          </cell>
          <cell r="T1804">
            <v>39472</v>
          </cell>
          <cell r="V1804" t="str">
            <v>2008-01</v>
          </cell>
          <cell r="AH1804" t="str">
            <v/>
          </cell>
          <cell r="AJ1804" t="str">
            <v/>
          </cell>
          <cell r="AL1804" t="str">
            <v/>
          </cell>
          <cell r="AM1804">
            <v>0</v>
          </cell>
          <cell r="AN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</row>
        <row r="1805">
          <cell r="C1805" t="str">
            <v>DWG</v>
          </cell>
          <cell r="H1805" t="str">
            <v>Civil Works</v>
          </cell>
          <cell r="N1805">
            <v>0.2</v>
          </cell>
          <cell r="O1805">
            <v>0.99999999999999978</v>
          </cell>
          <cell r="P1805">
            <v>2.4000000000000002E-3</v>
          </cell>
          <cell r="R1805">
            <v>1.0239999999999999E-2</v>
          </cell>
          <cell r="U1805" t="str">
            <v>.</v>
          </cell>
          <cell r="V1805" t="str">
            <v>.</v>
          </cell>
          <cell r="AG1805" t="str">
            <v>.</v>
          </cell>
          <cell r="AH1805" t="str">
            <v/>
          </cell>
          <cell r="AJ1805" t="str">
            <v/>
          </cell>
          <cell r="AL1805" t="str">
            <v/>
          </cell>
          <cell r="AM1805">
            <v>0</v>
          </cell>
          <cell r="AN1805">
            <v>1.0950000000000001E-3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</row>
        <row r="1806">
          <cell r="C1806" t="str">
            <v>DWG</v>
          </cell>
          <cell r="H1806" t="str">
            <v>10-XX-A0-CI-0001</v>
          </cell>
          <cell r="I1806" t="str">
            <v>Rough Grading Plan and Details</v>
          </cell>
          <cell r="O1806">
            <v>7.0000000000000007E-2</v>
          </cell>
          <cell r="P1806">
            <v>1.6800000000000004E-4</v>
          </cell>
          <cell r="R1806">
            <v>1.15E-3</v>
          </cell>
          <cell r="V1806" t="str">
            <v>ارسال شده</v>
          </cell>
          <cell r="W1806" t="str">
            <v>01</v>
          </cell>
          <cell r="X1806" t="str">
            <v>49274</v>
          </cell>
          <cell r="Y1806" t="str">
            <v>09-07-0705-11-07</v>
          </cell>
          <cell r="Z1806" t="str">
            <v>F-0065F-0298</v>
          </cell>
          <cell r="AA1806" t="str">
            <v>11-07-0712-11-07</v>
          </cell>
          <cell r="AG1806" t="str">
            <v>GBT</v>
          </cell>
          <cell r="AH1806" t="str">
            <v>x</v>
          </cell>
          <cell r="AI1806" t="str">
            <v>x</v>
          </cell>
          <cell r="AJ1806" t="str">
            <v/>
          </cell>
          <cell r="AL1806" t="str">
            <v/>
          </cell>
          <cell r="AM1806">
            <v>0.6</v>
          </cell>
          <cell r="AN1806">
            <v>6.8999999999999997E-4</v>
          </cell>
          <cell r="AO1806" t="str">
            <v>شماره تكراري</v>
          </cell>
          <cell r="AQ1806">
            <v>1.0080000000000002E-4</v>
          </cell>
          <cell r="AR1806">
            <v>6.8999999999999997E-4</v>
          </cell>
          <cell r="AS1806">
            <v>45</v>
          </cell>
          <cell r="AT1806">
            <v>60</v>
          </cell>
          <cell r="AU1806">
            <v>0</v>
          </cell>
          <cell r="AV1806">
            <v>0</v>
          </cell>
          <cell r="AW1806">
            <v>0</v>
          </cell>
          <cell r="AX1806">
            <v>60</v>
          </cell>
        </row>
        <row r="1807">
          <cell r="C1807" t="str">
            <v>DWG</v>
          </cell>
          <cell r="H1807" t="str">
            <v>10-XX-A0-CI-0002</v>
          </cell>
          <cell r="I1807" t="str">
            <v>Roads Plan and Details</v>
          </cell>
          <cell r="O1807">
            <v>7.0000000000000007E-2</v>
          </cell>
          <cell r="P1807">
            <v>1.6800000000000004E-4</v>
          </cell>
          <cell r="Q1807" t="str">
            <v>I</v>
          </cell>
          <cell r="R1807">
            <v>1.15E-3</v>
          </cell>
          <cell r="T1807">
            <v>39422</v>
          </cell>
          <cell r="U1807" t="str">
            <v>*</v>
          </cell>
          <cell r="V1807" t="str">
            <v>2007-12</v>
          </cell>
          <cell r="AH1807" t="str">
            <v/>
          </cell>
          <cell r="AJ1807" t="str">
            <v/>
          </cell>
          <cell r="AL1807" t="str">
            <v/>
          </cell>
          <cell r="AM1807">
            <v>0</v>
          </cell>
          <cell r="AN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</row>
        <row r="1808">
          <cell r="C1808" t="str">
            <v>DWG</v>
          </cell>
          <cell r="H1808" t="str">
            <v>10-XX-A1-CI-0003</v>
          </cell>
          <cell r="I1808" t="str">
            <v>Retaining Walls Plan and Sections</v>
          </cell>
          <cell r="O1808">
            <v>7.0000000000000007E-2</v>
          </cell>
          <cell r="P1808">
            <v>1.6800000000000004E-4</v>
          </cell>
          <cell r="R1808">
            <v>5.4000000000000001E-4</v>
          </cell>
          <cell r="V1808" t="str">
            <v>ارسال شده</v>
          </cell>
          <cell r="W1808" t="str">
            <v>012</v>
          </cell>
          <cell r="X1808" t="str">
            <v>344448524</v>
          </cell>
          <cell r="Y1808" t="str">
            <v>22-11-0709-12-0726-12-07</v>
          </cell>
          <cell r="Z1808" t="str">
            <v>F-0380F-0533</v>
          </cell>
          <cell r="AA1808" t="str">
            <v>22-11-0717-12-07</v>
          </cell>
          <cell r="AF1808" t="str">
            <v>86-09-19</v>
          </cell>
          <cell r="AG1808" t="str">
            <v>KRPC</v>
          </cell>
          <cell r="AH1808" t="str">
            <v>x</v>
          </cell>
          <cell r="AI1808" t="str">
            <v>x</v>
          </cell>
          <cell r="AJ1808" t="str">
            <v>x</v>
          </cell>
          <cell r="AL1808" t="str">
            <v/>
          </cell>
          <cell r="AM1808">
            <v>0.75</v>
          </cell>
          <cell r="AN1808">
            <v>4.0499999999999998E-4</v>
          </cell>
          <cell r="AO1808" t="str">
            <v>T</v>
          </cell>
          <cell r="AQ1808">
            <v>1.2600000000000003E-4</v>
          </cell>
          <cell r="AR1808">
            <v>4.0499999999999998E-4</v>
          </cell>
          <cell r="AS1808">
            <v>45</v>
          </cell>
          <cell r="AT1808">
            <v>60</v>
          </cell>
          <cell r="AU1808">
            <v>75</v>
          </cell>
          <cell r="AV1808">
            <v>0</v>
          </cell>
          <cell r="AW1808">
            <v>0</v>
          </cell>
          <cell r="AX1808">
            <v>75</v>
          </cell>
        </row>
        <row r="1809">
          <cell r="C1809" t="str">
            <v>DWG</v>
          </cell>
          <cell r="H1809" t="str">
            <v>10-XX-CSH-ST-0003</v>
          </cell>
          <cell r="I1809" t="str">
            <v xml:space="preserve">Calculation Sheet For Retaining Walls </v>
          </cell>
          <cell r="O1809">
            <v>7.0000000000000007E-2</v>
          </cell>
          <cell r="P1809">
            <v>1.6800000000000004E-4</v>
          </cell>
          <cell r="Q1809" t="str">
            <v>I</v>
          </cell>
          <cell r="R1809">
            <v>5.4000000000000001E-4</v>
          </cell>
          <cell r="T1809">
            <v>39416</v>
          </cell>
          <cell r="U1809" t="str">
            <v>*</v>
          </cell>
          <cell r="V1809" t="str">
            <v>2007-11</v>
          </cell>
          <cell r="AH1809" t="str">
            <v/>
          </cell>
          <cell r="AJ1809" t="str">
            <v/>
          </cell>
          <cell r="AL1809" t="str">
            <v/>
          </cell>
          <cell r="AM1809">
            <v>0</v>
          </cell>
          <cell r="AN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</row>
        <row r="1810">
          <cell r="C1810" t="str">
            <v>DWG</v>
          </cell>
          <cell r="H1810" t="str">
            <v>10-XX-A0-CI-0004</v>
          </cell>
          <cell r="I1810" t="str">
            <v>Sewage Coolection Plan and Details</v>
          </cell>
          <cell r="O1810">
            <v>0.08</v>
          </cell>
          <cell r="P1810">
            <v>1.9200000000000003E-4</v>
          </cell>
          <cell r="Q1810" t="str">
            <v>L</v>
          </cell>
          <cell r="R1810">
            <v>9.3999999999999997E-4</v>
          </cell>
          <cell r="T1810">
            <v>39462</v>
          </cell>
          <cell r="V1810" t="str">
            <v>2008-01</v>
          </cell>
          <cell r="AH1810" t="str">
            <v/>
          </cell>
          <cell r="AJ1810" t="str">
            <v/>
          </cell>
          <cell r="AL1810" t="str">
            <v/>
          </cell>
          <cell r="AM1810">
            <v>0</v>
          </cell>
          <cell r="AN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</row>
        <row r="1811">
          <cell r="C1811" t="str">
            <v>DWG</v>
          </cell>
          <cell r="H1811" t="str">
            <v>10-XX-CSH-ST-0004</v>
          </cell>
          <cell r="I1811" t="str">
            <v>Calculation Sheet For Sewage Coolection</v>
          </cell>
          <cell r="O1811">
            <v>0.08</v>
          </cell>
          <cell r="P1811">
            <v>1.9200000000000003E-4</v>
          </cell>
          <cell r="Q1811" t="str">
            <v>L</v>
          </cell>
          <cell r="R1811">
            <v>9.3999999999999997E-4</v>
          </cell>
          <cell r="T1811">
            <v>39472</v>
          </cell>
          <cell r="V1811" t="str">
            <v>2008-01</v>
          </cell>
          <cell r="AH1811" t="str">
            <v/>
          </cell>
          <cell r="AJ1811" t="str">
            <v/>
          </cell>
          <cell r="AL1811" t="str">
            <v/>
          </cell>
          <cell r="AM1811">
            <v>0</v>
          </cell>
          <cell r="AN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</row>
        <row r="1812">
          <cell r="C1812" t="str">
            <v>DWG</v>
          </cell>
          <cell r="H1812" t="str">
            <v>10-XX-A0-CI-0005</v>
          </cell>
          <cell r="I1812" t="str">
            <v>Storm Water Collection Plan and Details</v>
          </cell>
          <cell r="O1812">
            <v>0.08</v>
          </cell>
          <cell r="P1812">
            <v>1.9200000000000003E-4</v>
          </cell>
          <cell r="Q1812" t="str">
            <v>L</v>
          </cell>
          <cell r="R1812">
            <v>9.3999999999999997E-4</v>
          </cell>
          <cell r="T1812">
            <v>39457</v>
          </cell>
          <cell r="V1812" t="str">
            <v>2008-01</v>
          </cell>
          <cell r="AM1812">
            <v>0</v>
          </cell>
          <cell r="AN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</row>
        <row r="1813">
          <cell r="C1813" t="str">
            <v>CLS</v>
          </cell>
          <cell r="H1813" t="str">
            <v>10-XX-CSH-ST-0005</v>
          </cell>
          <cell r="I1813" t="str">
            <v xml:space="preserve">Calculation Sheet For Storm Water Collection </v>
          </cell>
          <cell r="O1813">
            <v>0.08</v>
          </cell>
          <cell r="P1813">
            <v>1.9200000000000003E-4</v>
          </cell>
          <cell r="Q1813" t="str">
            <v>L</v>
          </cell>
          <cell r="R1813">
            <v>9.3999999999999997E-4</v>
          </cell>
          <cell r="T1813">
            <v>39467</v>
          </cell>
          <cell r="V1813" t="str">
            <v>2008-01</v>
          </cell>
          <cell r="AM1813">
            <v>0</v>
          </cell>
          <cell r="AN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</row>
        <row r="1814">
          <cell r="C1814" t="str">
            <v>DWG</v>
          </cell>
          <cell r="H1814" t="str">
            <v>10-XX-A1-CI-0006</v>
          </cell>
          <cell r="I1814" t="str">
            <v>Concrete Cable Trench Plan &amp; details</v>
          </cell>
          <cell r="O1814">
            <v>0.08</v>
          </cell>
          <cell r="P1814">
            <v>1.9200000000000003E-4</v>
          </cell>
          <cell r="Q1814" t="str">
            <v>L</v>
          </cell>
          <cell r="R1814">
            <v>4.2999999999999999E-4</v>
          </cell>
          <cell r="T1814">
            <v>39493</v>
          </cell>
          <cell r="V1814" t="str">
            <v>2008-02</v>
          </cell>
          <cell r="AM1814">
            <v>0</v>
          </cell>
          <cell r="AN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</row>
        <row r="1815">
          <cell r="C1815" t="str">
            <v>DWG</v>
          </cell>
          <cell r="H1815" t="str">
            <v>10-XX-A3-ST-0100</v>
          </cell>
          <cell r="I1815" t="str">
            <v xml:space="preserve">TypiCSH Details For Structural </v>
          </cell>
          <cell r="O1815">
            <v>0.08</v>
          </cell>
          <cell r="P1815">
            <v>1.9200000000000003E-4</v>
          </cell>
          <cell r="Q1815" t="str">
            <v>I</v>
          </cell>
          <cell r="R1815">
            <v>5.2999999999999998E-4</v>
          </cell>
          <cell r="T1815">
            <v>39421</v>
          </cell>
          <cell r="U1815" t="str">
            <v>*</v>
          </cell>
          <cell r="V1815" t="str">
            <v>2007-12</v>
          </cell>
          <cell r="AM1815">
            <v>0</v>
          </cell>
          <cell r="AN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</row>
        <row r="1816">
          <cell r="C1816" t="str">
            <v>DWG</v>
          </cell>
          <cell r="H1816" t="str">
            <v>10-XX-A3-BL-0101</v>
          </cell>
          <cell r="I1816" t="str">
            <v xml:space="preserve">TypiCSH Details For Architectural </v>
          </cell>
          <cell r="O1816">
            <v>0.08</v>
          </cell>
          <cell r="P1816">
            <v>1.9200000000000003E-4</v>
          </cell>
          <cell r="Q1816" t="str">
            <v>I</v>
          </cell>
          <cell r="R1816">
            <v>5.1999999999999995E-4</v>
          </cell>
          <cell r="T1816">
            <v>39427</v>
          </cell>
          <cell r="U1816" t="str">
            <v>*</v>
          </cell>
          <cell r="V1816" t="str">
            <v>2007-12</v>
          </cell>
          <cell r="AM1816">
            <v>0</v>
          </cell>
          <cell r="AN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</row>
        <row r="1817">
          <cell r="C1817" t="str">
            <v>DWG</v>
          </cell>
          <cell r="H1817" t="str">
            <v>10-XX-A3-CI-0102</v>
          </cell>
          <cell r="I1817" t="str">
            <v xml:space="preserve">TypiCSH Details For Civil </v>
          </cell>
          <cell r="O1817">
            <v>0.08</v>
          </cell>
          <cell r="P1817">
            <v>1.9200000000000003E-4</v>
          </cell>
          <cell r="Q1817" t="str">
            <v>I</v>
          </cell>
          <cell r="R1817">
            <v>5.1999999999999995E-4</v>
          </cell>
          <cell r="T1817">
            <v>39432</v>
          </cell>
          <cell r="U1817" t="str">
            <v>*</v>
          </cell>
          <cell r="V1817" t="str">
            <v>2007-12</v>
          </cell>
          <cell r="AM1817">
            <v>0</v>
          </cell>
          <cell r="AN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</row>
        <row r="1818">
          <cell r="C1818" t="str">
            <v>DWG</v>
          </cell>
          <cell r="H1818" t="str">
            <v>10-XX-A0-CI-0007</v>
          </cell>
          <cell r="I1818" t="str">
            <v xml:space="preserve">General Foundation Location Plan &amp; Under Ground Services </v>
          </cell>
          <cell r="O1818">
            <v>0.08</v>
          </cell>
          <cell r="P1818">
            <v>1.9200000000000003E-4</v>
          </cell>
          <cell r="Q1818" t="str">
            <v>L</v>
          </cell>
          <cell r="R1818">
            <v>1.1000000000000001E-3</v>
          </cell>
          <cell r="T1818">
            <v>39498</v>
          </cell>
          <cell r="V1818" t="str">
            <v>2008-02</v>
          </cell>
          <cell r="AM1818">
            <v>0</v>
          </cell>
          <cell r="AN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</row>
        <row r="1819">
          <cell r="C1819" t="str">
            <v>MIS</v>
          </cell>
          <cell r="G1819" t="str">
            <v>Miscellaneous</v>
          </cell>
          <cell r="M1819">
            <v>0.02</v>
          </cell>
          <cell r="P1819">
            <v>4.0000000000000001E-3</v>
          </cell>
          <cell r="R1819">
            <v>9.4000000000000004E-3</v>
          </cell>
          <cell r="U1819" t="str">
            <v>.</v>
          </cell>
          <cell r="V1819" t="str">
            <v>.</v>
          </cell>
          <cell r="AG1819" t="str">
            <v>.</v>
          </cell>
          <cell r="AM1819">
            <v>0</v>
          </cell>
          <cell r="AN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</row>
        <row r="1820"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Information &amp; HSE"/>
      <sheetName val="Events &amp; Areas Concern"/>
      <sheetName val="Manpower"/>
      <sheetName val="Machinery"/>
      <sheetName val="Progress"/>
      <sheetName val="QA-QC"/>
      <sheetName val="Survey-Material"/>
      <sheetName val="NIB.R.W"/>
    </sheetNames>
    <sheetDataSet>
      <sheetData sheetId="0" refreshError="1">
        <row r="67">
          <cell r="E67" t="str">
            <v>NO</v>
          </cell>
          <cell r="F67" t="str">
            <v>ENG</v>
          </cell>
          <cell r="G67" t="str">
            <v>PER</v>
          </cell>
        </row>
        <row r="68">
          <cell r="E68">
            <v>1</v>
          </cell>
          <cell r="F68">
            <v>39829</v>
          </cell>
          <cell r="G68" t="str">
            <v>1387/10/27</v>
          </cell>
        </row>
        <row r="69">
          <cell r="E69">
            <v>2</v>
          </cell>
          <cell r="F69">
            <v>39830</v>
          </cell>
          <cell r="G69" t="str">
            <v>1387/10/28</v>
          </cell>
        </row>
        <row r="70">
          <cell r="E70">
            <v>3</v>
          </cell>
          <cell r="F70">
            <v>39831</v>
          </cell>
          <cell r="G70" t="str">
            <v>1387/10/29</v>
          </cell>
        </row>
        <row r="71">
          <cell r="E71">
            <v>4</v>
          </cell>
          <cell r="F71">
            <v>39832</v>
          </cell>
          <cell r="G71" t="str">
            <v>1387/10/30</v>
          </cell>
        </row>
        <row r="72">
          <cell r="E72">
            <v>5</v>
          </cell>
          <cell r="F72">
            <v>39833</v>
          </cell>
          <cell r="G72" t="str">
            <v>1387/11/01</v>
          </cell>
        </row>
        <row r="73">
          <cell r="E73">
            <v>6</v>
          </cell>
          <cell r="F73">
            <v>39834</v>
          </cell>
          <cell r="G73" t="str">
            <v>1387/11/02</v>
          </cell>
        </row>
        <row r="74">
          <cell r="E74">
            <v>7</v>
          </cell>
          <cell r="F74">
            <v>39835</v>
          </cell>
          <cell r="G74" t="str">
            <v>1387/11/03</v>
          </cell>
        </row>
        <row r="75">
          <cell r="E75">
            <v>8</v>
          </cell>
          <cell r="F75">
            <v>39836</v>
          </cell>
          <cell r="G75" t="str">
            <v>1387/11/04</v>
          </cell>
        </row>
        <row r="76">
          <cell r="E76">
            <v>9</v>
          </cell>
          <cell r="F76">
            <v>39837</v>
          </cell>
          <cell r="G76" t="str">
            <v>1387/11/05</v>
          </cell>
        </row>
        <row r="77">
          <cell r="E77">
            <v>10</v>
          </cell>
          <cell r="F77">
            <v>39838</v>
          </cell>
          <cell r="G77" t="str">
            <v>1387/11/06</v>
          </cell>
        </row>
        <row r="78">
          <cell r="E78">
            <v>11</v>
          </cell>
          <cell r="F78">
            <v>39839</v>
          </cell>
          <cell r="G78" t="str">
            <v>1387/11/07</v>
          </cell>
        </row>
        <row r="79">
          <cell r="E79">
            <v>12</v>
          </cell>
          <cell r="F79">
            <v>39840</v>
          </cell>
          <cell r="G79" t="str">
            <v>1387/11/08</v>
          </cell>
        </row>
        <row r="80">
          <cell r="E80">
            <v>13</v>
          </cell>
          <cell r="F80">
            <v>39841</v>
          </cell>
          <cell r="G80" t="str">
            <v>1387/11/09</v>
          </cell>
        </row>
        <row r="81">
          <cell r="E81">
            <v>14</v>
          </cell>
          <cell r="F81">
            <v>39842</v>
          </cell>
          <cell r="G81" t="str">
            <v>1387/11/10</v>
          </cell>
        </row>
        <row r="82">
          <cell r="E82">
            <v>15</v>
          </cell>
          <cell r="F82">
            <v>39843</v>
          </cell>
          <cell r="G82" t="str">
            <v>1387/11/11</v>
          </cell>
        </row>
        <row r="83">
          <cell r="E83">
            <v>16</v>
          </cell>
          <cell r="F83">
            <v>39844</v>
          </cell>
          <cell r="G83" t="str">
            <v>1387/11/12</v>
          </cell>
        </row>
        <row r="84">
          <cell r="E84">
            <v>17</v>
          </cell>
          <cell r="F84">
            <v>39845</v>
          </cell>
          <cell r="G84" t="str">
            <v>1387/11/13</v>
          </cell>
        </row>
        <row r="85">
          <cell r="E85">
            <v>18</v>
          </cell>
          <cell r="F85">
            <v>39846</v>
          </cell>
          <cell r="G85" t="str">
            <v>1387/11/14</v>
          </cell>
        </row>
        <row r="86">
          <cell r="E86">
            <v>19</v>
          </cell>
          <cell r="F86">
            <v>39847</v>
          </cell>
          <cell r="G86" t="str">
            <v>1387/11/15</v>
          </cell>
        </row>
        <row r="87">
          <cell r="E87">
            <v>20</v>
          </cell>
          <cell r="F87">
            <v>39848</v>
          </cell>
          <cell r="G87" t="str">
            <v>1387/11/16</v>
          </cell>
        </row>
        <row r="88">
          <cell r="E88">
            <v>21</v>
          </cell>
          <cell r="F88">
            <v>39849</v>
          </cell>
          <cell r="G88" t="str">
            <v>1387/11/17</v>
          </cell>
        </row>
        <row r="89">
          <cell r="E89">
            <v>22</v>
          </cell>
          <cell r="F89">
            <v>39850</v>
          </cell>
          <cell r="G89" t="str">
            <v>1387/11/18</v>
          </cell>
        </row>
        <row r="90">
          <cell r="E90">
            <v>23</v>
          </cell>
          <cell r="F90">
            <v>39851</v>
          </cell>
          <cell r="G90" t="str">
            <v>1387/11/19</v>
          </cell>
        </row>
        <row r="91">
          <cell r="E91">
            <v>24</v>
          </cell>
          <cell r="F91">
            <v>39852</v>
          </cell>
          <cell r="G91" t="str">
            <v>1387/11/20</v>
          </cell>
        </row>
        <row r="92">
          <cell r="E92">
            <v>25</v>
          </cell>
          <cell r="F92">
            <v>39853</v>
          </cell>
          <cell r="G92" t="str">
            <v>1387/11/21</v>
          </cell>
        </row>
        <row r="93">
          <cell r="E93">
            <v>26</v>
          </cell>
          <cell r="F93">
            <v>39854</v>
          </cell>
          <cell r="G93" t="str">
            <v>1387/11/22</v>
          </cell>
        </row>
        <row r="94">
          <cell r="E94">
            <v>27</v>
          </cell>
          <cell r="F94">
            <v>39855</v>
          </cell>
          <cell r="G94" t="str">
            <v>1387/11/23</v>
          </cell>
        </row>
        <row r="95">
          <cell r="E95">
            <v>28</v>
          </cell>
          <cell r="F95">
            <v>39856</v>
          </cell>
          <cell r="G95" t="str">
            <v>1387/11/24</v>
          </cell>
        </row>
        <row r="96">
          <cell r="E96">
            <v>29</v>
          </cell>
          <cell r="F96">
            <v>39857</v>
          </cell>
          <cell r="G96" t="str">
            <v>1387/11/25</v>
          </cell>
        </row>
        <row r="97">
          <cell r="E97">
            <v>30</v>
          </cell>
          <cell r="F97">
            <v>39858</v>
          </cell>
          <cell r="G97" t="str">
            <v>1387/11/26</v>
          </cell>
        </row>
        <row r="98">
          <cell r="E98">
            <v>31</v>
          </cell>
          <cell r="F98">
            <v>39859</v>
          </cell>
          <cell r="G98" t="str">
            <v>1387/11/27</v>
          </cell>
        </row>
        <row r="99">
          <cell r="E99">
            <v>32</v>
          </cell>
          <cell r="F99">
            <v>39860</v>
          </cell>
          <cell r="G99" t="str">
            <v>1387/11/28</v>
          </cell>
        </row>
        <row r="100">
          <cell r="E100">
            <v>33</v>
          </cell>
          <cell r="F100">
            <v>39861</v>
          </cell>
          <cell r="G100" t="str">
            <v>1387/11/29</v>
          </cell>
        </row>
        <row r="101">
          <cell r="E101">
            <v>34</v>
          </cell>
          <cell r="F101">
            <v>39862</v>
          </cell>
          <cell r="G101" t="str">
            <v>1387/11/30</v>
          </cell>
        </row>
        <row r="102">
          <cell r="E102">
            <v>35</v>
          </cell>
          <cell r="F102">
            <v>39863</v>
          </cell>
          <cell r="G102" t="str">
            <v>1387/12/01</v>
          </cell>
        </row>
        <row r="103">
          <cell r="E103">
            <v>36</v>
          </cell>
          <cell r="F103">
            <v>39864</v>
          </cell>
          <cell r="G103" t="str">
            <v>1387/12/02</v>
          </cell>
        </row>
        <row r="104">
          <cell r="E104">
            <v>37</v>
          </cell>
          <cell r="F104">
            <v>39865</v>
          </cell>
          <cell r="G104" t="str">
            <v>1387/12/03</v>
          </cell>
        </row>
        <row r="105">
          <cell r="E105">
            <v>38</v>
          </cell>
          <cell r="F105">
            <v>39866</v>
          </cell>
          <cell r="G105" t="str">
            <v>1387/12/04</v>
          </cell>
        </row>
        <row r="106">
          <cell r="E106">
            <v>39</v>
          </cell>
          <cell r="F106">
            <v>39867</v>
          </cell>
          <cell r="G106" t="str">
            <v>1387/12/05</v>
          </cell>
        </row>
        <row r="107">
          <cell r="E107">
            <v>40</v>
          </cell>
          <cell r="F107">
            <v>39868</v>
          </cell>
          <cell r="G107" t="str">
            <v>1387/12/06</v>
          </cell>
        </row>
        <row r="108">
          <cell r="E108">
            <v>41</v>
          </cell>
          <cell r="F108">
            <v>39869</v>
          </cell>
          <cell r="G108" t="str">
            <v>1387/12/07</v>
          </cell>
        </row>
        <row r="109">
          <cell r="E109">
            <v>42</v>
          </cell>
          <cell r="F109">
            <v>39870</v>
          </cell>
          <cell r="G109" t="str">
            <v>1387/12/08</v>
          </cell>
        </row>
        <row r="110">
          <cell r="E110">
            <v>43</v>
          </cell>
          <cell r="F110">
            <v>39871</v>
          </cell>
          <cell r="G110" t="str">
            <v>1387/12/09</v>
          </cell>
        </row>
        <row r="111">
          <cell r="E111">
            <v>44</v>
          </cell>
          <cell r="F111">
            <v>39872</v>
          </cell>
          <cell r="G111" t="str">
            <v>1387/12/10</v>
          </cell>
        </row>
        <row r="112">
          <cell r="E112">
            <v>45</v>
          </cell>
          <cell r="F112">
            <v>39873</v>
          </cell>
          <cell r="G112" t="str">
            <v>1387/12/11</v>
          </cell>
        </row>
        <row r="113">
          <cell r="E113">
            <v>46</v>
          </cell>
          <cell r="F113">
            <v>39874</v>
          </cell>
          <cell r="G113" t="str">
            <v>1387/12/12</v>
          </cell>
        </row>
        <row r="114">
          <cell r="E114">
            <v>47</v>
          </cell>
          <cell r="F114">
            <v>39875</v>
          </cell>
          <cell r="G114" t="str">
            <v>1387/12/13</v>
          </cell>
        </row>
        <row r="115">
          <cell r="E115">
            <v>48</v>
          </cell>
          <cell r="F115">
            <v>39876</v>
          </cell>
          <cell r="G115" t="str">
            <v>1387/12/14</v>
          </cell>
        </row>
        <row r="116">
          <cell r="E116">
            <v>49</v>
          </cell>
          <cell r="F116">
            <v>39877</v>
          </cell>
          <cell r="G116" t="str">
            <v>1387/12/15</v>
          </cell>
        </row>
        <row r="117">
          <cell r="E117">
            <v>50</v>
          </cell>
          <cell r="F117">
            <v>39878</v>
          </cell>
          <cell r="G117" t="str">
            <v>1387/12/16</v>
          </cell>
        </row>
        <row r="118">
          <cell r="E118">
            <v>51</v>
          </cell>
          <cell r="F118">
            <v>39879</v>
          </cell>
          <cell r="G118" t="str">
            <v>1387/12/17</v>
          </cell>
        </row>
        <row r="119">
          <cell r="E119">
            <v>52</v>
          </cell>
          <cell r="F119">
            <v>39880</v>
          </cell>
          <cell r="G119" t="str">
            <v>1387/12/18</v>
          </cell>
        </row>
        <row r="120">
          <cell r="E120">
            <v>53</v>
          </cell>
          <cell r="F120">
            <v>39881</v>
          </cell>
          <cell r="G120" t="str">
            <v>1387/12/19</v>
          </cell>
        </row>
        <row r="121">
          <cell r="E121">
            <v>54</v>
          </cell>
          <cell r="F121">
            <v>39882</v>
          </cell>
          <cell r="G121" t="str">
            <v>1387/12/20</v>
          </cell>
        </row>
        <row r="122">
          <cell r="E122">
            <v>55</v>
          </cell>
          <cell r="F122">
            <v>39883</v>
          </cell>
          <cell r="G122" t="str">
            <v>1387/12/21</v>
          </cell>
        </row>
        <row r="123">
          <cell r="E123">
            <v>56</v>
          </cell>
          <cell r="F123">
            <v>39884</v>
          </cell>
          <cell r="G123" t="str">
            <v>1387/12/22</v>
          </cell>
        </row>
        <row r="124">
          <cell r="E124">
            <v>57</v>
          </cell>
          <cell r="F124">
            <v>39885</v>
          </cell>
          <cell r="G124" t="str">
            <v>1387/12/23</v>
          </cell>
        </row>
        <row r="125">
          <cell r="E125">
            <v>58</v>
          </cell>
          <cell r="F125">
            <v>39886</v>
          </cell>
          <cell r="G125" t="str">
            <v>1387/12/24</v>
          </cell>
        </row>
        <row r="126">
          <cell r="E126">
            <v>59</v>
          </cell>
          <cell r="F126">
            <v>39887</v>
          </cell>
          <cell r="G126" t="str">
            <v>1387/12/25</v>
          </cell>
        </row>
        <row r="127">
          <cell r="E127">
            <v>60</v>
          </cell>
          <cell r="F127">
            <v>39888</v>
          </cell>
          <cell r="G127" t="str">
            <v>1387/12/26</v>
          </cell>
        </row>
        <row r="128">
          <cell r="E128">
            <v>61</v>
          </cell>
          <cell r="F128">
            <v>39889</v>
          </cell>
          <cell r="G128" t="str">
            <v>1387/12/27</v>
          </cell>
        </row>
        <row r="129">
          <cell r="E129">
            <v>62</v>
          </cell>
          <cell r="F129">
            <v>39890</v>
          </cell>
          <cell r="G129" t="str">
            <v>1387/12/28</v>
          </cell>
        </row>
        <row r="130">
          <cell r="E130">
            <v>63</v>
          </cell>
          <cell r="F130">
            <v>39891</v>
          </cell>
          <cell r="G130" t="str">
            <v>1387/12/29</v>
          </cell>
        </row>
        <row r="131">
          <cell r="E131">
            <v>64</v>
          </cell>
          <cell r="F131">
            <v>39892</v>
          </cell>
          <cell r="G131" t="str">
            <v>1387/12/30</v>
          </cell>
        </row>
        <row r="132">
          <cell r="E132">
            <v>65</v>
          </cell>
          <cell r="F132">
            <v>39893</v>
          </cell>
          <cell r="G132" t="str">
            <v>1388/01/01</v>
          </cell>
        </row>
        <row r="133">
          <cell r="E133">
            <v>66</v>
          </cell>
          <cell r="F133">
            <v>39894</v>
          </cell>
          <cell r="G133" t="str">
            <v>1388/01/02</v>
          </cell>
        </row>
        <row r="134">
          <cell r="E134">
            <v>67</v>
          </cell>
          <cell r="F134">
            <v>39895</v>
          </cell>
          <cell r="G134" t="str">
            <v>1388/01/03</v>
          </cell>
        </row>
        <row r="135">
          <cell r="E135">
            <v>68</v>
          </cell>
          <cell r="F135">
            <v>39896</v>
          </cell>
          <cell r="G135" t="str">
            <v>1388/01/04</v>
          </cell>
        </row>
        <row r="136">
          <cell r="E136">
            <v>69</v>
          </cell>
          <cell r="F136">
            <v>39897</v>
          </cell>
          <cell r="G136" t="str">
            <v>1388/01/05</v>
          </cell>
        </row>
        <row r="137">
          <cell r="E137">
            <v>70</v>
          </cell>
          <cell r="F137">
            <v>39898</v>
          </cell>
          <cell r="G137" t="str">
            <v>1388/01/06</v>
          </cell>
        </row>
        <row r="138">
          <cell r="E138">
            <v>71</v>
          </cell>
          <cell r="F138">
            <v>39899</v>
          </cell>
          <cell r="G138" t="str">
            <v>1388/01/07</v>
          </cell>
        </row>
        <row r="139">
          <cell r="E139">
            <v>72</v>
          </cell>
          <cell r="F139">
            <v>39900</v>
          </cell>
          <cell r="G139" t="str">
            <v>1388/01/08</v>
          </cell>
        </row>
        <row r="140">
          <cell r="E140">
            <v>73</v>
          </cell>
          <cell r="F140">
            <v>39901</v>
          </cell>
          <cell r="G140" t="str">
            <v>1388/01/09</v>
          </cell>
        </row>
        <row r="141">
          <cell r="E141">
            <v>74</v>
          </cell>
          <cell r="F141">
            <v>39902</v>
          </cell>
          <cell r="G141" t="str">
            <v>1388/01/10</v>
          </cell>
        </row>
        <row r="142">
          <cell r="E142">
            <v>75</v>
          </cell>
          <cell r="F142">
            <v>39903</v>
          </cell>
          <cell r="G142" t="str">
            <v>1388/01/11</v>
          </cell>
        </row>
        <row r="143">
          <cell r="E143">
            <v>76</v>
          </cell>
          <cell r="F143">
            <v>39904</v>
          </cell>
          <cell r="G143" t="str">
            <v>1388/01/12</v>
          </cell>
        </row>
        <row r="144">
          <cell r="E144">
            <v>77</v>
          </cell>
          <cell r="F144">
            <v>39905</v>
          </cell>
          <cell r="G144" t="str">
            <v>1388/01/13</v>
          </cell>
        </row>
        <row r="145">
          <cell r="E145">
            <v>78</v>
          </cell>
          <cell r="F145">
            <v>39906</v>
          </cell>
          <cell r="G145" t="str">
            <v>1388/01/14</v>
          </cell>
        </row>
        <row r="146">
          <cell r="E146">
            <v>79</v>
          </cell>
          <cell r="F146">
            <v>39907</v>
          </cell>
          <cell r="G146" t="str">
            <v>1388/01/15</v>
          </cell>
        </row>
        <row r="147">
          <cell r="E147">
            <v>80</v>
          </cell>
          <cell r="F147">
            <v>39908</v>
          </cell>
          <cell r="G147" t="str">
            <v>1388/01/16</v>
          </cell>
        </row>
        <row r="148">
          <cell r="E148">
            <v>81</v>
          </cell>
          <cell r="F148">
            <v>39909</v>
          </cell>
          <cell r="G148" t="str">
            <v>1388/01/17</v>
          </cell>
        </row>
        <row r="149">
          <cell r="E149">
            <v>82</v>
          </cell>
          <cell r="F149">
            <v>39910</v>
          </cell>
          <cell r="G149" t="str">
            <v>1388/01/18</v>
          </cell>
        </row>
        <row r="150">
          <cell r="E150">
            <v>83</v>
          </cell>
          <cell r="F150">
            <v>39911</v>
          </cell>
          <cell r="G150" t="str">
            <v>1388/01/19</v>
          </cell>
        </row>
        <row r="151">
          <cell r="E151">
            <v>84</v>
          </cell>
          <cell r="F151">
            <v>39912</v>
          </cell>
          <cell r="G151" t="str">
            <v>1388/01/20</v>
          </cell>
        </row>
        <row r="152">
          <cell r="E152">
            <v>85</v>
          </cell>
          <cell r="F152">
            <v>39913</v>
          </cell>
          <cell r="G152" t="str">
            <v>1388/01/21</v>
          </cell>
        </row>
        <row r="153">
          <cell r="E153">
            <v>86</v>
          </cell>
          <cell r="F153">
            <v>39914</v>
          </cell>
          <cell r="G153" t="str">
            <v>1388/01/22</v>
          </cell>
        </row>
        <row r="154">
          <cell r="E154">
            <v>87</v>
          </cell>
          <cell r="F154">
            <v>39915</v>
          </cell>
          <cell r="G154" t="str">
            <v>1388/01/23</v>
          </cell>
        </row>
        <row r="155">
          <cell r="E155">
            <v>88</v>
          </cell>
          <cell r="F155">
            <v>39916</v>
          </cell>
          <cell r="G155" t="str">
            <v>1388/01/24</v>
          </cell>
        </row>
        <row r="156">
          <cell r="E156">
            <v>89</v>
          </cell>
          <cell r="F156">
            <v>39917</v>
          </cell>
          <cell r="G156" t="str">
            <v>1388/01/25</v>
          </cell>
        </row>
        <row r="157">
          <cell r="E157">
            <v>90</v>
          </cell>
          <cell r="F157">
            <v>39918</v>
          </cell>
          <cell r="G157" t="str">
            <v>1388/01/26</v>
          </cell>
        </row>
        <row r="158">
          <cell r="E158">
            <v>91</v>
          </cell>
          <cell r="F158">
            <v>39919</v>
          </cell>
          <cell r="G158" t="str">
            <v>1388/01/27</v>
          </cell>
        </row>
        <row r="159">
          <cell r="E159">
            <v>92</v>
          </cell>
          <cell r="F159">
            <v>39920</v>
          </cell>
          <cell r="G159" t="str">
            <v>1388/01/28</v>
          </cell>
        </row>
        <row r="160">
          <cell r="E160">
            <v>93</v>
          </cell>
          <cell r="F160">
            <v>39921</v>
          </cell>
          <cell r="G160" t="str">
            <v>1388/01/29</v>
          </cell>
        </row>
        <row r="161">
          <cell r="E161">
            <v>94</v>
          </cell>
          <cell r="F161">
            <v>39922</v>
          </cell>
          <cell r="G161" t="str">
            <v>1388/01/30</v>
          </cell>
        </row>
        <row r="162">
          <cell r="E162">
            <v>95</v>
          </cell>
          <cell r="F162">
            <v>39923</v>
          </cell>
          <cell r="G162" t="str">
            <v>1388/01/31</v>
          </cell>
        </row>
        <row r="163">
          <cell r="E163">
            <v>96</v>
          </cell>
          <cell r="F163">
            <v>39924</v>
          </cell>
          <cell r="G163" t="str">
            <v>1388/02/01</v>
          </cell>
        </row>
        <row r="164">
          <cell r="E164">
            <v>97</v>
          </cell>
          <cell r="F164">
            <v>39925</v>
          </cell>
          <cell r="G164" t="str">
            <v>1388/02/02</v>
          </cell>
        </row>
        <row r="165">
          <cell r="E165">
            <v>98</v>
          </cell>
          <cell r="F165">
            <v>39926</v>
          </cell>
          <cell r="G165" t="str">
            <v>1388/02/03</v>
          </cell>
        </row>
        <row r="166">
          <cell r="E166">
            <v>99</v>
          </cell>
          <cell r="F166">
            <v>39927</v>
          </cell>
          <cell r="G166" t="str">
            <v>1388/02/04</v>
          </cell>
        </row>
        <row r="167">
          <cell r="E167">
            <v>100</v>
          </cell>
          <cell r="F167">
            <v>39928</v>
          </cell>
          <cell r="G167" t="str">
            <v>1388/02/05</v>
          </cell>
        </row>
        <row r="168">
          <cell r="E168">
            <v>101</v>
          </cell>
          <cell r="F168">
            <v>39929</v>
          </cell>
          <cell r="G168" t="str">
            <v>1388/02/06</v>
          </cell>
        </row>
        <row r="169">
          <cell r="E169">
            <v>102</v>
          </cell>
          <cell r="F169">
            <v>39930</v>
          </cell>
          <cell r="G169" t="str">
            <v>1388/02/07</v>
          </cell>
        </row>
        <row r="170">
          <cell r="E170">
            <v>103</v>
          </cell>
          <cell r="F170">
            <v>39931</v>
          </cell>
          <cell r="G170" t="str">
            <v>1388/02/08</v>
          </cell>
        </row>
        <row r="171">
          <cell r="E171">
            <v>104</v>
          </cell>
          <cell r="F171">
            <v>39932</v>
          </cell>
          <cell r="G171" t="str">
            <v>1388/02/09</v>
          </cell>
        </row>
        <row r="172">
          <cell r="E172">
            <v>105</v>
          </cell>
          <cell r="F172">
            <v>39933</v>
          </cell>
          <cell r="G172" t="str">
            <v>1388/02/10</v>
          </cell>
        </row>
        <row r="173">
          <cell r="E173">
            <v>106</v>
          </cell>
          <cell r="F173">
            <v>39934</v>
          </cell>
          <cell r="G173" t="str">
            <v>1388/02/11</v>
          </cell>
        </row>
        <row r="174">
          <cell r="E174">
            <v>107</v>
          </cell>
          <cell r="F174">
            <v>39935</v>
          </cell>
          <cell r="G174" t="str">
            <v>1388/02/12</v>
          </cell>
        </row>
        <row r="175">
          <cell r="E175">
            <v>108</v>
          </cell>
          <cell r="F175">
            <v>39936</v>
          </cell>
          <cell r="G175" t="str">
            <v>1388/02/13</v>
          </cell>
        </row>
        <row r="176">
          <cell r="E176">
            <v>109</v>
          </cell>
          <cell r="F176">
            <v>39937</v>
          </cell>
          <cell r="G176" t="str">
            <v>1388/02/14</v>
          </cell>
        </row>
        <row r="177">
          <cell r="E177">
            <v>110</v>
          </cell>
          <cell r="F177">
            <v>39938</v>
          </cell>
          <cell r="G177" t="str">
            <v>1388/02/15</v>
          </cell>
        </row>
        <row r="178">
          <cell r="E178">
            <v>111</v>
          </cell>
          <cell r="F178">
            <v>39939</v>
          </cell>
          <cell r="G178" t="str">
            <v>1388/02/16</v>
          </cell>
        </row>
        <row r="179">
          <cell r="E179">
            <v>112</v>
          </cell>
          <cell r="F179">
            <v>39940</v>
          </cell>
          <cell r="G179" t="str">
            <v>1388/02/17</v>
          </cell>
        </row>
        <row r="180">
          <cell r="E180">
            <v>113</v>
          </cell>
          <cell r="F180">
            <v>39941</v>
          </cell>
          <cell r="G180" t="str">
            <v>1388/02/18</v>
          </cell>
        </row>
        <row r="181">
          <cell r="E181">
            <v>114</v>
          </cell>
          <cell r="F181">
            <v>39942</v>
          </cell>
          <cell r="G181" t="str">
            <v>1388/02/19</v>
          </cell>
        </row>
        <row r="182">
          <cell r="E182">
            <v>115</v>
          </cell>
          <cell r="F182">
            <v>39943</v>
          </cell>
          <cell r="G182" t="str">
            <v>1388/02/20</v>
          </cell>
        </row>
        <row r="183">
          <cell r="E183">
            <v>116</v>
          </cell>
          <cell r="F183">
            <v>39944</v>
          </cell>
          <cell r="G183" t="str">
            <v>1388/02/21</v>
          </cell>
        </row>
        <row r="184">
          <cell r="E184">
            <v>117</v>
          </cell>
          <cell r="F184">
            <v>39945</v>
          </cell>
          <cell r="G184" t="str">
            <v>1388/02/22</v>
          </cell>
        </row>
        <row r="185">
          <cell r="E185">
            <v>118</v>
          </cell>
          <cell r="F185">
            <v>39946</v>
          </cell>
          <cell r="G185" t="str">
            <v>1388/02/23</v>
          </cell>
        </row>
        <row r="186">
          <cell r="E186">
            <v>119</v>
          </cell>
          <cell r="F186">
            <v>39947</v>
          </cell>
          <cell r="G186" t="str">
            <v>1388/02/24</v>
          </cell>
        </row>
        <row r="187">
          <cell r="E187">
            <v>120</v>
          </cell>
          <cell r="F187">
            <v>39948</v>
          </cell>
          <cell r="G187" t="str">
            <v>1388/02/25</v>
          </cell>
        </row>
        <row r="188">
          <cell r="E188">
            <v>121</v>
          </cell>
          <cell r="F188">
            <v>39949</v>
          </cell>
          <cell r="G188" t="str">
            <v>1388/02/26</v>
          </cell>
        </row>
        <row r="189">
          <cell r="E189">
            <v>122</v>
          </cell>
          <cell r="F189">
            <v>39950</v>
          </cell>
          <cell r="G189" t="str">
            <v>1388/02/27</v>
          </cell>
        </row>
        <row r="190">
          <cell r="E190">
            <v>123</v>
          </cell>
          <cell r="F190">
            <v>39951</v>
          </cell>
          <cell r="G190" t="str">
            <v>1388/02/28</v>
          </cell>
        </row>
        <row r="191">
          <cell r="E191">
            <v>124</v>
          </cell>
          <cell r="F191">
            <v>39952</v>
          </cell>
          <cell r="G191" t="str">
            <v>1388/02/29</v>
          </cell>
        </row>
        <row r="192">
          <cell r="E192">
            <v>125</v>
          </cell>
          <cell r="F192">
            <v>39953</v>
          </cell>
          <cell r="G192" t="str">
            <v>1388/02/30</v>
          </cell>
        </row>
        <row r="193">
          <cell r="E193">
            <v>126</v>
          </cell>
          <cell r="F193">
            <v>39954</v>
          </cell>
          <cell r="G193" t="str">
            <v>1388/02/31</v>
          </cell>
        </row>
        <row r="194">
          <cell r="E194">
            <v>127</v>
          </cell>
          <cell r="F194">
            <v>39955</v>
          </cell>
          <cell r="G194" t="str">
            <v>1388/03/01</v>
          </cell>
        </row>
        <row r="195">
          <cell r="E195">
            <v>128</v>
          </cell>
          <cell r="F195">
            <v>39956</v>
          </cell>
          <cell r="G195" t="str">
            <v>1388/03/02</v>
          </cell>
        </row>
        <row r="196">
          <cell r="E196">
            <v>129</v>
          </cell>
          <cell r="F196">
            <v>39957</v>
          </cell>
          <cell r="G196" t="str">
            <v>1388/03/03</v>
          </cell>
        </row>
        <row r="197">
          <cell r="E197">
            <v>130</v>
          </cell>
          <cell r="F197">
            <v>39958</v>
          </cell>
          <cell r="G197" t="str">
            <v>1388/03/04</v>
          </cell>
        </row>
        <row r="198">
          <cell r="E198">
            <v>131</v>
          </cell>
          <cell r="F198">
            <v>39959</v>
          </cell>
          <cell r="G198" t="str">
            <v>1388/03/05</v>
          </cell>
        </row>
        <row r="199">
          <cell r="E199">
            <v>132</v>
          </cell>
          <cell r="F199">
            <v>39960</v>
          </cell>
          <cell r="G199" t="str">
            <v>1388/03/06</v>
          </cell>
        </row>
        <row r="200">
          <cell r="E200">
            <v>133</v>
          </cell>
          <cell r="F200">
            <v>39961</v>
          </cell>
          <cell r="G200" t="str">
            <v>1388/03/07</v>
          </cell>
        </row>
        <row r="201">
          <cell r="E201">
            <v>134</v>
          </cell>
          <cell r="F201">
            <v>39962</v>
          </cell>
          <cell r="G201" t="str">
            <v>1388/03/08</v>
          </cell>
        </row>
        <row r="202">
          <cell r="E202">
            <v>135</v>
          </cell>
          <cell r="F202">
            <v>39963</v>
          </cell>
          <cell r="G202" t="str">
            <v>1388/03/09</v>
          </cell>
        </row>
        <row r="203">
          <cell r="E203">
            <v>136</v>
          </cell>
          <cell r="F203">
            <v>39964</v>
          </cell>
          <cell r="G203" t="str">
            <v>1388/03/10</v>
          </cell>
        </row>
        <row r="204">
          <cell r="E204">
            <v>137</v>
          </cell>
          <cell r="F204">
            <v>39965</v>
          </cell>
          <cell r="G204" t="str">
            <v>1388/03/11</v>
          </cell>
        </row>
        <row r="205">
          <cell r="E205">
            <v>138</v>
          </cell>
          <cell r="F205">
            <v>39966</v>
          </cell>
          <cell r="G205" t="str">
            <v>1388/03/12</v>
          </cell>
        </row>
        <row r="206">
          <cell r="E206">
            <v>139</v>
          </cell>
          <cell r="F206">
            <v>39967</v>
          </cell>
          <cell r="G206" t="str">
            <v>1388/03/13</v>
          </cell>
        </row>
        <row r="207">
          <cell r="E207">
            <v>140</v>
          </cell>
          <cell r="F207">
            <v>39968</v>
          </cell>
          <cell r="G207" t="str">
            <v>1388/03/14</v>
          </cell>
        </row>
        <row r="208">
          <cell r="E208">
            <v>141</v>
          </cell>
          <cell r="F208">
            <v>39969</v>
          </cell>
          <cell r="G208" t="str">
            <v>1388/03/15</v>
          </cell>
        </row>
        <row r="209">
          <cell r="E209">
            <v>142</v>
          </cell>
          <cell r="F209">
            <v>39970</v>
          </cell>
          <cell r="G209" t="str">
            <v>1388/03/16</v>
          </cell>
        </row>
        <row r="210">
          <cell r="E210">
            <v>143</v>
          </cell>
          <cell r="F210">
            <v>39971</v>
          </cell>
          <cell r="G210" t="str">
            <v>1388/03/17</v>
          </cell>
        </row>
        <row r="211">
          <cell r="E211">
            <v>144</v>
          </cell>
          <cell r="F211">
            <v>39972</v>
          </cell>
          <cell r="G211" t="str">
            <v>1388/03/18</v>
          </cell>
        </row>
        <row r="212">
          <cell r="E212">
            <v>145</v>
          </cell>
          <cell r="F212">
            <v>39973</v>
          </cell>
          <cell r="G212" t="str">
            <v>1388/03/19</v>
          </cell>
        </row>
        <row r="213">
          <cell r="E213">
            <v>146</v>
          </cell>
          <cell r="F213">
            <v>39974</v>
          </cell>
          <cell r="G213" t="str">
            <v>1388/03/20</v>
          </cell>
        </row>
        <row r="214">
          <cell r="E214">
            <v>147</v>
          </cell>
          <cell r="F214">
            <v>39975</v>
          </cell>
          <cell r="G214" t="str">
            <v>1388/03/21</v>
          </cell>
        </row>
        <row r="215">
          <cell r="E215">
            <v>148</v>
          </cell>
          <cell r="F215">
            <v>39976</v>
          </cell>
          <cell r="G215" t="str">
            <v>1388/03/22</v>
          </cell>
        </row>
        <row r="216">
          <cell r="E216">
            <v>149</v>
          </cell>
          <cell r="F216">
            <v>39977</v>
          </cell>
          <cell r="G216" t="str">
            <v>1388/03/23</v>
          </cell>
        </row>
        <row r="217">
          <cell r="E217">
            <v>150</v>
          </cell>
          <cell r="F217">
            <v>39978</v>
          </cell>
          <cell r="G217" t="str">
            <v>1388/03/24</v>
          </cell>
        </row>
        <row r="218">
          <cell r="E218">
            <v>151</v>
          </cell>
          <cell r="F218">
            <v>39979</v>
          </cell>
          <cell r="G218" t="str">
            <v>1388/03/25</v>
          </cell>
        </row>
        <row r="219">
          <cell r="E219">
            <v>152</v>
          </cell>
          <cell r="F219">
            <v>39980</v>
          </cell>
          <cell r="G219" t="str">
            <v>1388/03/26</v>
          </cell>
        </row>
        <row r="220">
          <cell r="E220">
            <v>153</v>
          </cell>
          <cell r="F220">
            <v>39981</v>
          </cell>
          <cell r="G220" t="str">
            <v>1388/03/27</v>
          </cell>
        </row>
        <row r="221">
          <cell r="E221">
            <v>154</v>
          </cell>
          <cell r="F221">
            <v>39982</v>
          </cell>
          <cell r="G221" t="str">
            <v>1388/03/28</v>
          </cell>
        </row>
        <row r="222">
          <cell r="E222">
            <v>155</v>
          </cell>
          <cell r="F222">
            <v>39983</v>
          </cell>
          <cell r="G222" t="str">
            <v>1388/03/29</v>
          </cell>
        </row>
        <row r="223">
          <cell r="E223">
            <v>156</v>
          </cell>
          <cell r="F223">
            <v>39984</v>
          </cell>
          <cell r="G223" t="str">
            <v>1388/03/30</v>
          </cell>
        </row>
        <row r="224">
          <cell r="E224">
            <v>157</v>
          </cell>
          <cell r="F224">
            <v>39985</v>
          </cell>
          <cell r="G224" t="str">
            <v>1388/03/31</v>
          </cell>
        </row>
        <row r="225">
          <cell r="E225">
            <v>158</v>
          </cell>
          <cell r="F225">
            <v>39986</v>
          </cell>
          <cell r="G225" t="str">
            <v>1388/04/01</v>
          </cell>
        </row>
        <row r="226">
          <cell r="E226">
            <v>159</v>
          </cell>
          <cell r="F226">
            <v>39987</v>
          </cell>
          <cell r="G226" t="str">
            <v>1388/04/02</v>
          </cell>
        </row>
        <row r="227">
          <cell r="E227">
            <v>160</v>
          </cell>
          <cell r="F227">
            <v>39988</v>
          </cell>
          <cell r="G227" t="str">
            <v>1388/04/03</v>
          </cell>
        </row>
        <row r="228">
          <cell r="E228">
            <v>161</v>
          </cell>
          <cell r="F228">
            <v>39989</v>
          </cell>
          <cell r="G228" t="str">
            <v>1388/04/04</v>
          </cell>
        </row>
        <row r="229">
          <cell r="E229">
            <v>162</v>
          </cell>
          <cell r="F229">
            <v>39990</v>
          </cell>
          <cell r="G229" t="str">
            <v>1388/04/05</v>
          </cell>
        </row>
        <row r="230">
          <cell r="E230">
            <v>163</v>
          </cell>
          <cell r="F230">
            <v>39991</v>
          </cell>
          <cell r="G230" t="str">
            <v>1388/04/06</v>
          </cell>
        </row>
        <row r="231">
          <cell r="E231">
            <v>164</v>
          </cell>
          <cell r="F231">
            <v>39992</v>
          </cell>
          <cell r="G231" t="str">
            <v>1388/04/07</v>
          </cell>
        </row>
        <row r="232">
          <cell r="E232">
            <v>165</v>
          </cell>
          <cell r="F232">
            <v>39993</v>
          </cell>
          <cell r="G232" t="str">
            <v>1388/04/08</v>
          </cell>
        </row>
        <row r="233">
          <cell r="E233">
            <v>166</v>
          </cell>
          <cell r="F233">
            <v>39994</v>
          </cell>
          <cell r="G233" t="str">
            <v>1388/04/09</v>
          </cell>
        </row>
        <row r="234">
          <cell r="E234">
            <v>167</v>
          </cell>
          <cell r="F234">
            <v>39995</v>
          </cell>
          <cell r="G234" t="str">
            <v>1388/04/10</v>
          </cell>
        </row>
        <row r="235">
          <cell r="E235">
            <v>168</v>
          </cell>
          <cell r="F235">
            <v>39996</v>
          </cell>
          <cell r="G235" t="str">
            <v>1388/04/11</v>
          </cell>
        </row>
        <row r="236">
          <cell r="E236">
            <v>169</v>
          </cell>
          <cell r="F236">
            <v>39997</v>
          </cell>
          <cell r="G236" t="str">
            <v>1388/04/12</v>
          </cell>
        </row>
        <row r="237">
          <cell r="E237">
            <v>170</v>
          </cell>
          <cell r="F237">
            <v>39998</v>
          </cell>
          <cell r="G237" t="str">
            <v>1388/04/13</v>
          </cell>
        </row>
        <row r="238">
          <cell r="E238">
            <v>171</v>
          </cell>
          <cell r="F238">
            <v>39999</v>
          </cell>
          <cell r="G238" t="str">
            <v>1388/04/14</v>
          </cell>
        </row>
        <row r="239">
          <cell r="E239">
            <v>172</v>
          </cell>
          <cell r="F239">
            <v>40000</v>
          </cell>
          <cell r="G239" t="str">
            <v>1388/04/15</v>
          </cell>
        </row>
        <row r="240">
          <cell r="E240">
            <v>173</v>
          </cell>
          <cell r="F240">
            <v>40001</v>
          </cell>
          <cell r="G240" t="str">
            <v>1388/04/16</v>
          </cell>
        </row>
        <row r="241">
          <cell r="E241">
            <v>174</v>
          </cell>
          <cell r="F241">
            <v>40002</v>
          </cell>
          <cell r="G241" t="str">
            <v>1388/04/17</v>
          </cell>
        </row>
        <row r="242">
          <cell r="E242">
            <v>175</v>
          </cell>
          <cell r="F242">
            <v>40003</v>
          </cell>
          <cell r="G242" t="str">
            <v>1388/04/18</v>
          </cell>
        </row>
        <row r="243">
          <cell r="E243">
            <v>176</v>
          </cell>
          <cell r="F243">
            <v>40004</v>
          </cell>
          <cell r="G243" t="str">
            <v>1388/04/19</v>
          </cell>
        </row>
        <row r="244">
          <cell r="E244">
            <v>177</v>
          </cell>
          <cell r="F244">
            <v>40005</v>
          </cell>
          <cell r="G244" t="str">
            <v>1388/04/20</v>
          </cell>
        </row>
        <row r="245">
          <cell r="E245">
            <v>178</v>
          </cell>
          <cell r="F245">
            <v>40006</v>
          </cell>
          <cell r="G245" t="str">
            <v>1388/04/21</v>
          </cell>
        </row>
        <row r="246">
          <cell r="E246">
            <v>179</v>
          </cell>
          <cell r="F246">
            <v>40007</v>
          </cell>
          <cell r="G246" t="str">
            <v>1388/04/22</v>
          </cell>
        </row>
        <row r="247">
          <cell r="E247">
            <v>180</v>
          </cell>
          <cell r="F247">
            <v>40008</v>
          </cell>
          <cell r="G247" t="str">
            <v>1388/04/23</v>
          </cell>
        </row>
        <row r="248">
          <cell r="E248">
            <v>181</v>
          </cell>
          <cell r="F248">
            <v>40009</v>
          </cell>
          <cell r="G248" t="str">
            <v>1388/04/24</v>
          </cell>
        </row>
        <row r="249">
          <cell r="E249">
            <v>182</v>
          </cell>
          <cell r="F249">
            <v>40010</v>
          </cell>
          <cell r="G249" t="str">
            <v>1388/04/25</v>
          </cell>
        </row>
        <row r="250">
          <cell r="E250">
            <v>183</v>
          </cell>
          <cell r="F250">
            <v>40011</v>
          </cell>
          <cell r="G250" t="str">
            <v>1388/04/26</v>
          </cell>
        </row>
        <row r="251">
          <cell r="E251">
            <v>184</v>
          </cell>
          <cell r="F251">
            <v>40012</v>
          </cell>
          <cell r="G251" t="str">
            <v>1388/04/27</v>
          </cell>
        </row>
        <row r="252">
          <cell r="E252">
            <v>185</v>
          </cell>
          <cell r="F252">
            <v>40013</v>
          </cell>
          <cell r="G252" t="str">
            <v>1388/04/28</v>
          </cell>
        </row>
        <row r="253">
          <cell r="E253">
            <v>186</v>
          </cell>
          <cell r="F253">
            <v>40014</v>
          </cell>
          <cell r="G253" t="str">
            <v>1388/04/29</v>
          </cell>
        </row>
        <row r="254">
          <cell r="E254">
            <v>187</v>
          </cell>
          <cell r="F254">
            <v>40015</v>
          </cell>
          <cell r="G254" t="str">
            <v>1388/04/30</v>
          </cell>
        </row>
        <row r="255">
          <cell r="E255">
            <v>188</v>
          </cell>
          <cell r="F255">
            <v>40016</v>
          </cell>
          <cell r="G255" t="str">
            <v>1388/04/31</v>
          </cell>
        </row>
        <row r="256">
          <cell r="E256">
            <v>189</v>
          </cell>
          <cell r="F256">
            <v>40017</v>
          </cell>
          <cell r="G256" t="str">
            <v>1388/05/01</v>
          </cell>
        </row>
        <row r="257">
          <cell r="E257">
            <v>190</v>
          </cell>
          <cell r="F257">
            <v>40018</v>
          </cell>
          <cell r="G257" t="str">
            <v>1388/05/02</v>
          </cell>
        </row>
        <row r="258">
          <cell r="E258">
            <v>191</v>
          </cell>
          <cell r="F258">
            <v>40019</v>
          </cell>
          <cell r="G258" t="str">
            <v>1388/05/03</v>
          </cell>
        </row>
        <row r="259">
          <cell r="E259">
            <v>192</v>
          </cell>
          <cell r="F259">
            <v>40020</v>
          </cell>
          <cell r="G259" t="str">
            <v>1388/05/04</v>
          </cell>
        </row>
        <row r="260">
          <cell r="E260">
            <v>193</v>
          </cell>
          <cell r="F260">
            <v>40021</v>
          </cell>
          <cell r="G260" t="str">
            <v>1388/05/05</v>
          </cell>
        </row>
        <row r="261">
          <cell r="E261">
            <v>194</v>
          </cell>
          <cell r="F261">
            <v>40022</v>
          </cell>
          <cell r="G261" t="str">
            <v>1388/05/06</v>
          </cell>
        </row>
        <row r="262">
          <cell r="E262">
            <v>195</v>
          </cell>
          <cell r="F262">
            <v>40023</v>
          </cell>
          <cell r="G262" t="str">
            <v>1388/05/07</v>
          </cell>
        </row>
        <row r="263">
          <cell r="E263">
            <v>196</v>
          </cell>
          <cell r="F263">
            <v>40024</v>
          </cell>
          <cell r="G263" t="str">
            <v>1388/05/08</v>
          </cell>
        </row>
        <row r="264">
          <cell r="E264">
            <v>197</v>
          </cell>
          <cell r="F264">
            <v>40025</v>
          </cell>
          <cell r="G264" t="str">
            <v>1388/05/09</v>
          </cell>
        </row>
        <row r="265">
          <cell r="E265">
            <v>198</v>
          </cell>
          <cell r="F265">
            <v>40026</v>
          </cell>
          <cell r="G265" t="str">
            <v>1388/05/10</v>
          </cell>
        </row>
        <row r="266">
          <cell r="E266">
            <v>199</v>
          </cell>
          <cell r="F266">
            <v>40027</v>
          </cell>
          <cell r="G266" t="str">
            <v>1388/05/11</v>
          </cell>
        </row>
        <row r="267">
          <cell r="E267">
            <v>200</v>
          </cell>
          <cell r="F267">
            <v>40028</v>
          </cell>
          <cell r="G267" t="str">
            <v>1388/05/12</v>
          </cell>
        </row>
        <row r="268">
          <cell r="E268">
            <v>201</v>
          </cell>
          <cell r="F268">
            <v>40029</v>
          </cell>
          <cell r="G268" t="str">
            <v>1388/05/13</v>
          </cell>
        </row>
        <row r="269">
          <cell r="E269">
            <v>202</v>
          </cell>
          <cell r="F269">
            <v>40030</v>
          </cell>
          <cell r="G269" t="str">
            <v>1388/05/14</v>
          </cell>
        </row>
        <row r="270">
          <cell r="E270">
            <v>203</v>
          </cell>
          <cell r="F270">
            <v>40031</v>
          </cell>
          <cell r="G270" t="str">
            <v>1388/05/15</v>
          </cell>
        </row>
        <row r="271">
          <cell r="E271">
            <v>204</v>
          </cell>
          <cell r="F271">
            <v>40032</v>
          </cell>
          <cell r="G271" t="str">
            <v>1388/05/16</v>
          </cell>
        </row>
        <row r="272">
          <cell r="E272">
            <v>205</v>
          </cell>
          <cell r="F272">
            <v>40033</v>
          </cell>
          <cell r="G272" t="str">
            <v>1388/05/17</v>
          </cell>
        </row>
        <row r="273">
          <cell r="E273">
            <v>206</v>
          </cell>
          <cell r="F273">
            <v>40034</v>
          </cell>
          <cell r="G273" t="str">
            <v>1388/05/18</v>
          </cell>
        </row>
        <row r="274">
          <cell r="E274">
            <v>207</v>
          </cell>
          <cell r="F274">
            <v>40035</v>
          </cell>
          <cell r="G274" t="str">
            <v>1388/05/19</v>
          </cell>
        </row>
        <row r="275">
          <cell r="E275">
            <v>208</v>
          </cell>
          <cell r="F275">
            <v>40036</v>
          </cell>
          <cell r="G275" t="str">
            <v>1388/05/20</v>
          </cell>
        </row>
        <row r="276">
          <cell r="E276">
            <v>209</v>
          </cell>
          <cell r="F276">
            <v>40037</v>
          </cell>
          <cell r="G276" t="str">
            <v>1388/05/21</v>
          </cell>
        </row>
        <row r="277">
          <cell r="E277">
            <v>210</v>
          </cell>
          <cell r="F277">
            <v>40038</v>
          </cell>
          <cell r="G277" t="str">
            <v>1388/05/22</v>
          </cell>
        </row>
        <row r="278">
          <cell r="E278">
            <v>211</v>
          </cell>
          <cell r="F278">
            <v>40039</v>
          </cell>
          <cell r="G278" t="str">
            <v>1388/05/23</v>
          </cell>
        </row>
        <row r="279">
          <cell r="E279">
            <v>212</v>
          </cell>
          <cell r="F279">
            <v>40040</v>
          </cell>
          <cell r="G279" t="str">
            <v>1388/05/24</v>
          </cell>
        </row>
        <row r="280">
          <cell r="E280">
            <v>213</v>
          </cell>
          <cell r="F280">
            <v>40041</v>
          </cell>
          <cell r="G280" t="str">
            <v>1388/05/25</v>
          </cell>
        </row>
        <row r="281">
          <cell r="E281">
            <v>214</v>
          </cell>
          <cell r="F281">
            <v>40042</v>
          </cell>
          <cell r="G281" t="str">
            <v>1388/05/26</v>
          </cell>
        </row>
        <row r="282">
          <cell r="E282">
            <v>215</v>
          </cell>
          <cell r="F282">
            <v>40043</v>
          </cell>
          <cell r="G282" t="str">
            <v>1388/05/27</v>
          </cell>
        </row>
        <row r="283">
          <cell r="E283">
            <v>216</v>
          </cell>
          <cell r="F283">
            <v>40044</v>
          </cell>
          <cell r="G283" t="str">
            <v>1388/05/28</v>
          </cell>
        </row>
        <row r="284">
          <cell r="E284">
            <v>217</v>
          </cell>
          <cell r="F284">
            <v>40045</v>
          </cell>
          <cell r="G284" t="str">
            <v>1388/05/29</v>
          </cell>
        </row>
        <row r="285">
          <cell r="E285">
            <v>218</v>
          </cell>
          <cell r="F285">
            <v>40046</v>
          </cell>
          <cell r="G285" t="str">
            <v>1388/05/30</v>
          </cell>
        </row>
        <row r="286">
          <cell r="E286">
            <v>219</v>
          </cell>
          <cell r="F286">
            <v>40047</v>
          </cell>
          <cell r="G286" t="str">
            <v>1388/05/31</v>
          </cell>
        </row>
        <row r="287">
          <cell r="E287">
            <v>220</v>
          </cell>
          <cell r="F287">
            <v>40048</v>
          </cell>
          <cell r="G287" t="str">
            <v>1388/06/01</v>
          </cell>
        </row>
        <row r="288">
          <cell r="E288">
            <v>221</v>
          </cell>
          <cell r="F288">
            <v>40049</v>
          </cell>
          <cell r="G288" t="str">
            <v>1388/06/02</v>
          </cell>
        </row>
        <row r="289">
          <cell r="E289">
            <v>222</v>
          </cell>
          <cell r="F289">
            <v>40050</v>
          </cell>
          <cell r="G289" t="str">
            <v>1388/06/03</v>
          </cell>
        </row>
        <row r="290">
          <cell r="E290">
            <v>223</v>
          </cell>
          <cell r="F290">
            <v>40051</v>
          </cell>
          <cell r="G290" t="str">
            <v>1388/06/04</v>
          </cell>
        </row>
        <row r="291">
          <cell r="E291">
            <v>224</v>
          </cell>
          <cell r="F291">
            <v>40052</v>
          </cell>
          <cell r="G291" t="str">
            <v>1388/06/05</v>
          </cell>
        </row>
        <row r="292">
          <cell r="E292">
            <v>225</v>
          </cell>
          <cell r="F292">
            <v>40053</v>
          </cell>
          <cell r="G292" t="str">
            <v>1388/06/06</v>
          </cell>
        </row>
        <row r="293">
          <cell r="E293">
            <v>226</v>
          </cell>
          <cell r="F293">
            <v>40054</v>
          </cell>
          <cell r="G293" t="str">
            <v>1388/06/07</v>
          </cell>
        </row>
        <row r="294">
          <cell r="E294">
            <v>227</v>
          </cell>
          <cell r="F294">
            <v>40055</v>
          </cell>
          <cell r="G294" t="str">
            <v>1388/06/08</v>
          </cell>
        </row>
        <row r="295">
          <cell r="E295">
            <v>228</v>
          </cell>
          <cell r="F295">
            <v>40056</v>
          </cell>
          <cell r="G295" t="str">
            <v>1388/06/09</v>
          </cell>
        </row>
        <row r="296">
          <cell r="E296">
            <v>229</v>
          </cell>
          <cell r="F296">
            <v>40057</v>
          </cell>
          <cell r="G296" t="str">
            <v>1388/06/10</v>
          </cell>
        </row>
        <row r="297">
          <cell r="E297">
            <v>230</v>
          </cell>
          <cell r="F297">
            <v>40058</v>
          </cell>
          <cell r="G297" t="str">
            <v>1388/06/11</v>
          </cell>
        </row>
        <row r="298">
          <cell r="E298">
            <v>231</v>
          </cell>
          <cell r="F298">
            <v>40059</v>
          </cell>
          <cell r="G298" t="str">
            <v>1388/06/12</v>
          </cell>
        </row>
        <row r="299">
          <cell r="E299">
            <v>232</v>
          </cell>
          <cell r="F299">
            <v>40060</v>
          </cell>
          <cell r="G299" t="str">
            <v>1388/06/13</v>
          </cell>
        </row>
        <row r="300">
          <cell r="E300">
            <v>233</v>
          </cell>
          <cell r="F300">
            <v>40061</v>
          </cell>
          <cell r="G300" t="str">
            <v>1388/06/14</v>
          </cell>
        </row>
        <row r="301">
          <cell r="E301">
            <v>234</v>
          </cell>
          <cell r="F301">
            <v>40062</v>
          </cell>
          <cell r="G301" t="str">
            <v>1388/06/15</v>
          </cell>
        </row>
        <row r="302">
          <cell r="E302">
            <v>235</v>
          </cell>
          <cell r="F302">
            <v>40063</v>
          </cell>
          <cell r="G302" t="str">
            <v>1388/06/16</v>
          </cell>
        </row>
        <row r="303">
          <cell r="E303">
            <v>236</v>
          </cell>
          <cell r="F303">
            <v>40064</v>
          </cell>
          <cell r="G303" t="str">
            <v>1388/06/17</v>
          </cell>
        </row>
        <row r="304">
          <cell r="E304">
            <v>237</v>
          </cell>
          <cell r="F304">
            <v>40065</v>
          </cell>
          <cell r="G304" t="str">
            <v>1388/06/18</v>
          </cell>
        </row>
        <row r="305">
          <cell r="E305">
            <v>238</v>
          </cell>
          <cell r="F305">
            <v>40066</v>
          </cell>
          <cell r="G305" t="str">
            <v>1388/06/19</v>
          </cell>
        </row>
        <row r="306">
          <cell r="E306">
            <v>239</v>
          </cell>
          <cell r="F306">
            <v>40067</v>
          </cell>
          <cell r="G306" t="str">
            <v>1388/06/20</v>
          </cell>
        </row>
        <row r="307">
          <cell r="E307">
            <v>240</v>
          </cell>
          <cell r="F307">
            <v>40068</v>
          </cell>
          <cell r="G307" t="str">
            <v>1388/06/21</v>
          </cell>
        </row>
        <row r="308">
          <cell r="E308">
            <v>241</v>
          </cell>
          <cell r="F308">
            <v>40069</v>
          </cell>
          <cell r="G308" t="str">
            <v>1388/06/22</v>
          </cell>
        </row>
        <row r="309">
          <cell r="E309">
            <v>242</v>
          </cell>
          <cell r="F309">
            <v>40070</v>
          </cell>
          <cell r="G309" t="str">
            <v>1388/06/23</v>
          </cell>
        </row>
        <row r="310">
          <cell r="E310">
            <v>243</v>
          </cell>
          <cell r="F310">
            <v>40071</v>
          </cell>
          <cell r="G310" t="str">
            <v>1388/06/24</v>
          </cell>
        </row>
        <row r="311">
          <cell r="E311">
            <v>244</v>
          </cell>
          <cell r="F311">
            <v>40072</v>
          </cell>
          <cell r="G311" t="str">
            <v>1388/06/25</v>
          </cell>
        </row>
        <row r="312">
          <cell r="E312">
            <v>245</v>
          </cell>
          <cell r="F312">
            <v>40073</v>
          </cell>
          <cell r="G312" t="str">
            <v>1388/06/26</v>
          </cell>
        </row>
        <row r="313">
          <cell r="E313">
            <v>246</v>
          </cell>
          <cell r="F313">
            <v>40074</v>
          </cell>
          <cell r="G313" t="str">
            <v>1388/06/27</v>
          </cell>
        </row>
        <row r="314">
          <cell r="E314">
            <v>247</v>
          </cell>
          <cell r="F314">
            <v>40075</v>
          </cell>
          <cell r="G314" t="str">
            <v>1388/06/28</v>
          </cell>
        </row>
        <row r="315">
          <cell r="E315">
            <v>248</v>
          </cell>
          <cell r="F315">
            <v>40076</v>
          </cell>
          <cell r="G315" t="str">
            <v>1388/06/29</v>
          </cell>
        </row>
        <row r="316">
          <cell r="E316">
            <v>249</v>
          </cell>
          <cell r="F316">
            <v>40077</v>
          </cell>
          <cell r="G316" t="str">
            <v>1388/06/30</v>
          </cell>
        </row>
        <row r="317">
          <cell r="E317">
            <v>250</v>
          </cell>
          <cell r="F317">
            <v>40078</v>
          </cell>
          <cell r="G317" t="str">
            <v>1388/06/31</v>
          </cell>
        </row>
        <row r="318">
          <cell r="E318">
            <v>251</v>
          </cell>
          <cell r="F318">
            <v>40079</v>
          </cell>
          <cell r="G318" t="str">
            <v>1388/07/01</v>
          </cell>
        </row>
        <row r="319">
          <cell r="E319">
            <v>252</v>
          </cell>
          <cell r="F319">
            <v>40080</v>
          </cell>
          <cell r="G319" t="str">
            <v>1388/07/02</v>
          </cell>
        </row>
        <row r="320">
          <cell r="E320">
            <v>253</v>
          </cell>
          <cell r="F320">
            <v>40081</v>
          </cell>
          <cell r="G320" t="str">
            <v>1388/07/03</v>
          </cell>
        </row>
        <row r="321">
          <cell r="E321">
            <v>254</v>
          </cell>
          <cell r="F321">
            <v>40082</v>
          </cell>
          <cell r="G321" t="str">
            <v>1388/07/04</v>
          </cell>
        </row>
        <row r="322">
          <cell r="E322">
            <v>255</v>
          </cell>
          <cell r="F322">
            <v>40083</v>
          </cell>
          <cell r="G322" t="str">
            <v>1388/07/05</v>
          </cell>
        </row>
        <row r="323">
          <cell r="E323">
            <v>256</v>
          </cell>
          <cell r="F323">
            <v>40084</v>
          </cell>
          <cell r="G323" t="str">
            <v>1388/07/06</v>
          </cell>
        </row>
        <row r="324">
          <cell r="E324">
            <v>257</v>
          </cell>
          <cell r="F324">
            <v>40085</v>
          </cell>
          <cell r="G324" t="str">
            <v>1388/07/07</v>
          </cell>
        </row>
        <row r="325">
          <cell r="E325">
            <v>258</v>
          </cell>
          <cell r="F325">
            <v>40086</v>
          </cell>
          <cell r="G325" t="str">
            <v>1388/07/08</v>
          </cell>
        </row>
        <row r="326">
          <cell r="E326">
            <v>259</v>
          </cell>
          <cell r="F326">
            <v>40087</v>
          </cell>
          <cell r="G326" t="str">
            <v>1388/07/09</v>
          </cell>
        </row>
        <row r="327">
          <cell r="E327">
            <v>260</v>
          </cell>
          <cell r="F327">
            <v>40088</v>
          </cell>
          <cell r="G327" t="str">
            <v>1388/07/10</v>
          </cell>
        </row>
        <row r="328">
          <cell r="E328">
            <v>261</v>
          </cell>
          <cell r="F328">
            <v>40089</v>
          </cell>
          <cell r="G328" t="str">
            <v>1388/07/11</v>
          </cell>
        </row>
        <row r="329">
          <cell r="E329">
            <v>262</v>
          </cell>
          <cell r="F329">
            <v>40090</v>
          </cell>
          <cell r="G329" t="str">
            <v>1388/07/12</v>
          </cell>
        </row>
        <row r="330">
          <cell r="E330">
            <v>263</v>
          </cell>
          <cell r="F330">
            <v>40091</v>
          </cell>
          <cell r="G330" t="str">
            <v>1388/07/13</v>
          </cell>
        </row>
        <row r="331">
          <cell r="E331">
            <v>264</v>
          </cell>
          <cell r="F331">
            <v>40092</v>
          </cell>
          <cell r="G331" t="str">
            <v>1388/07/14</v>
          </cell>
        </row>
        <row r="332">
          <cell r="E332">
            <v>265</v>
          </cell>
          <cell r="F332">
            <v>40093</v>
          </cell>
          <cell r="G332" t="str">
            <v>1388/07/15</v>
          </cell>
        </row>
        <row r="333">
          <cell r="E333">
            <v>266</v>
          </cell>
          <cell r="F333">
            <v>40094</v>
          </cell>
          <cell r="G333" t="str">
            <v>1388/07/16</v>
          </cell>
        </row>
        <row r="334">
          <cell r="E334">
            <v>267</v>
          </cell>
          <cell r="F334">
            <v>40095</v>
          </cell>
          <cell r="G334" t="str">
            <v>1388/07/17</v>
          </cell>
        </row>
        <row r="335">
          <cell r="E335">
            <v>268</v>
          </cell>
          <cell r="F335">
            <v>40096</v>
          </cell>
          <cell r="G335" t="str">
            <v>1388/07/18</v>
          </cell>
        </row>
        <row r="336">
          <cell r="E336">
            <v>269</v>
          </cell>
          <cell r="F336">
            <v>40097</v>
          </cell>
          <cell r="G336" t="str">
            <v>1388/07/19</v>
          </cell>
        </row>
        <row r="337">
          <cell r="E337">
            <v>270</v>
          </cell>
          <cell r="F337">
            <v>40098</v>
          </cell>
          <cell r="G337" t="str">
            <v>1388/07/20</v>
          </cell>
        </row>
        <row r="338">
          <cell r="E338">
            <v>271</v>
          </cell>
          <cell r="F338">
            <v>40099</v>
          </cell>
          <cell r="G338" t="str">
            <v>1388/07/21</v>
          </cell>
        </row>
        <row r="339">
          <cell r="E339">
            <v>272</v>
          </cell>
          <cell r="F339">
            <v>40100</v>
          </cell>
          <cell r="G339" t="str">
            <v>1388/07/22</v>
          </cell>
        </row>
        <row r="340">
          <cell r="E340">
            <v>273</v>
          </cell>
          <cell r="F340">
            <v>40101</v>
          </cell>
          <cell r="G340" t="str">
            <v>1388/07/23</v>
          </cell>
        </row>
        <row r="341">
          <cell r="E341">
            <v>274</v>
          </cell>
          <cell r="F341">
            <v>40102</v>
          </cell>
          <cell r="G341" t="str">
            <v>1388/07/24</v>
          </cell>
        </row>
        <row r="342">
          <cell r="E342">
            <v>275</v>
          </cell>
          <cell r="F342">
            <v>40103</v>
          </cell>
          <cell r="G342" t="str">
            <v>1388/07/25</v>
          </cell>
        </row>
        <row r="343">
          <cell r="E343">
            <v>276</v>
          </cell>
          <cell r="F343">
            <v>40104</v>
          </cell>
          <cell r="G343" t="str">
            <v>1388/07/26</v>
          </cell>
        </row>
        <row r="344">
          <cell r="E344">
            <v>277</v>
          </cell>
          <cell r="F344">
            <v>40105</v>
          </cell>
          <cell r="G344" t="str">
            <v>1388/07/27</v>
          </cell>
        </row>
        <row r="345">
          <cell r="E345">
            <v>278</v>
          </cell>
          <cell r="F345">
            <v>40106</v>
          </cell>
          <cell r="G345" t="str">
            <v>1388/07/28</v>
          </cell>
        </row>
        <row r="346">
          <cell r="E346">
            <v>279</v>
          </cell>
          <cell r="F346">
            <v>40107</v>
          </cell>
          <cell r="G346" t="str">
            <v>1388/07/29</v>
          </cell>
        </row>
        <row r="347">
          <cell r="E347">
            <v>280</v>
          </cell>
          <cell r="F347">
            <v>40108</v>
          </cell>
          <cell r="G347" t="str">
            <v>1388/07/30</v>
          </cell>
        </row>
        <row r="348">
          <cell r="E348">
            <v>281</v>
          </cell>
          <cell r="F348">
            <v>40109</v>
          </cell>
          <cell r="G348" t="str">
            <v>1388/08/01</v>
          </cell>
        </row>
        <row r="349">
          <cell r="E349">
            <v>282</v>
          </cell>
          <cell r="F349">
            <v>40110</v>
          </cell>
          <cell r="G349" t="str">
            <v>1388/08/02</v>
          </cell>
        </row>
        <row r="350">
          <cell r="E350">
            <v>283</v>
          </cell>
          <cell r="F350">
            <v>40111</v>
          </cell>
          <cell r="G350" t="str">
            <v>1388/08/03</v>
          </cell>
        </row>
        <row r="351">
          <cell r="E351">
            <v>284</v>
          </cell>
          <cell r="F351">
            <v>40112</v>
          </cell>
          <cell r="G351" t="str">
            <v>1388/08/04</v>
          </cell>
        </row>
        <row r="352">
          <cell r="E352">
            <v>285</v>
          </cell>
          <cell r="F352">
            <v>40113</v>
          </cell>
          <cell r="G352" t="str">
            <v>1388/08/05</v>
          </cell>
        </row>
        <row r="353">
          <cell r="E353">
            <v>286</v>
          </cell>
          <cell r="F353">
            <v>40114</v>
          </cell>
          <cell r="G353" t="str">
            <v>1388/08/06</v>
          </cell>
        </row>
        <row r="354">
          <cell r="E354">
            <v>287</v>
          </cell>
          <cell r="F354">
            <v>40115</v>
          </cell>
          <cell r="G354" t="str">
            <v>1388/08/07</v>
          </cell>
        </row>
        <row r="355">
          <cell r="E355">
            <v>288</v>
          </cell>
          <cell r="F355">
            <v>40116</v>
          </cell>
          <cell r="G355" t="str">
            <v>1388/08/08</v>
          </cell>
        </row>
        <row r="356">
          <cell r="E356">
            <v>289</v>
          </cell>
          <cell r="F356">
            <v>40117</v>
          </cell>
          <cell r="G356" t="str">
            <v>1388/08/09</v>
          </cell>
        </row>
        <row r="357">
          <cell r="E357">
            <v>290</v>
          </cell>
          <cell r="F357">
            <v>40118</v>
          </cell>
          <cell r="G357" t="str">
            <v>1388/08/10</v>
          </cell>
        </row>
        <row r="358">
          <cell r="E358">
            <v>291</v>
          </cell>
          <cell r="F358">
            <v>40119</v>
          </cell>
          <cell r="G358" t="str">
            <v>1388/08/11</v>
          </cell>
        </row>
        <row r="359">
          <cell r="E359">
            <v>292</v>
          </cell>
          <cell r="F359">
            <v>40120</v>
          </cell>
          <cell r="G359" t="str">
            <v>1388/08/12</v>
          </cell>
        </row>
        <row r="360">
          <cell r="E360">
            <v>293</v>
          </cell>
          <cell r="F360">
            <v>40121</v>
          </cell>
          <cell r="G360" t="str">
            <v>1388/08/13</v>
          </cell>
        </row>
        <row r="361">
          <cell r="E361">
            <v>294</v>
          </cell>
          <cell r="F361">
            <v>40122</v>
          </cell>
          <cell r="G361" t="str">
            <v>1388/08/14</v>
          </cell>
        </row>
        <row r="362">
          <cell r="E362">
            <v>295</v>
          </cell>
          <cell r="F362">
            <v>40123</v>
          </cell>
          <cell r="G362" t="str">
            <v>1388/08/15</v>
          </cell>
        </row>
        <row r="363">
          <cell r="E363">
            <v>296</v>
          </cell>
          <cell r="F363">
            <v>40124</v>
          </cell>
          <cell r="G363" t="str">
            <v>1388/08/16</v>
          </cell>
        </row>
        <row r="364">
          <cell r="E364">
            <v>297</v>
          </cell>
          <cell r="F364">
            <v>40125</v>
          </cell>
          <cell r="G364" t="str">
            <v>1388/08/17</v>
          </cell>
        </row>
        <row r="365">
          <cell r="E365">
            <v>298</v>
          </cell>
          <cell r="F365">
            <v>40126</v>
          </cell>
          <cell r="G365" t="str">
            <v>1388/08/18</v>
          </cell>
        </row>
        <row r="366">
          <cell r="E366">
            <v>299</v>
          </cell>
          <cell r="F366">
            <v>40127</v>
          </cell>
          <cell r="G366" t="str">
            <v>1388/08/19</v>
          </cell>
        </row>
        <row r="367">
          <cell r="E367">
            <v>300</v>
          </cell>
          <cell r="F367">
            <v>40128</v>
          </cell>
          <cell r="G367" t="str">
            <v>1388/08/20</v>
          </cell>
        </row>
        <row r="368">
          <cell r="E368">
            <v>301</v>
          </cell>
          <cell r="F368">
            <v>40129</v>
          </cell>
          <cell r="G368" t="str">
            <v>1388/08/21</v>
          </cell>
        </row>
        <row r="369">
          <cell r="E369">
            <v>302</v>
          </cell>
          <cell r="F369">
            <v>40130</v>
          </cell>
          <cell r="G369" t="str">
            <v>1388/08/22</v>
          </cell>
        </row>
        <row r="370">
          <cell r="E370">
            <v>303</v>
          </cell>
          <cell r="F370">
            <v>40131</v>
          </cell>
          <cell r="G370" t="str">
            <v>1388/08/23</v>
          </cell>
        </row>
        <row r="371">
          <cell r="E371">
            <v>304</v>
          </cell>
          <cell r="F371">
            <v>40132</v>
          </cell>
          <cell r="G371" t="str">
            <v>1388/08/24</v>
          </cell>
        </row>
        <row r="372">
          <cell r="E372">
            <v>305</v>
          </cell>
          <cell r="F372">
            <v>40133</v>
          </cell>
          <cell r="G372" t="str">
            <v>1388/08/25</v>
          </cell>
        </row>
        <row r="373">
          <cell r="E373">
            <v>306</v>
          </cell>
          <cell r="F373">
            <v>40134</v>
          </cell>
          <cell r="G373" t="str">
            <v>1388/08/26</v>
          </cell>
        </row>
        <row r="374">
          <cell r="E374">
            <v>307</v>
          </cell>
          <cell r="F374">
            <v>40135</v>
          </cell>
          <cell r="G374" t="str">
            <v>1388/08/27</v>
          </cell>
        </row>
        <row r="375">
          <cell r="E375">
            <v>308</v>
          </cell>
          <cell r="F375">
            <v>40136</v>
          </cell>
          <cell r="G375" t="str">
            <v>1388/08/28</v>
          </cell>
        </row>
        <row r="376">
          <cell r="E376">
            <v>309</v>
          </cell>
          <cell r="F376">
            <v>40137</v>
          </cell>
          <cell r="G376" t="str">
            <v>1388/08/29</v>
          </cell>
        </row>
        <row r="377">
          <cell r="E377">
            <v>310</v>
          </cell>
          <cell r="F377">
            <v>40138</v>
          </cell>
          <cell r="G377" t="str">
            <v>1388/08/30</v>
          </cell>
        </row>
        <row r="378">
          <cell r="E378">
            <v>311</v>
          </cell>
          <cell r="F378">
            <v>40139</v>
          </cell>
          <cell r="G378" t="str">
            <v>1388/09/01</v>
          </cell>
        </row>
        <row r="379">
          <cell r="E379">
            <v>312</v>
          </cell>
          <cell r="F379">
            <v>40140</v>
          </cell>
          <cell r="G379" t="str">
            <v>1388/09/02</v>
          </cell>
        </row>
        <row r="380">
          <cell r="E380">
            <v>313</v>
          </cell>
          <cell r="F380">
            <v>40141</v>
          </cell>
          <cell r="G380" t="str">
            <v>1388/09/03</v>
          </cell>
        </row>
        <row r="381">
          <cell r="E381">
            <v>314</v>
          </cell>
          <cell r="F381">
            <v>40142</v>
          </cell>
          <cell r="G381" t="str">
            <v>1388/09/04</v>
          </cell>
        </row>
        <row r="382">
          <cell r="E382">
            <v>315</v>
          </cell>
          <cell r="F382">
            <v>40143</v>
          </cell>
          <cell r="G382" t="str">
            <v>1388/09/05</v>
          </cell>
        </row>
        <row r="383">
          <cell r="E383">
            <v>316</v>
          </cell>
          <cell r="F383">
            <v>40144</v>
          </cell>
          <cell r="G383" t="str">
            <v>1388/09/06</v>
          </cell>
        </row>
        <row r="384">
          <cell r="E384">
            <v>317</v>
          </cell>
          <cell r="F384">
            <v>40145</v>
          </cell>
          <cell r="G384" t="str">
            <v>1388/09/07</v>
          </cell>
        </row>
        <row r="385">
          <cell r="E385">
            <v>318</v>
          </cell>
          <cell r="F385">
            <v>40146</v>
          </cell>
          <cell r="G385" t="str">
            <v>1388/09/08</v>
          </cell>
        </row>
        <row r="386">
          <cell r="E386">
            <v>319</v>
          </cell>
          <cell r="F386">
            <v>40147</v>
          </cell>
          <cell r="G386" t="str">
            <v>1388/09/09</v>
          </cell>
        </row>
        <row r="387">
          <cell r="E387">
            <v>320</v>
          </cell>
          <cell r="F387">
            <v>40148</v>
          </cell>
          <cell r="G387" t="str">
            <v>1388/09/10</v>
          </cell>
        </row>
        <row r="388">
          <cell r="E388">
            <v>321</v>
          </cell>
          <cell r="F388">
            <v>40149</v>
          </cell>
          <cell r="G388" t="str">
            <v>1388/09/11</v>
          </cell>
        </row>
        <row r="389">
          <cell r="E389">
            <v>322</v>
          </cell>
          <cell r="F389">
            <v>40150</v>
          </cell>
          <cell r="G389" t="str">
            <v>1388/09/12</v>
          </cell>
        </row>
        <row r="390">
          <cell r="E390">
            <v>323</v>
          </cell>
          <cell r="F390">
            <v>40151</v>
          </cell>
          <cell r="G390" t="str">
            <v>1388/09/13</v>
          </cell>
        </row>
        <row r="391">
          <cell r="E391">
            <v>324</v>
          </cell>
          <cell r="F391">
            <v>40152</v>
          </cell>
          <cell r="G391" t="str">
            <v>1388/09/14</v>
          </cell>
        </row>
        <row r="392">
          <cell r="E392">
            <v>325</v>
          </cell>
          <cell r="F392">
            <v>40153</v>
          </cell>
          <cell r="G392" t="str">
            <v>1388/09/15</v>
          </cell>
        </row>
        <row r="393">
          <cell r="E393">
            <v>326</v>
          </cell>
          <cell r="F393">
            <v>40154</v>
          </cell>
          <cell r="G393" t="str">
            <v>1388/09/16</v>
          </cell>
        </row>
        <row r="394">
          <cell r="E394">
            <v>327</v>
          </cell>
          <cell r="F394">
            <v>40155</v>
          </cell>
          <cell r="G394" t="str">
            <v>1388/09/17</v>
          </cell>
        </row>
        <row r="395">
          <cell r="E395">
            <v>328</v>
          </cell>
          <cell r="F395">
            <v>40156</v>
          </cell>
          <cell r="G395" t="str">
            <v>1388/09/18</v>
          </cell>
        </row>
        <row r="396">
          <cell r="E396">
            <v>329</v>
          </cell>
          <cell r="F396">
            <v>40157</v>
          </cell>
          <cell r="G396" t="str">
            <v>1388/09/19</v>
          </cell>
        </row>
        <row r="397">
          <cell r="E397">
            <v>330</v>
          </cell>
          <cell r="F397">
            <v>40158</v>
          </cell>
          <cell r="G397" t="str">
            <v>1388/09/20</v>
          </cell>
        </row>
        <row r="398">
          <cell r="E398">
            <v>331</v>
          </cell>
          <cell r="F398">
            <v>40159</v>
          </cell>
          <cell r="G398" t="str">
            <v>1388/09/21</v>
          </cell>
        </row>
        <row r="399">
          <cell r="E399">
            <v>332</v>
          </cell>
          <cell r="F399">
            <v>40160</v>
          </cell>
          <cell r="G399" t="str">
            <v>1388/09/22</v>
          </cell>
        </row>
        <row r="400">
          <cell r="E400">
            <v>333</v>
          </cell>
          <cell r="F400">
            <v>40161</v>
          </cell>
          <cell r="G400" t="str">
            <v>1388/09/23</v>
          </cell>
        </row>
        <row r="401">
          <cell r="E401">
            <v>334</v>
          </cell>
          <cell r="F401">
            <v>40162</v>
          </cell>
          <cell r="G401" t="str">
            <v>1388/09/24</v>
          </cell>
        </row>
        <row r="402">
          <cell r="E402">
            <v>335</v>
          </cell>
          <cell r="F402">
            <v>40163</v>
          </cell>
          <cell r="G402" t="str">
            <v>1388/09/25</v>
          </cell>
        </row>
        <row r="403">
          <cell r="E403">
            <v>336</v>
          </cell>
          <cell r="F403">
            <v>40164</v>
          </cell>
          <cell r="G403" t="str">
            <v>1388/09/26</v>
          </cell>
        </row>
        <row r="404">
          <cell r="E404">
            <v>337</v>
          </cell>
          <cell r="F404">
            <v>40165</v>
          </cell>
          <cell r="G404" t="str">
            <v>1388/09/27</v>
          </cell>
        </row>
        <row r="405">
          <cell r="E405">
            <v>338</v>
          </cell>
          <cell r="F405">
            <v>40166</v>
          </cell>
          <cell r="G405" t="str">
            <v>1388/09/28</v>
          </cell>
        </row>
        <row r="406">
          <cell r="E406">
            <v>339</v>
          </cell>
          <cell r="F406">
            <v>40167</v>
          </cell>
          <cell r="G406" t="str">
            <v>1388/09/29</v>
          </cell>
        </row>
        <row r="407">
          <cell r="E407">
            <v>340</v>
          </cell>
          <cell r="F407">
            <v>40168</v>
          </cell>
          <cell r="G407" t="str">
            <v>1388/09/30</v>
          </cell>
        </row>
        <row r="408">
          <cell r="E408">
            <v>341</v>
          </cell>
          <cell r="F408">
            <v>40169</v>
          </cell>
          <cell r="G408" t="str">
            <v>1388/10/01</v>
          </cell>
        </row>
        <row r="409">
          <cell r="E409">
            <v>342</v>
          </cell>
          <cell r="F409">
            <v>40170</v>
          </cell>
          <cell r="G409" t="str">
            <v>1388/10/02</v>
          </cell>
        </row>
        <row r="410">
          <cell r="E410">
            <v>343</v>
          </cell>
          <cell r="F410">
            <v>40171</v>
          </cell>
          <cell r="G410" t="str">
            <v>1388/10/03</v>
          </cell>
        </row>
        <row r="411">
          <cell r="E411">
            <v>344</v>
          </cell>
          <cell r="F411">
            <v>40172</v>
          </cell>
          <cell r="G411" t="str">
            <v>1388/10/04</v>
          </cell>
        </row>
        <row r="412">
          <cell r="E412">
            <v>345</v>
          </cell>
          <cell r="F412">
            <v>40173</v>
          </cell>
          <cell r="G412" t="str">
            <v>1388/10/05</v>
          </cell>
        </row>
        <row r="413">
          <cell r="E413">
            <v>346</v>
          </cell>
          <cell r="F413">
            <v>40174</v>
          </cell>
          <cell r="G413" t="str">
            <v>1388/10/06</v>
          </cell>
        </row>
        <row r="414">
          <cell r="E414">
            <v>347</v>
          </cell>
          <cell r="F414">
            <v>40175</v>
          </cell>
          <cell r="G414" t="str">
            <v>1388/10/07</v>
          </cell>
        </row>
        <row r="415">
          <cell r="E415">
            <v>348</v>
          </cell>
          <cell r="F415">
            <v>40176</v>
          </cell>
          <cell r="G415" t="str">
            <v>1388/10/08</v>
          </cell>
        </row>
        <row r="416">
          <cell r="E416">
            <v>349</v>
          </cell>
          <cell r="F416">
            <v>40177</v>
          </cell>
          <cell r="G416" t="str">
            <v>1388/10/09</v>
          </cell>
        </row>
        <row r="417">
          <cell r="E417">
            <v>350</v>
          </cell>
          <cell r="F417">
            <v>40178</v>
          </cell>
          <cell r="G417" t="str">
            <v>1388/10/10</v>
          </cell>
        </row>
        <row r="418">
          <cell r="E418">
            <v>351</v>
          </cell>
          <cell r="F418">
            <v>40179</v>
          </cell>
          <cell r="G418" t="str">
            <v>1388/10/11</v>
          </cell>
        </row>
        <row r="419">
          <cell r="E419">
            <v>352</v>
          </cell>
          <cell r="F419">
            <v>40180</v>
          </cell>
          <cell r="G419" t="str">
            <v>1388/10/12</v>
          </cell>
        </row>
        <row r="420">
          <cell r="E420">
            <v>353</v>
          </cell>
          <cell r="F420">
            <v>40181</v>
          </cell>
          <cell r="G420" t="str">
            <v>1388/10/13</v>
          </cell>
        </row>
        <row r="421">
          <cell r="E421">
            <v>354</v>
          </cell>
          <cell r="F421">
            <v>40182</v>
          </cell>
          <cell r="G421" t="str">
            <v>1388/10/14</v>
          </cell>
        </row>
        <row r="422">
          <cell r="E422">
            <v>355</v>
          </cell>
          <cell r="F422">
            <v>40183</v>
          </cell>
          <cell r="G422" t="str">
            <v>1388/10/15</v>
          </cell>
        </row>
        <row r="423">
          <cell r="E423">
            <v>356</v>
          </cell>
          <cell r="F423">
            <v>40184</v>
          </cell>
          <cell r="G423" t="str">
            <v>1388/10/16</v>
          </cell>
        </row>
        <row r="424">
          <cell r="E424">
            <v>357</v>
          </cell>
          <cell r="F424">
            <v>40185</v>
          </cell>
          <cell r="G424" t="str">
            <v>1388/10/17</v>
          </cell>
        </row>
        <row r="425">
          <cell r="E425">
            <v>358</v>
          </cell>
          <cell r="F425">
            <v>40186</v>
          </cell>
          <cell r="G425" t="str">
            <v>1388/10/18</v>
          </cell>
        </row>
        <row r="426">
          <cell r="E426">
            <v>359</v>
          </cell>
          <cell r="F426">
            <v>40187</v>
          </cell>
          <cell r="G426" t="str">
            <v>1388/10/19</v>
          </cell>
        </row>
        <row r="427">
          <cell r="E427">
            <v>360</v>
          </cell>
          <cell r="F427">
            <v>40188</v>
          </cell>
          <cell r="G427" t="str">
            <v>1388/10/20</v>
          </cell>
        </row>
        <row r="428">
          <cell r="E428">
            <v>361</v>
          </cell>
          <cell r="F428">
            <v>40189</v>
          </cell>
          <cell r="G428" t="str">
            <v>1388/10/21</v>
          </cell>
        </row>
        <row r="429">
          <cell r="E429">
            <v>362</v>
          </cell>
          <cell r="F429">
            <v>40190</v>
          </cell>
          <cell r="G429" t="str">
            <v>1388/10/22</v>
          </cell>
        </row>
        <row r="430">
          <cell r="E430">
            <v>363</v>
          </cell>
          <cell r="F430">
            <v>40191</v>
          </cell>
          <cell r="G430" t="str">
            <v>1388/10/23</v>
          </cell>
        </row>
        <row r="431">
          <cell r="E431">
            <v>364</v>
          </cell>
          <cell r="F431">
            <v>40192</v>
          </cell>
          <cell r="G431" t="str">
            <v>1388/10/24</v>
          </cell>
        </row>
        <row r="432">
          <cell r="E432">
            <v>365</v>
          </cell>
          <cell r="F432">
            <v>40193</v>
          </cell>
          <cell r="G432" t="str">
            <v>1388/10/25</v>
          </cell>
        </row>
        <row r="433">
          <cell r="E433">
            <v>366</v>
          </cell>
          <cell r="F433">
            <v>40194</v>
          </cell>
          <cell r="G433" t="str">
            <v>1388/10/26</v>
          </cell>
        </row>
        <row r="434">
          <cell r="E434">
            <v>367</v>
          </cell>
          <cell r="F434">
            <v>40195</v>
          </cell>
          <cell r="G434" t="str">
            <v>1388/10/27</v>
          </cell>
        </row>
        <row r="435">
          <cell r="E435">
            <v>368</v>
          </cell>
          <cell r="F435">
            <v>40196</v>
          </cell>
          <cell r="G435" t="str">
            <v>1388/10/28</v>
          </cell>
        </row>
        <row r="436">
          <cell r="E436">
            <v>369</v>
          </cell>
          <cell r="F436">
            <v>40197</v>
          </cell>
          <cell r="G436" t="str">
            <v>1388/10/29</v>
          </cell>
        </row>
        <row r="437">
          <cell r="E437">
            <v>370</v>
          </cell>
          <cell r="F437">
            <v>40198</v>
          </cell>
          <cell r="G437" t="str">
            <v>1388/10/30</v>
          </cell>
        </row>
        <row r="438">
          <cell r="E438">
            <v>371</v>
          </cell>
          <cell r="F438">
            <v>40199</v>
          </cell>
          <cell r="G438" t="str">
            <v>1388/11/01</v>
          </cell>
        </row>
        <row r="439">
          <cell r="E439">
            <v>372</v>
          </cell>
          <cell r="F439">
            <v>40200</v>
          </cell>
          <cell r="G439" t="str">
            <v>1388/11/02</v>
          </cell>
        </row>
        <row r="440">
          <cell r="E440">
            <v>373</v>
          </cell>
          <cell r="F440">
            <v>40201</v>
          </cell>
          <cell r="G440" t="str">
            <v>1388/11/03</v>
          </cell>
        </row>
        <row r="441">
          <cell r="E441">
            <v>374</v>
          </cell>
          <cell r="F441">
            <v>40202</v>
          </cell>
          <cell r="G441" t="str">
            <v>1388/11/04</v>
          </cell>
        </row>
        <row r="442">
          <cell r="E442">
            <v>375</v>
          </cell>
          <cell r="F442">
            <v>40203</v>
          </cell>
          <cell r="G442" t="str">
            <v>1388/11/05</v>
          </cell>
        </row>
        <row r="443">
          <cell r="E443">
            <v>376</v>
          </cell>
          <cell r="F443">
            <v>40204</v>
          </cell>
          <cell r="G443" t="str">
            <v>1388/11/06</v>
          </cell>
        </row>
        <row r="444">
          <cell r="E444">
            <v>377</v>
          </cell>
          <cell r="F444">
            <v>40205</v>
          </cell>
          <cell r="G444" t="str">
            <v>1388/11/07</v>
          </cell>
        </row>
        <row r="445">
          <cell r="E445">
            <v>378</v>
          </cell>
          <cell r="F445">
            <v>40206</v>
          </cell>
          <cell r="G445" t="str">
            <v>1388/11/08</v>
          </cell>
        </row>
        <row r="446">
          <cell r="E446">
            <v>379</v>
          </cell>
          <cell r="F446">
            <v>40207</v>
          </cell>
          <cell r="G446" t="str">
            <v>1388/11/09</v>
          </cell>
        </row>
        <row r="447">
          <cell r="E447">
            <v>380</v>
          </cell>
          <cell r="F447">
            <v>40208</v>
          </cell>
          <cell r="G447" t="str">
            <v>1388/11/10</v>
          </cell>
        </row>
        <row r="448">
          <cell r="E448">
            <v>381</v>
          </cell>
          <cell r="F448">
            <v>40209</v>
          </cell>
          <cell r="G448" t="str">
            <v>1388/11/11</v>
          </cell>
        </row>
        <row r="449">
          <cell r="E449">
            <v>382</v>
          </cell>
          <cell r="F449">
            <v>40210</v>
          </cell>
          <cell r="G449" t="str">
            <v>1388/11/12</v>
          </cell>
        </row>
        <row r="450">
          <cell r="E450">
            <v>383</v>
          </cell>
          <cell r="F450">
            <v>40211</v>
          </cell>
          <cell r="G450" t="str">
            <v>1388/11/13</v>
          </cell>
        </row>
        <row r="451">
          <cell r="E451">
            <v>384</v>
          </cell>
          <cell r="F451">
            <v>40212</v>
          </cell>
          <cell r="G451" t="str">
            <v>1388/11/14</v>
          </cell>
        </row>
        <row r="452">
          <cell r="E452">
            <v>385</v>
          </cell>
          <cell r="F452">
            <v>40213</v>
          </cell>
          <cell r="G452" t="str">
            <v>1388/11/15</v>
          </cell>
        </row>
        <row r="453">
          <cell r="E453">
            <v>386</v>
          </cell>
          <cell r="F453">
            <v>40214</v>
          </cell>
          <cell r="G453" t="str">
            <v>1388/11/16</v>
          </cell>
        </row>
        <row r="454">
          <cell r="E454">
            <v>387</v>
          </cell>
          <cell r="F454">
            <v>40215</v>
          </cell>
          <cell r="G454" t="str">
            <v>1388/11/17</v>
          </cell>
        </row>
        <row r="455">
          <cell r="E455">
            <v>388</v>
          </cell>
          <cell r="F455">
            <v>40216</v>
          </cell>
          <cell r="G455" t="str">
            <v>1388/11/18</v>
          </cell>
        </row>
        <row r="456">
          <cell r="E456">
            <v>389</v>
          </cell>
          <cell r="F456">
            <v>40217</v>
          </cell>
          <cell r="G456" t="str">
            <v>1388/11/19</v>
          </cell>
        </row>
        <row r="457">
          <cell r="E457">
            <v>390</v>
          </cell>
          <cell r="F457">
            <v>40218</v>
          </cell>
          <cell r="G457" t="str">
            <v>1388/11/20</v>
          </cell>
        </row>
        <row r="458">
          <cell r="E458">
            <v>391</v>
          </cell>
          <cell r="F458">
            <v>40219</v>
          </cell>
          <cell r="G458" t="str">
            <v>1388/11/21</v>
          </cell>
        </row>
        <row r="459">
          <cell r="E459">
            <v>392</v>
          </cell>
          <cell r="F459">
            <v>40220</v>
          </cell>
          <cell r="G459" t="str">
            <v>1388/11/22</v>
          </cell>
        </row>
        <row r="460">
          <cell r="E460">
            <v>393</v>
          </cell>
          <cell r="F460">
            <v>40221</v>
          </cell>
          <cell r="G460" t="str">
            <v>1388/11/23</v>
          </cell>
        </row>
        <row r="461">
          <cell r="E461">
            <v>394</v>
          </cell>
          <cell r="F461">
            <v>40222</v>
          </cell>
          <cell r="G461" t="str">
            <v>1388/11/24</v>
          </cell>
        </row>
        <row r="462">
          <cell r="E462">
            <v>395</v>
          </cell>
          <cell r="F462">
            <v>40223</v>
          </cell>
          <cell r="G462" t="str">
            <v>1388/11/25</v>
          </cell>
        </row>
        <row r="463">
          <cell r="E463">
            <v>396</v>
          </cell>
          <cell r="F463">
            <v>40224</v>
          </cell>
          <cell r="G463" t="str">
            <v>1388/11/26</v>
          </cell>
        </row>
        <row r="464">
          <cell r="E464">
            <v>397</v>
          </cell>
          <cell r="F464">
            <v>40225</v>
          </cell>
          <cell r="G464" t="str">
            <v>1388/11/27</v>
          </cell>
        </row>
        <row r="465">
          <cell r="E465">
            <v>398</v>
          </cell>
          <cell r="F465">
            <v>40226</v>
          </cell>
          <cell r="G465" t="str">
            <v>1388/11/28</v>
          </cell>
        </row>
        <row r="466">
          <cell r="E466">
            <v>399</v>
          </cell>
          <cell r="F466">
            <v>40227</v>
          </cell>
          <cell r="G466" t="str">
            <v>1388/11/29</v>
          </cell>
        </row>
        <row r="467">
          <cell r="E467">
            <v>400</v>
          </cell>
          <cell r="F467">
            <v>40228</v>
          </cell>
          <cell r="G467" t="str">
            <v>1388/11/30</v>
          </cell>
        </row>
        <row r="468">
          <cell r="E468">
            <v>401</v>
          </cell>
          <cell r="F468">
            <v>40229</v>
          </cell>
          <cell r="G468" t="str">
            <v>1388/12/01</v>
          </cell>
        </row>
        <row r="469">
          <cell r="E469">
            <v>402</v>
          </cell>
          <cell r="F469">
            <v>40230</v>
          </cell>
          <cell r="G469" t="str">
            <v>1388/12/02</v>
          </cell>
        </row>
        <row r="470">
          <cell r="E470">
            <v>403</v>
          </cell>
          <cell r="F470">
            <v>40231</v>
          </cell>
          <cell r="G470" t="str">
            <v>1388/12/03</v>
          </cell>
        </row>
        <row r="471">
          <cell r="E471">
            <v>404</v>
          </cell>
          <cell r="F471">
            <v>40232</v>
          </cell>
          <cell r="G471" t="str">
            <v>1388/12/04</v>
          </cell>
        </row>
        <row r="472">
          <cell r="E472">
            <v>405</v>
          </cell>
          <cell r="F472">
            <v>40233</v>
          </cell>
          <cell r="G472" t="str">
            <v>1388/12/05</v>
          </cell>
        </row>
        <row r="473">
          <cell r="E473">
            <v>406</v>
          </cell>
          <cell r="F473">
            <v>40234</v>
          </cell>
          <cell r="G473" t="str">
            <v>1388/12/06</v>
          </cell>
        </row>
        <row r="474">
          <cell r="E474">
            <v>407</v>
          </cell>
          <cell r="F474">
            <v>40235</v>
          </cell>
          <cell r="G474" t="str">
            <v>1388/12/07</v>
          </cell>
        </row>
        <row r="475">
          <cell r="E475">
            <v>408</v>
          </cell>
          <cell r="F475">
            <v>40236</v>
          </cell>
          <cell r="G475" t="str">
            <v>1388/12/08</v>
          </cell>
        </row>
        <row r="476">
          <cell r="E476">
            <v>409</v>
          </cell>
          <cell r="F476">
            <v>40237</v>
          </cell>
          <cell r="G476" t="str">
            <v>1388/12/09</v>
          </cell>
        </row>
        <row r="477">
          <cell r="E477">
            <v>410</v>
          </cell>
          <cell r="F477">
            <v>40238</v>
          </cell>
          <cell r="G477" t="str">
            <v>1388/12/10</v>
          </cell>
        </row>
        <row r="478">
          <cell r="E478">
            <v>411</v>
          </cell>
          <cell r="F478">
            <v>40239</v>
          </cell>
          <cell r="G478" t="str">
            <v>1388/12/11</v>
          </cell>
        </row>
        <row r="479">
          <cell r="E479">
            <v>412</v>
          </cell>
          <cell r="F479">
            <v>40240</v>
          </cell>
          <cell r="G479" t="str">
            <v>1388/12/12</v>
          </cell>
        </row>
        <row r="480">
          <cell r="E480">
            <v>413</v>
          </cell>
          <cell r="F480">
            <v>40241</v>
          </cell>
          <cell r="G480" t="str">
            <v>1388/12/13</v>
          </cell>
        </row>
        <row r="481">
          <cell r="E481">
            <v>414</v>
          </cell>
          <cell r="F481">
            <v>40242</v>
          </cell>
          <cell r="G481" t="str">
            <v>1388/12/14</v>
          </cell>
        </row>
        <row r="482">
          <cell r="E482">
            <v>415</v>
          </cell>
          <cell r="F482">
            <v>40243</v>
          </cell>
          <cell r="G482" t="str">
            <v>1388/12/15</v>
          </cell>
        </row>
        <row r="483">
          <cell r="E483">
            <v>416</v>
          </cell>
          <cell r="F483">
            <v>40244</v>
          </cell>
          <cell r="G483" t="str">
            <v>1388/12/16</v>
          </cell>
        </row>
        <row r="484">
          <cell r="E484">
            <v>417</v>
          </cell>
          <cell r="F484">
            <v>40245</v>
          </cell>
          <cell r="G484" t="str">
            <v>1388/12/17</v>
          </cell>
        </row>
        <row r="485">
          <cell r="E485">
            <v>418</v>
          </cell>
          <cell r="F485">
            <v>40246</v>
          </cell>
          <cell r="G485" t="str">
            <v>1388/12/18</v>
          </cell>
        </row>
        <row r="486">
          <cell r="E486">
            <v>419</v>
          </cell>
          <cell r="F486">
            <v>40247</v>
          </cell>
          <cell r="G486" t="str">
            <v>1388/12/19</v>
          </cell>
        </row>
        <row r="487">
          <cell r="E487">
            <v>420</v>
          </cell>
          <cell r="F487">
            <v>40248</v>
          </cell>
          <cell r="G487" t="str">
            <v>1388/12/20</v>
          </cell>
        </row>
        <row r="488">
          <cell r="E488">
            <v>421</v>
          </cell>
          <cell r="F488">
            <v>40249</v>
          </cell>
          <cell r="G488" t="str">
            <v>1388/12/21</v>
          </cell>
        </row>
        <row r="489">
          <cell r="E489">
            <v>422</v>
          </cell>
          <cell r="F489">
            <v>40250</v>
          </cell>
          <cell r="G489" t="str">
            <v>1388/12/22</v>
          </cell>
        </row>
        <row r="490">
          <cell r="E490">
            <v>423</v>
          </cell>
          <cell r="F490">
            <v>40251</v>
          </cell>
          <cell r="G490" t="str">
            <v>1388/12/23</v>
          </cell>
        </row>
        <row r="491">
          <cell r="E491">
            <v>424</v>
          </cell>
          <cell r="F491">
            <v>40252</v>
          </cell>
          <cell r="G491" t="str">
            <v>1388/12/24</v>
          </cell>
        </row>
        <row r="492">
          <cell r="E492">
            <v>425</v>
          </cell>
          <cell r="F492">
            <v>40253</v>
          </cell>
          <cell r="G492" t="str">
            <v>1388/12/25</v>
          </cell>
        </row>
        <row r="493">
          <cell r="E493">
            <v>426</v>
          </cell>
          <cell r="F493">
            <v>40254</v>
          </cell>
          <cell r="G493" t="str">
            <v>1388/12/26</v>
          </cell>
        </row>
        <row r="494">
          <cell r="E494">
            <v>427</v>
          </cell>
          <cell r="F494">
            <v>40255</v>
          </cell>
          <cell r="G494" t="str">
            <v>1388/12/27</v>
          </cell>
        </row>
        <row r="495">
          <cell r="E495">
            <v>428</v>
          </cell>
          <cell r="F495">
            <v>40256</v>
          </cell>
          <cell r="G495" t="str">
            <v>1388/12/28</v>
          </cell>
        </row>
        <row r="496">
          <cell r="E496">
            <v>429</v>
          </cell>
          <cell r="F496">
            <v>40257</v>
          </cell>
          <cell r="G496" t="str">
            <v>1388/12/29</v>
          </cell>
        </row>
        <row r="497">
          <cell r="E497">
            <v>430</v>
          </cell>
          <cell r="F497">
            <v>40258</v>
          </cell>
        </row>
        <row r="498">
          <cell r="E498">
            <v>431</v>
          </cell>
          <cell r="F498">
            <v>40259</v>
          </cell>
        </row>
        <row r="499">
          <cell r="E499">
            <v>432</v>
          </cell>
          <cell r="F499">
            <v>40260</v>
          </cell>
        </row>
        <row r="500">
          <cell r="E500">
            <v>433</v>
          </cell>
          <cell r="F500">
            <v>40261</v>
          </cell>
        </row>
        <row r="501">
          <cell r="E501">
            <v>434</v>
          </cell>
          <cell r="F501">
            <v>40262</v>
          </cell>
        </row>
        <row r="502">
          <cell r="E502">
            <v>435</v>
          </cell>
          <cell r="F502">
            <v>40263</v>
          </cell>
        </row>
        <row r="503">
          <cell r="E503">
            <v>436</v>
          </cell>
          <cell r="F503">
            <v>40264</v>
          </cell>
        </row>
        <row r="504">
          <cell r="E504">
            <v>437</v>
          </cell>
          <cell r="F504">
            <v>40265</v>
          </cell>
        </row>
        <row r="505">
          <cell r="E505">
            <v>438</v>
          </cell>
          <cell r="F505">
            <v>40266</v>
          </cell>
        </row>
        <row r="506">
          <cell r="E506">
            <v>439</v>
          </cell>
          <cell r="F506">
            <v>40267</v>
          </cell>
        </row>
        <row r="507">
          <cell r="E507">
            <v>440</v>
          </cell>
          <cell r="F507">
            <v>40268</v>
          </cell>
        </row>
        <row r="508">
          <cell r="E508">
            <v>441</v>
          </cell>
          <cell r="F508">
            <v>40269</v>
          </cell>
        </row>
        <row r="509">
          <cell r="E509">
            <v>442</v>
          </cell>
          <cell r="F509">
            <v>40270</v>
          </cell>
        </row>
        <row r="510">
          <cell r="E510">
            <v>443</v>
          </cell>
          <cell r="F510">
            <v>40271</v>
          </cell>
        </row>
        <row r="511">
          <cell r="E511">
            <v>444</v>
          </cell>
          <cell r="F511">
            <v>40272</v>
          </cell>
        </row>
        <row r="512">
          <cell r="E512">
            <v>445</v>
          </cell>
          <cell r="F512">
            <v>40273</v>
          </cell>
        </row>
        <row r="513">
          <cell r="E513">
            <v>446</v>
          </cell>
          <cell r="F513">
            <v>40274</v>
          </cell>
        </row>
        <row r="514">
          <cell r="E514">
            <v>447</v>
          </cell>
          <cell r="F514">
            <v>40275</v>
          </cell>
        </row>
        <row r="515">
          <cell r="E515">
            <v>448</v>
          </cell>
          <cell r="F515">
            <v>40276</v>
          </cell>
        </row>
        <row r="516">
          <cell r="E516">
            <v>449</v>
          </cell>
          <cell r="F516">
            <v>40277</v>
          </cell>
        </row>
        <row r="517">
          <cell r="E517">
            <v>450</v>
          </cell>
          <cell r="F517">
            <v>40278</v>
          </cell>
        </row>
        <row r="518">
          <cell r="E518">
            <v>451</v>
          </cell>
          <cell r="F518">
            <v>40279</v>
          </cell>
        </row>
        <row r="519">
          <cell r="E519">
            <v>452</v>
          </cell>
          <cell r="F519">
            <v>40280</v>
          </cell>
        </row>
        <row r="520">
          <cell r="E520">
            <v>453</v>
          </cell>
          <cell r="F520">
            <v>40281</v>
          </cell>
        </row>
        <row r="521">
          <cell r="E521">
            <v>454</v>
          </cell>
          <cell r="F521">
            <v>40282</v>
          </cell>
        </row>
        <row r="522">
          <cell r="E522">
            <v>455</v>
          </cell>
          <cell r="F522">
            <v>40283</v>
          </cell>
        </row>
        <row r="523">
          <cell r="E523">
            <v>456</v>
          </cell>
          <cell r="F523">
            <v>40284</v>
          </cell>
        </row>
        <row r="524">
          <cell r="E524">
            <v>457</v>
          </cell>
          <cell r="F524">
            <v>40285</v>
          </cell>
        </row>
        <row r="525">
          <cell r="E525">
            <v>458</v>
          </cell>
          <cell r="F525">
            <v>40286</v>
          </cell>
        </row>
        <row r="526">
          <cell r="E526">
            <v>459</v>
          </cell>
          <cell r="F526">
            <v>40287</v>
          </cell>
        </row>
        <row r="527">
          <cell r="E527">
            <v>460</v>
          </cell>
          <cell r="F527">
            <v>40288</v>
          </cell>
        </row>
        <row r="528">
          <cell r="E528">
            <v>461</v>
          </cell>
          <cell r="F528">
            <v>40289</v>
          </cell>
        </row>
        <row r="529">
          <cell r="E529">
            <v>462</v>
          </cell>
          <cell r="F529">
            <v>40290</v>
          </cell>
        </row>
        <row r="530">
          <cell r="E530">
            <v>463</v>
          </cell>
          <cell r="F530">
            <v>40291</v>
          </cell>
        </row>
        <row r="531">
          <cell r="E531">
            <v>464</v>
          </cell>
          <cell r="F531">
            <v>40292</v>
          </cell>
        </row>
        <row r="532">
          <cell r="E532">
            <v>465</v>
          </cell>
          <cell r="F532">
            <v>40293</v>
          </cell>
        </row>
        <row r="533">
          <cell r="E533">
            <v>466</v>
          </cell>
          <cell r="F533">
            <v>40294</v>
          </cell>
        </row>
        <row r="534">
          <cell r="E534">
            <v>467</v>
          </cell>
          <cell r="F534">
            <v>40295</v>
          </cell>
        </row>
        <row r="535">
          <cell r="E535">
            <v>468</v>
          </cell>
          <cell r="F535">
            <v>40296</v>
          </cell>
        </row>
        <row r="536">
          <cell r="E536">
            <v>469</v>
          </cell>
          <cell r="F536">
            <v>40297</v>
          </cell>
        </row>
        <row r="537">
          <cell r="E537">
            <v>470</v>
          </cell>
          <cell r="F537">
            <v>40298</v>
          </cell>
        </row>
        <row r="538">
          <cell r="E538">
            <v>471</v>
          </cell>
          <cell r="F538">
            <v>40299</v>
          </cell>
        </row>
        <row r="539">
          <cell r="E539">
            <v>472</v>
          </cell>
          <cell r="F539">
            <v>40300</v>
          </cell>
        </row>
        <row r="540">
          <cell r="E540">
            <v>473</v>
          </cell>
          <cell r="F540">
            <v>40301</v>
          </cell>
        </row>
        <row r="541">
          <cell r="E541">
            <v>474</v>
          </cell>
          <cell r="F541">
            <v>40302</v>
          </cell>
        </row>
        <row r="542">
          <cell r="E542">
            <v>475</v>
          </cell>
          <cell r="F542">
            <v>40303</v>
          </cell>
        </row>
        <row r="543">
          <cell r="E543">
            <v>476</v>
          </cell>
          <cell r="F543">
            <v>40304</v>
          </cell>
        </row>
        <row r="544">
          <cell r="E544">
            <v>477</v>
          </cell>
          <cell r="F544">
            <v>40305</v>
          </cell>
        </row>
        <row r="545">
          <cell r="E545">
            <v>478</v>
          </cell>
          <cell r="F545">
            <v>40306</v>
          </cell>
        </row>
        <row r="546">
          <cell r="E546">
            <v>479</v>
          </cell>
          <cell r="F546">
            <v>40307</v>
          </cell>
        </row>
        <row r="547">
          <cell r="E547">
            <v>480</v>
          </cell>
          <cell r="F547">
            <v>40308</v>
          </cell>
        </row>
        <row r="548">
          <cell r="E548">
            <v>481</v>
          </cell>
          <cell r="F548">
            <v>40309</v>
          </cell>
        </row>
        <row r="549">
          <cell r="E549">
            <v>482</v>
          </cell>
          <cell r="F549">
            <v>40310</v>
          </cell>
        </row>
        <row r="550">
          <cell r="E550">
            <v>483</v>
          </cell>
          <cell r="F550">
            <v>40311</v>
          </cell>
        </row>
        <row r="551">
          <cell r="E551">
            <v>484</v>
          </cell>
          <cell r="F551">
            <v>40312</v>
          </cell>
        </row>
        <row r="552">
          <cell r="E552">
            <v>485</v>
          </cell>
          <cell r="F552">
            <v>40313</v>
          </cell>
        </row>
        <row r="553">
          <cell r="E553">
            <v>486</v>
          </cell>
          <cell r="F553">
            <v>40314</v>
          </cell>
        </row>
        <row r="554">
          <cell r="E554">
            <v>487</v>
          </cell>
          <cell r="F554">
            <v>40315</v>
          </cell>
        </row>
        <row r="555">
          <cell r="E555">
            <v>488</v>
          </cell>
          <cell r="F555">
            <v>40316</v>
          </cell>
        </row>
        <row r="556">
          <cell r="E556">
            <v>489</v>
          </cell>
          <cell r="F556">
            <v>40317</v>
          </cell>
        </row>
        <row r="557">
          <cell r="E557">
            <v>490</v>
          </cell>
          <cell r="F557">
            <v>40318</v>
          </cell>
        </row>
        <row r="558">
          <cell r="E558">
            <v>491</v>
          </cell>
          <cell r="F558">
            <v>40319</v>
          </cell>
        </row>
        <row r="559">
          <cell r="E559">
            <v>492</v>
          </cell>
          <cell r="F559">
            <v>40320</v>
          </cell>
        </row>
        <row r="560">
          <cell r="E560">
            <v>493</v>
          </cell>
          <cell r="F560">
            <v>40321</v>
          </cell>
        </row>
        <row r="561">
          <cell r="E561">
            <v>494</v>
          </cell>
          <cell r="F561">
            <v>40322</v>
          </cell>
        </row>
        <row r="562">
          <cell r="E562">
            <v>495</v>
          </cell>
          <cell r="F562">
            <v>40323</v>
          </cell>
        </row>
        <row r="563">
          <cell r="E563">
            <v>496</v>
          </cell>
          <cell r="F563">
            <v>40324</v>
          </cell>
        </row>
        <row r="564">
          <cell r="E564">
            <v>497</v>
          </cell>
          <cell r="F564">
            <v>40325</v>
          </cell>
        </row>
        <row r="565">
          <cell r="E565">
            <v>498</v>
          </cell>
          <cell r="F565">
            <v>40326</v>
          </cell>
        </row>
        <row r="566">
          <cell r="E566">
            <v>499</v>
          </cell>
          <cell r="F566">
            <v>40327</v>
          </cell>
        </row>
        <row r="567">
          <cell r="E567">
            <v>500</v>
          </cell>
          <cell r="F567">
            <v>40328</v>
          </cell>
        </row>
        <row r="568">
          <cell r="E568">
            <v>501</v>
          </cell>
          <cell r="F568">
            <v>40329</v>
          </cell>
        </row>
        <row r="569">
          <cell r="E569">
            <v>502</v>
          </cell>
          <cell r="F569">
            <v>40330</v>
          </cell>
        </row>
        <row r="570">
          <cell r="E570">
            <v>503</v>
          </cell>
          <cell r="F570">
            <v>40331</v>
          </cell>
        </row>
        <row r="571">
          <cell r="E571">
            <v>504</v>
          </cell>
          <cell r="F571">
            <v>40332</v>
          </cell>
        </row>
        <row r="572">
          <cell r="E572">
            <v>505</v>
          </cell>
          <cell r="F572">
            <v>40333</v>
          </cell>
        </row>
        <row r="573">
          <cell r="E573">
            <v>506</v>
          </cell>
          <cell r="F573">
            <v>40334</v>
          </cell>
        </row>
        <row r="574">
          <cell r="E574">
            <v>507</v>
          </cell>
          <cell r="F574">
            <v>40335</v>
          </cell>
        </row>
        <row r="575">
          <cell r="E575">
            <v>508</v>
          </cell>
          <cell r="F575">
            <v>40336</v>
          </cell>
        </row>
        <row r="576">
          <cell r="E576">
            <v>509</v>
          </cell>
          <cell r="F576">
            <v>40337</v>
          </cell>
        </row>
        <row r="577">
          <cell r="E577">
            <v>510</v>
          </cell>
          <cell r="F577">
            <v>40338</v>
          </cell>
        </row>
        <row r="578">
          <cell r="E578">
            <v>511</v>
          </cell>
          <cell r="F578">
            <v>40339</v>
          </cell>
        </row>
        <row r="579">
          <cell r="E579">
            <v>512</v>
          </cell>
          <cell r="F579">
            <v>40340</v>
          </cell>
        </row>
        <row r="580">
          <cell r="E580">
            <v>513</v>
          </cell>
          <cell r="F580">
            <v>40341</v>
          </cell>
        </row>
        <row r="581">
          <cell r="E581">
            <v>514</v>
          </cell>
          <cell r="F581">
            <v>40342</v>
          </cell>
        </row>
        <row r="582">
          <cell r="E582">
            <v>515</v>
          </cell>
          <cell r="F582">
            <v>40343</v>
          </cell>
        </row>
        <row r="583">
          <cell r="E583">
            <v>516</v>
          </cell>
          <cell r="F583">
            <v>40344</v>
          </cell>
        </row>
        <row r="584">
          <cell r="E584">
            <v>517</v>
          </cell>
          <cell r="F584">
            <v>40345</v>
          </cell>
        </row>
        <row r="585">
          <cell r="E585">
            <v>518</v>
          </cell>
          <cell r="F585">
            <v>40346</v>
          </cell>
        </row>
        <row r="586">
          <cell r="E586">
            <v>519</v>
          </cell>
          <cell r="F586">
            <v>40347</v>
          </cell>
        </row>
        <row r="587">
          <cell r="E587">
            <v>520</v>
          </cell>
          <cell r="F587">
            <v>40348</v>
          </cell>
        </row>
        <row r="588">
          <cell r="E588">
            <v>521</v>
          </cell>
          <cell r="F588">
            <v>40349</v>
          </cell>
        </row>
        <row r="589">
          <cell r="E589">
            <v>522</v>
          </cell>
          <cell r="F589">
            <v>40350</v>
          </cell>
        </row>
        <row r="590">
          <cell r="E590">
            <v>523</v>
          </cell>
          <cell r="F590">
            <v>40351</v>
          </cell>
        </row>
        <row r="591">
          <cell r="E591">
            <v>524</v>
          </cell>
          <cell r="F591">
            <v>40352</v>
          </cell>
        </row>
        <row r="592">
          <cell r="E592">
            <v>525</v>
          </cell>
          <cell r="F592">
            <v>40353</v>
          </cell>
        </row>
        <row r="593">
          <cell r="E593">
            <v>526</v>
          </cell>
          <cell r="F593">
            <v>40354</v>
          </cell>
        </row>
        <row r="594">
          <cell r="E594">
            <v>527</v>
          </cell>
          <cell r="F594">
            <v>40355</v>
          </cell>
        </row>
        <row r="595">
          <cell r="E595">
            <v>528</v>
          </cell>
          <cell r="F595">
            <v>40356</v>
          </cell>
        </row>
        <row r="596">
          <cell r="E596">
            <v>529</v>
          </cell>
          <cell r="F596">
            <v>40357</v>
          </cell>
        </row>
        <row r="597">
          <cell r="E597">
            <v>530</v>
          </cell>
          <cell r="F597">
            <v>40358</v>
          </cell>
        </row>
        <row r="598">
          <cell r="E598">
            <v>531</v>
          </cell>
          <cell r="F598">
            <v>40359</v>
          </cell>
        </row>
        <row r="599">
          <cell r="E599">
            <v>532</v>
          </cell>
          <cell r="F599">
            <v>40360</v>
          </cell>
        </row>
        <row r="600">
          <cell r="E600">
            <v>533</v>
          </cell>
          <cell r="F600">
            <v>40361</v>
          </cell>
        </row>
        <row r="601">
          <cell r="E601">
            <v>534</v>
          </cell>
          <cell r="F601">
            <v>40362</v>
          </cell>
        </row>
        <row r="602">
          <cell r="E602">
            <v>535</v>
          </cell>
          <cell r="F602">
            <v>40363</v>
          </cell>
        </row>
        <row r="603">
          <cell r="E603">
            <v>536</v>
          </cell>
          <cell r="F603">
            <v>40364</v>
          </cell>
        </row>
        <row r="604">
          <cell r="E604">
            <v>537</v>
          </cell>
          <cell r="F604">
            <v>40365</v>
          </cell>
        </row>
        <row r="605">
          <cell r="E605">
            <v>538</v>
          </cell>
          <cell r="F605">
            <v>40366</v>
          </cell>
        </row>
        <row r="606">
          <cell r="E606">
            <v>539</v>
          </cell>
          <cell r="F606">
            <v>40367</v>
          </cell>
        </row>
        <row r="607">
          <cell r="E607">
            <v>540</v>
          </cell>
          <cell r="F607">
            <v>40368</v>
          </cell>
        </row>
        <row r="608">
          <cell r="E608">
            <v>541</v>
          </cell>
          <cell r="F608">
            <v>40369</v>
          </cell>
        </row>
        <row r="609">
          <cell r="E609">
            <v>542</v>
          </cell>
          <cell r="F609">
            <v>40370</v>
          </cell>
        </row>
        <row r="610">
          <cell r="E610">
            <v>543</v>
          </cell>
          <cell r="F610">
            <v>40371</v>
          </cell>
        </row>
        <row r="611">
          <cell r="E611">
            <v>544</v>
          </cell>
          <cell r="F611">
            <v>40372</v>
          </cell>
        </row>
        <row r="612">
          <cell r="E612">
            <v>545</v>
          </cell>
          <cell r="F612">
            <v>40373</v>
          </cell>
        </row>
        <row r="613">
          <cell r="E613">
            <v>546</v>
          </cell>
          <cell r="F613">
            <v>40374</v>
          </cell>
        </row>
        <row r="614">
          <cell r="E614">
            <v>547</v>
          </cell>
          <cell r="F614">
            <v>40375</v>
          </cell>
        </row>
        <row r="615">
          <cell r="E615">
            <v>548</v>
          </cell>
          <cell r="F615">
            <v>40376</v>
          </cell>
        </row>
        <row r="616">
          <cell r="E616">
            <v>549</v>
          </cell>
          <cell r="F616">
            <v>40377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QTY"/>
      <sheetName val="Sheet3"/>
    </sheetNames>
    <sheetDataSet>
      <sheetData sheetId="0" refreshError="1">
        <row r="2">
          <cell r="B2" t="str">
            <v>South Pars Gas Field Development - Phase 6,7&amp;8</v>
          </cell>
        </row>
        <row r="3">
          <cell r="B3" t="str">
            <v>Site Preparation - Part 2</v>
          </cell>
        </row>
        <row r="5">
          <cell r="B5" t="str">
            <v>Contractor : A.R.P Co.</v>
          </cell>
        </row>
        <row r="7">
          <cell r="B7" t="str">
            <v>DESC.</v>
          </cell>
          <cell r="C7" t="str">
            <v>EST.</v>
          </cell>
          <cell r="D7" t="str">
            <v>UNIT</v>
          </cell>
          <cell r="E7" t="str">
            <v>DONE UP TO MAY-02-03</v>
          </cell>
          <cell r="F7" t="str">
            <v>REMAIN Q'TY</v>
          </cell>
          <cell r="G7" t="str">
            <v>SHALL BE STARTED</v>
          </cell>
          <cell r="H7" t="str">
            <v>TARGET DATE</v>
          </cell>
          <cell r="J7" t="str">
            <v>TimeInterval</v>
          </cell>
          <cell r="K7">
            <v>37723</v>
          </cell>
          <cell r="L7">
            <v>37730</v>
          </cell>
          <cell r="M7">
            <v>37737</v>
          </cell>
          <cell r="N7">
            <v>37744</v>
          </cell>
          <cell r="O7">
            <v>37751</v>
          </cell>
          <cell r="P7">
            <v>37758</v>
          </cell>
          <cell r="Q7">
            <v>37765</v>
          </cell>
          <cell r="R7">
            <v>37772</v>
          </cell>
        </row>
        <row r="8">
          <cell r="K8">
            <v>37729</v>
          </cell>
          <cell r="L8">
            <v>37736</v>
          </cell>
          <cell r="M8">
            <v>37743</v>
          </cell>
          <cell r="N8">
            <v>37750</v>
          </cell>
          <cell r="O8">
            <v>37757</v>
          </cell>
          <cell r="P8">
            <v>37764</v>
          </cell>
          <cell r="Q8">
            <v>37771</v>
          </cell>
          <cell r="R8">
            <v>37778</v>
          </cell>
        </row>
        <row r="9">
          <cell r="B9" t="str">
            <v>EXCAVATION</v>
          </cell>
          <cell r="C9">
            <v>2726011</v>
          </cell>
          <cell r="D9" t="str">
            <v>M3</v>
          </cell>
          <cell r="E9">
            <v>161912</v>
          </cell>
          <cell r="F9">
            <v>2564099</v>
          </cell>
          <cell r="G9">
            <v>37736</v>
          </cell>
          <cell r="H9">
            <v>37875</v>
          </cell>
          <cell r="I9">
            <v>139</v>
          </cell>
          <cell r="J9" t="str">
            <v>PLAN</v>
          </cell>
          <cell r="K9">
            <v>69000</v>
          </cell>
          <cell r="L9">
            <v>71300</v>
          </cell>
          <cell r="M9">
            <v>76590</v>
          </cell>
          <cell r="N9">
            <v>88757</v>
          </cell>
          <cell r="O9">
            <v>111874.3</v>
          </cell>
          <cell r="P9">
            <v>137560.18888888889</v>
          </cell>
          <cell r="Q9">
            <v>166100.06543209875</v>
          </cell>
          <cell r="R9">
            <v>186485.69153439149</v>
          </cell>
        </row>
        <row r="10">
          <cell r="I10">
            <v>20</v>
          </cell>
          <cell r="J10" t="str">
            <v>ACT.</v>
          </cell>
        </row>
        <row r="11">
          <cell r="B11" t="str">
            <v>TRANSPORT TO SPOIL AREA</v>
          </cell>
          <cell r="C11">
            <v>1300300</v>
          </cell>
          <cell r="D11" t="str">
            <v>M3</v>
          </cell>
          <cell r="E11">
            <v>0</v>
          </cell>
          <cell r="F11">
            <v>1300300</v>
          </cell>
          <cell r="G11">
            <v>37746</v>
          </cell>
          <cell r="H11">
            <v>37844</v>
          </cell>
          <cell r="I11">
            <v>98</v>
          </cell>
          <cell r="J11" t="str">
            <v>PLAN</v>
          </cell>
          <cell r="L11">
            <v>32000</v>
          </cell>
          <cell r="M11">
            <v>33800</v>
          </cell>
          <cell r="N11">
            <v>37040</v>
          </cell>
          <cell r="O11">
            <v>42872</v>
          </cell>
          <cell r="P11">
            <v>53369.599999999999</v>
          </cell>
          <cell r="Q11">
            <v>59544.658823529418</v>
          </cell>
          <cell r="R11">
            <v>63177.046366782015</v>
          </cell>
        </row>
        <row r="12">
          <cell r="I12">
            <v>14</v>
          </cell>
          <cell r="J12" t="str">
            <v>ACT.</v>
          </cell>
        </row>
        <row r="13">
          <cell r="B13" t="str">
            <v>Rip Rap</v>
          </cell>
          <cell r="C13">
            <v>138771.28</v>
          </cell>
          <cell r="D13" t="str">
            <v>M2</v>
          </cell>
          <cell r="E13">
            <v>0</v>
          </cell>
          <cell r="F13">
            <v>138771.28</v>
          </cell>
          <cell r="G13">
            <v>37755</v>
          </cell>
          <cell r="H13">
            <v>37884</v>
          </cell>
          <cell r="I13">
            <v>129</v>
          </cell>
          <cell r="J13" t="str">
            <v>PLAN</v>
          </cell>
          <cell r="R13">
            <v>5310</v>
          </cell>
        </row>
        <row r="14">
          <cell r="I14">
            <v>19</v>
          </cell>
          <cell r="J14" t="str">
            <v>ACT.</v>
          </cell>
        </row>
        <row r="15">
          <cell r="B15" t="str">
            <v>Embankment</v>
          </cell>
          <cell r="C15">
            <v>1156538</v>
          </cell>
          <cell r="D15" t="str">
            <v>M3</v>
          </cell>
          <cell r="E15">
            <v>90236</v>
          </cell>
          <cell r="F15">
            <v>1066302</v>
          </cell>
          <cell r="G15">
            <v>37736</v>
          </cell>
          <cell r="H15">
            <v>37854</v>
          </cell>
          <cell r="I15">
            <v>118</v>
          </cell>
          <cell r="J15" t="str">
            <v>PLAN</v>
          </cell>
          <cell r="L15">
            <v>8000</v>
          </cell>
          <cell r="M15">
            <v>9800</v>
          </cell>
          <cell r="N15">
            <v>13040</v>
          </cell>
          <cell r="O15">
            <v>19520</v>
          </cell>
          <cell r="P15">
            <v>36044</v>
          </cell>
          <cell r="Q15">
            <v>54404</v>
          </cell>
          <cell r="R15">
            <v>74804</v>
          </cell>
        </row>
        <row r="16">
          <cell r="I16">
            <v>17</v>
          </cell>
          <cell r="J16" t="str">
            <v>ACT.</v>
          </cell>
        </row>
        <row r="18">
          <cell r="B18" t="str">
            <v>DESC.</v>
          </cell>
          <cell r="C18" t="str">
            <v>EST.</v>
          </cell>
          <cell r="D18" t="str">
            <v>UNIT</v>
          </cell>
          <cell r="E18" t="str">
            <v>DONE UP TO MAY-02-03</v>
          </cell>
          <cell r="F18" t="str">
            <v>REMAIN Q'TY</v>
          </cell>
          <cell r="G18" t="str">
            <v>SHALL BE STARTED</v>
          </cell>
          <cell r="H18" t="str">
            <v>TARGET DATE</v>
          </cell>
          <cell r="J18" t="str">
            <v>TimeInterval</v>
          </cell>
          <cell r="K18">
            <v>37779</v>
          </cell>
          <cell r="L18">
            <v>37786</v>
          </cell>
          <cell r="M18">
            <v>37793</v>
          </cell>
          <cell r="N18">
            <v>37800</v>
          </cell>
          <cell r="O18">
            <v>37807</v>
          </cell>
          <cell r="P18">
            <v>37814</v>
          </cell>
          <cell r="Q18">
            <v>37821</v>
          </cell>
          <cell r="R18">
            <v>37828</v>
          </cell>
        </row>
        <row r="19">
          <cell r="K19">
            <v>37785</v>
          </cell>
          <cell r="L19">
            <v>37792</v>
          </cell>
          <cell r="M19">
            <v>37799</v>
          </cell>
          <cell r="N19">
            <v>37806</v>
          </cell>
          <cell r="O19">
            <v>37813</v>
          </cell>
          <cell r="P19">
            <v>37820</v>
          </cell>
          <cell r="Q19">
            <v>37827</v>
          </cell>
          <cell r="R19">
            <v>37834</v>
          </cell>
        </row>
        <row r="20">
          <cell r="B20" t="str">
            <v>EXCAVATION</v>
          </cell>
          <cell r="C20">
            <v>2726011</v>
          </cell>
          <cell r="D20" t="str">
            <v>M3</v>
          </cell>
          <cell r="E20">
            <v>161912</v>
          </cell>
          <cell r="F20">
            <v>2564099</v>
          </cell>
          <cell r="G20">
            <v>37736</v>
          </cell>
          <cell r="H20">
            <v>37875</v>
          </cell>
          <cell r="I20">
            <v>139</v>
          </cell>
          <cell r="J20" t="str">
            <v>PLAN</v>
          </cell>
          <cell r="K20">
            <v>201046.85303602918</v>
          </cell>
          <cell r="L20">
            <v>211447.68268005608</v>
          </cell>
          <cell r="M20">
            <v>211447.68268005608</v>
          </cell>
          <cell r="N20">
            <v>201046.85303602918</v>
          </cell>
          <cell r="O20">
            <v>186485.69153439149</v>
          </cell>
          <cell r="P20">
            <v>166100.06543209875</v>
          </cell>
          <cell r="Q20">
            <v>137560.18888888889</v>
          </cell>
          <cell r="R20">
            <v>129011.3</v>
          </cell>
        </row>
        <row r="21">
          <cell r="I21">
            <v>20</v>
          </cell>
          <cell r="J21" t="str">
            <v>ACT.</v>
          </cell>
        </row>
        <row r="22">
          <cell r="B22" t="str">
            <v>TRANSPORT TO SPOIL AREA</v>
          </cell>
          <cell r="C22">
            <v>1300300</v>
          </cell>
          <cell r="D22" t="str">
            <v>M3</v>
          </cell>
          <cell r="E22">
            <v>0</v>
          </cell>
          <cell r="F22">
            <v>1300300</v>
          </cell>
          <cell r="G22">
            <v>37746</v>
          </cell>
          <cell r="H22">
            <v>37844</v>
          </cell>
          <cell r="I22">
            <v>98</v>
          </cell>
          <cell r="J22" t="str">
            <v>PLAN</v>
          </cell>
          <cell r="K22">
            <v>65313.744921636484</v>
          </cell>
          <cell r="L22">
            <v>66570.626424492046</v>
          </cell>
          <cell r="M22">
            <v>67309.968484995319</v>
          </cell>
          <cell r="N22">
            <v>67309.968484995319</v>
          </cell>
          <cell r="O22">
            <v>67309.968484995319</v>
          </cell>
          <cell r="P22">
            <v>66570.626424492046</v>
          </cell>
          <cell r="Q22">
            <v>65313.744921636484</v>
          </cell>
          <cell r="R22">
            <v>63177.046366782015</v>
          </cell>
        </row>
        <row r="23">
          <cell r="I23">
            <v>14</v>
          </cell>
          <cell r="J23" t="str">
            <v>ACT.</v>
          </cell>
        </row>
        <row r="24">
          <cell r="B24" t="str">
            <v>Rip Rap</v>
          </cell>
          <cell r="C24">
            <v>138771.28</v>
          </cell>
          <cell r="D24" t="str">
            <v>M2</v>
          </cell>
          <cell r="E24">
            <v>0</v>
          </cell>
          <cell r="F24">
            <v>138771.28</v>
          </cell>
          <cell r="G24">
            <v>37755</v>
          </cell>
          <cell r="H24">
            <v>37884</v>
          </cell>
          <cell r="I24">
            <v>129</v>
          </cell>
          <cell r="J24" t="str">
            <v>PLAN</v>
          </cell>
          <cell r="K24">
            <v>5850</v>
          </cell>
          <cell r="L24">
            <v>7350</v>
          </cell>
          <cell r="M24">
            <v>9250</v>
          </cell>
          <cell r="N24">
            <v>10750</v>
          </cell>
          <cell r="O24">
            <v>11950</v>
          </cell>
          <cell r="P24">
            <v>12500</v>
          </cell>
          <cell r="Q24">
            <v>12850</v>
          </cell>
          <cell r="R24">
            <v>12500</v>
          </cell>
        </row>
        <row r="25">
          <cell r="I25">
            <v>19</v>
          </cell>
          <cell r="J25" t="str">
            <v>ACT.</v>
          </cell>
        </row>
        <row r="26">
          <cell r="B26" t="str">
            <v>Embankment</v>
          </cell>
          <cell r="C26">
            <v>1156538</v>
          </cell>
          <cell r="D26" t="str">
            <v>M3</v>
          </cell>
          <cell r="E26">
            <v>90236</v>
          </cell>
          <cell r="F26">
            <v>1066302</v>
          </cell>
          <cell r="G26">
            <v>37736</v>
          </cell>
          <cell r="H26">
            <v>37854</v>
          </cell>
          <cell r="I26">
            <v>118</v>
          </cell>
          <cell r="J26" t="str">
            <v>PLAN</v>
          </cell>
          <cell r="K26">
            <v>89375.428571428565</v>
          </cell>
          <cell r="L26">
            <v>99783.591836734704</v>
          </cell>
          <cell r="M26">
            <v>107217.99416909622</v>
          </cell>
          <cell r="N26">
            <v>107217.99416909622</v>
          </cell>
          <cell r="O26">
            <v>107217.99416909622</v>
          </cell>
          <cell r="P26">
            <v>99783.591836734704</v>
          </cell>
          <cell r="Q26">
            <v>89375.428571428565</v>
          </cell>
          <cell r="R26">
            <v>74804</v>
          </cell>
        </row>
        <row r="27">
          <cell r="I27">
            <v>17</v>
          </cell>
          <cell r="J27" t="str">
            <v>ACT.</v>
          </cell>
        </row>
        <row r="29">
          <cell r="B29" t="str">
            <v>DESC.</v>
          </cell>
          <cell r="C29" t="str">
            <v>EST.</v>
          </cell>
          <cell r="D29" t="str">
            <v>UNIT</v>
          </cell>
          <cell r="E29" t="str">
            <v>DONE UP TO MAY-02-03</v>
          </cell>
          <cell r="F29" t="str">
            <v>REMAIN Q'TY</v>
          </cell>
          <cell r="G29" t="str">
            <v>SHALL BE STARTED</v>
          </cell>
          <cell r="H29" t="str">
            <v>TARGET DATE</v>
          </cell>
          <cell r="J29" t="str">
            <v>TimeInterval</v>
          </cell>
          <cell r="K29">
            <v>37835</v>
          </cell>
          <cell r="L29">
            <v>37842</v>
          </cell>
          <cell r="M29">
            <v>37849</v>
          </cell>
          <cell r="N29">
            <v>37856</v>
          </cell>
          <cell r="O29">
            <v>37863</v>
          </cell>
          <cell r="P29">
            <v>37870</v>
          </cell>
          <cell r="Q29">
            <v>37877</v>
          </cell>
          <cell r="R29">
            <v>37884</v>
          </cell>
        </row>
        <row r="30">
          <cell r="K30">
            <v>37841</v>
          </cell>
          <cell r="L30">
            <v>37848</v>
          </cell>
          <cell r="M30">
            <v>37855</v>
          </cell>
          <cell r="N30">
            <v>37862</v>
          </cell>
          <cell r="O30">
            <v>37869</v>
          </cell>
          <cell r="P30">
            <v>37876</v>
          </cell>
          <cell r="Q30">
            <v>37883</v>
          </cell>
          <cell r="R30">
            <v>37890</v>
          </cell>
        </row>
        <row r="31">
          <cell r="B31" t="str">
            <v>EXCAVATION</v>
          </cell>
          <cell r="C31">
            <v>2726011</v>
          </cell>
          <cell r="D31" t="str">
            <v>M3</v>
          </cell>
          <cell r="E31">
            <v>161912</v>
          </cell>
          <cell r="F31">
            <v>2564099</v>
          </cell>
          <cell r="G31">
            <v>37736</v>
          </cell>
          <cell r="H31">
            <v>37875</v>
          </cell>
          <cell r="I31">
            <v>139</v>
          </cell>
          <cell r="J31" t="str">
            <v>PLAN</v>
          </cell>
          <cell r="K31">
            <v>105894</v>
          </cell>
          <cell r="L31">
            <v>93727</v>
          </cell>
          <cell r="M31">
            <v>88437</v>
          </cell>
          <cell r="N31">
            <v>86137</v>
          </cell>
        </row>
        <row r="32">
          <cell r="I32">
            <v>20</v>
          </cell>
          <cell r="J32" t="str">
            <v>ACT.</v>
          </cell>
        </row>
        <row r="33">
          <cell r="B33" t="str">
            <v>TRANSPORT TO SPOIL AREA</v>
          </cell>
          <cell r="C33">
            <v>1300300</v>
          </cell>
          <cell r="D33" t="str">
            <v>M3</v>
          </cell>
          <cell r="E33">
            <v>0</v>
          </cell>
          <cell r="F33">
            <v>1300300</v>
          </cell>
          <cell r="G33">
            <v>37746</v>
          </cell>
          <cell r="H33">
            <v>37844</v>
          </cell>
          <cell r="I33">
            <v>98</v>
          </cell>
          <cell r="J33" t="str">
            <v>PLAN</v>
          </cell>
          <cell r="K33">
            <v>59544.658823529418</v>
          </cell>
          <cell r="L33">
            <v>53369.599999999999</v>
          </cell>
          <cell r="M33">
            <v>42820</v>
          </cell>
          <cell r="N33">
            <v>36040</v>
          </cell>
          <cell r="O33">
            <v>32800</v>
          </cell>
          <cell r="P33">
            <v>31000</v>
          </cell>
        </row>
        <row r="34">
          <cell r="I34">
            <v>14</v>
          </cell>
          <cell r="J34" t="str">
            <v>ACT.</v>
          </cell>
        </row>
        <row r="35">
          <cell r="B35" t="str">
            <v>Rip Rap</v>
          </cell>
          <cell r="C35">
            <v>138771.28</v>
          </cell>
          <cell r="D35" t="str">
            <v>M2</v>
          </cell>
          <cell r="E35">
            <v>0</v>
          </cell>
          <cell r="F35">
            <v>138771.28</v>
          </cell>
          <cell r="G35">
            <v>37755</v>
          </cell>
          <cell r="H35">
            <v>37884</v>
          </cell>
          <cell r="I35">
            <v>129</v>
          </cell>
          <cell r="J35" t="str">
            <v>PLAN</v>
          </cell>
          <cell r="K35">
            <v>11950</v>
          </cell>
          <cell r="L35">
            <v>10750</v>
          </cell>
          <cell r="M35">
            <v>9250</v>
          </cell>
          <cell r="N35">
            <v>7350</v>
          </cell>
          <cell r="O35">
            <v>5850</v>
          </cell>
          <cell r="P35">
            <v>5310</v>
          </cell>
        </row>
        <row r="36">
          <cell r="I36">
            <v>19</v>
          </cell>
          <cell r="J36" t="str">
            <v>ACT.</v>
          </cell>
        </row>
        <row r="37">
          <cell r="B37" t="str">
            <v>Embankment</v>
          </cell>
          <cell r="C37">
            <v>1156538</v>
          </cell>
          <cell r="D37" t="str">
            <v>M3</v>
          </cell>
          <cell r="E37">
            <v>90236</v>
          </cell>
          <cell r="F37">
            <v>1066302</v>
          </cell>
          <cell r="G37">
            <v>37736</v>
          </cell>
          <cell r="H37">
            <v>37854</v>
          </cell>
          <cell r="I37">
            <v>118</v>
          </cell>
          <cell r="J37" t="str">
            <v>PLAN</v>
          </cell>
          <cell r="K37">
            <v>54404</v>
          </cell>
          <cell r="L37">
            <v>36044</v>
          </cell>
          <cell r="M37">
            <v>21173</v>
          </cell>
          <cell r="N37">
            <v>14693</v>
          </cell>
          <cell r="O37">
            <v>11453</v>
          </cell>
          <cell r="P37">
            <v>9653</v>
          </cell>
        </row>
        <row r="38">
          <cell r="J38" t="str">
            <v>ACT.</v>
          </cell>
        </row>
        <row r="51">
          <cell r="T51" t="str">
            <v>South Pars Gas Field Development - Phase 6,7&amp;8</v>
          </cell>
        </row>
        <row r="52">
          <cell r="T52" t="str">
            <v>Site Preparation - Part 2</v>
          </cell>
        </row>
        <row r="54">
          <cell r="T54" t="str">
            <v>Contractor : A.R.P Co.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P"/>
      <sheetName val="EPC Summary"/>
      <sheetName val="basic data"/>
      <sheetName val="Engineering"/>
      <sheetName val="Procurement"/>
      <sheetName val="Construction"/>
      <sheetName val="C_Price_List"/>
      <sheetName val="Analysis"/>
      <sheetName val="P.ME"/>
      <sheetName val="P.EL"/>
      <sheetName val="P.IN"/>
      <sheetName val="P.PI"/>
      <sheetName val="P.PL"/>
      <sheetName val="P.LAB"/>
      <sheetName val="C.N1"/>
      <sheetName val="C.N2"/>
      <sheetName val="C.foundation2"/>
      <sheetName val="C. Shelters2"/>
      <sheetName val="C.ROAD2"/>
      <sheetName val="C.OTHERS"/>
      <sheetName val="C.SITE2"/>
      <sheetName val="C.SITE3"/>
      <sheetName val="C.UG_CIVIL2"/>
      <sheetName val="C.STEEL_STRUCTURE2"/>
      <sheetName val="C.Buildings"/>
      <sheetName val="C.RETAINING_WAL"/>
      <sheetName val="C.PI"/>
      <sheetName val="C.ME"/>
      <sheetName val="C.PL"/>
      <sheetName val="C.EL"/>
      <sheetName val="C.IN"/>
      <sheetName val="C.tashilat"/>
      <sheetName val="C.tashilat2"/>
      <sheetName val="C.HSE1"/>
      <sheetName val="C.HSE2"/>
      <sheetName val="C.Foundation1"/>
      <sheetName val=" C.Shelters1 "/>
      <sheetName val="C.Shelters2"/>
      <sheetName val="C.ROAD1"/>
      <sheetName val="C.OTHERS1"/>
      <sheetName val="C.SITE1"/>
      <sheetName val="C.UG_CIVIL1"/>
      <sheetName val="C.STEEL_STRUCTURE1"/>
      <sheetName val="E.Endorsement"/>
      <sheetName val="E.Process"/>
      <sheetName val="E.Mechanic"/>
      <sheetName val="E.HVAC"/>
      <sheetName val="E.HSE"/>
      <sheetName val="E.Piping&amp;Pipeline"/>
      <sheetName val="E.Instrument"/>
      <sheetName val="E.Electrical"/>
      <sheetName val="E.TELECOM"/>
      <sheetName val="E.Civil "/>
      <sheetName val="E.Arichitectural"/>
      <sheetName val="E.Structure"/>
      <sheetName val="E.Project Control"/>
    </sheetNames>
    <sheetDataSet>
      <sheetData sheetId="0" refreshError="1"/>
      <sheetData sheetId="1">
        <row r="5">
          <cell r="H5">
            <v>1</v>
          </cell>
        </row>
      </sheetData>
      <sheetData sheetId="2">
        <row r="1">
          <cell r="B1">
            <v>1.38</v>
          </cell>
        </row>
        <row r="18">
          <cell r="C18">
            <v>1.3364365206232722</v>
          </cell>
        </row>
      </sheetData>
      <sheetData sheetId="3">
        <row r="35">
          <cell r="AJ35">
            <v>49539594222.666367</v>
          </cell>
        </row>
      </sheetData>
      <sheetData sheetId="4">
        <row r="50">
          <cell r="C50">
            <v>60143807.981939808</v>
          </cell>
        </row>
      </sheetData>
      <sheetData sheetId="5">
        <row r="16">
          <cell r="D16">
            <v>424881397834.63867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vents &amp; Areas Concern"/>
      <sheetName val="Manpower"/>
      <sheetName val="Machinery"/>
      <sheetName val="Mobilization"/>
      <sheetName val="Progress"/>
      <sheetName val="QA-QC"/>
      <sheetName val="Survey-Material"/>
    </sheetNames>
    <sheetDataSet>
      <sheetData sheetId="0" refreshError="1">
        <row r="47">
          <cell r="F47" t="str">
            <v>NO</v>
          </cell>
          <cell r="G47" t="str">
            <v>ENG</v>
          </cell>
          <cell r="H47" t="str">
            <v>PER</v>
          </cell>
        </row>
        <row r="48">
          <cell r="F48">
            <v>1</v>
          </cell>
          <cell r="G48">
            <v>39829</v>
          </cell>
          <cell r="H48" t="str">
            <v>1387/10/27</v>
          </cell>
        </row>
        <row r="49">
          <cell r="F49">
            <v>2</v>
          </cell>
          <cell r="G49">
            <v>39830</v>
          </cell>
          <cell r="H49" t="str">
            <v>1387/10/28</v>
          </cell>
        </row>
        <row r="50">
          <cell r="F50">
            <v>3</v>
          </cell>
          <cell r="G50">
            <v>39831</v>
          </cell>
          <cell r="H50" t="str">
            <v>1387/10/29</v>
          </cell>
        </row>
        <row r="51">
          <cell r="F51">
            <v>4</v>
          </cell>
          <cell r="G51">
            <v>39832</v>
          </cell>
          <cell r="H51" t="str">
            <v>1387/10/30</v>
          </cell>
        </row>
        <row r="52">
          <cell r="F52">
            <v>5</v>
          </cell>
          <cell r="G52">
            <v>39833</v>
          </cell>
          <cell r="H52" t="str">
            <v>1387/11/01</v>
          </cell>
        </row>
        <row r="53">
          <cell r="F53">
            <v>6</v>
          </cell>
          <cell r="G53">
            <v>39834</v>
          </cell>
          <cell r="H53" t="str">
            <v>1387/11/02</v>
          </cell>
        </row>
        <row r="54">
          <cell r="F54">
            <v>7</v>
          </cell>
          <cell r="G54">
            <v>39835</v>
          </cell>
          <cell r="H54" t="str">
            <v>1387/11/03</v>
          </cell>
        </row>
        <row r="55">
          <cell r="F55">
            <v>8</v>
          </cell>
          <cell r="G55">
            <v>39836</v>
          </cell>
          <cell r="H55" t="str">
            <v>1387/11/04</v>
          </cell>
        </row>
        <row r="56">
          <cell r="F56">
            <v>9</v>
          </cell>
          <cell r="G56">
            <v>39837</v>
          </cell>
          <cell r="H56" t="str">
            <v>1387/11/05</v>
          </cell>
        </row>
        <row r="57">
          <cell r="F57">
            <v>10</v>
          </cell>
          <cell r="G57">
            <v>39838</v>
          </cell>
          <cell r="H57" t="str">
            <v>1387/11/06</v>
          </cell>
        </row>
        <row r="58">
          <cell r="F58">
            <v>11</v>
          </cell>
          <cell r="G58">
            <v>39839</v>
          </cell>
          <cell r="H58" t="str">
            <v>1387/11/07</v>
          </cell>
        </row>
        <row r="59">
          <cell r="F59">
            <v>12</v>
          </cell>
          <cell r="G59">
            <v>39840</v>
          </cell>
          <cell r="H59" t="str">
            <v>1387/11/08</v>
          </cell>
        </row>
        <row r="60">
          <cell r="F60">
            <v>13</v>
          </cell>
          <cell r="G60">
            <v>39841</v>
          </cell>
          <cell r="H60" t="str">
            <v>1387/11/09</v>
          </cell>
        </row>
        <row r="61">
          <cell r="F61">
            <v>14</v>
          </cell>
          <cell r="G61">
            <v>39842</v>
          </cell>
          <cell r="H61" t="str">
            <v>1387/11/10</v>
          </cell>
        </row>
        <row r="62">
          <cell r="F62">
            <v>15</v>
          </cell>
          <cell r="G62">
            <v>39843</v>
          </cell>
          <cell r="H62" t="str">
            <v>1387/11/11</v>
          </cell>
        </row>
        <row r="63">
          <cell r="F63">
            <v>16</v>
          </cell>
          <cell r="G63">
            <v>39844</v>
          </cell>
          <cell r="H63" t="str">
            <v>1387/11/12</v>
          </cell>
        </row>
        <row r="64">
          <cell r="F64">
            <v>17</v>
          </cell>
          <cell r="G64">
            <v>39845</v>
          </cell>
          <cell r="H64" t="str">
            <v>1387/11/13</v>
          </cell>
        </row>
        <row r="65">
          <cell r="F65">
            <v>18</v>
          </cell>
          <cell r="G65">
            <v>39846</v>
          </cell>
          <cell r="H65" t="str">
            <v>1387/11/14</v>
          </cell>
        </row>
        <row r="66">
          <cell r="F66">
            <v>19</v>
          </cell>
          <cell r="G66">
            <v>39847</v>
          </cell>
          <cell r="H66" t="str">
            <v>1387/11/15</v>
          </cell>
        </row>
        <row r="67">
          <cell r="F67">
            <v>20</v>
          </cell>
          <cell r="G67">
            <v>39848</v>
          </cell>
          <cell r="H67" t="str">
            <v>1387/11/16</v>
          </cell>
        </row>
        <row r="68">
          <cell r="F68">
            <v>21</v>
          </cell>
          <cell r="G68">
            <v>39849</v>
          </cell>
          <cell r="H68" t="str">
            <v>1387/11/17</v>
          </cell>
        </row>
        <row r="69">
          <cell r="F69">
            <v>22</v>
          </cell>
          <cell r="G69">
            <v>39850</v>
          </cell>
          <cell r="H69" t="str">
            <v>1387/11/18</v>
          </cell>
        </row>
        <row r="70">
          <cell r="F70">
            <v>23</v>
          </cell>
          <cell r="G70">
            <v>39851</v>
          </cell>
          <cell r="H70" t="str">
            <v>1387/11/19</v>
          </cell>
        </row>
        <row r="71">
          <cell r="F71">
            <v>24</v>
          </cell>
          <cell r="G71">
            <v>39852</v>
          </cell>
          <cell r="H71" t="str">
            <v>1387/11/20</v>
          </cell>
        </row>
        <row r="72">
          <cell r="F72">
            <v>25</v>
          </cell>
          <cell r="G72">
            <v>39853</v>
          </cell>
          <cell r="H72" t="str">
            <v>1387/11/21</v>
          </cell>
        </row>
        <row r="73">
          <cell r="F73">
            <v>26</v>
          </cell>
          <cell r="G73">
            <v>39854</v>
          </cell>
          <cell r="H73" t="str">
            <v>1387/11/22</v>
          </cell>
        </row>
        <row r="74">
          <cell r="F74">
            <v>27</v>
          </cell>
          <cell r="G74">
            <v>39855</v>
          </cell>
          <cell r="H74" t="str">
            <v>1387/11/23</v>
          </cell>
        </row>
        <row r="75">
          <cell r="F75">
            <v>28</v>
          </cell>
          <cell r="G75">
            <v>39856</v>
          </cell>
          <cell r="H75" t="str">
            <v>1387/11/24</v>
          </cell>
        </row>
        <row r="76">
          <cell r="F76">
            <v>29</v>
          </cell>
          <cell r="G76">
            <v>39857</v>
          </cell>
          <cell r="H76" t="str">
            <v>1387/11/25</v>
          </cell>
        </row>
        <row r="77">
          <cell r="F77">
            <v>30</v>
          </cell>
          <cell r="G77">
            <v>39858</v>
          </cell>
          <cell r="H77" t="str">
            <v>1387/11/26</v>
          </cell>
        </row>
        <row r="78">
          <cell r="F78">
            <v>31</v>
          </cell>
          <cell r="G78">
            <v>39859</v>
          </cell>
          <cell r="H78" t="str">
            <v>1387/11/27</v>
          </cell>
        </row>
        <row r="79">
          <cell r="F79">
            <v>32</v>
          </cell>
          <cell r="G79">
            <v>39860</v>
          </cell>
          <cell r="H79" t="str">
            <v>1387/11/28</v>
          </cell>
        </row>
        <row r="80">
          <cell r="F80">
            <v>33</v>
          </cell>
          <cell r="G80">
            <v>39861</v>
          </cell>
          <cell r="H80" t="str">
            <v>1387/11/29</v>
          </cell>
        </row>
        <row r="81">
          <cell r="F81">
            <v>34</v>
          </cell>
          <cell r="G81">
            <v>39862</v>
          </cell>
          <cell r="H81" t="str">
            <v>1387/11/30</v>
          </cell>
        </row>
        <row r="82">
          <cell r="F82">
            <v>35</v>
          </cell>
          <cell r="G82">
            <v>39863</v>
          </cell>
          <cell r="H82" t="str">
            <v>1387/12/01</v>
          </cell>
        </row>
        <row r="83">
          <cell r="F83">
            <v>36</v>
          </cell>
          <cell r="G83">
            <v>39864</v>
          </cell>
          <cell r="H83" t="str">
            <v>1387/12/02</v>
          </cell>
        </row>
        <row r="84">
          <cell r="F84">
            <v>37</v>
          </cell>
          <cell r="G84">
            <v>39865</v>
          </cell>
          <cell r="H84" t="str">
            <v>1387/12/03</v>
          </cell>
        </row>
        <row r="85">
          <cell r="F85">
            <v>38</v>
          </cell>
          <cell r="G85">
            <v>39866</v>
          </cell>
          <cell r="H85" t="str">
            <v>1387/12/04</v>
          </cell>
        </row>
        <row r="86">
          <cell r="F86">
            <v>39</v>
          </cell>
          <cell r="G86">
            <v>39867</v>
          </cell>
          <cell r="H86" t="str">
            <v>1387/12/05</v>
          </cell>
        </row>
        <row r="87">
          <cell r="F87">
            <v>40</v>
          </cell>
          <cell r="G87">
            <v>39868</v>
          </cell>
          <cell r="H87" t="str">
            <v>1387/12/06</v>
          </cell>
        </row>
        <row r="88">
          <cell r="F88">
            <v>41</v>
          </cell>
          <cell r="G88">
            <v>39869</v>
          </cell>
          <cell r="H88" t="str">
            <v>1387/12/07</v>
          </cell>
        </row>
        <row r="89">
          <cell r="F89">
            <v>42</v>
          </cell>
          <cell r="G89">
            <v>39870</v>
          </cell>
          <cell r="H89" t="str">
            <v>1387/12/08</v>
          </cell>
        </row>
        <row r="90">
          <cell r="F90">
            <v>43</v>
          </cell>
          <cell r="G90">
            <v>39871</v>
          </cell>
          <cell r="H90" t="str">
            <v>1387/12/09</v>
          </cell>
        </row>
        <row r="91">
          <cell r="F91">
            <v>44</v>
          </cell>
          <cell r="G91">
            <v>39872</v>
          </cell>
          <cell r="H91" t="str">
            <v>1387/12/10</v>
          </cell>
        </row>
        <row r="92">
          <cell r="F92">
            <v>45</v>
          </cell>
          <cell r="G92">
            <v>39873</v>
          </cell>
          <cell r="H92" t="str">
            <v>1387/12/11</v>
          </cell>
        </row>
        <row r="93">
          <cell r="F93">
            <v>46</v>
          </cell>
          <cell r="G93">
            <v>39874</v>
          </cell>
          <cell r="H93" t="str">
            <v>1387/12/12</v>
          </cell>
        </row>
        <row r="94">
          <cell r="F94">
            <v>47</v>
          </cell>
          <cell r="G94">
            <v>39875</v>
          </cell>
          <cell r="H94" t="str">
            <v>1387/12/13</v>
          </cell>
        </row>
        <row r="95">
          <cell r="F95">
            <v>48</v>
          </cell>
          <cell r="G95">
            <v>39876</v>
          </cell>
          <cell r="H95" t="str">
            <v>1387/12/14</v>
          </cell>
        </row>
        <row r="96">
          <cell r="F96">
            <v>49</v>
          </cell>
          <cell r="G96">
            <v>39877</v>
          </cell>
          <cell r="H96" t="str">
            <v>1387/12/15</v>
          </cell>
        </row>
        <row r="97">
          <cell r="F97">
            <v>50</v>
          </cell>
          <cell r="G97">
            <v>39878</v>
          </cell>
          <cell r="H97" t="str">
            <v>1387/12/16</v>
          </cell>
        </row>
        <row r="98">
          <cell r="F98">
            <v>51</v>
          </cell>
          <cell r="G98">
            <v>39879</v>
          </cell>
          <cell r="H98" t="str">
            <v>1387/12/17</v>
          </cell>
        </row>
        <row r="99">
          <cell r="F99">
            <v>52</v>
          </cell>
          <cell r="G99">
            <v>39880</v>
          </cell>
          <cell r="H99" t="str">
            <v>1387/12/18</v>
          </cell>
        </row>
        <row r="100">
          <cell r="F100">
            <v>53</v>
          </cell>
          <cell r="G100">
            <v>39881</v>
          </cell>
          <cell r="H100" t="str">
            <v>1387/12/19</v>
          </cell>
        </row>
        <row r="101">
          <cell r="F101">
            <v>54</v>
          </cell>
          <cell r="G101">
            <v>39882</v>
          </cell>
          <cell r="H101" t="str">
            <v>1387/12/20</v>
          </cell>
        </row>
        <row r="102">
          <cell r="F102">
            <v>55</v>
          </cell>
          <cell r="G102">
            <v>39883</v>
          </cell>
          <cell r="H102" t="str">
            <v>1387/12/21</v>
          </cell>
        </row>
        <row r="103">
          <cell r="F103">
            <v>56</v>
          </cell>
          <cell r="G103">
            <v>39884</v>
          </cell>
          <cell r="H103" t="str">
            <v>1387/12/22</v>
          </cell>
        </row>
        <row r="104">
          <cell r="F104">
            <v>57</v>
          </cell>
          <cell r="G104">
            <v>39885</v>
          </cell>
          <cell r="H104" t="str">
            <v>1387/12/23</v>
          </cell>
        </row>
        <row r="105">
          <cell r="F105">
            <v>58</v>
          </cell>
          <cell r="G105">
            <v>39886</v>
          </cell>
          <cell r="H105" t="str">
            <v>1387/12/24</v>
          </cell>
        </row>
        <row r="106">
          <cell r="F106">
            <v>59</v>
          </cell>
          <cell r="G106">
            <v>39887</v>
          </cell>
          <cell r="H106" t="str">
            <v>1387/12/25</v>
          </cell>
        </row>
        <row r="107">
          <cell r="F107">
            <v>60</v>
          </cell>
          <cell r="G107">
            <v>39888</v>
          </cell>
          <cell r="H107" t="str">
            <v>1387/12/26</v>
          </cell>
        </row>
        <row r="108">
          <cell r="F108">
            <v>61</v>
          </cell>
          <cell r="G108">
            <v>39889</v>
          </cell>
          <cell r="H108" t="str">
            <v>1387/12/27</v>
          </cell>
        </row>
        <row r="109">
          <cell r="F109">
            <v>62</v>
          </cell>
          <cell r="G109">
            <v>39890</v>
          </cell>
          <cell r="H109" t="str">
            <v>1387/12/28</v>
          </cell>
        </row>
        <row r="110">
          <cell r="F110">
            <v>63</v>
          </cell>
          <cell r="G110">
            <v>39891</v>
          </cell>
          <cell r="H110" t="str">
            <v>1387/12/29</v>
          </cell>
        </row>
        <row r="111">
          <cell r="F111">
            <v>64</v>
          </cell>
          <cell r="G111">
            <v>39892</v>
          </cell>
          <cell r="H111" t="str">
            <v>1387/12/30</v>
          </cell>
        </row>
        <row r="112">
          <cell r="F112">
            <v>65</v>
          </cell>
          <cell r="G112">
            <v>39893</v>
          </cell>
          <cell r="H112" t="str">
            <v>1388/01/01</v>
          </cell>
        </row>
        <row r="113">
          <cell r="F113">
            <v>66</v>
          </cell>
          <cell r="G113">
            <v>39894</v>
          </cell>
          <cell r="H113" t="str">
            <v>1388/01/02</v>
          </cell>
        </row>
        <row r="114">
          <cell r="F114">
            <v>67</v>
          </cell>
          <cell r="G114">
            <v>39895</v>
          </cell>
          <cell r="H114" t="str">
            <v>1388/01/03</v>
          </cell>
        </row>
        <row r="115">
          <cell r="F115">
            <v>68</v>
          </cell>
          <cell r="G115">
            <v>39896</v>
          </cell>
          <cell r="H115" t="str">
            <v>1388/01/04</v>
          </cell>
        </row>
        <row r="116">
          <cell r="F116">
            <v>69</v>
          </cell>
          <cell r="G116">
            <v>39897</v>
          </cell>
          <cell r="H116" t="str">
            <v>1388/01/05</v>
          </cell>
        </row>
        <row r="117">
          <cell r="F117">
            <v>70</v>
          </cell>
          <cell r="G117">
            <v>39898</v>
          </cell>
          <cell r="H117" t="str">
            <v>1388/01/06</v>
          </cell>
        </row>
        <row r="118">
          <cell r="F118">
            <v>71</v>
          </cell>
          <cell r="G118">
            <v>39899</v>
          </cell>
          <cell r="H118" t="str">
            <v>1388/01/07</v>
          </cell>
        </row>
        <row r="119">
          <cell r="F119">
            <v>72</v>
          </cell>
          <cell r="G119">
            <v>39900</v>
          </cell>
          <cell r="H119" t="str">
            <v>1388/01/08</v>
          </cell>
        </row>
        <row r="120">
          <cell r="F120">
            <v>73</v>
          </cell>
          <cell r="G120">
            <v>39901</v>
          </cell>
          <cell r="H120" t="str">
            <v>1388/01/09</v>
          </cell>
        </row>
        <row r="121">
          <cell r="F121">
            <v>74</v>
          </cell>
          <cell r="G121">
            <v>39902</v>
          </cell>
          <cell r="H121" t="str">
            <v>1388/01/10</v>
          </cell>
        </row>
        <row r="122">
          <cell r="F122">
            <v>75</v>
          </cell>
          <cell r="G122">
            <v>39903</v>
          </cell>
          <cell r="H122" t="str">
            <v>1388/01/11</v>
          </cell>
        </row>
        <row r="123">
          <cell r="F123">
            <v>76</v>
          </cell>
          <cell r="G123">
            <v>39904</v>
          </cell>
          <cell r="H123" t="str">
            <v>1388/01/12</v>
          </cell>
        </row>
        <row r="124">
          <cell r="F124">
            <v>77</v>
          </cell>
          <cell r="G124">
            <v>39905</v>
          </cell>
          <cell r="H124" t="str">
            <v>1388/01/13</v>
          </cell>
        </row>
        <row r="125">
          <cell r="F125">
            <v>78</v>
          </cell>
          <cell r="G125">
            <v>39906</v>
          </cell>
          <cell r="H125" t="str">
            <v>1388/01/14</v>
          </cell>
        </row>
        <row r="126">
          <cell r="F126">
            <v>79</v>
          </cell>
          <cell r="G126">
            <v>39907</v>
          </cell>
          <cell r="H126" t="str">
            <v>1388/01/15</v>
          </cell>
        </row>
        <row r="127">
          <cell r="F127">
            <v>80</v>
          </cell>
          <cell r="G127">
            <v>39908</v>
          </cell>
          <cell r="H127" t="str">
            <v>1388/01/16</v>
          </cell>
        </row>
        <row r="128">
          <cell r="F128">
            <v>81</v>
          </cell>
          <cell r="G128">
            <v>39909</v>
          </cell>
          <cell r="H128" t="str">
            <v>1388/01/17</v>
          </cell>
        </row>
        <row r="129">
          <cell r="F129">
            <v>82</v>
          </cell>
          <cell r="G129">
            <v>39910</v>
          </cell>
          <cell r="H129" t="str">
            <v>1388/01/18</v>
          </cell>
        </row>
        <row r="130">
          <cell r="F130">
            <v>83</v>
          </cell>
          <cell r="G130">
            <v>39911</v>
          </cell>
          <cell r="H130" t="str">
            <v>1388/01/19</v>
          </cell>
        </row>
        <row r="131">
          <cell r="F131">
            <v>84</v>
          </cell>
          <cell r="G131">
            <v>39912</v>
          </cell>
          <cell r="H131" t="str">
            <v>1388/01/20</v>
          </cell>
        </row>
        <row r="132">
          <cell r="F132">
            <v>85</v>
          </cell>
          <cell r="G132">
            <v>39913</v>
          </cell>
          <cell r="H132" t="str">
            <v>1388/01/21</v>
          </cell>
        </row>
        <row r="133">
          <cell r="F133">
            <v>86</v>
          </cell>
          <cell r="G133">
            <v>39914</v>
          </cell>
          <cell r="H133" t="str">
            <v>1388/01/22</v>
          </cell>
        </row>
        <row r="134">
          <cell r="F134">
            <v>87</v>
          </cell>
          <cell r="G134">
            <v>39915</v>
          </cell>
          <cell r="H134" t="str">
            <v>1388/01/23</v>
          </cell>
        </row>
        <row r="135">
          <cell r="F135">
            <v>88</v>
          </cell>
          <cell r="G135">
            <v>39916</v>
          </cell>
          <cell r="H135" t="str">
            <v>1388/01/24</v>
          </cell>
        </row>
        <row r="136">
          <cell r="F136">
            <v>89</v>
          </cell>
          <cell r="G136">
            <v>39917</v>
          </cell>
          <cell r="H136" t="str">
            <v>1388/01/25</v>
          </cell>
        </row>
        <row r="137">
          <cell r="F137">
            <v>90</v>
          </cell>
          <cell r="G137">
            <v>39918</v>
          </cell>
          <cell r="H137" t="str">
            <v>1388/01/26</v>
          </cell>
        </row>
        <row r="138">
          <cell r="F138">
            <v>91</v>
          </cell>
          <cell r="G138">
            <v>39919</v>
          </cell>
          <cell r="H138" t="str">
            <v>1388/01/27</v>
          </cell>
        </row>
        <row r="139">
          <cell r="F139">
            <v>92</v>
          </cell>
          <cell r="G139">
            <v>39920</v>
          </cell>
          <cell r="H139" t="str">
            <v>1388/01/28</v>
          </cell>
        </row>
        <row r="140">
          <cell r="F140">
            <v>93</v>
          </cell>
          <cell r="G140">
            <v>39921</v>
          </cell>
          <cell r="H140" t="str">
            <v>1388/01/29</v>
          </cell>
        </row>
        <row r="141">
          <cell r="F141">
            <v>94</v>
          </cell>
          <cell r="G141">
            <v>39922</v>
          </cell>
          <cell r="H141" t="str">
            <v>1388/01/30</v>
          </cell>
        </row>
        <row r="142">
          <cell r="F142">
            <v>95</v>
          </cell>
          <cell r="G142">
            <v>39923</v>
          </cell>
          <cell r="H142" t="str">
            <v>1388/01/31</v>
          </cell>
        </row>
        <row r="143">
          <cell r="F143">
            <v>96</v>
          </cell>
          <cell r="G143">
            <v>39924</v>
          </cell>
          <cell r="H143" t="str">
            <v>1388/02/01</v>
          </cell>
        </row>
        <row r="144">
          <cell r="F144">
            <v>97</v>
          </cell>
          <cell r="G144">
            <v>39925</v>
          </cell>
          <cell r="H144" t="str">
            <v>1388/02/02</v>
          </cell>
        </row>
        <row r="145">
          <cell r="F145">
            <v>98</v>
          </cell>
          <cell r="G145">
            <v>39926</v>
          </cell>
          <cell r="H145" t="str">
            <v>1388/02/03</v>
          </cell>
        </row>
        <row r="146">
          <cell r="F146">
            <v>99</v>
          </cell>
          <cell r="G146">
            <v>39927</v>
          </cell>
          <cell r="H146" t="str">
            <v>1388/02/04</v>
          </cell>
        </row>
        <row r="147">
          <cell r="F147">
            <v>100</v>
          </cell>
          <cell r="G147">
            <v>39928</v>
          </cell>
          <cell r="H147" t="str">
            <v>1388/02/05</v>
          </cell>
        </row>
        <row r="148">
          <cell r="F148">
            <v>101</v>
          </cell>
          <cell r="G148">
            <v>39929</v>
          </cell>
          <cell r="H148" t="str">
            <v>1388/02/06</v>
          </cell>
        </row>
        <row r="149">
          <cell r="F149">
            <v>102</v>
          </cell>
          <cell r="G149">
            <v>39930</v>
          </cell>
          <cell r="H149" t="str">
            <v>1388/02/07</v>
          </cell>
        </row>
        <row r="150">
          <cell r="F150">
            <v>103</v>
          </cell>
          <cell r="G150">
            <v>39931</v>
          </cell>
          <cell r="H150" t="str">
            <v>1388/02/08</v>
          </cell>
        </row>
        <row r="151">
          <cell r="F151">
            <v>104</v>
          </cell>
          <cell r="G151">
            <v>39932</v>
          </cell>
          <cell r="H151" t="str">
            <v>1388/02/09</v>
          </cell>
        </row>
        <row r="152">
          <cell r="F152">
            <v>105</v>
          </cell>
          <cell r="G152">
            <v>39933</v>
          </cell>
          <cell r="H152" t="str">
            <v>1388/02/10</v>
          </cell>
        </row>
        <row r="153">
          <cell r="F153">
            <v>106</v>
          </cell>
          <cell r="G153">
            <v>39934</v>
          </cell>
          <cell r="H153" t="str">
            <v>1388/02/11</v>
          </cell>
        </row>
        <row r="154">
          <cell r="F154">
            <v>107</v>
          </cell>
          <cell r="G154">
            <v>39935</v>
          </cell>
          <cell r="H154" t="str">
            <v>1388/02/12</v>
          </cell>
        </row>
        <row r="155">
          <cell r="F155">
            <v>108</v>
          </cell>
          <cell r="G155">
            <v>39936</v>
          </cell>
          <cell r="H155" t="str">
            <v>1388/02/13</v>
          </cell>
        </row>
        <row r="156">
          <cell r="F156">
            <v>109</v>
          </cell>
          <cell r="G156">
            <v>39937</v>
          </cell>
          <cell r="H156" t="str">
            <v>1388/02/14</v>
          </cell>
        </row>
        <row r="157">
          <cell r="F157">
            <v>110</v>
          </cell>
          <cell r="G157">
            <v>39938</v>
          </cell>
          <cell r="H157" t="str">
            <v>1388/02/15</v>
          </cell>
        </row>
        <row r="158">
          <cell r="F158">
            <v>111</v>
          </cell>
          <cell r="G158">
            <v>39939</v>
          </cell>
          <cell r="H158" t="str">
            <v>1388/02/16</v>
          </cell>
        </row>
        <row r="159">
          <cell r="F159">
            <v>112</v>
          </cell>
          <cell r="G159">
            <v>39940</v>
          </cell>
          <cell r="H159" t="str">
            <v>1388/02/17</v>
          </cell>
        </row>
        <row r="160">
          <cell r="F160">
            <v>113</v>
          </cell>
          <cell r="G160">
            <v>39941</v>
          </cell>
          <cell r="H160" t="str">
            <v>1388/02/18</v>
          </cell>
        </row>
        <row r="161">
          <cell r="F161">
            <v>114</v>
          </cell>
          <cell r="G161">
            <v>39942</v>
          </cell>
          <cell r="H161" t="str">
            <v>1388/02/19</v>
          </cell>
        </row>
        <row r="162">
          <cell r="F162">
            <v>115</v>
          </cell>
          <cell r="G162">
            <v>39943</v>
          </cell>
          <cell r="H162" t="str">
            <v>1388/02/20</v>
          </cell>
        </row>
        <row r="163">
          <cell r="F163">
            <v>116</v>
          </cell>
          <cell r="G163">
            <v>39944</v>
          </cell>
          <cell r="H163" t="str">
            <v>1388/02/21</v>
          </cell>
        </row>
        <row r="164">
          <cell r="F164">
            <v>117</v>
          </cell>
          <cell r="G164">
            <v>39945</v>
          </cell>
          <cell r="H164" t="str">
            <v>1388/02/22</v>
          </cell>
        </row>
        <row r="165">
          <cell r="F165">
            <v>118</v>
          </cell>
          <cell r="G165">
            <v>39946</v>
          </cell>
          <cell r="H165" t="str">
            <v>1388/02/23</v>
          </cell>
        </row>
        <row r="166">
          <cell r="F166">
            <v>119</v>
          </cell>
          <cell r="G166">
            <v>39947</v>
          </cell>
          <cell r="H166" t="str">
            <v>1388/02/24</v>
          </cell>
        </row>
        <row r="167">
          <cell r="F167">
            <v>120</v>
          </cell>
          <cell r="G167">
            <v>39948</v>
          </cell>
          <cell r="H167" t="str">
            <v>1388/02/25</v>
          </cell>
        </row>
        <row r="168">
          <cell r="F168">
            <v>121</v>
          </cell>
          <cell r="G168">
            <v>39949</v>
          </cell>
          <cell r="H168" t="str">
            <v>1388/02/26</v>
          </cell>
        </row>
        <row r="169">
          <cell r="F169">
            <v>122</v>
          </cell>
          <cell r="G169">
            <v>39950</v>
          </cell>
          <cell r="H169" t="str">
            <v>1388/02/27</v>
          </cell>
        </row>
        <row r="170">
          <cell r="F170">
            <v>123</v>
          </cell>
          <cell r="G170">
            <v>39951</v>
          </cell>
          <cell r="H170" t="str">
            <v>1388/02/28</v>
          </cell>
        </row>
        <row r="171">
          <cell r="F171">
            <v>124</v>
          </cell>
          <cell r="G171">
            <v>39952</v>
          </cell>
          <cell r="H171" t="str">
            <v>1388/02/29</v>
          </cell>
        </row>
        <row r="172">
          <cell r="F172">
            <v>125</v>
          </cell>
          <cell r="G172">
            <v>39953</v>
          </cell>
          <cell r="H172" t="str">
            <v>1388/02/30</v>
          </cell>
        </row>
        <row r="173">
          <cell r="F173">
            <v>126</v>
          </cell>
          <cell r="G173">
            <v>39954</v>
          </cell>
          <cell r="H173" t="str">
            <v>1388/02/31</v>
          </cell>
        </row>
        <row r="174">
          <cell r="F174">
            <v>127</v>
          </cell>
          <cell r="G174">
            <v>39955</v>
          </cell>
          <cell r="H174" t="str">
            <v>1388/03/01</v>
          </cell>
        </row>
        <row r="175">
          <cell r="F175">
            <v>128</v>
          </cell>
          <cell r="G175">
            <v>39956</v>
          </cell>
          <cell r="H175" t="str">
            <v>1388/03/02</v>
          </cell>
        </row>
        <row r="176">
          <cell r="F176">
            <v>129</v>
          </cell>
          <cell r="G176">
            <v>39957</v>
          </cell>
          <cell r="H176" t="str">
            <v>1388/03/03</v>
          </cell>
        </row>
        <row r="177">
          <cell r="F177">
            <v>130</v>
          </cell>
          <cell r="G177">
            <v>39958</v>
          </cell>
          <cell r="H177" t="str">
            <v>1388/03/04</v>
          </cell>
        </row>
        <row r="178">
          <cell r="F178">
            <v>131</v>
          </cell>
          <cell r="G178">
            <v>39959</v>
          </cell>
          <cell r="H178" t="str">
            <v>1388/03/05</v>
          </cell>
        </row>
        <row r="179">
          <cell r="F179">
            <v>132</v>
          </cell>
          <cell r="G179">
            <v>39960</v>
          </cell>
          <cell r="H179" t="str">
            <v>1388/03/06</v>
          </cell>
        </row>
        <row r="180">
          <cell r="F180">
            <v>133</v>
          </cell>
          <cell r="G180">
            <v>39961</v>
          </cell>
          <cell r="H180" t="str">
            <v>1388/03/07</v>
          </cell>
        </row>
        <row r="181">
          <cell r="F181">
            <v>134</v>
          </cell>
          <cell r="G181">
            <v>39962</v>
          </cell>
          <cell r="H181" t="str">
            <v>1388/03/08</v>
          </cell>
        </row>
        <row r="182">
          <cell r="F182">
            <v>135</v>
          </cell>
          <cell r="G182">
            <v>39963</v>
          </cell>
          <cell r="H182" t="str">
            <v>1388/03/09</v>
          </cell>
        </row>
        <row r="183">
          <cell r="F183">
            <v>136</v>
          </cell>
          <cell r="G183">
            <v>39964</v>
          </cell>
          <cell r="H183" t="str">
            <v>1388/03/10</v>
          </cell>
        </row>
        <row r="184">
          <cell r="F184">
            <v>137</v>
          </cell>
          <cell r="G184">
            <v>39965</v>
          </cell>
          <cell r="H184" t="str">
            <v>1388/03/11</v>
          </cell>
        </row>
        <row r="185">
          <cell r="F185">
            <v>138</v>
          </cell>
          <cell r="G185">
            <v>39966</v>
          </cell>
          <cell r="H185" t="str">
            <v>1388/03/12</v>
          </cell>
        </row>
        <row r="186">
          <cell r="F186">
            <v>139</v>
          </cell>
          <cell r="G186">
            <v>39967</v>
          </cell>
          <cell r="H186" t="str">
            <v>1388/03/13</v>
          </cell>
        </row>
        <row r="187">
          <cell r="F187">
            <v>140</v>
          </cell>
          <cell r="G187">
            <v>39968</v>
          </cell>
          <cell r="H187" t="str">
            <v>1388/03/14</v>
          </cell>
        </row>
        <row r="188">
          <cell r="F188">
            <v>141</v>
          </cell>
          <cell r="G188">
            <v>39969</v>
          </cell>
          <cell r="H188" t="str">
            <v>1388/03/15</v>
          </cell>
        </row>
        <row r="189">
          <cell r="F189">
            <v>142</v>
          </cell>
          <cell r="G189">
            <v>39970</v>
          </cell>
          <cell r="H189" t="str">
            <v>1388/03/16</v>
          </cell>
        </row>
        <row r="190">
          <cell r="F190">
            <v>143</v>
          </cell>
          <cell r="G190">
            <v>39971</v>
          </cell>
          <cell r="H190" t="str">
            <v>1388/03/17</v>
          </cell>
        </row>
        <row r="191">
          <cell r="F191">
            <v>144</v>
          </cell>
          <cell r="G191">
            <v>39972</v>
          </cell>
          <cell r="H191" t="str">
            <v>1388/03/18</v>
          </cell>
        </row>
        <row r="192">
          <cell r="F192">
            <v>145</v>
          </cell>
          <cell r="G192">
            <v>39973</v>
          </cell>
          <cell r="H192" t="str">
            <v>1388/03/19</v>
          </cell>
        </row>
        <row r="193">
          <cell r="F193">
            <v>146</v>
          </cell>
          <cell r="G193">
            <v>39974</v>
          </cell>
          <cell r="H193" t="str">
            <v>1388/03/20</v>
          </cell>
        </row>
        <row r="194">
          <cell r="F194">
            <v>147</v>
          </cell>
          <cell r="G194">
            <v>39975</v>
          </cell>
          <cell r="H194" t="str">
            <v>1388/03/21</v>
          </cell>
        </row>
        <row r="195">
          <cell r="F195">
            <v>148</v>
          </cell>
          <cell r="G195">
            <v>39976</v>
          </cell>
          <cell r="H195" t="str">
            <v>1388/03/22</v>
          </cell>
        </row>
        <row r="196">
          <cell r="F196">
            <v>149</v>
          </cell>
          <cell r="G196">
            <v>39977</v>
          </cell>
          <cell r="H196" t="str">
            <v>1388/03/23</v>
          </cell>
        </row>
        <row r="197">
          <cell r="F197">
            <v>150</v>
          </cell>
          <cell r="G197">
            <v>39978</v>
          </cell>
          <cell r="H197" t="str">
            <v>1388/03/24</v>
          </cell>
        </row>
        <row r="198">
          <cell r="F198">
            <v>151</v>
          </cell>
          <cell r="G198">
            <v>39979</v>
          </cell>
          <cell r="H198" t="str">
            <v>1388/03/25</v>
          </cell>
        </row>
        <row r="199">
          <cell r="F199">
            <v>152</v>
          </cell>
          <cell r="G199">
            <v>39980</v>
          </cell>
          <cell r="H199" t="str">
            <v>1388/03/26</v>
          </cell>
        </row>
        <row r="200">
          <cell r="F200">
            <v>153</v>
          </cell>
          <cell r="G200">
            <v>39981</v>
          </cell>
          <cell r="H200" t="str">
            <v>1388/03/27</v>
          </cell>
        </row>
        <row r="201">
          <cell r="F201">
            <v>154</v>
          </cell>
          <cell r="G201">
            <v>39982</v>
          </cell>
          <cell r="H201" t="str">
            <v>1388/03/28</v>
          </cell>
        </row>
        <row r="202">
          <cell r="F202">
            <v>155</v>
          </cell>
          <cell r="G202">
            <v>39983</v>
          </cell>
          <cell r="H202" t="str">
            <v>1388/03/29</v>
          </cell>
        </row>
        <row r="203">
          <cell r="F203">
            <v>156</v>
          </cell>
          <cell r="G203">
            <v>39984</v>
          </cell>
          <cell r="H203" t="str">
            <v>1388/03/30</v>
          </cell>
        </row>
        <row r="204">
          <cell r="F204">
            <v>157</v>
          </cell>
          <cell r="G204">
            <v>39985</v>
          </cell>
          <cell r="H204" t="str">
            <v>1388/03/31</v>
          </cell>
        </row>
        <row r="205">
          <cell r="F205">
            <v>158</v>
          </cell>
          <cell r="G205">
            <v>39986</v>
          </cell>
          <cell r="H205" t="str">
            <v>1388/04/01</v>
          </cell>
        </row>
        <row r="206">
          <cell r="F206">
            <v>159</v>
          </cell>
          <cell r="G206">
            <v>39987</v>
          </cell>
          <cell r="H206" t="str">
            <v>1388/04/02</v>
          </cell>
        </row>
        <row r="207">
          <cell r="F207">
            <v>160</v>
          </cell>
          <cell r="G207">
            <v>39988</v>
          </cell>
          <cell r="H207" t="str">
            <v>1388/04/03</v>
          </cell>
        </row>
        <row r="208">
          <cell r="F208">
            <v>161</v>
          </cell>
          <cell r="G208">
            <v>39989</v>
          </cell>
          <cell r="H208" t="str">
            <v>1388/04/04</v>
          </cell>
        </row>
        <row r="209">
          <cell r="F209">
            <v>162</v>
          </cell>
          <cell r="G209">
            <v>39990</v>
          </cell>
          <cell r="H209" t="str">
            <v>1388/04/05</v>
          </cell>
        </row>
        <row r="210">
          <cell r="F210">
            <v>163</v>
          </cell>
          <cell r="G210">
            <v>39991</v>
          </cell>
          <cell r="H210" t="str">
            <v>1388/04/06</v>
          </cell>
        </row>
        <row r="211">
          <cell r="F211">
            <v>164</v>
          </cell>
          <cell r="G211">
            <v>39992</v>
          </cell>
          <cell r="H211" t="str">
            <v>1388/04/07</v>
          </cell>
        </row>
        <row r="212">
          <cell r="F212">
            <v>165</v>
          </cell>
          <cell r="G212">
            <v>39993</v>
          </cell>
          <cell r="H212" t="str">
            <v>1388/04/08</v>
          </cell>
        </row>
        <row r="213">
          <cell r="F213">
            <v>166</v>
          </cell>
          <cell r="G213">
            <v>39994</v>
          </cell>
          <cell r="H213" t="str">
            <v>1388/04/09</v>
          </cell>
        </row>
        <row r="214">
          <cell r="F214">
            <v>167</v>
          </cell>
          <cell r="G214">
            <v>39995</v>
          </cell>
          <cell r="H214" t="str">
            <v>1388/04/10</v>
          </cell>
        </row>
        <row r="215">
          <cell r="F215">
            <v>168</v>
          </cell>
          <cell r="G215">
            <v>39996</v>
          </cell>
          <cell r="H215" t="str">
            <v>1388/04/11</v>
          </cell>
        </row>
        <row r="216">
          <cell r="F216">
            <v>169</v>
          </cell>
          <cell r="G216">
            <v>39997</v>
          </cell>
          <cell r="H216" t="str">
            <v>1388/04/12</v>
          </cell>
        </row>
        <row r="217">
          <cell r="F217">
            <v>170</v>
          </cell>
          <cell r="G217">
            <v>39998</v>
          </cell>
          <cell r="H217" t="str">
            <v>1388/04/13</v>
          </cell>
        </row>
        <row r="218">
          <cell r="F218">
            <v>171</v>
          </cell>
          <cell r="G218">
            <v>39999</v>
          </cell>
          <cell r="H218" t="str">
            <v>1388/04/14</v>
          </cell>
        </row>
        <row r="219">
          <cell r="F219">
            <v>172</v>
          </cell>
          <cell r="G219">
            <v>40000</v>
          </cell>
          <cell r="H219" t="str">
            <v>1388/04/15</v>
          </cell>
        </row>
        <row r="220">
          <cell r="F220">
            <v>173</v>
          </cell>
          <cell r="G220">
            <v>40001</v>
          </cell>
          <cell r="H220" t="str">
            <v>1388/04/16</v>
          </cell>
        </row>
        <row r="221">
          <cell r="F221">
            <v>174</v>
          </cell>
          <cell r="G221">
            <v>40002</v>
          </cell>
          <cell r="H221" t="str">
            <v>1388/04/17</v>
          </cell>
        </row>
        <row r="222">
          <cell r="F222">
            <v>175</v>
          </cell>
          <cell r="G222">
            <v>40003</v>
          </cell>
          <cell r="H222" t="str">
            <v>1388/04/18</v>
          </cell>
        </row>
        <row r="223">
          <cell r="F223">
            <v>176</v>
          </cell>
          <cell r="G223">
            <v>40004</v>
          </cell>
          <cell r="H223" t="str">
            <v>1388/04/19</v>
          </cell>
        </row>
        <row r="224">
          <cell r="F224">
            <v>177</v>
          </cell>
          <cell r="G224">
            <v>40005</v>
          </cell>
          <cell r="H224" t="str">
            <v>1388/04/20</v>
          </cell>
        </row>
        <row r="225">
          <cell r="F225">
            <v>178</v>
          </cell>
          <cell r="G225">
            <v>40006</v>
          </cell>
          <cell r="H225" t="str">
            <v>1388/04/21</v>
          </cell>
        </row>
        <row r="226">
          <cell r="F226">
            <v>179</v>
          </cell>
          <cell r="G226">
            <v>40007</v>
          </cell>
          <cell r="H226" t="str">
            <v>1388/04/22</v>
          </cell>
        </row>
        <row r="227">
          <cell r="F227">
            <v>180</v>
          </cell>
          <cell r="G227">
            <v>40008</v>
          </cell>
          <cell r="H227" t="str">
            <v>1388/04/23</v>
          </cell>
        </row>
        <row r="228">
          <cell r="F228">
            <v>181</v>
          </cell>
          <cell r="G228">
            <v>40009</v>
          </cell>
          <cell r="H228" t="str">
            <v>1388/04/24</v>
          </cell>
        </row>
        <row r="229">
          <cell r="F229">
            <v>182</v>
          </cell>
          <cell r="G229">
            <v>40010</v>
          </cell>
          <cell r="H229" t="str">
            <v>1388/04/25</v>
          </cell>
        </row>
        <row r="230">
          <cell r="F230">
            <v>183</v>
          </cell>
          <cell r="G230">
            <v>40011</v>
          </cell>
          <cell r="H230" t="str">
            <v>1388/04/26</v>
          </cell>
        </row>
        <row r="231">
          <cell r="F231">
            <v>184</v>
          </cell>
          <cell r="G231">
            <v>40012</v>
          </cell>
          <cell r="H231" t="str">
            <v>1388/04/27</v>
          </cell>
        </row>
        <row r="232">
          <cell r="F232">
            <v>185</v>
          </cell>
          <cell r="G232">
            <v>40013</v>
          </cell>
          <cell r="H232" t="str">
            <v>1388/04/28</v>
          </cell>
        </row>
        <row r="233">
          <cell r="F233">
            <v>186</v>
          </cell>
          <cell r="G233">
            <v>40014</v>
          </cell>
          <cell r="H233" t="str">
            <v>1388/04/29</v>
          </cell>
        </row>
        <row r="234">
          <cell r="F234">
            <v>187</v>
          </cell>
          <cell r="G234">
            <v>40015</v>
          </cell>
          <cell r="H234" t="str">
            <v>1388/04/30</v>
          </cell>
        </row>
        <row r="235">
          <cell r="F235">
            <v>188</v>
          </cell>
          <cell r="G235">
            <v>40016</v>
          </cell>
          <cell r="H235" t="str">
            <v>1388/04/31</v>
          </cell>
        </row>
        <row r="236">
          <cell r="F236">
            <v>189</v>
          </cell>
          <cell r="G236">
            <v>40017</v>
          </cell>
        </row>
        <row r="237">
          <cell r="F237">
            <v>190</v>
          </cell>
          <cell r="G237">
            <v>40018</v>
          </cell>
        </row>
        <row r="238">
          <cell r="F238">
            <v>191</v>
          </cell>
          <cell r="G238">
            <v>40019</v>
          </cell>
        </row>
        <row r="239">
          <cell r="F239">
            <v>192</v>
          </cell>
          <cell r="G239">
            <v>40020</v>
          </cell>
        </row>
        <row r="240">
          <cell r="F240">
            <v>193</v>
          </cell>
          <cell r="G240">
            <v>40021</v>
          </cell>
        </row>
        <row r="241">
          <cell r="F241">
            <v>194</v>
          </cell>
          <cell r="G241">
            <v>40022</v>
          </cell>
        </row>
        <row r="242">
          <cell r="F242">
            <v>195</v>
          </cell>
          <cell r="G242">
            <v>40023</v>
          </cell>
        </row>
        <row r="243">
          <cell r="F243">
            <v>196</v>
          </cell>
          <cell r="G243">
            <v>40024</v>
          </cell>
        </row>
        <row r="244">
          <cell r="F244">
            <v>197</v>
          </cell>
          <cell r="G244">
            <v>40025</v>
          </cell>
        </row>
        <row r="245">
          <cell r="F245">
            <v>198</v>
          </cell>
          <cell r="G245">
            <v>40026</v>
          </cell>
        </row>
        <row r="246">
          <cell r="F246">
            <v>199</v>
          </cell>
          <cell r="G246">
            <v>40027</v>
          </cell>
        </row>
        <row r="247">
          <cell r="F247">
            <v>200</v>
          </cell>
          <cell r="G247">
            <v>40028</v>
          </cell>
        </row>
        <row r="248">
          <cell r="F248">
            <v>201</v>
          </cell>
          <cell r="G248">
            <v>40029</v>
          </cell>
        </row>
        <row r="249">
          <cell r="F249">
            <v>202</v>
          </cell>
          <cell r="G249">
            <v>40030</v>
          </cell>
        </row>
        <row r="250">
          <cell r="F250">
            <v>203</v>
          </cell>
          <cell r="G250">
            <v>40031</v>
          </cell>
        </row>
        <row r="251">
          <cell r="F251">
            <v>204</v>
          </cell>
          <cell r="G251">
            <v>40032</v>
          </cell>
        </row>
        <row r="252">
          <cell r="F252">
            <v>205</v>
          </cell>
          <cell r="G252">
            <v>40033</v>
          </cell>
        </row>
        <row r="253">
          <cell r="F253">
            <v>206</v>
          </cell>
          <cell r="G253">
            <v>40034</v>
          </cell>
        </row>
        <row r="254">
          <cell r="F254">
            <v>207</v>
          </cell>
          <cell r="G254">
            <v>40035</v>
          </cell>
        </row>
        <row r="255">
          <cell r="F255">
            <v>208</v>
          </cell>
          <cell r="G255">
            <v>40036</v>
          </cell>
        </row>
        <row r="256">
          <cell r="F256">
            <v>209</v>
          </cell>
          <cell r="G256">
            <v>40037</v>
          </cell>
        </row>
        <row r="257">
          <cell r="F257">
            <v>210</v>
          </cell>
          <cell r="G257">
            <v>40038</v>
          </cell>
        </row>
        <row r="258">
          <cell r="F258">
            <v>211</v>
          </cell>
          <cell r="G258">
            <v>40039</v>
          </cell>
        </row>
        <row r="259">
          <cell r="F259">
            <v>212</v>
          </cell>
          <cell r="G259">
            <v>40040</v>
          </cell>
        </row>
        <row r="260">
          <cell r="F260">
            <v>213</v>
          </cell>
          <cell r="G260">
            <v>40041</v>
          </cell>
        </row>
        <row r="261">
          <cell r="F261">
            <v>214</v>
          </cell>
          <cell r="G261">
            <v>40042</v>
          </cell>
        </row>
        <row r="262">
          <cell r="F262">
            <v>215</v>
          </cell>
          <cell r="G262">
            <v>40043</v>
          </cell>
        </row>
        <row r="263">
          <cell r="F263">
            <v>216</v>
          </cell>
          <cell r="G263">
            <v>40044</v>
          </cell>
        </row>
        <row r="264">
          <cell r="F264">
            <v>217</v>
          </cell>
          <cell r="G264">
            <v>40045</v>
          </cell>
        </row>
        <row r="265">
          <cell r="F265">
            <v>218</v>
          </cell>
          <cell r="G265">
            <v>40046</v>
          </cell>
        </row>
        <row r="266">
          <cell r="F266">
            <v>219</v>
          </cell>
          <cell r="G266">
            <v>40047</v>
          </cell>
        </row>
        <row r="267">
          <cell r="F267">
            <v>220</v>
          </cell>
          <cell r="G267">
            <v>40048</v>
          </cell>
        </row>
        <row r="268">
          <cell r="F268">
            <v>221</v>
          </cell>
          <cell r="G268">
            <v>40049</v>
          </cell>
        </row>
        <row r="269">
          <cell r="F269">
            <v>222</v>
          </cell>
          <cell r="G269">
            <v>40050</v>
          </cell>
        </row>
        <row r="270">
          <cell r="F270">
            <v>223</v>
          </cell>
          <cell r="G270">
            <v>40051</v>
          </cell>
        </row>
        <row r="271">
          <cell r="F271">
            <v>224</v>
          </cell>
          <cell r="G271">
            <v>40052</v>
          </cell>
        </row>
        <row r="272">
          <cell r="F272">
            <v>225</v>
          </cell>
          <cell r="G272">
            <v>40053</v>
          </cell>
        </row>
        <row r="273">
          <cell r="F273">
            <v>226</v>
          </cell>
          <cell r="G273">
            <v>40054</v>
          </cell>
        </row>
        <row r="274">
          <cell r="F274">
            <v>227</v>
          </cell>
          <cell r="G274">
            <v>40055</v>
          </cell>
        </row>
        <row r="275">
          <cell r="F275">
            <v>228</v>
          </cell>
          <cell r="G275">
            <v>40056</v>
          </cell>
        </row>
        <row r="276">
          <cell r="F276">
            <v>229</v>
          </cell>
          <cell r="G276">
            <v>40057</v>
          </cell>
        </row>
        <row r="277">
          <cell r="F277">
            <v>230</v>
          </cell>
          <cell r="G277">
            <v>40058</v>
          </cell>
        </row>
        <row r="278">
          <cell r="F278">
            <v>231</v>
          </cell>
          <cell r="G278">
            <v>40059</v>
          </cell>
        </row>
        <row r="279">
          <cell r="F279">
            <v>232</v>
          </cell>
          <cell r="G279">
            <v>40060</v>
          </cell>
        </row>
        <row r="280">
          <cell r="F280">
            <v>233</v>
          </cell>
          <cell r="G280">
            <v>40061</v>
          </cell>
        </row>
        <row r="281">
          <cell r="F281">
            <v>234</v>
          </cell>
          <cell r="G281">
            <v>40062</v>
          </cell>
        </row>
        <row r="282">
          <cell r="F282">
            <v>235</v>
          </cell>
          <cell r="G282">
            <v>40063</v>
          </cell>
        </row>
        <row r="283">
          <cell r="F283">
            <v>236</v>
          </cell>
          <cell r="G283">
            <v>40064</v>
          </cell>
        </row>
        <row r="284">
          <cell r="F284">
            <v>237</v>
          </cell>
          <cell r="G284">
            <v>40065</v>
          </cell>
        </row>
        <row r="285">
          <cell r="F285">
            <v>238</v>
          </cell>
          <cell r="G285">
            <v>40066</v>
          </cell>
        </row>
        <row r="286">
          <cell r="F286">
            <v>239</v>
          </cell>
          <cell r="G286">
            <v>40067</v>
          </cell>
        </row>
        <row r="287">
          <cell r="F287">
            <v>240</v>
          </cell>
          <cell r="G287">
            <v>40068</v>
          </cell>
        </row>
        <row r="288">
          <cell r="F288">
            <v>241</v>
          </cell>
          <cell r="G288">
            <v>40069</v>
          </cell>
        </row>
        <row r="289">
          <cell r="F289">
            <v>242</v>
          </cell>
          <cell r="G289">
            <v>40070</v>
          </cell>
        </row>
        <row r="290">
          <cell r="F290">
            <v>243</v>
          </cell>
          <cell r="G290">
            <v>40071</v>
          </cell>
        </row>
        <row r="291">
          <cell r="F291">
            <v>244</v>
          </cell>
          <cell r="G291">
            <v>40072</v>
          </cell>
        </row>
        <row r="292">
          <cell r="F292">
            <v>245</v>
          </cell>
          <cell r="G292">
            <v>40073</v>
          </cell>
        </row>
        <row r="293">
          <cell r="F293">
            <v>246</v>
          </cell>
          <cell r="G293">
            <v>40074</v>
          </cell>
        </row>
        <row r="294">
          <cell r="F294">
            <v>247</v>
          </cell>
          <cell r="G294">
            <v>40075</v>
          </cell>
        </row>
        <row r="295">
          <cell r="F295">
            <v>248</v>
          </cell>
          <cell r="G295">
            <v>40076</v>
          </cell>
        </row>
        <row r="296">
          <cell r="F296">
            <v>249</v>
          </cell>
          <cell r="G296">
            <v>40077</v>
          </cell>
        </row>
        <row r="297">
          <cell r="F297">
            <v>250</v>
          </cell>
          <cell r="G297">
            <v>40078</v>
          </cell>
        </row>
        <row r="298">
          <cell r="F298">
            <v>251</v>
          </cell>
          <cell r="G298">
            <v>40079</v>
          </cell>
        </row>
        <row r="299">
          <cell r="F299">
            <v>252</v>
          </cell>
          <cell r="G299">
            <v>40080</v>
          </cell>
        </row>
        <row r="300">
          <cell r="F300">
            <v>253</v>
          </cell>
          <cell r="G300">
            <v>40081</v>
          </cell>
        </row>
        <row r="301">
          <cell r="F301">
            <v>254</v>
          </cell>
          <cell r="G301">
            <v>40082</v>
          </cell>
        </row>
        <row r="302">
          <cell r="F302">
            <v>255</v>
          </cell>
          <cell r="G302">
            <v>40083</v>
          </cell>
        </row>
        <row r="303">
          <cell r="F303">
            <v>256</v>
          </cell>
          <cell r="G303">
            <v>40084</v>
          </cell>
        </row>
        <row r="304">
          <cell r="F304">
            <v>257</v>
          </cell>
          <cell r="G304">
            <v>40085</v>
          </cell>
        </row>
        <row r="305">
          <cell r="F305">
            <v>258</v>
          </cell>
          <cell r="G305">
            <v>40086</v>
          </cell>
        </row>
        <row r="306">
          <cell r="F306">
            <v>259</v>
          </cell>
          <cell r="G306">
            <v>40087</v>
          </cell>
        </row>
        <row r="307">
          <cell r="F307">
            <v>260</v>
          </cell>
          <cell r="G307">
            <v>40088</v>
          </cell>
        </row>
        <row r="308">
          <cell r="F308">
            <v>261</v>
          </cell>
          <cell r="G308">
            <v>40089</v>
          </cell>
        </row>
        <row r="309">
          <cell r="F309">
            <v>262</v>
          </cell>
          <cell r="G309">
            <v>40090</v>
          </cell>
        </row>
        <row r="310">
          <cell r="F310">
            <v>263</v>
          </cell>
          <cell r="G310">
            <v>40091</v>
          </cell>
        </row>
        <row r="311">
          <cell r="F311">
            <v>264</v>
          </cell>
          <cell r="G311">
            <v>40092</v>
          </cell>
        </row>
        <row r="312">
          <cell r="F312">
            <v>265</v>
          </cell>
          <cell r="G312">
            <v>40093</v>
          </cell>
        </row>
        <row r="313">
          <cell r="F313">
            <v>266</v>
          </cell>
          <cell r="G313">
            <v>40094</v>
          </cell>
        </row>
        <row r="314">
          <cell r="F314">
            <v>267</v>
          </cell>
          <cell r="G314">
            <v>40095</v>
          </cell>
        </row>
        <row r="315">
          <cell r="F315">
            <v>268</v>
          </cell>
          <cell r="G315">
            <v>40096</v>
          </cell>
        </row>
        <row r="316">
          <cell r="F316">
            <v>269</v>
          </cell>
          <cell r="G316">
            <v>40097</v>
          </cell>
        </row>
        <row r="317">
          <cell r="F317">
            <v>270</v>
          </cell>
          <cell r="G317">
            <v>40098</v>
          </cell>
        </row>
        <row r="318">
          <cell r="F318">
            <v>271</v>
          </cell>
          <cell r="G318">
            <v>40099</v>
          </cell>
        </row>
        <row r="319">
          <cell r="F319">
            <v>272</v>
          </cell>
          <cell r="G319">
            <v>40100</v>
          </cell>
        </row>
        <row r="320">
          <cell r="F320">
            <v>273</v>
          </cell>
          <cell r="G320">
            <v>40101</v>
          </cell>
        </row>
        <row r="321">
          <cell r="F321">
            <v>274</v>
          </cell>
          <cell r="G321">
            <v>40102</v>
          </cell>
        </row>
        <row r="322">
          <cell r="F322">
            <v>275</v>
          </cell>
          <cell r="G322">
            <v>40103</v>
          </cell>
        </row>
        <row r="323">
          <cell r="F323">
            <v>276</v>
          </cell>
          <cell r="G323">
            <v>40104</v>
          </cell>
        </row>
        <row r="324">
          <cell r="F324">
            <v>277</v>
          </cell>
          <cell r="G324">
            <v>40105</v>
          </cell>
        </row>
        <row r="325">
          <cell r="F325">
            <v>278</v>
          </cell>
          <cell r="G325">
            <v>40106</v>
          </cell>
        </row>
        <row r="326">
          <cell r="F326">
            <v>279</v>
          </cell>
          <cell r="G326">
            <v>40107</v>
          </cell>
        </row>
        <row r="327">
          <cell r="F327">
            <v>280</v>
          </cell>
          <cell r="G327">
            <v>40108</v>
          </cell>
        </row>
        <row r="328">
          <cell r="F328">
            <v>281</v>
          </cell>
          <cell r="G328">
            <v>40109</v>
          </cell>
        </row>
        <row r="329">
          <cell r="F329">
            <v>282</v>
          </cell>
          <cell r="G329">
            <v>40110</v>
          </cell>
        </row>
        <row r="330">
          <cell r="F330">
            <v>283</v>
          </cell>
          <cell r="G330">
            <v>40111</v>
          </cell>
        </row>
        <row r="331">
          <cell r="F331">
            <v>284</v>
          </cell>
          <cell r="G331">
            <v>40112</v>
          </cell>
        </row>
        <row r="332">
          <cell r="F332">
            <v>285</v>
          </cell>
          <cell r="G332">
            <v>40113</v>
          </cell>
        </row>
        <row r="333">
          <cell r="F333">
            <v>286</v>
          </cell>
          <cell r="G333">
            <v>40114</v>
          </cell>
        </row>
        <row r="334">
          <cell r="F334">
            <v>287</v>
          </cell>
          <cell r="G334">
            <v>40115</v>
          </cell>
        </row>
        <row r="335">
          <cell r="F335">
            <v>288</v>
          </cell>
          <cell r="G335">
            <v>40116</v>
          </cell>
        </row>
        <row r="336">
          <cell r="F336">
            <v>289</v>
          </cell>
          <cell r="G336">
            <v>40117</v>
          </cell>
        </row>
        <row r="337">
          <cell r="F337">
            <v>290</v>
          </cell>
          <cell r="G337">
            <v>40118</v>
          </cell>
        </row>
        <row r="338">
          <cell r="F338">
            <v>291</v>
          </cell>
          <cell r="G338">
            <v>40119</v>
          </cell>
        </row>
        <row r="339">
          <cell r="F339">
            <v>292</v>
          </cell>
          <cell r="G339">
            <v>40120</v>
          </cell>
        </row>
        <row r="340">
          <cell r="F340">
            <v>293</v>
          </cell>
          <cell r="G340">
            <v>40121</v>
          </cell>
        </row>
        <row r="341">
          <cell r="F341">
            <v>294</v>
          </cell>
          <cell r="G341">
            <v>40122</v>
          </cell>
        </row>
        <row r="342">
          <cell r="F342">
            <v>295</v>
          </cell>
          <cell r="G342">
            <v>40123</v>
          </cell>
        </row>
        <row r="343">
          <cell r="F343">
            <v>296</v>
          </cell>
          <cell r="G343">
            <v>40124</v>
          </cell>
        </row>
        <row r="344">
          <cell r="F344">
            <v>297</v>
          </cell>
          <cell r="G344">
            <v>40125</v>
          </cell>
        </row>
        <row r="345">
          <cell r="F345">
            <v>298</v>
          </cell>
          <cell r="G345">
            <v>40126</v>
          </cell>
        </row>
        <row r="346">
          <cell r="F346">
            <v>299</v>
          </cell>
          <cell r="G346">
            <v>40127</v>
          </cell>
        </row>
        <row r="347">
          <cell r="F347">
            <v>300</v>
          </cell>
          <cell r="G347">
            <v>40128</v>
          </cell>
        </row>
        <row r="348">
          <cell r="F348">
            <v>301</v>
          </cell>
          <cell r="G348">
            <v>40129</v>
          </cell>
        </row>
        <row r="349">
          <cell r="F349">
            <v>302</v>
          </cell>
          <cell r="G349">
            <v>40130</v>
          </cell>
        </row>
        <row r="350">
          <cell r="F350">
            <v>303</v>
          </cell>
          <cell r="G350">
            <v>40131</v>
          </cell>
        </row>
        <row r="351">
          <cell r="F351">
            <v>304</v>
          </cell>
          <cell r="G351">
            <v>40132</v>
          </cell>
        </row>
        <row r="352">
          <cell r="F352">
            <v>305</v>
          </cell>
          <cell r="G352">
            <v>40133</v>
          </cell>
        </row>
        <row r="353">
          <cell r="F353">
            <v>306</v>
          </cell>
          <cell r="G353">
            <v>40134</v>
          </cell>
        </row>
        <row r="354">
          <cell r="F354">
            <v>307</v>
          </cell>
          <cell r="G354">
            <v>40135</v>
          </cell>
        </row>
        <row r="355">
          <cell r="F355">
            <v>308</v>
          </cell>
          <cell r="G355">
            <v>40136</v>
          </cell>
        </row>
        <row r="356">
          <cell r="F356">
            <v>309</v>
          </cell>
          <cell r="G356">
            <v>40137</v>
          </cell>
        </row>
        <row r="357">
          <cell r="F357">
            <v>310</v>
          </cell>
          <cell r="G357">
            <v>40138</v>
          </cell>
        </row>
        <row r="358">
          <cell r="F358">
            <v>311</v>
          </cell>
          <cell r="G358">
            <v>40139</v>
          </cell>
        </row>
        <row r="359">
          <cell r="F359">
            <v>312</v>
          </cell>
          <cell r="G359">
            <v>40140</v>
          </cell>
        </row>
        <row r="360">
          <cell r="F360">
            <v>313</v>
          </cell>
          <cell r="G360">
            <v>40141</v>
          </cell>
        </row>
        <row r="361">
          <cell r="F361">
            <v>314</v>
          </cell>
          <cell r="G361">
            <v>40142</v>
          </cell>
        </row>
        <row r="362">
          <cell r="F362">
            <v>315</v>
          </cell>
          <cell r="G362">
            <v>40143</v>
          </cell>
        </row>
        <row r="363">
          <cell r="F363">
            <v>316</v>
          </cell>
          <cell r="G363">
            <v>40144</v>
          </cell>
        </row>
        <row r="364">
          <cell r="F364">
            <v>317</v>
          </cell>
          <cell r="G364">
            <v>40145</v>
          </cell>
        </row>
        <row r="365">
          <cell r="F365">
            <v>318</v>
          </cell>
          <cell r="G365">
            <v>40146</v>
          </cell>
        </row>
        <row r="366">
          <cell r="F366">
            <v>319</v>
          </cell>
          <cell r="G366">
            <v>40147</v>
          </cell>
        </row>
        <row r="367">
          <cell r="F367">
            <v>320</v>
          </cell>
          <cell r="G367">
            <v>40148</v>
          </cell>
        </row>
        <row r="368">
          <cell r="F368">
            <v>321</v>
          </cell>
          <cell r="G368">
            <v>40149</v>
          </cell>
        </row>
        <row r="369">
          <cell r="F369">
            <v>322</v>
          </cell>
          <cell r="G369">
            <v>40150</v>
          </cell>
        </row>
        <row r="370">
          <cell r="F370">
            <v>323</v>
          </cell>
          <cell r="G370">
            <v>40151</v>
          </cell>
        </row>
        <row r="371">
          <cell r="F371">
            <v>324</v>
          </cell>
          <cell r="G371">
            <v>40152</v>
          </cell>
        </row>
        <row r="372">
          <cell r="F372">
            <v>325</v>
          </cell>
          <cell r="G372">
            <v>40153</v>
          </cell>
        </row>
        <row r="373">
          <cell r="F373">
            <v>326</v>
          </cell>
          <cell r="G373">
            <v>40154</v>
          </cell>
        </row>
        <row r="374">
          <cell r="F374">
            <v>327</v>
          </cell>
          <cell r="G374">
            <v>40155</v>
          </cell>
        </row>
        <row r="375">
          <cell r="F375">
            <v>328</v>
          </cell>
          <cell r="G375">
            <v>40156</v>
          </cell>
        </row>
        <row r="376">
          <cell r="F376">
            <v>329</v>
          </cell>
          <cell r="G376">
            <v>40157</v>
          </cell>
        </row>
        <row r="377">
          <cell r="F377">
            <v>330</v>
          </cell>
          <cell r="G377">
            <v>40158</v>
          </cell>
        </row>
        <row r="378">
          <cell r="F378">
            <v>331</v>
          </cell>
          <cell r="G378">
            <v>40159</v>
          </cell>
        </row>
        <row r="379">
          <cell r="F379">
            <v>332</v>
          </cell>
          <cell r="G379">
            <v>40160</v>
          </cell>
        </row>
        <row r="380">
          <cell r="F380">
            <v>333</v>
          </cell>
          <cell r="G380">
            <v>40161</v>
          </cell>
        </row>
        <row r="381">
          <cell r="F381">
            <v>334</v>
          </cell>
          <cell r="G381">
            <v>40162</v>
          </cell>
        </row>
        <row r="382">
          <cell r="F382">
            <v>335</v>
          </cell>
          <cell r="G382">
            <v>40163</v>
          </cell>
        </row>
        <row r="383">
          <cell r="F383">
            <v>336</v>
          </cell>
          <cell r="G383">
            <v>40164</v>
          </cell>
        </row>
        <row r="384">
          <cell r="F384">
            <v>337</v>
          </cell>
          <cell r="G384">
            <v>40165</v>
          </cell>
        </row>
        <row r="385">
          <cell r="F385">
            <v>338</v>
          </cell>
          <cell r="G385">
            <v>40166</v>
          </cell>
        </row>
        <row r="386">
          <cell r="F386">
            <v>339</v>
          </cell>
          <cell r="G386">
            <v>40167</v>
          </cell>
        </row>
        <row r="387">
          <cell r="F387">
            <v>340</v>
          </cell>
          <cell r="G387">
            <v>40168</v>
          </cell>
        </row>
        <row r="388">
          <cell r="F388">
            <v>341</v>
          </cell>
          <cell r="G388">
            <v>40169</v>
          </cell>
        </row>
        <row r="389">
          <cell r="F389">
            <v>342</v>
          </cell>
          <cell r="G389">
            <v>40170</v>
          </cell>
        </row>
        <row r="390">
          <cell r="F390">
            <v>343</v>
          </cell>
          <cell r="G390">
            <v>40171</v>
          </cell>
        </row>
        <row r="391">
          <cell r="F391">
            <v>344</v>
          </cell>
          <cell r="G391">
            <v>40172</v>
          </cell>
        </row>
        <row r="392">
          <cell r="F392">
            <v>345</v>
          </cell>
          <cell r="G392">
            <v>40173</v>
          </cell>
        </row>
        <row r="393">
          <cell r="F393">
            <v>346</v>
          </cell>
          <cell r="G393">
            <v>40174</v>
          </cell>
        </row>
        <row r="394">
          <cell r="F394">
            <v>347</v>
          </cell>
          <cell r="G394">
            <v>40175</v>
          </cell>
        </row>
        <row r="395">
          <cell r="F395">
            <v>348</v>
          </cell>
          <cell r="G395">
            <v>40176</v>
          </cell>
        </row>
        <row r="396">
          <cell r="F396">
            <v>349</v>
          </cell>
          <cell r="G396">
            <v>40177</v>
          </cell>
        </row>
        <row r="397">
          <cell r="F397">
            <v>350</v>
          </cell>
          <cell r="G397">
            <v>40178</v>
          </cell>
        </row>
        <row r="398">
          <cell r="F398">
            <v>351</v>
          </cell>
          <cell r="G398">
            <v>40179</v>
          </cell>
        </row>
        <row r="399">
          <cell r="F399">
            <v>352</v>
          </cell>
          <cell r="G399">
            <v>40180</v>
          </cell>
        </row>
        <row r="400">
          <cell r="F400">
            <v>353</v>
          </cell>
          <cell r="G400">
            <v>40181</v>
          </cell>
        </row>
        <row r="401">
          <cell r="F401">
            <v>354</v>
          </cell>
          <cell r="G401">
            <v>40182</v>
          </cell>
        </row>
        <row r="402">
          <cell r="F402">
            <v>355</v>
          </cell>
          <cell r="G402">
            <v>40183</v>
          </cell>
        </row>
        <row r="403">
          <cell r="F403">
            <v>356</v>
          </cell>
          <cell r="G403">
            <v>40184</v>
          </cell>
        </row>
        <row r="404">
          <cell r="F404">
            <v>357</v>
          </cell>
          <cell r="G404">
            <v>40185</v>
          </cell>
        </row>
        <row r="405">
          <cell r="F405">
            <v>358</v>
          </cell>
          <cell r="G405">
            <v>40186</v>
          </cell>
        </row>
        <row r="406">
          <cell r="F406">
            <v>359</v>
          </cell>
          <cell r="G406">
            <v>40187</v>
          </cell>
        </row>
        <row r="407">
          <cell r="F407">
            <v>360</v>
          </cell>
          <cell r="G407">
            <v>40188</v>
          </cell>
        </row>
        <row r="408">
          <cell r="F408">
            <v>361</v>
          </cell>
          <cell r="G408">
            <v>40189</v>
          </cell>
        </row>
        <row r="409">
          <cell r="F409">
            <v>362</v>
          </cell>
          <cell r="G409">
            <v>40190</v>
          </cell>
        </row>
        <row r="410">
          <cell r="F410">
            <v>363</v>
          </cell>
          <cell r="G410">
            <v>40191</v>
          </cell>
        </row>
        <row r="411">
          <cell r="F411">
            <v>364</v>
          </cell>
          <cell r="G411">
            <v>40192</v>
          </cell>
        </row>
        <row r="412">
          <cell r="F412">
            <v>365</v>
          </cell>
          <cell r="G412">
            <v>40193</v>
          </cell>
        </row>
        <row r="413">
          <cell r="F413">
            <v>366</v>
          </cell>
          <cell r="G413">
            <v>40194</v>
          </cell>
        </row>
        <row r="414">
          <cell r="F414">
            <v>367</v>
          </cell>
          <cell r="G414">
            <v>40195</v>
          </cell>
        </row>
        <row r="415">
          <cell r="F415">
            <v>368</v>
          </cell>
          <cell r="G415">
            <v>40196</v>
          </cell>
        </row>
        <row r="416">
          <cell r="F416">
            <v>369</v>
          </cell>
          <cell r="G416">
            <v>40197</v>
          </cell>
        </row>
        <row r="417">
          <cell r="F417">
            <v>370</v>
          </cell>
          <cell r="G417">
            <v>40198</v>
          </cell>
        </row>
        <row r="418">
          <cell r="F418">
            <v>371</v>
          </cell>
          <cell r="G418">
            <v>40199</v>
          </cell>
        </row>
        <row r="419">
          <cell r="F419">
            <v>372</v>
          </cell>
          <cell r="G419">
            <v>40200</v>
          </cell>
        </row>
        <row r="420">
          <cell r="F420">
            <v>373</v>
          </cell>
          <cell r="G420">
            <v>40201</v>
          </cell>
        </row>
        <row r="421">
          <cell r="F421">
            <v>374</v>
          </cell>
          <cell r="G421">
            <v>40202</v>
          </cell>
        </row>
        <row r="422">
          <cell r="F422">
            <v>375</v>
          </cell>
          <cell r="G422">
            <v>40203</v>
          </cell>
        </row>
        <row r="423">
          <cell r="F423">
            <v>376</v>
          </cell>
          <cell r="G423">
            <v>40204</v>
          </cell>
        </row>
        <row r="424">
          <cell r="F424">
            <v>377</v>
          </cell>
          <cell r="G424">
            <v>40205</v>
          </cell>
        </row>
        <row r="425">
          <cell r="F425">
            <v>378</v>
          </cell>
          <cell r="G425">
            <v>40206</v>
          </cell>
        </row>
        <row r="426">
          <cell r="F426">
            <v>379</v>
          </cell>
          <cell r="G426">
            <v>40207</v>
          </cell>
        </row>
        <row r="427">
          <cell r="F427">
            <v>380</v>
          </cell>
          <cell r="G427">
            <v>40208</v>
          </cell>
        </row>
        <row r="428">
          <cell r="F428">
            <v>381</v>
          </cell>
          <cell r="G428">
            <v>40209</v>
          </cell>
        </row>
        <row r="429">
          <cell r="F429">
            <v>382</v>
          </cell>
          <cell r="G429">
            <v>40210</v>
          </cell>
        </row>
        <row r="430">
          <cell r="F430">
            <v>383</v>
          </cell>
          <cell r="G430">
            <v>40211</v>
          </cell>
        </row>
        <row r="431">
          <cell r="F431">
            <v>384</v>
          </cell>
          <cell r="G431">
            <v>40212</v>
          </cell>
        </row>
        <row r="432">
          <cell r="F432">
            <v>385</v>
          </cell>
          <cell r="G432">
            <v>40213</v>
          </cell>
        </row>
        <row r="433">
          <cell r="F433">
            <v>386</v>
          </cell>
          <cell r="G433">
            <v>40214</v>
          </cell>
        </row>
        <row r="434">
          <cell r="F434">
            <v>387</v>
          </cell>
          <cell r="G434">
            <v>40215</v>
          </cell>
        </row>
        <row r="435">
          <cell r="F435">
            <v>388</v>
          </cell>
          <cell r="G435">
            <v>40216</v>
          </cell>
        </row>
        <row r="436">
          <cell r="F436">
            <v>389</v>
          </cell>
          <cell r="G436">
            <v>40217</v>
          </cell>
        </row>
        <row r="437">
          <cell r="F437">
            <v>390</v>
          </cell>
          <cell r="G437">
            <v>40218</v>
          </cell>
        </row>
        <row r="438">
          <cell r="F438">
            <v>391</v>
          </cell>
          <cell r="G438">
            <v>40219</v>
          </cell>
        </row>
        <row r="439">
          <cell r="F439">
            <v>392</v>
          </cell>
          <cell r="G439">
            <v>40220</v>
          </cell>
        </row>
        <row r="440">
          <cell r="F440">
            <v>393</v>
          </cell>
          <cell r="G440">
            <v>40221</v>
          </cell>
        </row>
        <row r="441">
          <cell r="F441">
            <v>394</v>
          </cell>
          <cell r="G441">
            <v>40222</v>
          </cell>
        </row>
        <row r="442">
          <cell r="F442">
            <v>395</v>
          </cell>
          <cell r="G442">
            <v>40223</v>
          </cell>
        </row>
        <row r="443">
          <cell r="F443">
            <v>396</v>
          </cell>
          <cell r="G443">
            <v>40224</v>
          </cell>
        </row>
        <row r="444">
          <cell r="F444">
            <v>397</v>
          </cell>
          <cell r="G444">
            <v>40225</v>
          </cell>
        </row>
        <row r="445">
          <cell r="F445">
            <v>398</v>
          </cell>
          <cell r="G445">
            <v>40226</v>
          </cell>
        </row>
        <row r="446">
          <cell r="F446">
            <v>399</v>
          </cell>
          <cell r="G446">
            <v>40227</v>
          </cell>
        </row>
        <row r="447">
          <cell r="F447">
            <v>400</v>
          </cell>
          <cell r="G447">
            <v>40228</v>
          </cell>
        </row>
        <row r="448">
          <cell r="F448">
            <v>401</v>
          </cell>
          <cell r="G448">
            <v>40229</v>
          </cell>
        </row>
        <row r="449">
          <cell r="F449">
            <v>402</v>
          </cell>
          <cell r="G449">
            <v>40230</v>
          </cell>
        </row>
        <row r="450">
          <cell r="F450">
            <v>403</v>
          </cell>
          <cell r="G450">
            <v>40231</v>
          </cell>
        </row>
        <row r="451">
          <cell r="F451">
            <v>404</v>
          </cell>
          <cell r="G451">
            <v>40232</v>
          </cell>
        </row>
        <row r="452">
          <cell r="F452">
            <v>405</v>
          </cell>
          <cell r="G452">
            <v>40233</v>
          </cell>
        </row>
        <row r="453">
          <cell r="F453">
            <v>406</v>
          </cell>
          <cell r="G453">
            <v>40234</v>
          </cell>
        </row>
        <row r="454">
          <cell r="F454">
            <v>407</v>
          </cell>
          <cell r="G454">
            <v>40235</v>
          </cell>
        </row>
        <row r="455">
          <cell r="F455">
            <v>408</v>
          </cell>
          <cell r="G455">
            <v>40236</v>
          </cell>
        </row>
        <row r="456">
          <cell r="F456">
            <v>409</v>
          </cell>
          <cell r="G456">
            <v>40237</v>
          </cell>
        </row>
        <row r="457">
          <cell r="F457">
            <v>410</v>
          </cell>
          <cell r="G457">
            <v>40238</v>
          </cell>
        </row>
        <row r="458">
          <cell r="F458">
            <v>411</v>
          </cell>
          <cell r="G458">
            <v>40239</v>
          </cell>
        </row>
        <row r="459">
          <cell r="F459">
            <v>412</v>
          </cell>
          <cell r="G459">
            <v>40240</v>
          </cell>
        </row>
        <row r="460">
          <cell r="F460">
            <v>413</v>
          </cell>
          <cell r="G460">
            <v>40241</v>
          </cell>
        </row>
        <row r="461">
          <cell r="F461">
            <v>414</v>
          </cell>
          <cell r="G461">
            <v>40242</v>
          </cell>
        </row>
        <row r="462">
          <cell r="F462">
            <v>415</v>
          </cell>
          <cell r="G462">
            <v>40243</v>
          </cell>
        </row>
        <row r="463">
          <cell r="F463">
            <v>416</v>
          </cell>
          <cell r="G463">
            <v>40244</v>
          </cell>
        </row>
        <row r="464">
          <cell r="F464">
            <v>417</v>
          </cell>
          <cell r="G464">
            <v>40245</v>
          </cell>
        </row>
        <row r="465">
          <cell r="F465">
            <v>418</v>
          </cell>
          <cell r="G465">
            <v>40246</v>
          </cell>
        </row>
        <row r="466">
          <cell r="F466">
            <v>419</v>
          </cell>
          <cell r="G466">
            <v>40247</v>
          </cell>
        </row>
        <row r="467">
          <cell r="F467">
            <v>420</v>
          </cell>
          <cell r="G467">
            <v>40248</v>
          </cell>
        </row>
        <row r="468">
          <cell r="F468">
            <v>421</v>
          </cell>
          <cell r="G468">
            <v>40249</v>
          </cell>
        </row>
        <row r="469">
          <cell r="F469">
            <v>422</v>
          </cell>
          <cell r="G469">
            <v>40250</v>
          </cell>
        </row>
        <row r="470">
          <cell r="F470">
            <v>423</v>
          </cell>
          <cell r="G470">
            <v>40251</v>
          </cell>
        </row>
        <row r="471">
          <cell r="F471">
            <v>424</v>
          </cell>
          <cell r="G471">
            <v>40252</v>
          </cell>
        </row>
        <row r="472">
          <cell r="F472">
            <v>425</v>
          </cell>
          <cell r="G472">
            <v>40253</v>
          </cell>
        </row>
        <row r="473">
          <cell r="F473">
            <v>426</v>
          </cell>
          <cell r="G473">
            <v>40254</v>
          </cell>
        </row>
        <row r="474">
          <cell r="F474">
            <v>427</v>
          </cell>
          <cell r="G474">
            <v>40255</v>
          </cell>
        </row>
        <row r="475">
          <cell r="F475">
            <v>428</v>
          </cell>
          <cell r="G475">
            <v>40256</v>
          </cell>
        </row>
        <row r="476">
          <cell r="F476">
            <v>429</v>
          </cell>
          <cell r="G476">
            <v>40257</v>
          </cell>
        </row>
        <row r="477">
          <cell r="F477">
            <v>430</v>
          </cell>
          <cell r="G477">
            <v>40258</v>
          </cell>
        </row>
        <row r="478">
          <cell r="F478">
            <v>431</v>
          </cell>
          <cell r="G478">
            <v>40259</v>
          </cell>
        </row>
        <row r="479">
          <cell r="F479">
            <v>432</v>
          </cell>
          <cell r="G479">
            <v>40260</v>
          </cell>
        </row>
        <row r="480">
          <cell r="F480">
            <v>433</v>
          </cell>
          <cell r="G480">
            <v>40261</v>
          </cell>
        </row>
        <row r="481">
          <cell r="F481">
            <v>434</v>
          </cell>
          <cell r="G481">
            <v>40262</v>
          </cell>
        </row>
        <row r="482">
          <cell r="F482">
            <v>435</v>
          </cell>
          <cell r="G482">
            <v>40263</v>
          </cell>
        </row>
        <row r="483">
          <cell r="F483">
            <v>436</v>
          </cell>
          <cell r="G483">
            <v>40264</v>
          </cell>
        </row>
        <row r="484">
          <cell r="F484">
            <v>437</v>
          </cell>
          <cell r="G484">
            <v>40265</v>
          </cell>
        </row>
        <row r="485">
          <cell r="F485">
            <v>438</v>
          </cell>
          <cell r="G485">
            <v>40266</v>
          </cell>
        </row>
        <row r="486">
          <cell r="F486">
            <v>439</v>
          </cell>
          <cell r="G486">
            <v>40267</v>
          </cell>
        </row>
        <row r="487">
          <cell r="F487">
            <v>440</v>
          </cell>
          <cell r="G487">
            <v>40268</v>
          </cell>
        </row>
        <row r="488">
          <cell r="F488">
            <v>441</v>
          </cell>
          <cell r="G488">
            <v>40269</v>
          </cell>
        </row>
        <row r="489">
          <cell r="F489">
            <v>442</v>
          </cell>
          <cell r="G489">
            <v>40270</v>
          </cell>
        </row>
        <row r="490">
          <cell r="F490">
            <v>443</v>
          </cell>
          <cell r="G490">
            <v>40271</v>
          </cell>
        </row>
        <row r="491">
          <cell r="F491">
            <v>444</v>
          </cell>
          <cell r="G491">
            <v>40272</v>
          </cell>
        </row>
        <row r="492">
          <cell r="F492">
            <v>445</v>
          </cell>
          <cell r="G492">
            <v>40273</v>
          </cell>
        </row>
        <row r="493">
          <cell r="F493">
            <v>446</v>
          </cell>
          <cell r="G493">
            <v>40274</v>
          </cell>
        </row>
        <row r="494">
          <cell r="F494">
            <v>447</v>
          </cell>
          <cell r="G494">
            <v>40275</v>
          </cell>
        </row>
        <row r="495">
          <cell r="F495">
            <v>448</v>
          </cell>
          <cell r="G495">
            <v>40276</v>
          </cell>
        </row>
        <row r="496">
          <cell r="F496">
            <v>449</v>
          </cell>
          <cell r="G496">
            <v>40277</v>
          </cell>
        </row>
        <row r="497">
          <cell r="F497">
            <v>450</v>
          </cell>
          <cell r="G497">
            <v>40278</v>
          </cell>
        </row>
        <row r="498">
          <cell r="F498">
            <v>451</v>
          </cell>
          <cell r="G498">
            <v>40279</v>
          </cell>
        </row>
        <row r="499">
          <cell r="F499">
            <v>452</v>
          </cell>
          <cell r="G499">
            <v>40280</v>
          </cell>
        </row>
        <row r="500">
          <cell r="F500">
            <v>453</v>
          </cell>
          <cell r="G500">
            <v>40281</v>
          </cell>
        </row>
        <row r="501">
          <cell r="F501">
            <v>454</v>
          </cell>
          <cell r="G501">
            <v>40282</v>
          </cell>
        </row>
        <row r="502">
          <cell r="F502">
            <v>455</v>
          </cell>
          <cell r="G502">
            <v>40283</v>
          </cell>
        </row>
        <row r="503">
          <cell r="F503">
            <v>456</v>
          </cell>
          <cell r="G503">
            <v>40284</v>
          </cell>
        </row>
        <row r="504">
          <cell r="F504">
            <v>457</v>
          </cell>
          <cell r="G504">
            <v>40285</v>
          </cell>
        </row>
        <row r="505">
          <cell r="F505">
            <v>458</v>
          </cell>
          <cell r="G505">
            <v>40286</v>
          </cell>
        </row>
        <row r="506">
          <cell r="F506">
            <v>459</v>
          </cell>
          <cell r="G506">
            <v>40287</v>
          </cell>
        </row>
        <row r="507">
          <cell r="F507">
            <v>460</v>
          </cell>
          <cell r="G507">
            <v>40288</v>
          </cell>
        </row>
        <row r="508">
          <cell r="F508">
            <v>461</v>
          </cell>
          <cell r="G508">
            <v>40289</v>
          </cell>
        </row>
        <row r="509">
          <cell r="F509">
            <v>462</v>
          </cell>
          <cell r="G509">
            <v>40290</v>
          </cell>
        </row>
        <row r="510">
          <cell r="F510">
            <v>463</v>
          </cell>
          <cell r="G510">
            <v>40291</v>
          </cell>
        </row>
        <row r="511">
          <cell r="F511">
            <v>464</v>
          </cell>
          <cell r="G511">
            <v>40292</v>
          </cell>
        </row>
        <row r="512">
          <cell r="F512">
            <v>465</v>
          </cell>
          <cell r="G512">
            <v>40293</v>
          </cell>
        </row>
        <row r="513">
          <cell r="F513">
            <v>466</v>
          </cell>
          <cell r="G513">
            <v>40294</v>
          </cell>
        </row>
        <row r="514">
          <cell r="F514">
            <v>467</v>
          </cell>
          <cell r="G514">
            <v>40295</v>
          </cell>
        </row>
        <row r="515">
          <cell r="F515">
            <v>468</v>
          </cell>
          <cell r="G515">
            <v>40296</v>
          </cell>
        </row>
        <row r="516">
          <cell r="F516">
            <v>469</v>
          </cell>
          <cell r="G516">
            <v>40297</v>
          </cell>
        </row>
        <row r="517">
          <cell r="F517">
            <v>470</v>
          </cell>
          <cell r="G517">
            <v>40298</v>
          </cell>
        </row>
        <row r="518">
          <cell r="F518">
            <v>471</v>
          </cell>
          <cell r="G518">
            <v>40299</v>
          </cell>
        </row>
        <row r="519">
          <cell r="F519">
            <v>472</v>
          </cell>
          <cell r="G519">
            <v>40300</v>
          </cell>
        </row>
        <row r="520">
          <cell r="F520">
            <v>473</v>
          </cell>
          <cell r="G520">
            <v>40301</v>
          </cell>
        </row>
        <row r="521">
          <cell r="F521">
            <v>474</v>
          </cell>
          <cell r="G521">
            <v>40302</v>
          </cell>
        </row>
        <row r="522">
          <cell r="F522">
            <v>475</v>
          </cell>
          <cell r="G522">
            <v>40303</v>
          </cell>
        </row>
        <row r="523">
          <cell r="F523">
            <v>476</v>
          </cell>
          <cell r="G523">
            <v>40304</v>
          </cell>
        </row>
        <row r="524">
          <cell r="F524">
            <v>477</v>
          </cell>
          <cell r="G524">
            <v>40305</v>
          </cell>
        </row>
        <row r="525">
          <cell r="F525">
            <v>478</v>
          </cell>
          <cell r="G525">
            <v>40306</v>
          </cell>
        </row>
        <row r="526">
          <cell r="F526">
            <v>479</v>
          </cell>
          <cell r="G526">
            <v>40307</v>
          </cell>
        </row>
        <row r="527">
          <cell r="F527">
            <v>480</v>
          </cell>
          <cell r="G527">
            <v>40308</v>
          </cell>
        </row>
        <row r="528">
          <cell r="F528">
            <v>481</v>
          </cell>
          <cell r="G528">
            <v>40309</v>
          </cell>
        </row>
        <row r="529">
          <cell r="F529">
            <v>482</v>
          </cell>
          <cell r="G529">
            <v>40310</v>
          </cell>
        </row>
        <row r="530">
          <cell r="F530">
            <v>483</v>
          </cell>
          <cell r="G530">
            <v>40311</v>
          </cell>
        </row>
        <row r="531">
          <cell r="F531">
            <v>484</v>
          </cell>
          <cell r="G531">
            <v>40312</v>
          </cell>
        </row>
        <row r="532">
          <cell r="F532">
            <v>485</v>
          </cell>
          <cell r="G532">
            <v>40313</v>
          </cell>
        </row>
        <row r="533">
          <cell r="F533">
            <v>486</v>
          </cell>
          <cell r="G533">
            <v>40314</v>
          </cell>
        </row>
        <row r="534">
          <cell r="F534">
            <v>487</v>
          </cell>
          <cell r="G534">
            <v>40315</v>
          </cell>
        </row>
        <row r="535">
          <cell r="F535">
            <v>488</v>
          </cell>
          <cell r="G535">
            <v>40316</v>
          </cell>
        </row>
        <row r="536">
          <cell r="F536">
            <v>489</v>
          </cell>
          <cell r="G536">
            <v>40317</v>
          </cell>
        </row>
        <row r="537">
          <cell r="F537">
            <v>490</v>
          </cell>
          <cell r="G537">
            <v>40318</v>
          </cell>
        </row>
        <row r="538">
          <cell r="F538">
            <v>491</v>
          </cell>
          <cell r="G538">
            <v>40319</v>
          </cell>
        </row>
        <row r="539">
          <cell r="F539">
            <v>492</v>
          </cell>
          <cell r="G539">
            <v>40320</v>
          </cell>
        </row>
        <row r="540">
          <cell r="F540">
            <v>493</v>
          </cell>
          <cell r="G540">
            <v>40321</v>
          </cell>
        </row>
        <row r="541">
          <cell r="F541">
            <v>494</v>
          </cell>
          <cell r="G541">
            <v>40322</v>
          </cell>
        </row>
        <row r="542">
          <cell r="F542">
            <v>495</v>
          </cell>
          <cell r="G542">
            <v>40323</v>
          </cell>
        </row>
        <row r="543">
          <cell r="F543">
            <v>496</v>
          </cell>
          <cell r="G543">
            <v>40324</v>
          </cell>
        </row>
        <row r="544">
          <cell r="F544">
            <v>497</v>
          </cell>
          <cell r="G544">
            <v>40325</v>
          </cell>
        </row>
        <row r="545">
          <cell r="F545">
            <v>498</v>
          </cell>
          <cell r="G545">
            <v>40326</v>
          </cell>
        </row>
        <row r="546">
          <cell r="F546">
            <v>499</v>
          </cell>
          <cell r="G546">
            <v>40327</v>
          </cell>
        </row>
        <row r="547">
          <cell r="F547">
            <v>500</v>
          </cell>
          <cell r="G547">
            <v>40328</v>
          </cell>
        </row>
        <row r="548">
          <cell r="F548">
            <v>501</v>
          </cell>
          <cell r="G548">
            <v>40329</v>
          </cell>
        </row>
        <row r="549">
          <cell r="F549">
            <v>502</v>
          </cell>
          <cell r="G549">
            <v>40330</v>
          </cell>
        </row>
        <row r="550">
          <cell r="F550">
            <v>503</v>
          </cell>
          <cell r="G550">
            <v>40331</v>
          </cell>
        </row>
        <row r="551">
          <cell r="F551">
            <v>504</v>
          </cell>
          <cell r="G551">
            <v>40332</v>
          </cell>
        </row>
        <row r="552">
          <cell r="F552">
            <v>505</v>
          </cell>
          <cell r="G552">
            <v>40333</v>
          </cell>
        </row>
        <row r="553">
          <cell r="F553">
            <v>506</v>
          </cell>
          <cell r="G553">
            <v>40334</v>
          </cell>
        </row>
        <row r="554">
          <cell r="F554">
            <v>507</v>
          </cell>
          <cell r="G554">
            <v>40335</v>
          </cell>
        </row>
        <row r="555">
          <cell r="F555">
            <v>508</v>
          </cell>
          <cell r="G555">
            <v>40336</v>
          </cell>
        </row>
        <row r="556">
          <cell r="F556">
            <v>509</v>
          </cell>
          <cell r="G556">
            <v>40337</v>
          </cell>
        </row>
        <row r="557">
          <cell r="F557">
            <v>510</v>
          </cell>
          <cell r="G557">
            <v>40338</v>
          </cell>
        </row>
        <row r="558">
          <cell r="F558">
            <v>511</v>
          </cell>
          <cell r="G558">
            <v>40339</v>
          </cell>
        </row>
        <row r="559">
          <cell r="F559">
            <v>512</v>
          </cell>
          <cell r="G559">
            <v>40340</v>
          </cell>
        </row>
        <row r="560">
          <cell r="F560">
            <v>513</v>
          </cell>
          <cell r="G560">
            <v>40341</v>
          </cell>
        </row>
        <row r="561">
          <cell r="F561">
            <v>514</v>
          </cell>
          <cell r="G561">
            <v>40342</v>
          </cell>
        </row>
        <row r="562">
          <cell r="F562">
            <v>515</v>
          </cell>
          <cell r="G562">
            <v>40343</v>
          </cell>
        </row>
        <row r="563">
          <cell r="F563">
            <v>516</v>
          </cell>
          <cell r="G563">
            <v>40344</v>
          </cell>
        </row>
        <row r="564">
          <cell r="F564">
            <v>517</v>
          </cell>
          <cell r="G564">
            <v>40345</v>
          </cell>
        </row>
        <row r="565">
          <cell r="F565">
            <v>518</v>
          </cell>
          <cell r="G565">
            <v>40346</v>
          </cell>
        </row>
        <row r="566">
          <cell r="F566">
            <v>519</v>
          </cell>
          <cell r="G566">
            <v>40347</v>
          </cell>
        </row>
        <row r="567">
          <cell r="F567">
            <v>520</v>
          </cell>
          <cell r="G567">
            <v>40348</v>
          </cell>
        </row>
        <row r="568">
          <cell r="F568">
            <v>521</v>
          </cell>
          <cell r="G568">
            <v>40349</v>
          </cell>
        </row>
        <row r="569">
          <cell r="F569">
            <v>522</v>
          </cell>
          <cell r="G569">
            <v>40350</v>
          </cell>
        </row>
        <row r="570">
          <cell r="F570">
            <v>523</v>
          </cell>
          <cell r="G570">
            <v>40351</v>
          </cell>
        </row>
        <row r="571">
          <cell r="F571">
            <v>524</v>
          </cell>
          <cell r="G571">
            <v>40352</v>
          </cell>
        </row>
        <row r="572">
          <cell r="F572">
            <v>525</v>
          </cell>
          <cell r="G572">
            <v>40353</v>
          </cell>
        </row>
        <row r="573">
          <cell r="F573">
            <v>526</v>
          </cell>
          <cell r="G573">
            <v>40354</v>
          </cell>
        </row>
        <row r="574">
          <cell r="F574">
            <v>527</v>
          </cell>
          <cell r="G574">
            <v>40355</v>
          </cell>
        </row>
        <row r="575">
          <cell r="F575">
            <v>528</v>
          </cell>
          <cell r="G575">
            <v>40356</v>
          </cell>
        </row>
        <row r="576">
          <cell r="F576">
            <v>529</v>
          </cell>
          <cell r="G576">
            <v>40357</v>
          </cell>
        </row>
        <row r="577">
          <cell r="F577">
            <v>530</v>
          </cell>
          <cell r="G577">
            <v>40358</v>
          </cell>
        </row>
        <row r="578">
          <cell r="F578">
            <v>531</v>
          </cell>
          <cell r="G578">
            <v>40359</v>
          </cell>
        </row>
        <row r="579">
          <cell r="F579">
            <v>532</v>
          </cell>
          <cell r="G579">
            <v>40360</v>
          </cell>
        </row>
        <row r="580">
          <cell r="F580">
            <v>533</v>
          </cell>
          <cell r="G580">
            <v>40361</v>
          </cell>
        </row>
        <row r="581">
          <cell r="F581">
            <v>534</v>
          </cell>
          <cell r="G581">
            <v>40362</v>
          </cell>
        </row>
        <row r="582">
          <cell r="F582">
            <v>535</v>
          </cell>
          <cell r="G582">
            <v>40363</v>
          </cell>
        </row>
        <row r="583">
          <cell r="F583">
            <v>536</v>
          </cell>
          <cell r="G583">
            <v>40364</v>
          </cell>
        </row>
        <row r="584">
          <cell r="F584">
            <v>537</v>
          </cell>
          <cell r="G584">
            <v>40365</v>
          </cell>
        </row>
        <row r="585">
          <cell r="F585">
            <v>538</v>
          </cell>
          <cell r="G585">
            <v>40366</v>
          </cell>
        </row>
        <row r="586">
          <cell r="F586">
            <v>539</v>
          </cell>
          <cell r="G586">
            <v>40367</v>
          </cell>
        </row>
        <row r="587">
          <cell r="F587">
            <v>540</v>
          </cell>
          <cell r="G587">
            <v>40368</v>
          </cell>
        </row>
        <row r="588">
          <cell r="F588">
            <v>541</v>
          </cell>
          <cell r="G588">
            <v>40369</v>
          </cell>
        </row>
        <row r="589">
          <cell r="F589">
            <v>542</v>
          </cell>
          <cell r="G589">
            <v>40370</v>
          </cell>
        </row>
        <row r="590">
          <cell r="F590">
            <v>543</v>
          </cell>
          <cell r="G590">
            <v>40371</v>
          </cell>
        </row>
        <row r="591">
          <cell r="F591">
            <v>544</v>
          </cell>
          <cell r="G591">
            <v>40372</v>
          </cell>
        </row>
        <row r="592">
          <cell r="F592">
            <v>545</v>
          </cell>
          <cell r="G592">
            <v>40373</v>
          </cell>
        </row>
        <row r="593">
          <cell r="F593">
            <v>546</v>
          </cell>
          <cell r="G593">
            <v>40374</v>
          </cell>
        </row>
        <row r="594">
          <cell r="F594">
            <v>547</v>
          </cell>
          <cell r="G594">
            <v>40375</v>
          </cell>
        </row>
        <row r="595">
          <cell r="F595">
            <v>548</v>
          </cell>
          <cell r="G595">
            <v>40376</v>
          </cell>
        </row>
        <row r="596">
          <cell r="F596">
            <v>549</v>
          </cell>
          <cell r="G596">
            <v>40377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L_AH2"/>
      <sheetName val="EL_AHC_AP1"/>
      <sheetName val="EL_AH1"/>
      <sheetName val="IN_AH2"/>
      <sheetName val="IN_AH1"/>
      <sheetName val="IN_AHC"/>
      <sheetName val="ME_AHC"/>
      <sheetName val="ME_AH1"/>
      <sheetName val="ME_IN_AP1"/>
      <sheetName val="ME_AH2"/>
      <sheetName val="ME_AH4"/>
      <sheetName val="C_CV_AH2"/>
      <sheetName val="C_CV_AH1"/>
      <sheetName val="C_CV_AHC"/>
      <sheetName val="C_CV_BRG"/>
      <sheetName val="C_ME_AHC"/>
      <sheetName val="C_ME_AH2"/>
      <sheetName val="C_ME_AH4"/>
      <sheetName val="C_ME_AH1"/>
      <sheetName val="C_ME_AP1"/>
      <sheetName val="C_IN_AH1"/>
      <sheetName val="C_IN_AH2"/>
      <sheetName val="C_IN_AHC"/>
      <sheetName val="C_EL_AH1"/>
      <sheetName val="C_EL_AH2"/>
      <sheetName val="C_EL_AHC"/>
      <sheetName val="Tota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0">
          <cell r="J20">
            <v>315500</v>
          </cell>
        </row>
      </sheetData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"/>
      <sheetName val="Summary"/>
      <sheetName val="SS1"/>
      <sheetName val="SS2"/>
      <sheetName val="SS3"/>
      <sheetName val="SS4"/>
      <sheetName val="SS5"/>
      <sheetName val="SS6"/>
      <sheetName val="SS7"/>
      <sheetName val="SS8"/>
      <sheetName val="SS9"/>
      <sheetName val="SS10"/>
      <sheetName val="SS11"/>
      <sheetName val="SS12"/>
      <sheetName val="HV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ONTENT"/>
      <sheetName val="SUMMERY"/>
      <sheetName val="Construction"/>
      <sheetName val="Procurement"/>
      <sheetName val="Inflation"/>
      <sheetName val="Summary_C"/>
      <sheetName val="APPENDIX-1"/>
      <sheetName val="foundation-2"/>
      <sheetName val=" Shelters-2"/>
      <sheetName val="ROAD-2"/>
      <sheetName val="OTHERS-2"/>
      <sheetName val="SITE-2"/>
      <sheetName val="SITE-3"/>
      <sheetName val="UG CIVIL-2"/>
      <sheetName val="STEEL STRUCTURE (2)"/>
      <sheetName val="Buildings"/>
      <sheetName val="RETAINING WAL"/>
      <sheetName val="PIPING (2)"/>
      <sheetName val="mECHANICAL (2)"/>
      <sheetName val="PIPELINE (2)"/>
      <sheetName val="ELECTRICAL (2)"/>
      <sheetName val="INSTRUMENT (2)"/>
      <sheetName val="tashilat"/>
      <sheetName val="tashilat (2)"/>
      <sheetName val="HSE(1)"/>
      <sheetName val="HSE(2)"/>
      <sheetName val="APPENDIX-2"/>
      <sheetName val="Foundation-1"/>
      <sheetName val=" Shelters-1 "/>
      <sheetName val=" Shelters-1  (2)"/>
      <sheetName val="ROAD-1"/>
      <sheetName val="OTHERS-1"/>
      <sheetName val="SITE-1"/>
      <sheetName val="UG CIVIL-1"/>
      <sheetName val="STEEL STRUCTURE-1"/>
      <sheetName val="Sheet1 (2)"/>
      <sheetName val="total"/>
      <sheetName val="REPORT"/>
      <sheetName val="Summary_P"/>
      <sheetName val="mECHANICAL"/>
      <sheetName val="Piping"/>
      <sheetName val="PIPELINE"/>
      <sheetName val="lab"/>
      <sheetName val="ELECTRICAL"/>
      <sheetName val="Instrument"/>
      <sheetName val="CIVIL (2)"/>
      <sheetName val="Summary_G4"/>
      <sheetName val="Compare"/>
      <sheetName val="PE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6">
          <cell r="F6">
            <v>57535953.266936913</v>
          </cell>
        </row>
      </sheetData>
      <sheetData sheetId="49" refreshError="1"/>
      <sheetData sheetId="50">
        <row r="7">
          <cell r="F7">
            <v>60143807.981939808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M3 1402"/>
      <sheetName val="SUMMARY_ M3 1393"/>
      <sheetName val="EL"/>
      <sheetName val="IN"/>
      <sheetName val="IN1"/>
      <sheetName val="ME"/>
      <sheetName val="PL"/>
      <sheetName val="PI"/>
      <sheetName val="p.lab"/>
      <sheetName val="p.sf"/>
      <sheetName val="c.cv"/>
      <sheetName val="c.v1"/>
      <sheetName val="Extra"/>
      <sheetName val="Inf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رآورد نهایی سویل"/>
      <sheetName val="ELECTRICAL"/>
      <sheetName val="برآورد نهایی ابزاردقیق"/>
      <sheetName val="ابزاردقیق"/>
      <sheetName val="safety"/>
      <sheetName val="lab"/>
      <sheetName val="Piping"/>
      <sheetName val="PIPELINE"/>
      <sheetName val="mECHANICAL"/>
      <sheetName val="سویل"/>
      <sheetName val="خلاصه مالی کل برآور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ECHANICAL"/>
      <sheetName val="PIPELINE"/>
      <sheetName val="Piping"/>
      <sheetName val="lab"/>
      <sheetName val="safety"/>
    </sheetNames>
    <sheetDataSet>
      <sheetData sheetId="0">
        <row r="6">
          <cell r="H6">
            <v>42000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"/>
  <sheetViews>
    <sheetView rightToLeft="1" zoomScale="160" zoomScaleNormal="160" workbookViewId="0">
      <selection activeCell="E17" sqref="E17"/>
    </sheetView>
  </sheetViews>
  <sheetFormatPr defaultRowHeight="15"/>
  <cols>
    <col min="1" max="1" width="4.85546875" customWidth="1"/>
    <col min="3" max="3" width="16" customWidth="1"/>
    <col min="4" max="4" width="13" customWidth="1"/>
    <col min="5" max="5" width="12.5703125" customWidth="1"/>
    <col min="6" max="6" width="14" customWidth="1"/>
    <col min="7" max="7" width="12.42578125" customWidth="1"/>
    <col min="8" max="8" width="22.140625" customWidth="1"/>
    <col min="9" max="9" width="3.7109375" customWidth="1"/>
    <col min="10" max="10" width="12.140625" customWidth="1"/>
    <col min="11" max="11" width="11.85546875" customWidth="1"/>
    <col min="12" max="12" width="15.7109375" customWidth="1"/>
  </cols>
  <sheetData>
    <row r="2" spans="2:12" ht="14.25" customHeight="1">
      <c r="B2" s="607" t="s">
        <v>591</v>
      </c>
      <c r="C2" s="607"/>
      <c r="D2" s="607"/>
      <c r="E2" s="607"/>
      <c r="F2" s="607"/>
      <c r="G2" s="607"/>
      <c r="I2" s="589"/>
      <c r="J2" s="589"/>
      <c r="K2" s="589"/>
      <c r="L2" s="589"/>
    </row>
    <row r="3" spans="2:12" ht="14.25" customHeight="1">
      <c r="B3" s="607"/>
      <c r="C3" s="607"/>
      <c r="D3" s="607"/>
      <c r="E3" s="607"/>
      <c r="F3" s="607"/>
      <c r="G3" s="607"/>
      <c r="I3" s="589"/>
      <c r="J3" s="589"/>
      <c r="K3" s="589"/>
      <c r="L3" s="589"/>
    </row>
    <row r="4" spans="2:12" ht="24.75" customHeight="1">
      <c r="B4" s="339" t="s">
        <v>0</v>
      </c>
      <c r="C4" s="431" t="s">
        <v>7</v>
      </c>
      <c r="D4" s="590" t="s">
        <v>589</v>
      </c>
      <c r="E4" s="594" t="s">
        <v>590</v>
      </c>
      <c r="F4" s="593" t="s">
        <v>587</v>
      </c>
      <c r="G4" s="15" t="s">
        <v>588</v>
      </c>
      <c r="I4" s="436"/>
      <c r="J4" s="436"/>
      <c r="K4" s="436"/>
      <c r="L4" s="436"/>
    </row>
    <row r="5" spans="2:12" ht="15.75">
      <c r="B5" s="339">
        <v>1</v>
      </c>
      <c r="C5" s="398" t="s">
        <v>11</v>
      </c>
      <c r="D5" s="591">
        <v>2.8000000000000001E-2</v>
      </c>
      <c r="E5" s="595">
        <v>2.1999999999999999E-2</v>
      </c>
      <c r="F5" s="597">
        <v>0.02</v>
      </c>
      <c r="G5" s="598">
        <v>1.7999999999999999E-2</v>
      </c>
      <c r="I5" s="437"/>
      <c r="J5" s="437"/>
      <c r="K5" s="438"/>
      <c r="L5" s="438"/>
    </row>
    <row r="6" spans="2:12" ht="15.75">
      <c r="B6" s="339">
        <v>2</v>
      </c>
      <c r="C6" s="398" t="s">
        <v>12</v>
      </c>
      <c r="D6" s="591">
        <v>0.64600000000000002</v>
      </c>
      <c r="E6" s="595">
        <v>0.63400000000000001</v>
      </c>
      <c r="F6" s="597">
        <v>0.69</v>
      </c>
      <c r="G6" s="598">
        <v>0.61799999999999999</v>
      </c>
      <c r="H6" s="365"/>
      <c r="I6" s="437"/>
      <c r="J6" s="437"/>
      <c r="K6" s="438"/>
      <c r="L6" s="438"/>
    </row>
    <row r="7" spans="2:12" ht="15.75">
      <c r="B7" s="339">
        <v>3</v>
      </c>
      <c r="C7" s="398" t="s">
        <v>13</v>
      </c>
      <c r="D7" s="591">
        <v>0.316</v>
      </c>
      <c r="E7" s="595">
        <v>0.33400000000000002</v>
      </c>
      <c r="F7" s="597">
        <v>0.28000000000000003</v>
      </c>
      <c r="G7" s="599">
        <v>0.35399999999999998</v>
      </c>
      <c r="I7" s="436"/>
      <c r="J7" s="437"/>
      <c r="K7" s="438"/>
      <c r="L7" s="438"/>
    </row>
    <row r="8" spans="2:12" ht="15.75">
      <c r="B8" s="339">
        <v>4</v>
      </c>
      <c r="C8" s="432" t="s">
        <v>514</v>
      </c>
      <c r="D8" s="592">
        <v>0.01</v>
      </c>
      <c r="E8" s="596">
        <v>0.01</v>
      </c>
      <c r="F8" s="597">
        <v>0.01</v>
      </c>
      <c r="G8" s="600">
        <v>0.01</v>
      </c>
      <c r="I8" s="437"/>
      <c r="J8" s="437"/>
      <c r="K8" s="438"/>
      <c r="L8" s="438"/>
    </row>
    <row r="9" spans="2:12" ht="15.75">
      <c r="B9" s="339">
        <v>5</v>
      </c>
      <c r="C9" s="433" t="s">
        <v>2</v>
      </c>
      <c r="D9" s="591">
        <f>SUM(D5:D8)</f>
        <v>1</v>
      </c>
      <c r="E9" s="595">
        <f>SUM(E5:E8)</f>
        <v>1</v>
      </c>
      <c r="F9" s="597">
        <v>1</v>
      </c>
      <c r="G9" s="600">
        <v>1</v>
      </c>
      <c r="I9" s="437"/>
      <c r="J9" s="439"/>
      <c r="K9" s="438"/>
      <c r="L9" s="438"/>
    </row>
    <row r="10" spans="2:12">
      <c r="I10" s="436"/>
      <c r="J10" s="440"/>
      <c r="K10" s="440"/>
      <c r="L10" s="440"/>
    </row>
    <row r="14" spans="2:12">
      <c r="H14" s="365"/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32"/>
  <sheetViews>
    <sheetView rightToLeft="1" topLeftCell="A8" zoomScale="80" zoomScaleNormal="80" workbookViewId="0">
      <selection activeCell="G9" sqref="G9"/>
    </sheetView>
  </sheetViews>
  <sheetFormatPr defaultRowHeight="15"/>
  <cols>
    <col min="1" max="1" width="3" customWidth="1"/>
    <col min="2" max="2" width="7.28515625" customWidth="1"/>
    <col min="5" max="5" width="7" customWidth="1"/>
    <col min="6" max="6" width="12.7109375" customWidth="1"/>
    <col min="7" max="7" width="16.85546875" bestFit="1" customWidth="1"/>
    <col min="8" max="8" width="17.28515625" bestFit="1" customWidth="1"/>
    <col min="9" max="9" width="24.140625" customWidth="1"/>
    <col min="10" max="10" width="12.42578125" customWidth="1"/>
    <col min="11" max="11" width="17.42578125" bestFit="1" customWidth="1"/>
    <col min="12" max="12" width="25.140625" bestFit="1" customWidth="1"/>
    <col min="13" max="13" width="20.7109375" customWidth="1"/>
  </cols>
  <sheetData>
    <row r="2" spans="2:13" ht="30" customHeight="1">
      <c r="B2" s="611" t="s">
        <v>215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58"/>
    </row>
    <row r="3" spans="2:13" ht="15.75" thickBot="1"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</row>
    <row r="4" spans="2:13" ht="41.25" customHeight="1" thickTop="1">
      <c r="B4" s="987" t="s">
        <v>22</v>
      </c>
      <c r="C4" s="981" t="s">
        <v>23</v>
      </c>
      <c r="D4" s="982"/>
      <c r="E4" s="982"/>
      <c r="F4" s="983"/>
      <c r="G4" s="961" t="s">
        <v>481</v>
      </c>
      <c r="H4" s="962"/>
      <c r="I4" s="963"/>
      <c r="J4" s="964">
        <v>1392</v>
      </c>
      <c r="K4" s="965"/>
      <c r="L4" s="966"/>
      <c r="M4" s="967" t="s">
        <v>216</v>
      </c>
    </row>
    <row r="5" spans="2:13" ht="60.75">
      <c r="B5" s="988"/>
      <c r="C5" s="984"/>
      <c r="D5" s="985"/>
      <c r="E5" s="985"/>
      <c r="F5" s="986"/>
      <c r="G5" s="968" t="s">
        <v>217</v>
      </c>
      <c r="H5" s="969" t="s">
        <v>218</v>
      </c>
      <c r="I5" s="969" t="s">
        <v>45</v>
      </c>
      <c r="J5" s="970" t="s">
        <v>217</v>
      </c>
      <c r="K5" s="971" t="s">
        <v>218</v>
      </c>
      <c r="L5" s="971" t="s">
        <v>45</v>
      </c>
      <c r="M5" s="972"/>
    </row>
    <row r="6" spans="2:13" ht="29.25" customHeight="1">
      <c r="B6" s="25">
        <v>1</v>
      </c>
      <c r="C6" s="960" t="s">
        <v>219</v>
      </c>
      <c r="D6" s="960"/>
      <c r="E6" s="960"/>
      <c r="F6" s="960"/>
      <c r="G6" s="973">
        <v>3112</v>
      </c>
      <c r="H6" s="973">
        <v>280000</v>
      </c>
      <c r="I6" s="973">
        <f t="shared" ref="I6:I11" si="0">H6*G6</f>
        <v>871360000</v>
      </c>
      <c r="J6" s="974">
        <v>3112</v>
      </c>
      <c r="K6" s="974">
        <v>550000</v>
      </c>
      <c r="L6" s="974">
        <f>K6*J6</f>
        <v>1711600000</v>
      </c>
      <c r="M6" s="975" t="s">
        <v>220</v>
      </c>
    </row>
    <row r="7" spans="2:13" ht="29.25" customHeight="1">
      <c r="B7" s="25">
        <v>2</v>
      </c>
      <c r="C7" s="960" t="s">
        <v>221</v>
      </c>
      <c r="D7" s="960"/>
      <c r="E7" s="960"/>
      <c r="F7" s="960"/>
      <c r="G7" s="973">
        <v>11461</v>
      </c>
      <c r="H7" s="973">
        <v>250000</v>
      </c>
      <c r="I7" s="973">
        <f t="shared" si="0"/>
        <v>2865250000</v>
      </c>
      <c r="J7" s="974">
        <v>11461</v>
      </c>
      <c r="K7" s="974">
        <v>550000</v>
      </c>
      <c r="L7" s="974">
        <f t="shared" ref="L7:L12" si="1">K7*J7</f>
        <v>6303550000</v>
      </c>
      <c r="M7" s="975" t="s">
        <v>220</v>
      </c>
    </row>
    <row r="8" spans="2:13" ht="81">
      <c r="B8" s="25">
        <v>3</v>
      </c>
      <c r="C8" s="960" t="s">
        <v>222</v>
      </c>
      <c r="D8" s="960"/>
      <c r="E8" s="960"/>
      <c r="F8" s="960"/>
      <c r="G8" s="973">
        <v>6126</v>
      </c>
      <c r="H8" s="973">
        <v>250000</v>
      </c>
      <c r="I8" s="973">
        <f>H8*G8</f>
        <v>1531500000</v>
      </c>
      <c r="J8" s="974">
        <v>6312</v>
      </c>
      <c r="K8" s="974">
        <v>550000</v>
      </c>
      <c r="L8" s="974">
        <f t="shared" si="1"/>
        <v>3471600000</v>
      </c>
      <c r="M8" s="976" t="s">
        <v>223</v>
      </c>
    </row>
    <row r="9" spans="2:13" ht="29.25" customHeight="1">
      <c r="B9" s="25">
        <v>4</v>
      </c>
      <c r="C9" s="960" t="s">
        <v>224</v>
      </c>
      <c r="D9" s="960"/>
      <c r="E9" s="960"/>
      <c r="F9" s="960"/>
      <c r="G9" s="973">
        <v>5704</v>
      </c>
      <c r="H9" s="973">
        <v>250000</v>
      </c>
      <c r="I9" s="973">
        <f t="shared" si="0"/>
        <v>1426000000</v>
      </c>
      <c r="J9" s="974">
        <v>5704</v>
      </c>
      <c r="K9" s="974">
        <v>550000</v>
      </c>
      <c r="L9" s="974">
        <f t="shared" si="1"/>
        <v>3137200000</v>
      </c>
      <c r="M9" s="975" t="s">
        <v>220</v>
      </c>
    </row>
    <row r="10" spans="2:13" ht="29.25" customHeight="1">
      <c r="B10" s="25">
        <v>5</v>
      </c>
      <c r="C10" s="960" t="s">
        <v>225</v>
      </c>
      <c r="D10" s="960"/>
      <c r="E10" s="960"/>
      <c r="F10" s="960"/>
      <c r="G10" s="973">
        <v>5176</v>
      </c>
      <c r="H10" s="973">
        <v>250000</v>
      </c>
      <c r="I10" s="973">
        <f t="shared" si="0"/>
        <v>1294000000</v>
      </c>
      <c r="J10" s="974">
        <v>5176</v>
      </c>
      <c r="K10" s="974">
        <v>550000</v>
      </c>
      <c r="L10" s="974">
        <f t="shared" si="1"/>
        <v>2846800000</v>
      </c>
      <c r="M10" s="975" t="s">
        <v>220</v>
      </c>
    </row>
    <row r="11" spans="2:13" ht="29.25" customHeight="1">
      <c r="B11" s="25">
        <v>6</v>
      </c>
      <c r="C11" s="960" t="s">
        <v>226</v>
      </c>
      <c r="D11" s="960"/>
      <c r="E11" s="960"/>
      <c r="F11" s="960"/>
      <c r="G11" s="973">
        <v>6760</v>
      </c>
      <c r="H11" s="973">
        <v>250000</v>
      </c>
      <c r="I11" s="973">
        <f t="shared" si="0"/>
        <v>1690000000</v>
      </c>
      <c r="J11" s="974">
        <v>6760</v>
      </c>
      <c r="K11" s="974">
        <v>550000</v>
      </c>
      <c r="L11" s="974">
        <f t="shared" si="1"/>
        <v>3718000000</v>
      </c>
      <c r="M11" s="975" t="s">
        <v>220</v>
      </c>
    </row>
    <row r="12" spans="2:13" ht="46.5" customHeight="1">
      <c r="B12" s="25">
        <v>7</v>
      </c>
      <c r="C12" s="960" t="s">
        <v>227</v>
      </c>
      <c r="D12" s="960"/>
      <c r="E12" s="960"/>
      <c r="F12" s="960"/>
      <c r="G12" s="973">
        <v>7183</v>
      </c>
      <c r="H12" s="973">
        <v>250000</v>
      </c>
      <c r="I12" s="973">
        <f>H12*G12</f>
        <v>1795750000</v>
      </c>
      <c r="J12" s="974">
        <v>7183</v>
      </c>
      <c r="K12" s="974">
        <v>550000</v>
      </c>
      <c r="L12" s="974">
        <f t="shared" si="1"/>
        <v>3950650000</v>
      </c>
      <c r="M12" s="975" t="s">
        <v>220</v>
      </c>
    </row>
    <row r="13" spans="2:13" ht="29.25" customHeight="1">
      <c r="B13" s="25">
        <v>8</v>
      </c>
      <c r="C13" s="960" t="s">
        <v>228</v>
      </c>
      <c r="D13" s="960"/>
      <c r="E13" s="960"/>
      <c r="F13" s="960"/>
      <c r="G13" s="977"/>
      <c r="H13" s="973"/>
      <c r="I13" s="973">
        <v>880283525</v>
      </c>
      <c r="J13" s="974"/>
      <c r="K13" s="974"/>
      <c r="L13" s="974">
        <v>1300000000</v>
      </c>
      <c r="M13" s="975" t="s">
        <v>220</v>
      </c>
    </row>
    <row r="14" spans="2:13" ht="29.25" customHeight="1">
      <c r="B14" s="25"/>
      <c r="C14" s="960"/>
      <c r="D14" s="960"/>
      <c r="E14" s="960"/>
      <c r="F14" s="960"/>
      <c r="G14" s="977"/>
      <c r="H14" s="973"/>
      <c r="I14" s="973"/>
      <c r="J14" s="974"/>
      <c r="K14" s="974"/>
      <c r="L14" s="974"/>
      <c r="M14" s="975"/>
    </row>
    <row r="15" spans="2:13" ht="29.25" customHeight="1">
      <c r="B15" s="25"/>
      <c r="C15" s="960"/>
      <c r="D15" s="960"/>
      <c r="E15" s="960"/>
      <c r="F15" s="960"/>
      <c r="G15" s="55"/>
      <c r="H15" s="26"/>
      <c r="I15" s="26"/>
      <c r="J15" s="27"/>
      <c r="K15" s="27"/>
      <c r="L15" s="27"/>
      <c r="M15" s="59"/>
    </row>
    <row r="16" spans="2:13" ht="29.25" customHeight="1">
      <c r="B16" s="25"/>
      <c r="C16" s="960"/>
      <c r="D16" s="960"/>
      <c r="E16" s="960"/>
      <c r="F16" s="960"/>
      <c r="G16" s="55"/>
      <c r="H16" s="26"/>
      <c r="I16" s="26"/>
      <c r="J16" s="27"/>
      <c r="K16" s="27"/>
      <c r="L16" s="27"/>
      <c r="M16" s="59"/>
    </row>
    <row r="17" spans="2:13" ht="29.25" customHeight="1" thickBot="1">
      <c r="B17" s="38"/>
      <c r="C17" s="978" t="s">
        <v>42</v>
      </c>
      <c r="D17" s="978"/>
      <c r="E17" s="978"/>
      <c r="F17" s="978"/>
      <c r="G17" s="979">
        <f>SUM(G6:G16)</f>
        <v>45522</v>
      </c>
      <c r="H17" s="979"/>
      <c r="I17" s="979">
        <f>SUM(I6:I16)</f>
        <v>12354143525</v>
      </c>
      <c r="J17" s="980">
        <f>SUM(J6:J15)</f>
        <v>45708</v>
      </c>
      <c r="K17" s="980">
        <f t="shared" ref="K17" si="2">SUM(K6:K15)</f>
        <v>3850000</v>
      </c>
      <c r="L17" s="980">
        <f>SUM(L6:L15)</f>
        <v>26439400000</v>
      </c>
      <c r="M17" s="60"/>
    </row>
    <row r="18" spans="2:13" ht="15.75" thickTop="1">
      <c r="C18" s="608"/>
      <c r="D18" s="608"/>
      <c r="E18" s="608"/>
      <c r="F18" s="608"/>
    </row>
    <row r="19" spans="2:13" ht="27.75" customHeight="1"/>
    <row r="20" spans="2:13" ht="27.75" customHeight="1"/>
    <row r="21" spans="2:13" ht="27.75" customHeight="1"/>
    <row r="22" spans="2:13" ht="27.75" customHeight="1"/>
    <row r="23" spans="2:13" ht="27.75" customHeight="1"/>
    <row r="24" spans="2:13" ht="27.75" customHeight="1"/>
    <row r="25" spans="2:13" ht="27.75" customHeight="1"/>
    <row r="30" spans="2:13">
      <c r="C30" s="608"/>
      <c r="D30" s="608"/>
      <c r="E30" s="608"/>
      <c r="F30" s="608"/>
    </row>
    <row r="31" spans="2:13">
      <c r="C31" s="608"/>
      <c r="D31" s="608"/>
      <c r="E31" s="608"/>
      <c r="F31" s="608"/>
    </row>
    <row r="32" spans="2:13">
      <c r="C32" s="608"/>
      <c r="D32" s="608"/>
      <c r="E32" s="608"/>
      <c r="F32" s="608"/>
    </row>
  </sheetData>
  <mergeCells count="22">
    <mergeCell ref="M4:M5"/>
    <mergeCell ref="C11:F11"/>
    <mergeCell ref="B2:L3"/>
    <mergeCell ref="B4:B5"/>
    <mergeCell ref="C4:F5"/>
    <mergeCell ref="G4:I4"/>
    <mergeCell ref="J4:L4"/>
    <mergeCell ref="C6:F6"/>
    <mergeCell ref="C7:F7"/>
    <mergeCell ref="C8:F8"/>
    <mergeCell ref="C9:F9"/>
    <mergeCell ref="C10:F10"/>
    <mergeCell ref="C18:F18"/>
    <mergeCell ref="C30:F30"/>
    <mergeCell ref="C31:F31"/>
    <mergeCell ref="C32:F32"/>
    <mergeCell ref="C12:F12"/>
    <mergeCell ref="C13:F13"/>
    <mergeCell ref="C14:F14"/>
    <mergeCell ref="C15:F15"/>
    <mergeCell ref="C16:F16"/>
    <mergeCell ref="C17:F17"/>
  </mergeCells>
  <pageMargins left="0.1" right="0.11" top="0.28000000000000003" bottom="0.27" header="0.15" footer="0.08"/>
  <pageSetup paperSize="9" scale="68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J35"/>
  <sheetViews>
    <sheetView rightToLeft="1" zoomScaleNormal="100" workbookViewId="0">
      <selection activeCell="H7" sqref="H7"/>
    </sheetView>
  </sheetViews>
  <sheetFormatPr defaultColWidth="9.140625" defaultRowHeight="15"/>
  <cols>
    <col min="1" max="1" width="4.42578125" style="121" customWidth="1"/>
    <col min="2" max="2" width="56" style="121" bestFit="1" customWidth="1"/>
    <col min="3" max="3" width="12.42578125" style="121" customWidth="1"/>
    <col min="4" max="4" width="9.140625" style="121" customWidth="1"/>
    <col min="5" max="5" width="20.5703125" style="149" customWidth="1"/>
    <col min="6" max="6" width="16.7109375" style="149" bestFit="1" customWidth="1"/>
    <col min="7" max="7" width="19.140625" style="149" customWidth="1"/>
    <col min="8" max="8" width="22.7109375" style="149" customWidth="1"/>
    <col min="9" max="9" width="9.140625" style="124"/>
    <col min="10" max="10" width="10.140625" style="124" hidden="1" customWidth="1"/>
    <col min="11" max="16384" width="9.140625" style="124"/>
  </cols>
  <sheetData>
    <row r="1" spans="1:10">
      <c r="E1" s="625"/>
      <c r="F1" s="625"/>
      <c r="G1" s="135" t="s">
        <v>229</v>
      </c>
      <c r="H1" s="154" t="s">
        <v>230</v>
      </c>
    </row>
    <row r="2" spans="1:10">
      <c r="E2" s="626"/>
      <c r="F2" s="626"/>
      <c r="G2" s="135">
        <v>42000</v>
      </c>
      <c r="H2" s="135">
        <v>32600</v>
      </c>
    </row>
    <row r="3" spans="1:10" ht="15.75" thickBot="1">
      <c r="E3" s="124"/>
      <c r="F3" s="127"/>
      <c r="G3" s="124"/>
      <c r="H3" s="124"/>
    </row>
    <row r="4" spans="1:10" ht="15.75">
      <c r="A4" s="627"/>
      <c r="B4" s="628"/>
      <c r="C4" s="628"/>
      <c r="D4" s="628"/>
      <c r="E4" s="631" t="s">
        <v>231</v>
      </c>
      <c r="F4" s="631"/>
      <c r="G4" s="155" t="s">
        <v>232</v>
      </c>
      <c r="H4" s="156"/>
    </row>
    <row r="5" spans="1:10" ht="15.75">
      <c r="A5" s="629"/>
      <c r="B5" s="630"/>
      <c r="C5" s="630"/>
      <c r="D5" s="630"/>
      <c r="E5" s="632" t="s">
        <v>233</v>
      </c>
      <c r="F5" s="632"/>
      <c r="G5" s="633" t="s">
        <v>233</v>
      </c>
      <c r="H5" s="622"/>
    </row>
    <row r="6" spans="1:10" ht="33.75" customHeight="1">
      <c r="A6" s="157"/>
      <c r="B6" s="129" t="s">
        <v>234</v>
      </c>
      <c r="C6" s="129" t="s">
        <v>235</v>
      </c>
      <c r="D6" s="129" t="s">
        <v>236</v>
      </c>
      <c r="E6" s="129" t="s">
        <v>237</v>
      </c>
      <c r="F6" s="129" t="s">
        <v>238</v>
      </c>
      <c r="G6" s="129" t="s">
        <v>237</v>
      </c>
      <c r="H6" s="158" t="s">
        <v>238</v>
      </c>
    </row>
    <row r="7" spans="1:10" ht="27.75" customHeight="1">
      <c r="A7" s="159">
        <v>1</v>
      </c>
      <c r="B7" s="130" t="s">
        <v>288</v>
      </c>
      <c r="C7" s="142"/>
      <c r="D7" s="137"/>
      <c r="E7" s="160"/>
      <c r="F7" s="135"/>
      <c r="G7" s="160"/>
      <c r="H7" s="161">
        <f t="shared" ref="H7:H24" si="0">F7*D7</f>
        <v>0</v>
      </c>
    </row>
    <row r="8" spans="1:10" ht="15" customHeight="1">
      <c r="A8" s="162">
        <v>2</v>
      </c>
      <c r="B8" s="163" t="s">
        <v>289</v>
      </c>
      <c r="C8" s="142"/>
      <c r="D8" s="164">
        <v>1</v>
      </c>
      <c r="E8" s="160"/>
      <c r="F8" s="135">
        <v>30000</v>
      </c>
      <c r="G8" s="160"/>
      <c r="H8" s="161">
        <f t="shared" si="0"/>
        <v>30000</v>
      </c>
    </row>
    <row r="9" spans="1:10" ht="15" customHeight="1">
      <c r="A9" s="159">
        <v>3</v>
      </c>
      <c r="B9" s="163" t="s">
        <v>290</v>
      </c>
      <c r="C9" s="142"/>
      <c r="D9" s="164">
        <v>1</v>
      </c>
      <c r="E9" s="160"/>
      <c r="F9" s="135">
        <v>13750</v>
      </c>
      <c r="G9" s="160"/>
      <c r="H9" s="161">
        <f t="shared" si="0"/>
        <v>13750</v>
      </c>
    </row>
    <row r="10" spans="1:10" ht="15" customHeight="1">
      <c r="A10" s="162">
        <v>4</v>
      </c>
      <c r="B10" s="163" t="s">
        <v>291</v>
      </c>
      <c r="C10" s="142"/>
      <c r="D10" s="164">
        <v>2</v>
      </c>
      <c r="E10" s="160"/>
      <c r="F10" s="135">
        <v>1260</v>
      </c>
      <c r="G10" s="160"/>
      <c r="H10" s="161">
        <f t="shared" si="0"/>
        <v>2520</v>
      </c>
    </row>
    <row r="11" spans="1:10" ht="15" customHeight="1">
      <c r="A11" s="159">
        <v>5</v>
      </c>
      <c r="B11" s="163" t="s">
        <v>292</v>
      </c>
      <c r="C11" s="142"/>
      <c r="D11" s="164">
        <v>2</v>
      </c>
      <c r="E11" s="160"/>
      <c r="F11" s="135">
        <v>2860</v>
      </c>
      <c r="G11" s="160"/>
      <c r="H11" s="161">
        <f t="shared" si="0"/>
        <v>5720</v>
      </c>
    </row>
    <row r="12" spans="1:10" ht="15" customHeight="1">
      <c r="A12" s="162">
        <v>6</v>
      </c>
      <c r="B12" s="163" t="s">
        <v>293</v>
      </c>
      <c r="C12" s="142"/>
      <c r="D12" s="164">
        <v>2</v>
      </c>
      <c r="E12" s="160"/>
      <c r="F12" s="135">
        <v>25500</v>
      </c>
      <c r="G12" s="160"/>
      <c r="H12" s="161">
        <f t="shared" si="0"/>
        <v>51000</v>
      </c>
    </row>
    <row r="13" spans="1:10" ht="15.75" customHeight="1">
      <c r="A13" s="159">
        <v>7</v>
      </c>
      <c r="B13" s="163" t="s">
        <v>294</v>
      </c>
      <c r="C13" s="142"/>
      <c r="D13" s="164">
        <v>5</v>
      </c>
      <c r="E13" s="160"/>
      <c r="F13" s="135">
        <v>20500</v>
      </c>
      <c r="G13" s="160"/>
      <c r="H13" s="161">
        <f t="shared" si="0"/>
        <v>102500</v>
      </c>
    </row>
    <row r="14" spans="1:10" ht="15" customHeight="1">
      <c r="A14" s="162">
        <v>8</v>
      </c>
      <c r="B14" s="163" t="s">
        <v>295</v>
      </c>
      <c r="C14" s="142"/>
      <c r="D14" s="164">
        <v>2</v>
      </c>
      <c r="E14" s="160"/>
      <c r="F14" s="135">
        <v>1200</v>
      </c>
      <c r="G14" s="160"/>
      <c r="H14" s="161">
        <f t="shared" si="0"/>
        <v>2400</v>
      </c>
      <c r="J14" s="135">
        <f>F14/1.31</f>
        <v>916.03053435114498</v>
      </c>
    </row>
    <row r="15" spans="1:10" ht="15" customHeight="1">
      <c r="A15" s="159">
        <v>9</v>
      </c>
      <c r="B15" s="163" t="s">
        <v>296</v>
      </c>
      <c r="C15" s="142"/>
      <c r="D15" s="164">
        <v>4</v>
      </c>
      <c r="E15" s="160"/>
      <c r="F15" s="135">
        <v>6700</v>
      </c>
      <c r="G15" s="160"/>
      <c r="H15" s="161">
        <f t="shared" si="0"/>
        <v>26800</v>
      </c>
    </row>
    <row r="16" spans="1:10" ht="15" customHeight="1">
      <c r="A16" s="162">
        <v>10</v>
      </c>
      <c r="B16" s="163" t="s">
        <v>297</v>
      </c>
      <c r="C16" s="142"/>
      <c r="D16" s="164">
        <v>2</v>
      </c>
      <c r="E16" s="160"/>
      <c r="F16" s="135">
        <v>2500</v>
      </c>
      <c r="G16" s="160"/>
      <c r="H16" s="161">
        <f t="shared" si="0"/>
        <v>5000</v>
      </c>
    </row>
    <row r="17" spans="1:10" ht="15" customHeight="1">
      <c r="A17" s="159">
        <v>11</v>
      </c>
      <c r="B17" s="163" t="s">
        <v>298</v>
      </c>
      <c r="C17" s="142"/>
      <c r="D17" s="165">
        <v>2</v>
      </c>
      <c r="E17" s="160"/>
      <c r="F17" s="135">
        <v>6500</v>
      </c>
      <c r="G17" s="160"/>
      <c r="H17" s="161">
        <f t="shared" si="0"/>
        <v>13000</v>
      </c>
    </row>
    <row r="18" spans="1:10" ht="15.75" customHeight="1">
      <c r="A18" s="162">
        <v>12</v>
      </c>
      <c r="B18" s="163" t="s">
        <v>299</v>
      </c>
      <c r="C18" s="142"/>
      <c r="D18" s="165">
        <v>2</v>
      </c>
      <c r="E18" s="160"/>
      <c r="F18" s="135">
        <v>55800</v>
      </c>
      <c r="G18" s="160"/>
      <c r="H18" s="161">
        <f t="shared" si="0"/>
        <v>111600</v>
      </c>
      <c r="J18" s="135">
        <f>F18/1.31</f>
        <v>42595.419847328245</v>
      </c>
    </row>
    <row r="19" spans="1:10" ht="15" customHeight="1">
      <c r="A19" s="159">
        <v>13</v>
      </c>
      <c r="B19" s="163" t="s">
        <v>300</v>
      </c>
      <c r="C19" s="142"/>
      <c r="D19" s="165">
        <v>2</v>
      </c>
      <c r="E19" s="160"/>
      <c r="F19" s="135">
        <v>5400</v>
      </c>
      <c r="G19" s="160"/>
      <c r="H19" s="161">
        <f t="shared" si="0"/>
        <v>10800</v>
      </c>
      <c r="J19" s="135">
        <f>F19/1.31</f>
        <v>4122.1374045801522</v>
      </c>
    </row>
    <row r="20" spans="1:10" ht="15" customHeight="1">
      <c r="A20" s="162">
        <v>14</v>
      </c>
      <c r="B20" s="163" t="s">
        <v>301</v>
      </c>
      <c r="C20" s="142"/>
      <c r="D20" s="165">
        <v>2</v>
      </c>
      <c r="E20" s="160"/>
      <c r="F20" s="135">
        <v>63300</v>
      </c>
      <c r="G20" s="160"/>
      <c r="H20" s="161">
        <f t="shared" si="0"/>
        <v>126600</v>
      </c>
    </row>
    <row r="21" spans="1:10" ht="15" customHeight="1">
      <c r="A21" s="159">
        <v>15</v>
      </c>
      <c r="B21" s="163" t="s">
        <v>302</v>
      </c>
      <c r="C21" s="142"/>
      <c r="D21" s="165">
        <v>2</v>
      </c>
      <c r="E21" s="160"/>
      <c r="F21" s="135">
        <v>1260</v>
      </c>
      <c r="G21" s="160"/>
      <c r="H21" s="161">
        <f t="shared" si="0"/>
        <v>2520</v>
      </c>
      <c r="J21" s="135">
        <f>F21/1.31</f>
        <v>961.83206106870227</v>
      </c>
    </row>
    <row r="22" spans="1:10" ht="15" customHeight="1">
      <c r="A22" s="162">
        <v>16</v>
      </c>
      <c r="B22" s="163" t="s">
        <v>303</v>
      </c>
      <c r="C22" s="142"/>
      <c r="D22" s="165">
        <v>2</v>
      </c>
      <c r="E22" s="160"/>
      <c r="F22" s="135">
        <v>2900</v>
      </c>
      <c r="G22" s="160"/>
      <c r="H22" s="161">
        <f t="shared" si="0"/>
        <v>5800</v>
      </c>
      <c r="J22" s="135">
        <f>F22/1.31</f>
        <v>2213.740458015267</v>
      </c>
    </row>
    <row r="23" spans="1:10" ht="15" customHeight="1">
      <c r="A23" s="159">
        <v>17</v>
      </c>
      <c r="B23" s="163" t="s">
        <v>304</v>
      </c>
      <c r="C23" s="142"/>
      <c r="D23" s="165">
        <v>2</v>
      </c>
      <c r="E23" s="160"/>
      <c r="F23" s="135">
        <v>31000</v>
      </c>
      <c r="G23" s="160"/>
      <c r="H23" s="161">
        <f t="shared" si="0"/>
        <v>62000</v>
      </c>
      <c r="J23" s="135">
        <f>F23/1.31</f>
        <v>23664.122137404578</v>
      </c>
    </row>
    <row r="24" spans="1:10" ht="15" customHeight="1">
      <c r="A24" s="162">
        <v>18</v>
      </c>
      <c r="B24" s="163" t="s">
        <v>305</v>
      </c>
      <c r="C24" s="142"/>
      <c r="D24" s="164">
        <v>2</v>
      </c>
      <c r="E24" s="160"/>
      <c r="F24" s="135">
        <v>49000</v>
      </c>
      <c r="G24" s="160"/>
      <c r="H24" s="161">
        <f t="shared" si="0"/>
        <v>98000</v>
      </c>
    </row>
    <row r="25" spans="1:10" ht="15" customHeight="1">
      <c r="A25" s="159">
        <v>19</v>
      </c>
      <c r="B25" s="163" t="s">
        <v>306</v>
      </c>
      <c r="C25" s="142"/>
      <c r="D25" s="164">
        <v>4</v>
      </c>
      <c r="E25" s="140">
        <v>1050000000</v>
      </c>
      <c r="F25" s="160"/>
      <c r="G25" s="135">
        <f>E25</f>
        <v>1050000000</v>
      </c>
      <c r="H25" s="160"/>
      <c r="J25" s="135">
        <f>F25/1.31</f>
        <v>0</v>
      </c>
    </row>
    <row r="26" spans="1:10" ht="15" customHeight="1">
      <c r="A26" s="162">
        <v>20</v>
      </c>
      <c r="B26" s="163" t="s">
        <v>307</v>
      </c>
      <c r="C26" s="142"/>
      <c r="D26" s="164">
        <v>10</v>
      </c>
      <c r="E26" s="135" t="s">
        <v>308</v>
      </c>
      <c r="F26" s="160"/>
      <c r="G26" s="135"/>
      <c r="H26" s="160"/>
      <c r="J26" s="135"/>
    </row>
    <row r="27" spans="1:10" ht="15.75" customHeight="1">
      <c r="A27" s="159">
        <v>21</v>
      </c>
      <c r="B27" s="163" t="s">
        <v>309</v>
      </c>
      <c r="C27" s="142"/>
      <c r="D27" s="164">
        <v>1</v>
      </c>
      <c r="E27" s="135" t="s">
        <v>308</v>
      </c>
      <c r="F27" s="160"/>
      <c r="G27" s="135"/>
      <c r="H27" s="160"/>
    </row>
    <row r="28" spans="1:10" ht="15" customHeight="1">
      <c r="A28" s="162">
        <v>22</v>
      </c>
      <c r="B28" s="163" t="s">
        <v>310</v>
      </c>
      <c r="C28" s="142"/>
      <c r="D28" s="164">
        <v>4</v>
      </c>
      <c r="E28" s="135" t="s">
        <v>308</v>
      </c>
      <c r="F28" s="160"/>
      <c r="G28" s="135"/>
      <c r="H28" s="160"/>
      <c r="J28" s="135"/>
    </row>
    <row r="29" spans="1:10" ht="15.75" customHeight="1">
      <c r="A29" s="159">
        <v>23</v>
      </c>
      <c r="B29" s="163" t="s">
        <v>311</v>
      </c>
      <c r="C29" s="142"/>
      <c r="D29" s="164">
        <v>4</v>
      </c>
      <c r="E29" s="135" t="s">
        <v>308</v>
      </c>
      <c r="F29" s="160"/>
      <c r="G29" s="135"/>
      <c r="H29" s="160"/>
      <c r="J29" s="135"/>
    </row>
    <row r="30" spans="1:10" ht="15.75" customHeight="1" thickBot="1">
      <c r="A30" s="166">
        <v>24</v>
      </c>
      <c r="B30" s="167" t="s">
        <v>312</v>
      </c>
      <c r="C30" s="168"/>
      <c r="D30" s="169">
        <v>4</v>
      </c>
      <c r="E30" s="170" t="s">
        <v>308</v>
      </c>
      <c r="F30" s="171"/>
      <c r="G30" s="170"/>
      <c r="H30" s="172"/>
    </row>
    <row r="31" spans="1:10" ht="16.5" thickBot="1">
      <c r="B31" s="173"/>
      <c r="C31" s="173"/>
      <c r="E31" s="174"/>
      <c r="F31" s="174"/>
    </row>
    <row r="32" spans="1:10">
      <c r="G32" s="175">
        <f>SUM(G7:G31)</f>
        <v>1050000000</v>
      </c>
      <c r="H32" s="176">
        <f>SUM(H7:H31)</f>
        <v>670010</v>
      </c>
    </row>
    <row r="33" spans="7:8" ht="15.75">
      <c r="G33" s="148" t="s">
        <v>237</v>
      </c>
      <c r="H33" s="158" t="s">
        <v>238</v>
      </c>
    </row>
    <row r="34" spans="7:8" ht="15.75">
      <c r="G34" s="621" t="s">
        <v>233</v>
      </c>
      <c r="H34" s="622"/>
    </row>
    <row r="35" spans="7:8" ht="16.5" thickBot="1">
      <c r="G35" s="623" t="s">
        <v>232</v>
      </c>
      <c r="H35" s="624"/>
    </row>
  </sheetData>
  <autoFilter ref="A6:H30" xr:uid="{00000000-0009-0000-0000-000002000000}"/>
  <mergeCells count="8">
    <mergeCell ref="G34:H34"/>
    <mergeCell ref="G35:H35"/>
    <mergeCell ref="E1:F1"/>
    <mergeCell ref="E2:F2"/>
    <mergeCell ref="A4:D5"/>
    <mergeCell ref="E4:F4"/>
    <mergeCell ref="E5:F5"/>
    <mergeCell ref="G5:H5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4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AC38"/>
  <sheetViews>
    <sheetView rightToLeft="1" topLeftCell="A6" zoomScale="80" zoomScaleNormal="80" workbookViewId="0">
      <selection activeCell="P7" sqref="P7"/>
    </sheetView>
  </sheetViews>
  <sheetFormatPr defaultRowHeight="15"/>
  <cols>
    <col min="1" max="1" width="3" customWidth="1"/>
    <col min="2" max="2" width="7.28515625" customWidth="1"/>
    <col min="3" max="3" width="5.85546875" customWidth="1"/>
    <col min="4" max="4" width="21.42578125" customWidth="1"/>
    <col min="5" max="5" width="7" customWidth="1"/>
    <col min="6" max="6" width="22.28515625" customWidth="1"/>
    <col min="7" max="7" width="13.42578125" customWidth="1"/>
    <col min="8" max="8" width="19.7109375" customWidth="1"/>
    <col min="9" max="9" width="24.42578125" customWidth="1"/>
    <col min="10" max="10" width="19.42578125" customWidth="1"/>
    <col min="11" max="11" width="20.7109375" hidden="1" customWidth="1"/>
    <col min="12" max="12" width="23.85546875" hidden="1" customWidth="1"/>
    <col min="13" max="14" width="23.85546875" customWidth="1"/>
    <col min="15" max="15" width="24.42578125" bestFit="1" customWidth="1"/>
    <col min="16" max="16" width="22.42578125" customWidth="1"/>
    <col min="17" max="17" width="27.42578125" customWidth="1"/>
    <col min="18" max="18" width="11.85546875" customWidth="1"/>
    <col min="19" max="19" width="27.7109375" bestFit="1" customWidth="1"/>
    <col min="20" max="20" width="19.42578125" customWidth="1"/>
    <col min="21" max="21" width="9.5703125" customWidth="1"/>
    <col min="22" max="22" width="19.140625" customWidth="1"/>
    <col min="23" max="23" width="18.28515625" customWidth="1"/>
    <col min="24" max="24" width="17.42578125" customWidth="1"/>
    <col min="25" max="25" width="11.85546875" customWidth="1"/>
    <col min="26" max="26" width="18" customWidth="1"/>
    <col min="27" max="27" width="21.42578125" customWidth="1"/>
    <col min="29" max="29" width="15.85546875" bestFit="1" customWidth="1"/>
  </cols>
  <sheetData>
    <row r="2" spans="2:29" ht="30" customHeight="1">
      <c r="B2" s="659" t="s">
        <v>77</v>
      </c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</row>
    <row r="3" spans="2:29" ht="28.5" customHeight="1" thickBot="1"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0"/>
      <c r="S3" s="660"/>
      <c r="T3" s="660"/>
      <c r="U3" s="660"/>
      <c r="V3" s="660"/>
      <c r="W3" s="660"/>
      <c r="X3" s="660"/>
      <c r="Y3" s="660"/>
      <c r="Z3" s="660"/>
      <c r="AA3" s="660"/>
    </row>
    <row r="4" spans="2:29" ht="46.5" customHeight="1" thickTop="1">
      <c r="B4" s="613" t="s">
        <v>22</v>
      </c>
      <c r="C4" s="615" t="s">
        <v>23</v>
      </c>
      <c r="D4" s="615"/>
      <c r="E4" s="615"/>
      <c r="F4" s="615"/>
      <c r="G4" s="661" t="s">
        <v>481</v>
      </c>
      <c r="H4" s="661"/>
      <c r="I4" s="661">
        <v>1392</v>
      </c>
      <c r="J4" s="661"/>
      <c r="K4" s="636">
        <v>1402</v>
      </c>
      <c r="L4" s="637"/>
      <c r="M4" s="636" t="s">
        <v>500</v>
      </c>
      <c r="N4" s="637"/>
      <c r="O4" s="662" t="s">
        <v>54</v>
      </c>
      <c r="P4" s="662" t="s">
        <v>55</v>
      </c>
      <c r="Q4" s="662" t="s">
        <v>24</v>
      </c>
      <c r="R4" s="664" t="s">
        <v>56</v>
      </c>
      <c r="S4" s="664" t="s">
        <v>78</v>
      </c>
      <c r="T4" s="650" t="s">
        <v>79</v>
      </c>
      <c r="U4" s="650" t="s">
        <v>58</v>
      </c>
      <c r="V4" s="650" t="s">
        <v>80</v>
      </c>
      <c r="W4" s="650" t="s">
        <v>59</v>
      </c>
      <c r="X4" s="650" t="s">
        <v>81</v>
      </c>
      <c r="Y4" s="647" t="s">
        <v>60</v>
      </c>
      <c r="Z4" s="650" t="s">
        <v>82</v>
      </c>
      <c r="AA4" s="666" t="s">
        <v>25</v>
      </c>
    </row>
    <row r="5" spans="2:29" ht="46.5" customHeight="1">
      <c r="B5" s="614"/>
      <c r="C5" s="609"/>
      <c r="D5" s="609"/>
      <c r="E5" s="609"/>
      <c r="F5" s="609"/>
      <c r="G5" s="398" t="s">
        <v>61</v>
      </c>
      <c r="H5" s="398" t="s">
        <v>29</v>
      </c>
      <c r="I5" s="398" t="s">
        <v>62</v>
      </c>
      <c r="J5" s="398" t="s">
        <v>29</v>
      </c>
      <c r="K5" s="375" t="s">
        <v>62</v>
      </c>
      <c r="L5" s="375" t="s">
        <v>29</v>
      </c>
      <c r="M5" s="375" t="s">
        <v>61</v>
      </c>
      <c r="N5" s="375" t="s">
        <v>29</v>
      </c>
      <c r="O5" s="663"/>
      <c r="P5" s="663"/>
      <c r="Q5" s="663"/>
      <c r="R5" s="665"/>
      <c r="S5" s="665"/>
      <c r="T5" s="651"/>
      <c r="U5" s="651"/>
      <c r="V5" s="651"/>
      <c r="W5" s="651"/>
      <c r="X5" s="651"/>
      <c r="Y5" s="648"/>
      <c r="Z5" s="651"/>
      <c r="AA5" s="667"/>
      <c r="AC5" s="33"/>
    </row>
    <row r="6" spans="2:29" ht="46.5" customHeight="1">
      <c r="B6" s="25">
        <v>1</v>
      </c>
      <c r="C6" s="609" t="s">
        <v>503</v>
      </c>
      <c r="D6" s="609"/>
      <c r="E6" s="609"/>
      <c r="F6" s="609"/>
      <c r="G6" s="45">
        <v>0</v>
      </c>
      <c r="H6" s="45">
        <v>7365900474</v>
      </c>
      <c r="I6" s="45">
        <v>150000</v>
      </c>
      <c r="J6" s="45">
        <v>11000000000</v>
      </c>
      <c r="K6" s="379">
        <f>I6*Inflation!Euro_Inflation_Factor</f>
        <v>226395.57775082684</v>
      </c>
      <c r="L6" s="379">
        <f>J6*Inflation!IRR_Inflation_Factor</f>
        <v>547683443358.59137</v>
      </c>
      <c r="M6" s="379"/>
      <c r="N6" s="379">
        <v>628485722475</v>
      </c>
      <c r="O6" s="45">
        <f t="shared" ref="O6:O15" si="0">(G6*13700)+H6</f>
        <v>7365900474</v>
      </c>
      <c r="P6" s="45">
        <f t="shared" ref="P6:P14" si="1">(I6*32160)+J6</f>
        <v>15824000000</v>
      </c>
      <c r="Q6" s="45">
        <f>P6-O6</f>
        <v>8458099526</v>
      </c>
      <c r="R6" s="45">
        <f t="shared" ref="R6:R15" si="2">I6-G6</f>
        <v>150000</v>
      </c>
      <c r="S6" s="50">
        <f t="shared" ref="S6:S15" si="3">J6-H6</f>
        <v>3634099526</v>
      </c>
      <c r="T6" s="29"/>
      <c r="U6" s="29"/>
      <c r="V6" s="29">
        <f>S6</f>
        <v>3634099526</v>
      </c>
      <c r="W6" s="29"/>
      <c r="X6" s="29"/>
      <c r="Y6" s="29">
        <f>R6</f>
        <v>150000</v>
      </c>
      <c r="Z6" s="29"/>
      <c r="AA6" s="34"/>
    </row>
    <row r="7" spans="2:29" ht="46.5" customHeight="1">
      <c r="B7" s="25">
        <v>2</v>
      </c>
      <c r="C7" s="652" t="s">
        <v>83</v>
      </c>
      <c r="D7" s="653"/>
      <c r="E7" s="653"/>
      <c r="F7" s="654"/>
      <c r="G7" s="45">
        <v>0</v>
      </c>
      <c r="H7" s="45">
        <v>2208218421</v>
      </c>
      <c r="I7" s="45"/>
      <c r="J7" s="45">
        <v>6000000000</v>
      </c>
      <c r="K7" s="376">
        <f>I7*Inflation!Euro_Inflation_Factor</f>
        <v>0</v>
      </c>
      <c r="L7" s="379">
        <f>J7*Inflation!IRR_Inflation_Factor</f>
        <v>298736423650.14075</v>
      </c>
      <c r="M7" s="379"/>
      <c r="N7" s="379">
        <v>244000184294</v>
      </c>
      <c r="O7" s="45">
        <f t="shared" si="0"/>
        <v>2208218421</v>
      </c>
      <c r="P7" s="45">
        <f t="shared" si="1"/>
        <v>6000000000</v>
      </c>
      <c r="Q7" s="45">
        <f t="shared" ref="Q7:Q15" si="4">P7-O7</f>
        <v>3791781579</v>
      </c>
      <c r="R7" s="45">
        <f t="shared" si="2"/>
        <v>0</v>
      </c>
      <c r="S7" s="50">
        <f t="shared" si="3"/>
        <v>3791781579</v>
      </c>
      <c r="T7" s="29"/>
      <c r="U7" s="29"/>
      <c r="V7" s="29">
        <f>0.7*S7</f>
        <v>2654247105.2999997</v>
      </c>
      <c r="W7" s="29"/>
      <c r="X7" s="29"/>
      <c r="Y7" s="29"/>
      <c r="Z7" s="29">
        <f>0.3*S7</f>
        <v>1137534473.7</v>
      </c>
      <c r="AA7" s="34"/>
      <c r="AC7" s="33"/>
    </row>
    <row r="8" spans="2:29" ht="46.5" customHeight="1">
      <c r="B8" s="25">
        <v>3</v>
      </c>
      <c r="C8" s="609" t="s">
        <v>84</v>
      </c>
      <c r="D8" s="609"/>
      <c r="E8" s="609"/>
      <c r="F8" s="609"/>
      <c r="G8" s="45">
        <v>0</v>
      </c>
      <c r="H8" s="45">
        <v>10026505263</v>
      </c>
      <c r="I8" s="45"/>
      <c r="J8" s="45">
        <v>32000000000</v>
      </c>
      <c r="K8" s="376">
        <f>I8*Inflation!Euro_Inflation_Factor</f>
        <v>0</v>
      </c>
      <c r="L8" s="379">
        <f>J8*Inflation!IRR_Inflation_Factor</f>
        <v>1593260926134.084</v>
      </c>
      <c r="M8" s="379"/>
      <c r="N8" s="379">
        <v>592730999306</v>
      </c>
      <c r="O8" s="45">
        <f t="shared" si="0"/>
        <v>10026505263</v>
      </c>
      <c r="P8" s="45">
        <f t="shared" si="1"/>
        <v>32000000000</v>
      </c>
      <c r="Q8" s="45">
        <f t="shared" si="4"/>
        <v>21973494737</v>
      </c>
      <c r="R8" s="45">
        <f t="shared" si="2"/>
        <v>0</v>
      </c>
      <c r="S8" s="50">
        <f t="shared" si="3"/>
        <v>21973494737</v>
      </c>
      <c r="T8" s="29"/>
      <c r="U8" s="29"/>
      <c r="V8" s="29">
        <f>S8</f>
        <v>21973494737</v>
      </c>
      <c r="W8" s="29"/>
      <c r="X8" s="29"/>
      <c r="Y8" s="29"/>
      <c r="Z8" s="29"/>
      <c r="AA8" s="34"/>
    </row>
    <row r="9" spans="2:29" ht="46.5" customHeight="1">
      <c r="B9" s="25">
        <v>4</v>
      </c>
      <c r="C9" s="649" t="s">
        <v>502</v>
      </c>
      <c r="D9" s="649"/>
      <c r="E9" s="649"/>
      <c r="F9" s="649"/>
      <c r="G9" s="45">
        <v>0</v>
      </c>
      <c r="H9" s="45">
        <v>2208218421</v>
      </c>
      <c r="I9" s="45">
        <f>15000+222000</f>
        <v>237000</v>
      </c>
      <c r="J9" s="45">
        <v>11600000000</v>
      </c>
      <c r="K9" s="379">
        <f>I9*Inflation!Euro_Inflation_Factor</f>
        <v>357705.01284630637</v>
      </c>
      <c r="L9" s="379">
        <f>J9*Inflation!IRR_Inflation_Factor</f>
        <v>577557085723.60547</v>
      </c>
      <c r="M9" s="379">
        <f>(450527692324*0.554466129702747)/550000</f>
        <v>454186.08343054232</v>
      </c>
      <c r="N9" s="379">
        <f>450527692324*0.445533870297253</f>
        <v>200725346437.20172</v>
      </c>
      <c r="O9" s="45">
        <f t="shared" si="0"/>
        <v>2208218421</v>
      </c>
      <c r="P9" s="45">
        <f t="shared" si="1"/>
        <v>19221920000</v>
      </c>
      <c r="Q9" s="45">
        <f t="shared" si="4"/>
        <v>17013701579</v>
      </c>
      <c r="R9" s="45">
        <f t="shared" si="2"/>
        <v>237000</v>
      </c>
      <c r="S9" s="50">
        <f t="shared" si="3"/>
        <v>9391781579</v>
      </c>
      <c r="T9" s="29"/>
      <c r="U9" s="29"/>
      <c r="V9" s="29">
        <f>0.6*S9</f>
        <v>5635068947.3999996</v>
      </c>
      <c r="W9" s="29"/>
      <c r="X9" s="29"/>
      <c r="Y9" s="29">
        <f>R9</f>
        <v>237000</v>
      </c>
      <c r="Z9" s="29">
        <f>0.4*S9</f>
        <v>3756712631.6000004</v>
      </c>
      <c r="AA9" s="34"/>
    </row>
    <row r="10" spans="2:29" ht="46.5" customHeight="1">
      <c r="B10" s="25">
        <v>5</v>
      </c>
      <c r="C10" s="609" t="s">
        <v>501</v>
      </c>
      <c r="D10" s="609"/>
      <c r="E10" s="609"/>
      <c r="F10" s="609"/>
      <c r="G10" s="45">
        <v>0</v>
      </c>
      <c r="H10" s="45">
        <v>2744457408</v>
      </c>
      <c r="I10" s="45"/>
      <c r="J10" s="45">
        <v>4000000000</v>
      </c>
      <c r="K10" s="376">
        <f>I10*Inflation!Euro_Inflation_Factor</f>
        <v>0</v>
      </c>
      <c r="L10" s="379">
        <f>J10*Inflation!IRR_Inflation_Factor</f>
        <v>199157615766.7605</v>
      </c>
      <c r="M10" s="379">
        <f>(74091374913*0.929198602787513)/550000</f>
        <v>125173.82190502799</v>
      </c>
      <c r="N10" s="379">
        <f>74091374913*0.0708013972124875</f>
        <v>5245772865.2346449</v>
      </c>
      <c r="O10" s="45">
        <f t="shared" si="0"/>
        <v>2744457408</v>
      </c>
      <c r="P10" s="45">
        <f t="shared" si="1"/>
        <v>4000000000</v>
      </c>
      <c r="Q10" s="45">
        <f t="shared" si="4"/>
        <v>1255542592</v>
      </c>
      <c r="R10" s="45">
        <f t="shared" si="2"/>
        <v>0</v>
      </c>
      <c r="S10" s="50">
        <f t="shared" si="3"/>
        <v>1255542592</v>
      </c>
      <c r="T10" s="29"/>
      <c r="U10" s="29"/>
      <c r="V10" s="29">
        <f>S10</f>
        <v>1255542592</v>
      </c>
      <c r="W10" s="29"/>
      <c r="X10" s="29"/>
      <c r="Y10" s="29"/>
      <c r="Z10" s="29"/>
      <c r="AA10" s="34"/>
    </row>
    <row r="11" spans="2:29" ht="46.5" customHeight="1">
      <c r="B11" s="25">
        <v>6</v>
      </c>
      <c r="C11" s="609" t="s">
        <v>85</v>
      </c>
      <c r="D11" s="609"/>
      <c r="E11" s="609"/>
      <c r="F11" s="609"/>
      <c r="G11" s="45">
        <v>0</v>
      </c>
      <c r="H11" s="45">
        <v>3879302632</v>
      </c>
      <c r="I11" s="45">
        <v>60000</v>
      </c>
      <c r="J11" s="45">
        <v>18700000000</v>
      </c>
      <c r="K11" s="379">
        <v>0</v>
      </c>
      <c r="L11" s="379">
        <v>754000000000</v>
      </c>
      <c r="M11" s="379"/>
      <c r="N11" s="379">
        <v>754000000000</v>
      </c>
      <c r="O11" s="45">
        <f t="shared" si="0"/>
        <v>3879302632</v>
      </c>
      <c r="P11" s="45">
        <f t="shared" si="1"/>
        <v>20629600000</v>
      </c>
      <c r="Q11" s="45">
        <f t="shared" si="4"/>
        <v>16750297368</v>
      </c>
      <c r="R11" s="45">
        <f t="shared" si="2"/>
        <v>60000</v>
      </c>
      <c r="S11" s="50">
        <f t="shared" si="3"/>
        <v>14820697368</v>
      </c>
      <c r="T11" s="29"/>
      <c r="U11" s="29"/>
      <c r="V11" s="29">
        <f>0.6*S11</f>
        <v>8892418420.7999992</v>
      </c>
      <c r="W11" s="29">
        <f>R11</f>
        <v>60000</v>
      </c>
      <c r="X11" s="29">
        <f>0.4*S11</f>
        <v>5928278947.2000008</v>
      </c>
      <c r="Y11" s="29"/>
      <c r="Z11" s="29"/>
      <c r="AA11" s="34"/>
    </row>
    <row r="12" spans="2:29" ht="46.5" hidden="1" customHeight="1">
      <c r="B12" s="25">
        <v>7</v>
      </c>
      <c r="C12" s="609" t="s">
        <v>86</v>
      </c>
      <c r="D12" s="609"/>
      <c r="E12" s="609"/>
      <c r="F12" s="609"/>
      <c r="G12" s="399"/>
      <c r="H12" s="45"/>
      <c r="I12" s="45">
        <v>222000</v>
      </c>
      <c r="J12" s="45"/>
      <c r="K12" s="379">
        <f>I12*Inflation!Euro_Inflation_Factor</f>
        <v>335065.45507122373</v>
      </c>
      <c r="L12" s="376">
        <f>J12*Inflation!IRR_Inflation_Factor</f>
        <v>0</v>
      </c>
      <c r="M12" s="379"/>
      <c r="N12" s="379"/>
      <c r="O12" s="45">
        <f t="shared" si="0"/>
        <v>0</v>
      </c>
      <c r="P12" s="45">
        <f t="shared" si="1"/>
        <v>7139520000</v>
      </c>
      <c r="Q12" s="45">
        <f t="shared" si="4"/>
        <v>7139520000</v>
      </c>
      <c r="R12" s="45">
        <f t="shared" si="2"/>
        <v>222000</v>
      </c>
      <c r="S12" s="50">
        <f t="shared" si="3"/>
        <v>0</v>
      </c>
      <c r="T12" s="45">
        <f>R12</f>
        <v>222000</v>
      </c>
      <c r="U12" s="29"/>
      <c r="V12" s="29"/>
      <c r="W12" s="29"/>
      <c r="X12" s="29"/>
      <c r="Y12" s="29"/>
      <c r="Z12" s="29"/>
      <c r="AA12" s="34"/>
      <c r="AC12" s="33"/>
    </row>
    <row r="13" spans="2:29" ht="46.5" hidden="1" customHeight="1">
      <c r="B13" s="25">
        <v>8</v>
      </c>
      <c r="C13" s="609" t="s">
        <v>87</v>
      </c>
      <c r="D13" s="609"/>
      <c r="E13" s="609"/>
      <c r="F13" s="609"/>
      <c r="G13" s="400"/>
      <c r="H13" s="45"/>
      <c r="I13" s="45"/>
      <c r="J13" s="45">
        <v>3000000000</v>
      </c>
      <c r="K13" s="376">
        <f>I13*Inflation!Euro_Inflation_Factor</f>
        <v>0</v>
      </c>
      <c r="L13" s="379">
        <f>J13*Inflation!IRR_Inflation_Factor</f>
        <v>149368211825.07037</v>
      </c>
      <c r="M13" s="379"/>
      <c r="N13" s="379"/>
      <c r="O13" s="45">
        <f t="shared" si="0"/>
        <v>0</v>
      </c>
      <c r="P13" s="45">
        <f t="shared" si="1"/>
        <v>3000000000</v>
      </c>
      <c r="Q13" s="45">
        <f t="shared" si="4"/>
        <v>3000000000</v>
      </c>
      <c r="R13" s="45">
        <f t="shared" si="2"/>
        <v>0</v>
      </c>
      <c r="S13" s="50">
        <f t="shared" si="3"/>
        <v>3000000000</v>
      </c>
      <c r="T13" s="45"/>
      <c r="U13" s="29"/>
      <c r="V13" s="29"/>
      <c r="W13" s="29"/>
      <c r="X13" s="29"/>
      <c r="Y13" s="29"/>
      <c r="Z13" s="29"/>
      <c r="AA13" s="34">
        <f>S13</f>
        <v>3000000000</v>
      </c>
    </row>
    <row r="14" spans="2:29" ht="46.5" hidden="1" customHeight="1">
      <c r="B14" s="25">
        <v>9</v>
      </c>
      <c r="C14" s="609" t="s">
        <v>88</v>
      </c>
      <c r="D14" s="609"/>
      <c r="E14" s="609"/>
      <c r="F14" s="609"/>
      <c r="G14" s="400"/>
      <c r="H14" s="45"/>
      <c r="I14" s="45">
        <v>270000</v>
      </c>
      <c r="J14" s="45">
        <v>5700000000</v>
      </c>
      <c r="K14" s="379">
        <f>I14*Inflation!Euro_Inflation_Factor</f>
        <v>407512.03995148826</v>
      </c>
      <c r="L14" s="379">
        <f>J14*Inflation!IRR_Inflation_Factor</f>
        <v>283799602467.63373</v>
      </c>
      <c r="M14" s="379"/>
      <c r="N14" s="379"/>
      <c r="O14" s="45">
        <f t="shared" si="0"/>
        <v>0</v>
      </c>
      <c r="P14" s="45">
        <f t="shared" si="1"/>
        <v>14383200000</v>
      </c>
      <c r="Q14" s="45">
        <f t="shared" si="4"/>
        <v>14383200000</v>
      </c>
      <c r="R14" s="45">
        <f t="shared" si="2"/>
        <v>270000</v>
      </c>
      <c r="S14" s="50">
        <f t="shared" si="3"/>
        <v>5700000000</v>
      </c>
      <c r="T14" s="45">
        <f>I14</f>
        <v>270000</v>
      </c>
      <c r="U14" s="29"/>
      <c r="V14" s="29"/>
      <c r="W14" s="29"/>
      <c r="X14" s="29"/>
      <c r="Y14" s="29"/>
      <c r="Z14" s="29"/>
      <c r="AA14" s="34">
        <f>S14</f>
        <v>5700000000</v>
      </c>
    </row>
    <row r="15" spans="2:29" ht="46.5" customHeight="1" thickBot="1">
      <c r="B15" s="38"/>
      <c r="C15" s="610" t="s">
        <v>42</v>
      </c>
      <c r="D15" s="610"/>
      <c r="E15" s="610"/>
      <c r="F15" s="610"/>
      <c r="G15" s="51">
        <f t="shared" ref="G15:L15" si="5">SUM(G6:G14)</f>
        <v>0</v>
      </c>
      <c r="H15" s="51">
        <f t="shared" si="5"/>
        <v>28432602619</v>
      </c>
      <c r="I15" s="51">
        <f t="shared" si="5"/>
        <v>939000</v>
      </c>
      <c r="J15" s="51">
        <f t="shared" si="5"/>
        <v>92000000000</v>
      </c>
      <c r="K15" s="377">
        <f t="shared" si="5"/>
        <v>1326678.085619845</v>
      </c>
      <c r="L15" s="377">
        <f t="shared" si="5"/>
        <v>4403563308925.8867</v>
      </c>
      <c r="M15" s="376">
        <f>SUM(M6:M11)</f>
        <v>579359.90533557034</v>
      </c>
      <c r="N15" s="376">
        <f>SUM(N6:N11)</f>
        <v>2425188025377.4365</v>
      </c>
      <c r="O15" s="45">
        <f t="shared" si="0"/>
        <v>28432602619</v>
      </c>
      <c r="P15" s="51">
        <f>SUM(P6:P14)</f>
        <v>122198240000</v>
      </c>
      <c r="Q15" s="51">
        <f t="shared" si="4"/>
        <v>93765637381</v>
      </c>
      <c r="R15" s="51">
        <f t="shared" si="2"/>
        <v>939000</v>
      </c>
      <c r="S15" s="51">
        <f t="shared" si="3"/>
        <v>63567397381</v>
      </c>
      <c r="T15" s="42">
        <f t="shared" ref="T15:AA15" si="6">SUM(T6:T14)</f>
        <v>492000</v>
      </c>
      <c r="U15" s="42">
        <f t="shared" si="6"/>
        <v>0</v>
      </c>
      <c r="V15" s="42">
        <f t="shared" si="6"/>
        <v>44044871328.5</v>
      </c>
      <c r="W15" s="42">
        <f t="shared" si="6"/>
        <v>60000</v>
      </c>
      <c r="X15" s="42">
        <f t="shared" si="6"/>
        <v>5928278947.2000008</v>
      </c>
      <c r="Y15" s="42">
        <f t="shared" si="6"/>
        <v>387000</v>
      </c>
      <c r="Z15" s="42">
        <f t="shared" si="6"/>
        <v>4894247105.3000002</v>
      </c>
      <c r="AA15" s="43">
        <f t="shared" si="6"/>
        <v>8700000000</v>
      </c>
    </row>
    <row r="16" spans="2:29" ht="18.75" thickTop="1">
      <c r="C16" s="608"/>
      <c r="D16" s="608"/>
      <c r="E16" s="608"/>
      <c r="F16" s="608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 spans="4:29" ht="27.75" customHeight="1">
      <c r="T17" s="56"/>
      <c r="U17" s="56"/>
      <c r="V17" s="56"/>
      <c r="W17" s="57"/>
      <c r="X17" s="57"/>
      <c r="Y17" s="56"/>
      <c r="Z17" s="56"/>
      <c r="AA17" s="56"/>
      <c r="AB17" s="56"/>
      <c r="AC17" s="56"/>
    </row>
    <row r="18" spans="4:29" ht="27.75" customHeight="1">
      <c r="T18" s="56"/>
      <c r="U18" s="56"/>
      <c r="V18" s="57"/>
      <c r="W18" s="57"/>
      <c r="X18" s="57"/>
      <c r="Y18" s="56"/>
      <c r="Z18" s="56"/>
      <c r="AA18" s="56"/>
      <c r="AB18" s="56"/>
      <c r="AC18" s="56"/>
    </row>
    <row r="19" spans="4:29" ht="27.75" customHeight="1">
      <c r="T19" s="56"/>
      <c r="U19" s="56"/>
      <c r="V19" s="57"/>
      <c r="W19" s="56"/>
      <c r="X19" s="57"/>
      <c r="Y19" s="56"/>
      <c r="Z19" s="56"/>
      <c r="AA19" s="56"/>
      <c r="AB19" s="56"/>
      <c r="AC19" s="56"/>
    </row>
    <row r="20" spans="4:29" ht="27.75" customHeight="1">
      <c r="O20" s="35"/>
      <c r="P20" s="35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spans="4:29" ht="27.75" customHeight="1"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 spans="4:29" ht="27.75" customHeight="1"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 spans="4:29" ht="27.75" customHeight="1"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4:29" ht="18">
      <c r="P24" s="638" t="s">
        <v>493</v>
      </c>
      <c r="Q24" s="639"/>
      <c r="R24" s="639"/>
      <c r="S24" s="639"/>
      <c r="T24" s="640"/>
      <c r="U24" s="56"/>
    </row>
    <row r="25" spans="4:29" ht="30">
      <c r="D25" s="372"/>
      <c r="E25" s="372"/>
      <c r="F25" s="374"/>
      <c r="G25" s="389" t="s">
        <v>499</v>
      </c>
      <c r="H25" s="389" t="s">
        <v>498</v>
      </c>
      <c r="I25" s="374" t="s">
        <v>495</v>
      </c>
      <c r="J25" s="374" t="s">
        <v>497</v>
      </c>
      <c r="K25" s="374" t="s">
        <v>492</v>
      </c>
      <c r="L25" s="374" t="s">
        <v>498</v>
      </c>
      <c r="M25" s="189"/>
      <c r="N25" s="189"/>
      <c r="P25" s="374" t="s">
        <v>0</v>
      </c>
      <c r="Q25" s="374" t="s">
        <v>483</v>
      </c>
      <c r="R25" s="374" t="s">
        <v>480</v>
      </c>
      <c r="S25" s="374" t="s">
        <v>91</v>
      </c>
      <c r="T25" s="390" t="s">
        <v>484</v>
      </c>
      <c r="U25" s="56"/>
    </row>
    <row r="26" spans="4:29" ht="18">
      <c r="D26" s="394">
        <f>F26-J26</f>
        <v>-1454224681230.8552</v>
      </c>
      <c r="E26" s="374">
        <f>F26/I26</f>
        <v>0.8</v>
      </c>
      <c r="F26" s="392">
        <f>G26*J26+J26</f>
        <v>645073600000</v>
      </c>
      <c r="G26" s="391">
        <f>((0.8*I26-J26)/J26)</f>
        <v>-0.69271941687972893</v>
      </c>
      <c r="H26" s="393">
        <f t="shared" ref="H26:H27" si="7">$J26/$I26</f>
        <v>2.6034837342354176</v>
      </c>
      <c r="I26" s="392">
        <f>S26</f>
        <v>806342000000</v>
      </c>
      <c r="J26" s="392">
        <f>(L14+L6+((K14+K6)*Inflation!G3))</f>
        <v>2099298281230.8552</v>
      </c>
      <c r="K26" s="393">
        <f>L26*1.0265</f>
        <v>2.6724760531926561</v>
      </c>
      <c r="L26" s="393">
        <f>(L14+L6+((K14+K6)*Inflation!G3))/S26</f>
        <v>2.6034837342354176</v>
      </c>
      <c r="M26" s="395"/>
      <c r="N26" s="395"/>
      <c r="P26" s="374">
        <v>1</v>
      </c>
      <c r="Q26" s="378" t="s">
        <v>485</v>
      </c>
      <c r="R26" s="372">
        <v>0</v>
      </c>
      <c r="S26" s="373">
        <v>806342000000</v>
      </c>
      <c r="T26" s="401">
        <v>0</v>
      </c>
      <c r="U26" s="56"/>
    </row>
    <row r="27" spans="4:29" ht="45">
      <c r="D27" s="394">
        <f t="shared" ref="D27:D31" si="8">F27-J27</f>
        <v>-54736239355.760071</v>
      </c>
      <c r="E27" s="374">
        <f>F27/I27</f>
        <v>0.8</v>
      </c>
      <c r="F27" s="392">
        <f t="shared" ref="F27:F31" si="9">G27*J27+J27</f>
        <v>244000184294.38068</v>
      </c>
      <c r="G27" s="391">
        <f t="shared" ref="G27:G31" si="10">((0.8*I27-J27)/J27)</f>
        <v>-0.18322586408098443</v>
      </c>
      <c r="H27" s="393">
        <f t="shared" si="7"/>
        <v>0.9794629443057209</v>
      </c>
      <c r="I27" s="392">
        <f>S27</f>
        <v>305000230367.97583</v>
      </c>
      <c r="J27" s="392">
        <f>L7</f>
        <v>298736423650.14075</v>
      </c>
      <c r="K27" s="393">
        <f>L27*2.2</f>
        <v>2.154818477472586</v>
      </c>
      <c r="L27" s="393">
        <f>L7/S27</f>
        <v>0.9794629443057209</v>
      </c>
      <c r="M27" s="395"/>
      <c r="N27" s="395"/>
      <c r="P27" s="374">
        <v>2</v>
      </c>
      <c r="Q27" s="378" t="s">
        <v>486</v>
      </c>
      <c r="R27" s="372">
        <v>0</v>
      </c>
      <c r="S27" s="373">
        <v>305000230367.97583</v>
      </c>
      <c r="T27" s="401">
        <v>0</v>
      </c>
      <c r="U27" s="56"/>
    </row>
    <row r="28" spans="4:29" ht="23.25" customHeight="1">
      <c r="D28" s="394"/>
      <c r="E28" s="374"/>
      <c r="F28" s="392"/>
      <c r="G28" s="391"/>
      <c r="H28" s="393">
        <f>$J28/$I28</f>
        <v>2.5385320692378763</v>
      </c>
      <c r="I28" s="392">
        <f>S28</f>
        <v>627630805000</v>
      </c>
      <c r="J28" s="392">
        <f>L8</f>
        <v>1593260926134.084</v>
      </c>
      <c r="K28" s="393"/>
      <c r="L28" s="393">
        <f>L8/S28</f>
        <v>2.5385320692378763</v>
      </c>
      <c r="M28" s="395"/>
      <c r="N28" s="395"/>
      <c r="P28" s="374">
        <v>3</v>
      </c>
      <c r="Q28" s="378" t="s">
        <v>84</v>
      </c>
      <c r="R28" s="372">
        <v>0</v>
      </c>
      <c r="S28" s="373">
        <v>627630805000</v>
      </c>
      <c r="T28" s="402"/>
    </row>
    <row r="29" spans="4:29" ht="30">
      <c r="D29" s="394">
        <f t="shared" si="8"/>
        <v>432988423634.79272</v>
      </c>
      <c r="E29" s="374">
        <f t="shared" ref="E29:E31" si="11">F29/I29</f>
        <v>0.79999999999999993</v>
      </c>
      <c r="F29" s="392">
        <f>G29*J29+J29</f>
        <v>2545454657018.5288</v>
      </c>
      <c r="G29" s="391">
        <f t="shared" si="10"/>
        <v>0.20496821051725611</v>
      </c>
      <c r="H29" s="393">
        <f>$J29/$I29</f>
        <v>0.66391792996479493</v>
      </c>
      <c r="I29" s="392">
        <f>(S29+T29*Inflation!G3)</f>
        <v>3181818321273.1611</v>
      </c>
      <c r="J29" s="392">
        <f>(L9+(K9*Inflation!G3)+L13+(K12*Inflation!G3))</f>
        <v>2112466233383.7361</v>
      </c>
      <c r="K29" s="393">
        <f>L29*2.3</f>
        <v>1.5270112389190282</v>
      </c>
      <c r="L29" s="393">
        <f>(L9+(K9*Inflation!G3)+L13+(K12*Inflation!G3))/(S29+T29*Inflation!G3)</f>
        <v>0.66391792996479493</v>
      </c>
      <c r="M29" s="395"/>
      <c r="N29" s="395"/>
      <c r="P29" s="374">
        <v>4</v>
      </c>
      <c r="Q29" s="378" t="s">
        <v>487</v>
      </c>
      <c r="R29" s="372">
        <v>0</v>
      </c>
      <c r="S29" s="373">
        <v>575848000000</v>
      </c>
      <c r="T29" s="402">
        <v>1302985.1606365805</v>
      </c>
      <c r="X29" s="403"/>
    </row>
    <row r="30" spans="4:29" ht="30">
      <c r="D30" s="394">
        <f t="shared" si="8"/>
        <v>96333033943.63446</v>
      </c>
      <c r="E30" s="374">
        <f t="shared" si="11"/>
        <v>0.8</v>
      </c>
      <c r="F30" s="392">
        <f t="shared" si="9"/>
        <v>295490649710.39496</v>
      </c>
      <c r="G30" s="391">
        <f t="shared" si="10"/>
        <v>0.48370248645903147</v>
      </c>
      <c r="H30" s="393">
        <f t="shared" ref="H30:H31" si="12">$J30/$I30</f>
        <v>0.53919165553820747</v>
      </c>
      <c r="I30" s="392">
        <f>(S30+(T30*Inflation!G3))</f>
        <v>369363312137.99365</v>
      </c>
      <c r="J30" s="392">
        <f>L10</f>
        <v>199157615766.7605</v>
      </c>
      <c r="K30" s="393">
        <f>L30*1.16</f>
        <v>0.62546232042432059</v>
      </c>
      <c r="L30" s="393">
        <f>L10/(S30+(T30*Inflation!G3))</f>
        <v>0.53919165553820747</v>
      </c>
      <c r="M30" s="395"/>
      <c r="N30" s="395"/>
      <c r="P30" s="374">
        <v>5</v>
      </c>
      <c r="Q30" s="378" t="s">
        <v>491</v>
      </c>
      <c r="R30" s="372">
        <v>0</v>
      </c>
      <c r="S30" s="373">
        <v>7580774440.2440157</v>
      </c>
      <c r="T30" s="402">
        <v>180891.26884887481</v>
      </c>
    </row>
    <row r="31" spans="4:29" ht="30">
      <c r="D31" s="658">
        <f t="shared" si="8"/>
        <v>-192325158989.58655</v>
      </c>
      <c r="E31" s="657">
        <f t="shared" si="11"/>
        <v>0.80000000000000016</v>
      </c>
      <c r="F31" s="655">
        <f t="shared" si="9"/>
        <v>561674841010.41345</v>
      </c>
      <c r="G31" s="645">
        <f t="shared" si="10"/>
        <v>-0.25507315515860285</v>
      </c>
      <c r="H31" s="641">
        <f t="shared" si="12"/>
        <v>1.0739309578383212</v>
      </c>
      <c r="I31" s="644">
        <f>(S31+S32)</f>
        <v>702093551263.01672</v>
      </c>
      <c r="J31" s="643">
        <f>(L11+K11*Inflation!G3)</f>
        <v>754000000000</v>
      </c>
      <c r="K31" s="635">
        <f>L31*1.44</f>
        <v>1.5464605792871824</v>
      </c>
      <c r="L31" s="641">
        <f>(L11+K11*Inflation!G3)/(S31+S32)</f>
        <v>1.0739309578383212</v>
      </c>
      <c r="M31" s="395"/>
      <c r="N31" s="395"/>
      <c r="P31" s="374">
        <v>6</v>
      </c>
      <c r="Q31" s="378" t="s">
        <v>488</v>
      </c>
      <c r="R31" s="372">
        <v>0</v>
      </c>
      <c r="S31" s="373">
        <v>169113558765.48572</v>
      </c>
      <c r="T31" s="402"/>
    </row>
    <row r="32" spans="4:29" ht="30">
      <c r="D32" s="658"/>
      <c r="E32" s="657"/>
      <c r="F32" s="656"/>
      <c r="G32" s="646"/>
      <c r="H32" s="642"/>
      <c r="I32" s="644"/>
      <c r="J32" s="643"/>
      <c r="K32" s="635"/>
      <c r="L32" s="642"/>
      <c r="M32" s="395"/>
      <c r="N32" s="395"/>
      <c r="P32" s="374">
        <v>7</v>
      </c>
      <c r="Q32" s="378" t="s">
        <v>489</v>
      </c>
      <c r="R32" s="372">
        <v>0</v>
      </c>
      <c r="S32" s="373">
        <v>532979992497.53101</v>
      </c>
      <c r="T32" s="402"/>
    </row>
    <row r="33" spans="14:21">
      <c r="P33" s="372"/>
      <c r="Q33" s="378" t="s">
        <v>490</v>
      </c>
      <c r="R33" s="372">
        <v>0</v>
      </c>
      <c r="S33" s="381">
        <v>3024495361071.2363</v>
      </c>
      <c r="T33" s="382">
        <v>1483876.4294854554</v>
      </c>
      <c r="U33" s="382" t="s">
        <v>495</v>
      </c>
    </row>
    <row r="34" spans="14:21">
      <c r="S34" s="380">
        <f>L15</f>
        <v>4403563308925.8867</v>
      </c>
      <c r="T34" s="380">
        <f>K15</f>
        <v>1326678.085619845</v>
      </c>
      <c r="U34" s="380" t="s">
        <v>494</v>
      </c>
    </row>
    <row r="35" spans="14:21" ht="22.5" customHeight="1">
      <c r="N35" s="396"/>
    </row>
    <row r="36" spans="14:21" ht="18">
      <c r="N36" s="397"/>
      <c r="S36" s="634">
        <f>T36/T37</f>
        <v>1.1776747592935897</v>
      </c>
      <c r="T36" s="380">
        <f>S34+T34*Inflation!G3</f>
        <v>7056919480165.5762</v>
      </c>
      <c r="U36" s="387" t="s">
        <v>496</v>
      </c>
    </row>
    <row r="37" spans="14:21" ht="18">
      <c r="N37" s="56"/>
      <c r="S37" s="634"/>
      <c r="T37" s="383">
        <f>S33+T33*Inflation!G3</f>
        <v>5992248220042.1465</v>
      </c>
    </row>
    <row r="38" spans="14:21" ht="18">
      <c r="N38" s="56"/>
    </row>
  </sheetData>
  <mergeCells count="42">
    <mergeCell ref="F31:F32"/>
    <mergeCell ref="E31:E32"/>
    <mergeCell ref="D31:D32"/>
    <mergeCell ref="B2:AA3"/>
    <mergeCell ref="B4:B5"/>
    <mergeCell ref="C4:F5"/>
    <mergeCell ref="G4:H4"/>
    <mergeCell ref="I4:J4"/>
    <mergeCell ref="O4:O5"/>
    <mergeCell ref="P4:P5"/>
    <mergeCell ref="Q4:Q5"/>
    <mergeCell ref="R4:R5"/>
    <mergeCell ref="S4:S5"/>
    <mergeCell ref="Z4:Z5"/>
    <mergeCell ref="AA4:AA5"/>
    <mergeCell ref="X4:X5"/>
    <mergeCell ref="Y4:Y5"/>
    <mergeCell ref="C9:F9"/>
    <mergeCell ref="T4:T5"/>
    <mergeCell ref="U4:U5"/>
    <mergeCell ref="V4:V5"/>
    <mergeCell ref="W4:W5"/>
    <mergeCell ref="C6:F6"/>
    <mergeCell ref="C7:F7"/>
    <mergeCell ref="C8:F8"/>
    <mergeCell ref="K4:L4"/>
    <mergeCell ref="S36:S37"/>
    <mergeCell ref="K31:K32"/>
    <mergeCell ref="M4:N4"/>
    <mergeCell ref="P24:T24"/>
    <mergeCell ref="C15:F15"/>
    <mergeCell ref="C16:F16"/>
    <mergeCell ref="L31:L32"/>
    <mergeCell ref="H31:H32"/>
    <mergeCell ref="J31:J32"/>
    <mergeCell ref="I31:I32"/>
    <mergeCell ref="C10:F10"/>
    <mergeCell ref="C11:F11"/>
    <mergeCell ref="C12:F12"/>
    <mergeCell ref="C13:F13"/>
    <mergeCell ref="C14:F14"/>
    <mergeCell ref="G31:G32"/>
  </mergeCells>
  <pageMargins left="0.1" right="0.11" top="0.28000000000000003" bottom="0.27" header="0.15" footer="0.08"/>
  <pageSetup paperSize="9" scale="85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rightToLeft="1" topLeftCell="D1" zoomScale="110" zoomScaleNormal="110" workbookViewId="0">
      <selection activeCell="G5" sqref="G5"/>
    </sheetView>
  </sheetViews>
  <sheetFormatPr defaultRowHeight="57" customHeight="1"/>
  <cols>
    <col min="1" max="1" width="4.7109375" style="63" customWidth="1"/>
    <col min="2" max="2" width="51.85546875" style="63" customWidth="1"/>
    <col min="3" max="3" width="14" style="63" customWidth="1"/>
    <col min="4" max="4" width="16.140625" style="63" bestFit="1" customWidth="1"/>
    <col min="5" max="5" width="13.42578125" style="63" customWidth="1"/>
    <col min="6" max="6" width="17.85546875" style="63" bestFit="1" customWidth="1"/>
    <col min="7" max="7" width="11.28515625" style="63" customWidth="1"/>
    <col min="8" max="8" width="34.7109375" style="63" customWidth="1"/>
    <col min="9" max="9" width="13.5703125" style="63" customWidth="1"/>
    <col min="10" max="256" width="9" style="63"/>
    <col min="257" max="257" width="4.7109375" style="63" customWidth="1"/>
    <col min="258" max="258" width="27.85546875" style="63" customWidth="1"/>
    <col min="259" max="259" width="14" style="63" customWidth="1"/>
    <col min="260" max="260" width="14.5703125" style="63" customWidth="1"/>
    <col min="261" max="262" width="13.42578125" style="63" customWidth="1"/>
    <col min="263" max="263" width="5.5703125" style="63" customWidth="1"/>
    <col min="264" max="264" width="36.5703125" style="63" customWidth="1"/>
    <col min="265" max="512" width="9" style="63"/>
    <col min="513" max="513" width="4.7109375" style="63" customWidth="1"/>
    <col min="514" max="514" width="27.85546875" style="63" customWidth="1"/>
    <col min="515" max="515" width="14" style="63" customWidth="1"/>
    <col min="516" max="516" width="14.5703125" style="63" customWidth="1"/>
    <col min="517" max="518" width="13.42578125" style="63" customWidth="1"/>
    <col min="519" max="519" width="5.5703125" style="63" customWidth="1"/>
    <col min="520" max="520" width="36.5703125" style="63" customWidth="1"/>
    <col min="521" max="768" width="9" style="63"/>
    <col min="769" max="769" width="4.7109375" style="63" customWidth="1"/>
    <col min="770" max="770" width="27.85546875" style="63" customWidth="1"/>
    <col min="771" max="771" width="14" style="63" customWidth="1"/>
    <col min="772" max="772" width="14.5703125" style="63" customWidth="1"/>
    <col min="773" max="774" width="13.42578125" style="63" customWidth="1"/>
    <col min="775" max="775" width="5.5703125" style="63" customWidth="1"/>
    <col min="776" max="776" width="36.5703125" style="63" customWidth="1"/>
    <col min="777" max="1024" width="9" style="63"/>
    <col min="1025" max="1025" width="4.7109375" style="63" customWidth="1"/>
    <col min="1026" max="1026" width="27.85546875" style="63" customWidth="1"/>
    <col min="1027" max="1027" width="14" style="63" customWidth="1"/>
    <col min="1028" max="1028" width="14.5703125" style="63" customWidth="1"/>
    <col min="1029" max="1030" width="13.42578125" style="63" customWidth="1"/>
    <col min="1031" max="1031" width="5.5703125" style="63" customWidth="1"/>
    <col min="1032" max="1032" width="36.5703125" style="63" customWidth="1"/>
    <col min="1033" max="1280" width="9" style="63"/>
    <col min="1281" max="1281" width="4.7109375" style="63" customWidth="1"/>
    <col min="1282" max="1282" width="27.85546875" style="63" customWidth="1"/>
    <col min="1283" max="1283" width="14" style="63" customWidth="1"/>
    <col min="1284" max="1284" width="14.5703125" style="63" customWidth="1"/>
    <col min="1285" max="1286" width="13.42578125" style="63" customWidth="1"/>
    <col min="1287" max="1287" width="5.5703125" style="63" customWidth="1"/>
    <col min="1288" max="1288" width="36.5703125" style="63" customWidth="1"/>
    <col min="1289" max="1536" width="9" style="63"/>
    <col min="1537" max="1537" width="4.7109375" style="63" customWidth="1"/>
    <col min="1538" max="1538" width="27.85546875" style="63" customWidth="1"/>
    <col min="1539" max="1539" width="14" style="63" customWidth="1"/>
    <col min="1540" max="1540" width="14.5703125" style="63" customWidth="1"/>
    <col min="1541" max="1542" width="13.42578125" style="63" customWidth="1"/>
    <col min="1543" max="1543" width="5.5703125" style="63" customWidth="1"/>
    <col min="1544" max="1544" width="36.5703125" style="63" customWidth="1"/>
    <col min="1545" max="1792" width="9" style="63"/>
    <col min="1793" max="1793" width="4.7109375" style="63" customWidth="1"/>
    <col min="1794" max="1794" width="27.85546875" style="63" customWidth="1"/>
    <col min="1795" max="1795" width="14" style="63" customWidth="1"/>
    <col min="1796" max="1796" width="14.5703125" style="63" customWidth="1"/>
    <col min="1797" max="1798" width="13.42578125" style="63" customWidth="1"/>
    <col min="1799" max="1799" width="5.5703125" style="63" customWidth="1"/>
    <col min="1800" max="1800" width="36.5703125" style="63" customWidth="1"/>
    <col min="1801" max="2048" width="9" style="63"/>
    <col min="2049" max="2049" width="4.7109375" style="63" customWidth="1"/>
    <col min="2050" max="2050" width="27.85546875" style="63" customWidth="1"/>
    <col min="2051" max="2051" width="14" style="63" customWidth="1"/>
    <col min="2052" max="2052" width="14.5703125" style="63" customWidth="1"/>
    <col min="2053" max="2054" width="13.42578125" style="63" customWidth="1"/>
    <col min="2055" max="2055" width="5.5703125" style="63" customWidth="1"/>
    <col min="2056" max="2056" width="36.5703125" style="63" customWidth="1"/>
    <col min="2057" max="2304" width="9" style="63"/>
    <col min="2305" max="2305" width="4.7109375" style="63" customWidth="1"/>
    <col min="2306" max="2306" width="27.85546875" style="63" customWidth="1"/>
    <col min="2307" max="2307" width="14" style="63" customWidth="1"/>
    <col min="2308" max="2308" width="14.5703125" style="63" customWidth="1"/>
    <col min="2309" max="2310" width="13.42578125" style="63" customWidth="1"/>
    <col min="2311" max="2311" width="5.5703125" style="63" customWidth="1"/>
    <col min="2312" max="2312" width="36.5703125" style="63" customWidth="1"/>
    <col min="2313" max="2560" width="9" style="63"/>
    <col min="2561" max="2561" width="4.7109375" style="63" customWidth="1"/>
    <col min="2562" max="2562" width="27.85546875" style="63" customWidth="1"/>
    <col min="2563" max="2563" width="14" style="63" customWidth="1"/>
    <col min="2564" max="2564" width="14.5703125" style="63" customWidth="1"/>
    <col min="2565" max="2566" width="13.42578125" style="63" customWidth="1"/>
    <col min="2567" max="2567" width="5.5703125" style="63" customWidth="1"/>
    <col min="2568" max="2568" width="36.5703125" style="63" customWidth="1"/>
    <col min="2569" max="2816" width="9" style="63"/>
    <col min="2817" max="2817" width="4.7109375" style="63" customWidth="1"/>
    <col min="2818" max="2818" width="27.85546875" style="63" customWidth="1"/>
    <col min="2819" max="2819" width="14" style="63" customWidth="1"/>
    <col min="2820" max="2820" width="14.5703125" style="63" customWidth="1"/>
    <col min="2821" max="2822" width="13.42578125" style="63" customWidth="1"/>
    <col min="2823" max="2823" width="5.5703125" style="63" customWidth="1"/>
    <col min="2824" max="2824" width="36.5703125" style="63" customWidth="1"/>
    <col min="2825" max="3072" width="9" style="63"/>
    <col min="3073" max="3073" width="4.7109375" style="63" customWidth="1"/>
    <col min="3074" max="3074" width="27.85546875" style="63" customWidth="1"/>
    <col min="3075" max="3075" width="14" style="63" customWidth="1"/>
    <col min="3076" max="3076" width="14.5703125" style="63" customWidth="1"/>
    <col min="3077" max="3078" width="13.42578125" style="63" customWidth="1"/>
    <col min="3079" max="3079" width="5.5703125" style="63" customWidth="1"/>
    <col min="3080" max="3080" width="36.5703125" style="63" customWidth="1"/>
    <col min="3081" max="3328" width="9" style="63"/>
    <col min="3329" max="3329" width="4.7109375" style="63" customWidth="1"/>
    <col min="3330" max="3330" width="27.85546875" style="63" customWidth="1"/>
    <col min="3331" max="3331" width="14" style="63" customWidth="1"/>
    <col min="3332" max="3332" width="14.5703125" style="63" customWidth="1"/>
    <col min="3333" max="3334" width="13.42578125" style="63" customWidth="1"/>
    <col min="3335" max="3335" width="5.5703125" style="63" customWidth="1"/>
    <col min="3336" max="3336" width="36.5703125" style="63" customWidth="1"/>
    <col min="3337" max="3584" width="9" style="63"/>
    <col min="3585" max="3585" width="4.7109375" style="63" customWidth="1"/>
    <col min="3586" max="3586" width="27.85546875" style="63" customWidth="1"/>
    <col min="3587" max="3587" width="14" style="63" customWidth="1"/>
    <col min="3588" max="3588" width="14.5703125" style="63" customWidth="1"/>
    <col min="3589" max="3590" width="13.42578125" style="63" customWidth="1"/>
    <col min="3591" max="3591" width="5.5703125" style="63" customWidth="1"/>
    <col min="3592" max="3592" width="36.5703125" style="63" customWidth="1"/>
    <col min="3593" max="3840" width="9" style="63"/>
    <col min="3841" max="3841" width="4.7109375" style="63" customWidth="1"/>
    <col min="3842" max="3842" width="27.85546875" style="63" customWidth="1"/>
    <col min="3843" max="3843" width="14" style="63" customWidth="1"/>
    <col min="3844" max="3844" width="14.5703125" style="63" customWidth="1"/>
    <col min="3845" max="3846" width="13.42578125" style="63" customWidth="1"/>
    <col min="3847" max="3847" width="5.5703125" style="63" customWidth="1"/>
    <col min="3848" max="3848" width="36.5703125" style="63" customWidth="1"/>
    <col min="3849" max="4096" width="9" style="63"/>
    <col min="4097" max="4097" width="4.7109375" style="63" customWidth="1"/>
    <col min="4098" max="4098" width="27.85546875" style="63" customWidth="1"/>
    <col min="4099" max="4099" width="14" style="63" customWidth="1"/>
    <col min="4100" max="4100" width="14.5703125" style="63" customWidth="1"/>
    <col min="4101" max="4102" width="13.42578125" style="63" customWidth="1"/>
    <col min="4103" max="4103" width="5.5703125" style="63" customWidth="1"/>
    <col min="4104" max="4104" width="36.5703125" style="63" customWidth="1"/>
    <col min="4105" max="4352" width="9" style="63"/>
    <col min="4353" max="4353" width="4.7109375" style="63" customWidth="1"/>
    <col min="4354" max="4354" width="27.85546875" style="63" customWidth="1"/>
    <col min="4355" max="4355" width="14" style="63" customWidth="1"/>
    <col min="4356" max="4356" width="14.5703125" style="63" customWidth="1"/>
    <col min="4357" max="4358" width="13.42578125" style="63" customWidth="1"/>
    <col min="4359" max="4359" width="5.5703125" style="63" customWidth="1"/>
    <col min="4360" max="4360" width="36.5703125" style="63" customWidth="1"/>
    <col min="4361" max="4608" width="9" style="63"/>
    <col min="4609" max="4609" width="4.7109375" style="63" customWidth="1"/>
    <col min="4610" max="4610" width="27.85546875" style="63" customWidth="1"/>
    <col min="4611" max="4611" width="14" style="63" customWidth="1"/>
    <col min="4612" max="4612" width="14.5703125" style="63" customWidth="1"/>
    <col min="4613" max="4614" width="13.42578125" style="63" customWidth="1"/>
    <col min="4615" max="4615" width="5.5703125" style="63" customWidth="1"/>
    <col min="4616" max="4616" width="36.5703125" style="63" customWidth="1"/>
    <col min="4617" max="4864" width="9" style="63"/>
    <col min="4865" max="4865" width="4.7109375" style="63" customWidth="1"/>
    <col min="4866" max="4866" width="27.85546875" style="63" customWidth="1"/>
    <col min="4867" max="4867" width="14" style="63" customWidth="1"/>
    <col min="4868" max="4868" width="14.5703125" style="63" customWidth="1"/>
    <col min="4869" max="4870" width="13.42578125" style="63" customWidth="1"/>
    <col min="4871" max="4871" width="5.5703125" style="63" customWidth="1"/>
    <col min="4872" max="4872" width="36.5703125" style="63" customWidth="1"/>
    <col min="4873" max="5120" width="9" style="63"/>
    <col min="5121" max="5121" width="4.7109375" style="63" customWidth="1"/>
    <col min="5122" max="5122" width="27.85546875" style="63" customWidth="1"/>
    <col min="5123" max="5123" width="14" style="63" customWidth="1"/>
    <col min="5124" max="5124" width="14.5703125" style="63" customWidth="1"/>
    <col min="5125" max="5126" width="13.42578125" style="63" customWidth="1"/>
    <col min="5127" max="5127" width="5.5703125" style="63" customWidth="1"/>
    <col min="5128" max="5128" width="36.5703125" style="63" customWidth="1"/>
    <col min="5129" max="5376" width="9" style="63"/>
    <col min="5377" max="5377" width="4.7109375" style="63" customWidth="1"/>
    <col min="5378" max="5378" width="27.85546875" style="63" customWidth="1"/>
    <col min="5379" max="5379" width="14" style="63" customWidth="1"/>
    <col min="5380" max="5380" width="14.5703125" style="63" customWidth="1"/>
    <col min="5381" max="5382" width="13.42578125" style="63" customWidth="1"/>
    <col min="5383" max="5383" width="5.5703125" style="63" customWidth="1"/>
    <col min="5384" max="5384" width="36.5703125" style="63" customWidth="1"/>
    <col min="5385" max="5632" width="9" style="63"/>
    <col min="5633" max="5633" width="4.7109375" style="63" customWidth="1"/>
    <col min="5634" max="5634" width="27.85546875" style="63" customWidth="1"/>
    <col min="5635" max="5635" width="14" style="63" customWidth="1"/>
    <col min="5636" max="5636" width="14.5703125" style="63" customWidth="1"/>
    <col min="5637" max="5638" width="13.42578125" style="63" customWidth="1"/>
    <col min="5639" max="5639" width="5.5703125" style="63" customWidth="1"/>
    <col min="5640" max="5640" width="36.5703125" style="63" customWidth="1"/>
    <col min="5641" max="5888" width="9" style="63"/>
    <col min="5889" max="5889" width="4.7109375" style="63" customWidth="1"/>
    <col min="5890" max="5890" width="27.85546875" style="63" customWidth="1"/>
    <col min="5891" max="5891" width="14" style="63" customWidth="1"/>
    <col min="5892" max="5892" width="14.5703125" style="63" customWidth="1"/>
    <col min="5893" max="5894" width="13.42578125" style="63" customWidth="1"/>
    <col min="5895" max="5895" width="5.5703125" style="63" customWidth="1"/>
    <col min="5896" max="5896" width="36.5703125" style="63" customWidth="1"/>
    <col min="5897" max="6144" width="9" style="63"/>
    <col min="6145" max="6145" width="4.7109375" style="63" customWidth="1"/>
    <col min="6146" max="6146" width="27.85546875" style="63" customWidth="1"/>
    <col min="6147" max="6147" width="14" style="63" customWidth="1"/>
    <col min="6148" max="6148" width="14.5703125" style="63" customWidth="1"/>
    <col min="6149" max="6150" width="13.42578125" style="63" customWidth="1"/>
    <col min="6151" max="6151" width="5.5703125" style="63" customWidth="1"/>
    <col min="6152" max="6152" width="36.5703125" style="63" customWidth="1"/>
    <col min="6153" max="6400" width="9" style="63"/>
    <col min="6401" max="6401" width="4.7109375" style="63" customWidth="1"/>
    <col min="6402" max="6402" width="27.85546875" style="63" customWidth="1"/>
    <col min="6403" max="6403" width="14" style="63" customWidth="1"/>
    <col min="6404" max="6404" width="14.5703125" style="63" customWidth="1"/>
    <col min="6405" max="6406" width="13.42578125" style="63" customWidth="1"/>
    <col min="6407" max="6407" width="5.5703125" style="63" customWidth="1"/>
    <col min="6408" max="6408" width="36.5703125" style="63" customWidth="1"/>
    <col min="6409" max="6656" width="9" style="63"/>
    <col min="6657" max="6657" width="4.7109375" style="63" customWidth="1"/>
    <col min="6658" max="6658" width="27.85546875" style="63" customWidth="1"/>
    <col min="6659" max="6659" width="14" style="63" customWidth="1"/>
    <col min="6660" max="6660" width="14.5703125" style="63" customWidth="1"/>
    <col min="6661" max="6662" width="13.42578125" style="63" customWidth="1"/>
    <col min="6663" max="6663" width="5.5703125" style="63" customWidth="1"/>
    <col min="6664" max="6664" width="36.5703125" style="63" customWidth="1"/>
    <col min="6665" max="6912" width="9" style="63"/>
    <col min="6913" max="6913" width="4.7109375" style="63" customWidth="1"/>
    <col min="6914" max="6914" width="27.85546875" style="63" customWidth="1"/>
    <col min="6915" max="6915" width="14" style="63" customWidth="1"/>
    <col min="6916" max="6916" width="14.5703125" style="63" customWidth="1"/>
    <col min="6917" max="6918" width="13.42578125" style="63" customWidth="1"/>
    <col min="6919" max="6919" width="5.5703125" style="63" customWidth="1"/>
    <col min="6920" max="6920" width="36.5703125" style="63" customWidth="1"/>
    <col min="6921" max="7168" width="9" style="63"/>
    <col min="7169" max="7169" width="4.7109375" style="63" customWidth="1"/>
    <col min="7170" max="7170" width="27.85546875" style="63" customWidth="1"/>
    <col min="7171" max="7171" width="14" style="63" customWidth="1"/>
    <col min="7172" max="7172" width="14.5703125" style="63" customWidth="1"/>
    <col min="7173" max="7174" width="13.42578125" style="63" customWidth="1"/>
    <col min="7175" max="7175" width="5.5703125" style="63" customWidth="1"/>
    <col min="7176" max="7176" width="36.5703125" style="63" customWidth="1"/>
    <col min="7177" max="7424" width="9" style="63"/>
    <col min="7425" max="7425" width="4.7109375" style="63" customWidth="1"/>
    <col min="7426" max="7426" width="27.85546875" style="63" customWidth="1"/>
    <col min="7427" max="7427" width="14" style="63" customWidth="1"/>
    <col min="7428" max="7428" width="14.5703125" style="63" customWidth="1"/>
    <col min="7429" max="7430" width="13.42578125" style="63" customWidth="1"/>
    <col min="7431" max="7431" width="5.5703125" style="63" customWidth="1"/>
    <col min="7432" max="7432" width="36.5703125" style="63" customWidth="1"/>
    <col min="7433" max="7680" width="9" style="63"/>
    <col min="7681" max="7681" width="4.7109375" style="63" customWidth="1"/>
    <col min="7682" max="7682" width="27.85546875" style="63" customWidth="1"/>
    <col min="7683" max="7683" width="14" style="63" customWidth="1"/>
    <col min="7684" max="7684" width="14.5703125" style="63" customWidth="1"/>
    <col min="7685" max="7686" width="13.42578125" style="63" customWidth="1"/>
    <col min="7687" max="7687" width="5.5703125" style="63" customWidth="1"/>
    <col min="7688" max="7688" width="36.5703125" style="63" customWidth="1"/>
    <col min="7689" max="7936" width="9" style="63"/>
    <col min="7937" max="7937" width="4.7109375" style="63" customWidth="1"/>
    <col min="7938" max="7938" width="27.85546875" style="63" customWidth="1"/>
    <col min="7939" max="7939" width="14" style="63" customWidth="1"/>
    <col min="7940" max="7940" width="14.5703125" style="63" customWidth="1"/>
    <col min="7941" max="7942" width="13.42578125" style="63" customWidth="1"/>
    <col min="7943" max="7943" width="5.5703125" style="63" customWidth="1"/>
    <col min="7944" max="7944" width="36.5703125" style="63" customWidth="1"/>
    <col min="7945" max="8192" width="9" style="63"/>
    <col min="8193" max="8193" width="4.7109375" style="63" customWidth="1"/>
    <col min="8194" max="8194" width="27.85546875" style="63" customWidth="1"/>
    <col min="8195" max="8195" width="14" style="63" customWidth="1"/>
    <col min="8196" max="8196" width="14.5703125" style="63" customWidth="1"/>
    <col min="8197" max="8198" width="13.42578125" style="63" customWidth="1"/>
    <col min="8199" max="8199" width="5.5703125" style="63" customWidth="1"/>
    <col min="8200" max="8200" width="36.5703125" style="63" customWidth="1"/>
    <col min="8201" max="8448" width="9" style="63"/>
    <col min="8449" max="8449" width="4.7109375" style="63" customWidth="1"/>
    <col min="8450" max="8450" width="27.85546875" style="63" customWidth="1"/>
    <col min="8451" max="8451" width="14" style="63" customWidth="1"/>
    <col min="8452" max="8452" width="14.5703125" style="63" customWidth="1"/>
    <col min="8453" max="8454" width="13.42578125" style="63" customWidth="1"/>
    <col min="8455" max="8455" width="5.5703125" style="63" customWidth="1"/>
    <col min="8456" max="8456" width="36.5703125" style="63" customWidth="1"/>
    <col min="8457" max="8704" width="9" style="63"/>
    <col min="8705" max="8705" width="4.7109375" style="63" customWidth="1"/>
    <col min="8706" max="8706" width="27.85546875" style="63" customWidth="1"/>
    <col min="8707" max="8707" width="14" style="63" customWidth="1"/>
    <col min="8708" max="8708" width="14.5703125" style="63" customWidth="1"/>
    <col min="8709" max="8710" width="13.42578125" style="63" customWidth="1"/>
    <col min="8711" max="8711" width="5.5703125" style="63" customWidth="1"/>
    <col min="8712" max="8712" width="36.5703125" style="63" customWidth="1"/>
    <col min="8713" max="8960" width="9" style="63"/>
    <col min="8961" max="8961" width="4.7109375" style="63" customWidth="1"/>
    <col min="8962" max="8962" width="27.85546875" style="63" customWidth="1"/>
    <col min="8963" max="8963" width="14" style="63" customWidth="1"/>
    <col min="8964" max="8964" width="14.5703125" style="63" customWidth="1"/>
    <col min="8965" max="8966" width="13.42578125" style="63" customWidth="1"/>
    <col min="8967" max="8967" width="5.5703125" style="63" customWidth="1"/>
    <col min="8968" max="8968" width="36.5703125" style="63" customWidth="1"/>
    <col min="8969" max="9216" width="9" style="63"/>
    <col min="9217" max="9217" width="4.7109375" style="63" customWidth="1"/>
    <col min="9218" max="9218" width="27.85546875" style="63" customWidth="1"/>
    <col min="9219" max="9219" width="14" style="63" customWidth="1"/>
    <col min="9220" max="9220" width="14.5703125" style="63" customWidth="1"/>
    <col min="9221" max="9222" width="13.42578125" style="63" customWidth="1"/>
    <col min="9223" max="9223" width="5.5703125" style="63" customWidth="1"/>
    <col min="9224" max="9224" width="36.5703125" style="63" customWidth="1"/>
    <col min="9225" max="9472" width="9" style="63"/>
    <col min="9473" max="9473" width="4.7109375" style="63" customWidth="1"/>
    <col min="9474" max="9474" width="27.85546875" style="63" customWidth="1"/>
    <col min="9475" max="9475" width="14" style="63" customWidth="1"/>
    <col min="9476" max="9476" width="14.5703125" style="63" customWidth="1"/>
    <col min="9477" max="9478" width="13.42578125" style="63" customWidth="1"/>
    <col min="9479" max="9479" width="5.5703125" style="63" customWidth="1"/>
    <col min="9480" max="9480" width="36.5703125" style="63" customWidth="1"/>
    <col min="9481" max="9728" width="9" style="63"/>
    <col min="9729" max="9729" width="4.7109375" style="63" customWidth="1"/>
    <col min="9730" max="9730" width="27.85546875" style="63" customWidth="1"/>
    <col min="9731" max="9731" width="14" style="63" customWidth="1"/>
    <col min="9732" max="9732" width="14.5703125" style="63" customWidth="1"/>
    <col min="9733" max="9734" width="13.42578125" style="63" customWidth="1"/>
    <col min="9735" max="9735" width="5.5703125" style="63" customWidth="1"/>
    <col min="9736" max="9736" width="36.5703125" style="63" customWidth="1"/>
    <col min="9737" max="9984" width="9" style="63"/>
    <col min="9985" max="9985" width="4.7109375" style="63" customWidth="1"/>
    <col min="9986" max="9986" width="27.85546875" style="63" customWidth="1"/>
    <col min="9987" max="9987" width="14" style="63" customWidth="1"/>
    <col min="9988" max="9988" width="14.5703125" style="63" customWidth="1"/>
    <col min="9989" max="9990" width="13.42578125" style="63" customWidth="1"/>
    <col min="9991" max="9991" width="5.5703125" style="63" customWidth="1"/>
    <col min="9992" max="9992" width="36.5703125" style="63" customWidth="1"/>
    <col min="9993" max="10240" width="9" style="63"/>
    <col min="10241" max="10241" width="4.7109375" style="63" customWidth="1"/>
    <col min="10242" max="10242" width="27.85546875" style="63" customWidth="1"/>
    <col min="10243" max="10243" width="14" style="63" customWidth="1"/>
    <col min="10244" max="10244" width="14.5703125" style="63" customWidth="1"/>
    <col min="10245" max="10246" width="13.42578125" style="63" customWidth="1"/>
    <col min="10247" max="10247" width="5.5703125" style="63" customWidth="1"/>
    <col min="10248" max="10248" width="36.5703125" style="63" customWidth="1"/>
    <col min="10249" max="10496" width="9" style="63"/>
    <col min="10497" max="10497" width="4.7109375" style="63" customWidth="1"/>
    <col min="10498" max="10498" width="27.85546875" style="63" customWidth="1"/>
    <col min="10499" max="10499" width="14" style="63" customWidth="1"/>
    <col min="10500" max="10500" width="14.5703125" style="63" customWidth="1"/>
    <col min="10501" max="10502" width="13.42578125" style="63" customWidth="1"/>
    <col min="10503" max="10503" width="5.5703125" style="63" customWidth="1"/>
    <col min="10504" max="10504" width="36.5703125" style="63" customWidth="1"/>
    <col min="10505" max="10752" width="9" style="63"/>
    <col min="10753" max="10753" width="4.7109375" style="63" customWidth="1"/>
    <col min="10754" max="10754" width="27.85546875" style="63" customWidth="1"/>
    <col min="10755" max="10755" width="14" style="63" customWidth="1"/>
    <col min="10756" max="10756" width="14.5703125" style="63" customWidth="1"/>
    <col min="10757" max="10758" width="13.42578125" style="63" customWidth="1"/>
    <col min="10759" max="10759" width="5.5703125" style="63" customWidth="1"/>
    <col min="10760" max="10760" width="36.5703125" style="63" customWidth="1"/>
    <col min="10761" max="11008" width="9" style="63"/>
    <col min="11009" max="11009" width="4.7109375" style="63" customWidth="1"/>
    <col min="11010" max="11010" width="27.85546875" style="63" customWidth="1"/>
    <col min="11011" max="11011" width="14" style="63" customWidth="1"/>
    <col min="11012" max="11012" width="14.5703125" style="63" customWidth="1"/>
    <col min="11013" max="11014" width="13.42578125" style="63" customWidth="1"/>
    <col min="11015" max="11015" width="5.5703125" style="63" customWidth="1"/>
    <col min="11016" max="11016" width="36.5703125" style="63" customWidth="1"/>
    <col min="11017" max="11264" width="9" style="63"/>
    <col min="11265" max="11265" width="4.7109375" style="63" customWidth="1"/>
    <col min="11266" max="11266" width="27.85546875" style="63" customWidth="1"/>
    <col min="11267" max="11267" width="14" style="63" customWidth="1"/>
    <col min="11268" max="11268" width="14.5703125" style="63" customWidth="1"/>
    <col min="11269" max="11270" width="13.42578125" style="63" customWidth="1"/>
    <col min="11271" max="11271" width="5.5703125" style="63" customWidth="1"/>
    <col min="11272" max="11272" width="36.5703125" style="63" customWidth="1"/>
    <col min="11273" max="11520" width="9" style="63"/>
    <col min="11521" max="11521" width="4.7109375" style="63" customWidth="1"/>
    <col min="11522" max="11522" width="27.85546875" style="63" customWidth="1"/>
    <col min="11523" max="11523" width="14" style="63" customWidth="1"/>
    <col min="11524" max="11524" width="14.5703125" style="63" customWidth="1"/>
    <col min="11525" max="11526" width="13.42578125" style="63" customWidth="1"/>
    <col min="11527" max="11527" width="5.5703125" style="63" customWidth="1"/>
    <col min="11528" max="11528" width="36.5703125" style="63" customWidth="1"/>
    <col min="11529" max="11776" width="9" style="63"/>
    <col min="11777" max="11777" width="4.7109375" style="63" customWidth="1"/>
    <col min="11778" max="11778" width="27.85546875" style="63" customWidth="1"/>
    <col min="11779" max="11779" width="14" style="63" customWidth="1"/>
    <col min="11780" max="11780" width="14.5703125" style="63" customWidth="1"/>
    <col min="11781" max="11782" width="13.42578125" style="63" customWidth="1"/>
    <col min="11783" max="11783" width="5.5703125" style="63" customWidth="1"/>
    <col min="11784" max="11784" width="36.5703125" style="63" customWidth="1"/>
    <col min="11785" max="12032" width="9" style="63"/>
    <col min="12033" max="12033" width="4.7109375" style="63" customWidth="1"/>
    <col min="12034" max="12034" width="27.85546875" style="63" customWidth="1"/>
    <col min="12035" max="12035" width="14" style="63" customWidth="1"/>
    <col min="12036" max="12036" width="14.5703125" style="63" customWidth="1"/>
    <col min="12037" max="12038" width="13.42578125" style="63" customWidth="1"/>
    <col min="12039" max="12039" width="5.5703125" style="63" customWidth="1"/>
    <col min="12040" max="12040" width="36.5703125" style="63" customWidth="1"/>
    <col min="12041" max="12288" width="9" style="63"/>
    <col min="12289" max="12289" width="4.7109375" style="63" customWidth="1"/>
    <col min="12290" max="12290" width="27.85546875" style="63" customWidth="1"/>
    <col min="12291" max="12291" width="14" style="63" customWidth="1"/>
    <col min="12292" max="12292" width="14.5703125" style="63" customWidth="1"/>
    <col min="12293" max="12294" width="13.42578125" style="63" customWidth="1"/>
    <col min="12295" max="12295" width="5.5703125" style="63" customWidth="1"/>
    <col min="12296" max="12296" width="36.5703125" style="63" customWidth="1"/>
    <col min="12297" max="12544" width="9" style="63"/>
    <col min="12545" max="12545" width="4.7109375" style="63" customWidth="1"/>
    <col min="12546" max="12546" width="27.85546875" style="63" customWidth="1"/>
    <col min="12547" max="12547" width="14" style="63" customWidth="1"/>
    <col min="12548" max="12548" width="14.5703125" style="63" customWidth="1"/>
    <col min="12549" max="12550" width="13.42578125" style="63" customWidth="1"/>
    <col min="12551" max="12551" width="5.5703125" style="63" customWidth="1"/>
    <col min="12552" max="12552" width="36.5703125" style="63" customWidth="1"/>
    <col min="12553" max="12800" width="9" style="63"/>
    <col min="12801" max="12801" width="4.7109375" style="63" customWidth="1"/>
    <col min="12802" max="12802" width="27.85546875" style="63" customWidth="1"/>
    <col min="12803" max="12803" width="14" style="63" customWidth="1"/>
    <col min="12804" max="12804" width="14.5703125" style="63" customWidth="1"/>
    <col min="12805" max="12806" width="13.42578125" style="63" customWidth="1"/>
    <col min="12807" max="12807" width="5.5703125" style="63" customWidth="1"/>
    <col min="12808" max="12808" width="36.5703125" style="63" customWidth="1"/>
    <col min="12809" max="13056" width="9" style="63"/>
    <col min="13057" max="13057" width="4.7109375" style="63" customWidth="1"/>
    <col min="13058" max="13058" width="27.85546875" style="63" customWidth="1"/>
    <col min="13059" max="13059" width="14" style="63" customWidth="1"/>
    <col min="13060" max="13060" width="14.5703125" style="63" customWidth="1"/>
    <col min="13061" max="13062" width="13.42578125" style="63" customWidth="1"/>
    <col min="13063" max="13063" width="5.5703125" style="63" customWidth="1"/>
    <col min="13064" max="13064" width="36.5703125" style="63" customWidth="1"/>
    <col min="13065" max="13312" width="9" style="63"/>
    <col min="13313" max="13313" width="4.7109375" style="63" customWidth="1"/>
    <col min="13314" max="13314" width="27.85546875" style="63" customWidth="1"/>
    <col min="13315" max="13315" width="14" style="63" customWidth="1"/>
    <col min="13316" max="13316" width="14.5703125" style="63" customWidth="1"/>
    <col min="13317" max="13318" width="13.42578125" style="63" customWidth="1"/>
    <col min="13319" max="13319" width="5.5703125" style="63" customWidth="1"/>
    <col min="13320" max="13320" width="36.5703125" style="63" customWidth="1"/>
    <col min="13321" max="13568" width="9" style="63"/>
    <col min="13569" max="13569" width="4.7109375" style="63" customWidth="1"/>
    <col min="13570" max="13570" width="27.85546875" style="63" customWidth="1"/>
    <col min="13571" max="13571" width="14" style="63" customWidth="1"/>
    <col min="13572" max="13572" width="14.5703125" style="63" customWidth="1"/>
    <col min="13573" max="13574" width="13.42578125" style="63" customWidth="1"/>
    <col min="13575" max="13575" width="5.5703125" style="63" customWidth="1"/>
    <col min="13576" max="13576" width="36.5703125" style="63" customWidth="1"/>
    <col min="13577" max="13824" width="9" style="63"/>
    <col min="13825" max="13825" width="4.7109375" style="63" customWidth="1"/>
    <col min="13826" max="13826" width="27.85546875" style="63" customWidth="1"/>
    <col min="13827" max="13827" width="14" style="63" customWidth="1"/>
    <col min="13828" max="13828" width="14.5703125" style="63" customWidth="1"/>
    <col min="13829" max="13830" width="13.42578125" style="63" customWidth="1"/>
    <col min="13831" max="13831" width="5.5703125" style="63" customWidth="1"/>
    <col min="13832" max="13832" width="36.5703125" style="63" customWidth="1"/>
    <col min="13833" max="14080" width="9" style="63"/>
    <col min="14081" max="14081" width="4.7109375" style="63" customWidth="1"/>
    <col min="14082" max="14082" width="27.85546875" style="63" customWidth="1"/>
    <col min="14083" max="14083" width="14" style="63" customWidth="1"/>
    <col min="14084" max="14084" width="14.5703125" style="63" customWidth="1"/>
    <col min="14085" max="14086" width="13.42578125" style="63" customWidth="1"/>
    <col min="14087" max="14087" width="5.5703125" style="63" customWidth="1"/>
    <col min="14088" max="14088" width="36.5703125" style="63" customWidth="1"/>
    <col min="14089" max="14336" width="9" style="63"/>
    <col min="14337" max="14337" width="4.7109375" style="63" customWidth="1"/>
    <col min="14338" max="14338" width="27.85546875" style="63" customWidth="1"/>
    <col min="14339" max="14339" width="14" style="63" customWidth="1"/>
    <col min="14340" max="14340" width="14.5703125" style="63" customWidth="1"/>
    <col min="14341" max="14342" width="13.42578125" style="63" customWidth="1"/>
    <col min="14343" max="14343" width="5.5703125" style="63" customWidth="1"/>
    <col min="14344" max="14344" width="36.5703125" style="63" customWidth="1"/>
    <col min="14345" max="14592" width="9" style="63"/>
    <col min="14593" max="14593" width="4.7109375" style="63" customWidth="1"/>
    <col min="14594" max="14594" width="27.85546875" style="63" customWidth="1"/>
    <col min="14595" max="14595" width="14" style="63" customWidth="1"/>
    <col min="14596" max="14596" width="14.5703125" style="63" customWidth="1"/>
    <col min="14597" max="14598" width="13.42578125" style="63" customWidth="1"/>
    <col min="14599" max="14599" width="5.5703125" style="63" customWidth="1"/>
    <col min="14600" max="14600" width="36.5703125" style="63" customWidth="1"/>
    <col min="14601" max="14848" width="9" style="63"/>
    <col min="14849" max="14849" width="4.7109375" style="63" customWidth="1"/>
    <col min="14850" max="14850" width="27.85546875" style="63" customWidth="1"/>
    <col min="14851" max="14851" width="14" style="63" customWidth="1"/>
    <col min="14852" max="14852" width="14.5703125" style="63" customWidth="1"/>
    <col min="14853" max="14854" width="13.42578125" style="63" customWidth="1"/>
    <col min="14855" max="14855" width="5.5703125" style="63" customWidth="1"/>
    <col min="14856" max="14856" width="36.5703125" style="63" customWidth="1"/>
    <col min="14857" max="15104" width="9" style="63"/>
    <col min="15105" max="15105" width="4.7109375" style="63" customWidth="1"/>
    <col min="15106" max="15106" width="27.85546875" style="63" customWidth="1"/>
    <col min="15107" max="15107" width="14" style="63" customWidth="1"/>
    <col min="15108" max="15108" width="14.5703125" style="63" customWidth="1"/>
    <col min="15109" max="15110" width="13.42578125" style="63" customWidth="1"/>
    <col min="15111" max="15111" width="5.5703125" style="63" customWidth="1"/>
    <col min="15112" max="15112" width="36.5703125" style="63" customWidth="1"/>
    <col min="15113" max="15360" width="9" style="63"/>
    <col min="15361" max="15361" width="4.7109375" style="63" customWidth="1"/>
    <col min="15362" max="15362" width="27.85546875" style="63" customWidth="1"/>
    <col min="15363" max="15363" width="14" style="63" customWidth="1"/>
    <col min="15364" max="15364" width="14.5703125" style="63" customWidth="1"/>
    <col min="15365" max="15366" width="13.42578125" style="63" customWidth="1"/>
    <col min="15367" max="15367" width="5.5703125" style="63" customWidth="1"/>
    <col min="15368" max="15368" width="36.5703125" style="63" customWidth="1"/>
    <col min="15369" max="15616" width="9" style="63"/>
    <col min="15617" max="15617" width="4.7109375" style="63" customWidth="1"/>
    <col min="15618" max="15618" width="27.85546875" style="63" customWidth="1"/>
    <col min="15619" max="15619" width="14" style="63" customWidth="1"/>
    <col min="15620" max="15620" width="14.5703125" style="63" customWidth="1"/>
    <col min="15621" max="15622" width="13.42578125" style="63" customWidth="1"/>
    <col min="15623" max="15623" width="5.5703125" style="63" customWidth="1"/>
    <col min="15624" max="15624" width="36.5703125" style="63" customWidth="1"/>
    <col min="15625" max="15872" width="9" style="63"/>
    <col min="15873" max="15873" width="4.7109375" style="63" customWidth="1"/>
    <col min="15874" max="15874" width="27.85546875" style="63" customWidth="1"/>
    <col min="15875" max="15875" width="14" style="63" customWidth="1"/>
    <col min="15876" max="15876" width="14.5703125" style="63" customWidth="1"/>
    <col min="15877" max="15878" width="13.42578125" style="63" customWidth="1"/>
    <col min="15879" max="15879" width="5.5703125" style="63" customWidth="1"/>
    <col min="15880" max="15880" width="36.5703125" style="63" customWidth="1"/>
    <col min="15881" max="16128" width="9" style="63"/>
    <col min="16129" max="16129" width="4.7109375" style="63" customWidth="1"/>
    <col min="16130" max="16130" width="27.85546875" style="63" customWidth="1"/>
    <col min="16131" max="16131" width="14" style="63" customWidth="1"/>
    <col min="16132" max="16132" width="14.5703125" style="63" customWidth="1"/>
    <col min="16133" max="16134" width="13.42578125" style="63" customWidth="1"/>
    <col min="16135" max="16135" width="5.5703125" style="63" customWidth="1"/>
    <col min="16136" max="16136" width="36.5703125" style="63" customWidth="1"/>
    <col min="16137" max="16384" width="9" style="63"/>
  </cols>
  <sheetData>
    <row r="1" spans="1:8" ht="22.5" customHeight="1">
      <c r="A1" s="61"/>
      <c r="B1" s="61"/>
      <c r="C1" s="668" t="s">
        <v>544</v>
      </c>
      <c r="D1" s="669"/>
      <c r="E1" s="670">
        <v>1392</v>
      </c>
      <c r="F1" s="670"/>
      <c r="G1" s="62" t="s">
        <v>89</v>
      </c>
      <c r="H1" s="62" t="s">
        <v>90</v>
      </c>
    </row>
    <row r="2" spans="1:8" ht="22.5" customHeight="1">
      <c r="A2" s="64" t="s">
        <v>0</v>
      </c>
      <c r="B2" s="64" t="s">
        <v>23</v>
      </c>
      <c r="C2" s="64" t="s">
        <v>62</v>
      </c>
      <c r="D2" s="64" t="s">
        <v>91</v>
      </c>
      <c r="E2" s="65" t="s">
        <v>62</v>
      </c>
      <c r="F2" s="65" t="s">
        <v>91</v>
      </c>
      <c r="G2" s="64"/>
      <c r="H2" s="62"/>
    </row>
    <row r="3" spans="1:8" ht="68.25" customHeight="1">
      <c r="A3" s="64">
        <v>1</v>
      </c>
      <c r="B3" s="64" t="s">
        <v>92</v>
      </c>
      <c r="C3" s="66">
        <v>295416</v>
      </c>
      <c r="D3" s="66"/>
      <c r="E3" s="67">
        <v>498000</v>
      </c>
      <c r="F3" s="67"/>
      <c r="G3" s="66">
        <f>((E3-C3)/C3)*100</f>
        <v>68.575838817125685</v>
      </c>
      <c r="H3" s="68" t="s">
        <v>93</v>
      </c>
    </row>
    <row r="4" spans="1:8" ht="93.75" customHeight="1">
      <c r="A4" s="64">
        <v>2</v>
      </c>
      <c r="B4" s="64" t="s">
        <v>94</v>
      </c>
      <c r="C4" s="66">
        <v>444484</v>
      </c>
      <c r="D4" s="66"/>
      <c r="E4" s="67">
        <v>489000</v>
      </c>
      <c r="F4" s="67"/>
      <c r="G4" s="66">
        <f>((E4-C4)/C4)*100</f>
        <v>10.015208646430468</v>
      </c>
      <c r="H4" s="68" t="s">
        <v>93</v>
      </c>
    </row>
    <row r="5" spans="1:8" ht="95.25" customHeight="1">
      <c r="A5" s="64">
        <v>3</v>
      </c>
      <c r="B5" s="64" t="s">
        <v>95</v>
      </c>
      <c r="C5" s="69">
        <f>D5/14120</f>
        <v>568822.085694051</v>
      </c>
      <c r="D5" s="66">
        <v>8031767850</v>
      </c>
      <c r="E5" s="67">
        <v>1079990</v>
      </c>
      <c r="F5" s="67"/>
      <c r="G5" s="66">
        <f>((E5-C5)/C5)*100</f>
        <v>89.864287474394573</v>
      </c>
      <c r="H5" s="68" t="s">
        <v>96</v>
      </c>
    </row>
    <row r="6" spans="1:8" ht="75.75" customHeight="1">
      <c r="A6" s="64">
        <v>4</v>
      </c>
      <c r="B6" s="64" t="s">
        <v>97</v>
      </c>
      <c r="C6" s="69">
        <f>D6/14120</f>
        <v>187603.88682719547</v>
      </c>
      <c r="D6" s="66">
        <v>2648966882</v>
      </c>
      <c r="E6" s="67">
        <v>200000</v>
      </c>
      <c r="F6" s="67"/>
      <c r="G6" s="66">
        <f>((E6-C6)/C6)*100</f>
        <v>6.6075993320025184</v>
      </c>
      <c r="H6" s="68" t="s">
        <v>93</v>
      </c>
    </row>
    <row r="7" spans="1:8" ht="57" customHeight="1">
      <c r="A7" s="64">
        <v>5</v>
      </c>
      <c r="B7" s="64" t="s">
        <v>98</v>
      </c>
      <c r="C7" s="66"/>
      <c r="D7" s="66"/>
      <c r="E7" s="67">
        <v>250000</v>
      </c>
      <c r="F7" s="67"/>
      <c r="G7" s="66"/>
      <c r="H7" s="62" t="s">
        <v>99</v>
      </c>
    </row>
    <row r="8" spans="1:8" ht="57" customHeight="1">
      <c r="A8" s="64">
        <v>6</v>
      </c>
      <c r="B8" s="64" t="s">
        <v>100</v>
      </c>
      <c r="C8" s="66"/>
      <c r="D8" s="66">
        <v>1790447368</v>
      </c>
      <c r="E8" s="67"/>
      <c r="F8" s="67">
        <v>9050000000</v>
      </c>
      <c r="G8" s="66">
        <f>((F8-D8)/D8)*100</f>
        <v>405.46026438683896</v>
      </c>
      <c r="H8" s="68" t="s">
        <v>101</v>
      </c>
    </row>
    <row r="9" spans="1:8" ht="57" customHeight="1">
      <c r="A9" s="64">
        <v>6</v>
      </c>
      <c r="B9" s="64" t="s">
        <v>102</v>
      </c>
      <c r="C9" s="66"/>
      <c r="D9" s="66">
        <v>5072934211</v>
      </c>
      <c r="E9" s="67"/>
      <c r="F9" s="67">
        <v>15750000000</v>
      </c>
      <c r="G9" s="66">
        <f>((F9-D9)/D9)*100</f>
        <v>210.47120551747284</v>
      </c>
      <c r="H9" s="68" t="s">
        <v>101</v>
      </c>
    </row>
    <row r="10" spans="1:8" s="74" customFormat="1" ht="57" customHeight="1">
      <c r="A10" s="70">
        <v>7</v>
      </c>
      <c r="B10" s="71" t="s">
        <v>389</v>
      </c>
      <c r="C10" s="72"/>
      <c r="D10" s="72">
        <v>1759824479</v>
      </c>
      <c r="E10" s="72"/>
      <c r="F10" s="72">
        <f>((E3+E4)*32000*0.05)+(F9*0.05)</f>
        <v>2366700000</v>
      </c>
      <c r="G10" s="72">
        <f>((F10-D10)/D10)*100</f>
        <v>34.485002808055611</v>
      </c>
      <c r="H10" s="73" t="s">
        <v>103</v>
      </c>
    </row>
    <row r="11" spans="1:8" s="74" customFormat="1" ht="57" customHeight="1">
      <c r="A11" s="70">
        <v>8</v>
      </c>
      <c r="B11" s="71" t="s">
        <v>390</v>
      </c>
      <c r="C11" s="72"/>
      <c r="D11" s="72">
        <v>2150896585</v>
      </c>
      <c r="E11" s="72"/>
      <c r="F11" s="72">
        <f>(E5+E6+E7)*32000*0.05</f>
        <v>2447984000</v>
      </c>
      <c r="G11" s="72">
        <f>((F11-D11)/D11)*100</f>
        <v>13.812259365319509</v>
      </c>
      <c r="H11" s="73" t="s">
        <v>103</v>
      </c>
    </row>
    <row r="12" spans="1:8" ht="57" customHeight="1">
      <c r="A12" s="64">
        <v>10</v>
      </c>
      <c r="B12" s="64" t="s">
        <v>104</v>
      </c>
      <c r="C12" s="66">
        <f>SUM(C3:C9)</f>
        <v>1496325.9725212464</v>
      </c>
      <c r="D12" s="66">
        <f>SUM(D3:D11)</f>
        <v>21454837375</v>
      </c>
      <c r="E12" s="75">
        <f>SUM(E3:E9)</f>
        <v>2516990</v>
      </c>
      <c r="F12" s="76">
        <f>SUM(F3:F11)*18.52</f>
        <v>548463947680</v>
      </c>
      <c r="G12" s="66"/>
      <c r="H12" s="62"/>
    </row>
    <row r="13" spans="1:8" ht="20.100000000000001" customHeight="1">
      <c r="E13" s="256">
        <f>E12*Inflation!Euro_Inflation_Factor</f>
        <v>3798902.7016203576</v>
      </c>
      <c r="F13" s="256">
        <f>(F8+F9)*Inflation!IRR_Inflation_Factor</f>
        <v>1234777217753.915</v>
      </c>
    </row>
    <row r="14" spans="1:8" ht="20.100000000000001" customHeight="1">
      <c r="D14" s="256"/>
      <c r="E14" s="263">
        <f>(6157862*0.8)-E13-G14</f>
        <v>-870389.86117292987</v>
      </c>
      <c r="F14" s="261">
        <f>F13-(170000000000*0.8)</f>
        <v>1098777217753.915</v>
      </c>
      <c r="G14" s="262">
        <f>F14/550000</f>
        <v>1997776.7595525729</v>
      </c>
    </row>
    <row r="15" spans="1:8" ht="20.100000000000001" customHeight="1">
      <c r="D15" s="257"/>
      <c r="E15" s="258">
        <f>E13+E14</f>
        <v>2928512.8404474277</v>
      </c>
      <c r="F15" s="72">
        <f>F10+F11</f>
        <v>4814684000</v>
      </c>
      <c r="G15" s="71" t="s">
        <v>105</v>
      </c>
    </row>
    <row r="16" spans="1:8" ht="20.100000000000001" customHeight="1">
      <c r="D16" s="260">
        <f>(F10+F11)*Inflation!IRR_Inflation_Factor</f>
        <v>239720246527.59238</v>
      </c>
      <c r="F16" s="72">
        <f>F9+F8</f>
        <v>24800000000</v>
      </c>
      <c r="G16" s="71" t="s">
        <v>274</v>
      </c>
    </row>
    <row r="17" spans="4:7" ht="20.100000000000001" customHeight="1">
      <c r="D17" s="259">
        <f>1.058*186000000000*0.8</f>
        <v>157430400000</v>
      </c>
      <c r="F17" s="61"/>
      <c r="G17" s="150"/>
    </row>
    <row r="18" spans="4:7" ht="20.100000000000001" customHeight="1">
      <c r="D18" s="258">
        <f>D17-D16</f>
        <v>-82289846527.592377</v>
      </c>
      <c r="F18" s="61"/>
      <c r="G18" s="150"/>
    </row>
    <row r="19" spans="4:7" ht="57" customHeight="1">
      <c r="F19" s="61"/>
      <c r="G19" s="150"/>
    </row>
  </sheetData>
  <mergeCells count="2">
    <mergeCell ref="C1:D1"/>
    <mergeCell ref="E1:F1"/>
  </mergeCells>
  <pageMargins left="0.14000000000000001" right="0.25" top="0.75" bottom="0.75" header="0.3" footer="0.3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T35"/>
  <sheetViews>
    <sheetView rightToLeft="1" topLeftCell="A3" zoomScale="80" zoomScaleNormal="80" workbookViewId="0">
      <selection activeCell="J20" sqref="J20"/>
    </sheetView>
  </sheetViews>
  <sheetFormatPr defaultRowHeight="15"/>
  <cols>
    <col min="1" max="1" width="3" customWidth="1"/>
    <col min="2" max="2" width="7.28515625" customWidth="1"/>
    <col min="5" max="5" width="7" customWidth="1"/>
    <col min="6" max="6" width="24.7109375" customWidth="1"/>
    <col min="7" max="7" width="12.85546875" bestFit="1" customWidth="1"/>
    <col min="8" max="8" width="18.85546875" bestFit="1" customWidth="1"/>
    <col min="9" max="9" width="16.140625" customWidth="1"/>
    <col min="10" max="10" width="21.42578125" bestFit="1" customWidth="1"/>
    <col min="11" max="11" width="24.42578125" bestFit="1" customWidth="1"/>
    <col min="12" max="12" width="24.28515625" bestFit="1" customWidth="1"/>
    <col min="13" max="13" width="18.28515625" customWidth="1"/>
    <col min="14" max="14" width="12.42578125" customWidth="1"/>
    <col min="15" max="15" width="20.140625" bestFit="1" customWidth="1"/>
    <col min="16" max="16" width="14.42578125" customWidth="1"/>
    <col min="17" max="17" width="11.42578125" customWidth="1"/>
    <col min="18" max="18" width="13.42578125" customWidth="1"/>
    <col min="19" max="19" width="18.85546875" bestFit="1" customWidth="1"/>
    <col min="20" max="20" width="18.5703125" bestFit="1" customWidth="1"/>
  </cols>
  <sheetData>
    <row r="2" spans="2:20" ht="30" customHeight="1">
      <c r="B2" s="671" t="s">
        <v>53</v>
      </c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1"/>
      <c r="R2" s="671"/>
      <c r="S2" s="671"/>
      <c r="T2" s="671"/>
    </row>
    <row r="3" spans="2:20" ht="15.75" thickBot="1">
      <c r="B3" s="672"/>
      <c r="C3" s="672"/>
      <c r="D3" s="672"/>
      <c r="E3" s="672"/>
      <c r="F3" s="672"/>
      <c r="G3" s="672"/>
      <c r="H3" s="672"/>
      <c r="I3" s="672"/>
      <c r="J3" s="672"/>
      <c r="K3" s="672"/>
      <c r="L3" s="672"/>
      <c r="M3" s="672"/>
      <c r="N3" s="672"/>
      <c r="O3" s="672"/>
      <c r="P3" s="672"/>
      <c r="Q3" s="672"/>
      <c r="R3" s="672"/>
      <c r="S3" s="672"/>
      <c r="T3" s="672"/>
    </row>
    <row r="4" spans="2:20" ht="47.25" customHeight="1" thickTop="1">
      <c r="B4" s="613" t="s">
        <v>22</v>
      </c>
      <c r="C4" s="615" t="s">
        <v>23</v>
      </c>
      <c r="D4" s="615"/>
      <c r="E4" s="615"/>
      <c r="F4" s="615"/>
      <c r="G4" s="673" t="s">
        <v>481</v>
      </c>
      <c r="H4" s="673"/>
      <c r="I4" s="674">
        <v>1392</v>
      </c>
      <c r="J4" s="674"/>
      <c r="K4" s="675" t="s">
        <v>54</v>
      </c>
      <c r="L4" s="677" t="s">
        <v>55</v>
      </c>
      <c r="M4" s="679" t="s">
        <v>24</v>
      </c>
      <c r="N4" s="664" t="s">
        <v>56</v>
      </c>
      <c r="O4" s="664" t="s">
        <v>57</v>
      </c>
      <c r="P4" s="650" t="s">
        <v>58</v>
      </c>
      <c r="Q4" s="650" t="s">
        <v>59</v>
      </c>
      <c r="R4" s="650" t="s">
        <v>60</v>
      </c>
      <c r="S4" s="650" t="s">
        <v>26</v>
      </c>
      <c r="T4" s="666" t="s">
        <v>28</v>
      </c>
    </row>
    <row r="5" spans="2:20" ht="47.25" customHeight="1">
      <c r="B5" s="614"/>
      <c r="C5" s="609"/>
      <c r="D5" s="609"/>
      <c r="E5" s="609"/>
      <c r="F5" s="609"/>
      <c r="G5" s="23" t="s">
        <v>61</v>
      </c>
      <c r="H5" s="23" t="s">
        <v>29</v>
      </c>
      <c r="I5" s="24" t="s">
        <v>62</v>
      </c>
      <c r="J5" s="24" t="s">
        <v>29</v>
      </c>
      <c r="K5" s="676"/>
      <c r="L5" s="678"/>
      <c r="M5" s="680"/>
      <c r="N5" s="665"/>
      <c r="O5" s="665"/>
      <c r="P5" s="651"/>
      <c r="Q5" s="651"/>
      <c r="R5" s="651"/>
      <c r="S5" s="651"/>
      <c r="T5" s="667"/>
    </row>
    <row r="6" spans="2:20" ht="47.25" customHeight="1">
      <c r="B6" s="25">
        <v>1</v>
      </c>
      <c r="C6" s="649" t="s">
        <v>63</v>
      </c>
      <c r="D6" s="649"/>
      <c r="E6" s="649"/>
      <c r="F6" s="649"/>
      <c r="G6" s="26">
        <v>1942474</v>
      </c>
      <c r="H6" s="26">
        <v>19336831579</v>
      </c>
      <c r="I6" s="27">
        <v>1942474</v>
      </c>
      <c r="J6" s="27">
        <v>28038405790</v>
      </c>
      <c r="K6" s="26">
        <f t="shared" ref="K6:K20" si="0">(G6*13700)+H6</f>
        <v>45948725379</v>
      </c>
      <c r="L6" s="27">
        <f t="shared" ref="L6:L20" si="1">(I6*32160)+J6</f>
        <v>90508369630</v>
      </c>
      <c r="M6" s="28">
        <f>L6-K6</f>
        <v>44559644251</v>
      </c>
      <c r="N6" s="45">
        <f t="shared" ref="N6:N19" si="2">I6-G6</f>
        <v>0</v>
      </c>
      <c r="O6" s="45">
        <f t="shared" ref="O6:O19" si="3">J6-H6</f>
        <v>8701574211</v>
      </c>
      <c r="P6" s="29">
        <f>((M6-O6)/32160)</f>
        <v>1114989.7400497512</v>
      </c>
      <c r="Q6" s="29"/>
      <c r="R6" s="29"/>
      <c r="S6" s="29">
        <f>O6</f>
        <v>8701574211</v>
      </c>
      <c r="T6" s="46"/>
    </row>
    <row r="7" spans="2:20" ht="47.25" customHeight="1">
      <c r="B7" s="25">
        <v>2</v>
      </c>
      <c r="C7" s="649" t="s">
        <v>64</v>
      </c>
      <c r="D7" s="649"/>
      <c r="E7" s="649"/>
      <c r="F7" s="649"/>
      <c r="G7" s="26">
        <v>1028368</v>
      </c>
      <c r="H7" s="26">
        <v>8355421053</v>
      </c>
      <c r="I7" s="27">
        <v>1028368</v>
      </c>
      <c r="J7" s="27">
        <v>12115360530</v>
      </c>
      <c r="K7" s="26">
        <f t="shared" si="0"/>
        <v>22444062653</v>
      </c>
      <c r="L7" s="27">
        <f t="shared" si="1"/>
        <v>45187675410</v>
      </c>
      <c r="M7" s="28">
        <f t="shared" ref="M7:M19" si="4">L7-K7</f>
        <v>22743612757</v>
      </c>
      <c r="N7" s="45">
        <f t="shared" si="2"/>
        <v>0</v>
      </c>
      <c r="O7" s="45">
        <f t="shared" si="3"/>
        <v>3759939477</v>
      </c>
      <c r="P7" s="29">
        <f>(M7-O7)/32160</f>
        <v>590288.34825870651</v>
      </c>
      <c r="Q7" s="29"/>
      <c r="R7" s="29"/>
      <c r="S7" s="29">
        <f>O7</f>
        <v>3759939477</v>
      </c>
      <c r="T7" s="46"/>
    </row>
    <row r="8" spans="2:20" ht="47.25" customHeight="1">
      <c r="B8" s="25">
        <v>3</v>
      </c>
      <c r="C8" s="649" t="s">
        <v>65</v>
      </c>
      <c r="D8" s="649"/>
      <c r="E8" s="649"/>
      <c r="F8" s="649"/>
      <c r="G8" s="26">
        <v>257092</v>
      </c>
      <c r="H8" s="26">
        <v>0</v>
      </c>
      <c r="I8" s="27">
        <v>257092</v>
      </c>
      <c r="J8" s="27"/>
      <c r="K8" s="26">
        <f t="shared" si="0"/>
        <v>3522160400</v>
      </c>
      <c r="L8" s="27">
        <f t="shared" si="1"/>
        <v>8268078720</v>
      </c>
      <c r="M8" s="28">
        <f t="shared" si="4"/>
        <v>4745918320</v>
      </c>
      <c r="N8" s="45">
        <f t="shared" si="2"/>
        <v>0</v>
      </c>
      <c r="O8" s="47">
        <f t="shared" si="3"/>
        <v>0</v>
      </c>
      <c r="P8" s="29">
        <f>(M8-O8)/32160</f>
        <v>147572.08706467663</v>
      </c>
      <c r="Q8" s="29"/>
      <c r="R8" s="29"/>
      <c r="S8" s="29"/>
      <c r="T8" s="46"/>
    </row>
    <row r="9" spans="2:20" ht="47.25" customHeight="1">
      <c r="B9" s="25">
        <v>4</v>
      </c>
      <c r="C9" s="649" t="s">
        <v>66</v>
      </c>
      <c r="D9" s="649"/>
      <c r="E9" s="649"/>
      <c r="F9" s="649"/>
      <c r="G9" s="26">
        <v>2436548</v>
      </c>
      <c r="H9" s="26">
        <v>0</v>
      </c>
      <c r="I9" s="27">
        <v>2436548</v>
      </c>
      <c r="J9" s="27">
        <f>I9*1.38</f>
        <v>3362436.2399999998</v>
      </c>
      <c r="K9" s="26">
        <f t="shared" si="0"/>
        <v>33380707600</v>
      </c>
      <c r="L9" s="27">
        <f t="shared" si="1"/>
        <v>78362746116.240005</v>
      </c>
      <c r="M9" s="48">
        <f t="shared" si="4"/>
        <v>44982038516.240005</v>
      </c>
      <c r="N9" s="47">
        <f t="shared" si="2"/>
        <v>0</v>
      </c>
      <c r="O9" s="47">
        <f t="shared" si="3"/>
        <v>3362436.2399999998</v>
      </c>
      <c r="P9" s="29">
        <f>(M9-O9)/32160</f>
        <v>1398590.6741293534</v>
      </c>
      <c r="Q9" s="29"/>
      <c r="R9" s="29"/>
      <c r="S9" s="29"/>
      <c r="T9" s="46"/>
    </row>
    <row r="10" spans="2:20" ht="47.25" customHeight="1">
      <c r="B10" s="25">
        <v>5</v>
      </c>
      <c r="C10" s="649" t="s">
        <v>67</v>
      </c>
      <c r="D10" s="649"/>
      <c r="E10" s="649"/>
      <c r="F10" s="649"/>
      <c r="G10" s="26">
        <v>0</v>
      </c>
      <c r="H10" s="26">
        <v>16232939240</v>
      </c>
      <c r="I10" s="27">
        <v>2943642</v>
      </c>
      <c r="J10" s="27"/>
      <c r="K10" s="26">
        <f t="shared" si="0"/>
        <v>16232939240</v>
      </c>
      <c r="L10" s="27">
        <f t="shared" si="1"/>
        <v>94667526720</v>
      </c>
      <c r="M10" s="48">
        <f t="shared" si="4"/>
        <v>78434587480</v>
      </c>
      <c r="N10" s="45">
        <f t="shared" si="2"/>
        <v>2943642</v>
      </c>
      <c r="O10" s="47">
        <f t="shared" si="3"/>
        <v>-16232939240</v>
      </c>
      <c r="P10" s="29">
        <v>0</v>
      </c>
      <c r="Q10" s="29"/>
      <c r="R10" s="29">
        <f>N10</f>
        <v>2943642</v>
      </c>
      <c r="S10" s="29"/>
      <c r="T10" s="49">
        <f>O10</f>
        <v>-16232939240</v>
      </c>
    </row>
    <row r="11" spans="2:20" ht="47.25" customHeight="1">
      <c r="B11" s="25">
        <v>6</v>
      </c>
      <c r="C11" s="649" t="s">
        <v>68</v>
      </c>
      <c r="D11" s="649"/>
      <c r="E11" s="649"/>
      <c r="F11" s="649"/>
      <c r="G11" s="26">
        <v>1294373</v>
      </c>
      <c r="H11" s="26">
        <v>21856642749</v>
      </c>
      <c r="I11" s="27">
        <v>1294373</v>
      </c>
      <c r="J11" s="27">
        <v>25000000000</v>
      </c>
      <c r="K11" s="26">
        <f t="shared" si="0"/>
        <v>39589552849</v>
      </c>
      <c r="L11" s="27">
        <f t="shared" si="1"/>
        <v>66627035680</v>
      </c>
      <c r="M11" s="48">
        <f t="shared" si="4"/>
        <v>27037482831</v>
      </c>
      <c r="N11" s="47">
        <f t="shared" si="2"/>
        <v>0</v>
      </c>
      <c r="O11" s="50">
        <f t="shared" si="3"/>
        <v>3143357251</v>
      </c>
      <c r="P11" s="29">
        <f>(M11-O11)/32160</f>
        <v>742976.54166666663</v>
      </c>
      <c r="Q11" s="29"/>
      <c r="R11" s="29"/>
      <c r="S11" s="29">
        <f>O11</f>
        <v>3143357251</v>
      </c>
      <c r="T11" s="34"/>
    </row>
    <row r="12" spans="2:20" ht="47.25" customHeight="1">
      <c r="B12" s="25">
        <v>7</v>
      </c>
      <c r="C12" s="649" t="s">
        <v>69</v>
      </c>
      <c r="D12" s="649"/>
      <c r="E12" s="649"/>
      <c r="F12" s="649"/>
      <c r="G12" s="26">
        <v>0</v>
      </c>
      <c r="H12" s="26">
        <v>8214572526</v>
      </c>
      <c r="I12" s="27">
        <v>509664</v>
      </c>
      <c r="J12" s="27">
        <v>1848278818</v>
      </c>
      <c r="K12" s="26">
        <f t="shared" si="0"/>
        <v>8214572526</v>
      </c>
      <c r="L12" s="27">
        <f t="shared" si="1"/>
        <v>18239073058</v>
      </c>
      <c r="M12" s="28">
        <f t="shared" si="4"/>
        <v>10024500532</v>
      </c>
      <c r="N12" s="45">
        <f t="shared" si="2"/>
        <v>509664</v>
      </c>
      <c r="O12" s="47">
        <f t="shared" si="3"/>
        <v>-6366293708</v>
      </c>
      <c r="P12" s="29">
        <v>0</v>
      </c>
      <c r="Q12" s="29"/>
      <c r="R12" s="29">
        <f>N12</f>
        <v>509664</v>
      </c>
      <c r="S12" s="29"/>
      <c r="T12" s="49">
        <f>O12</f>
        <v>-6366293708</v>
      </c>
    </row>
    <row r="13" spans="2:20" ht="47.25" customHeight="1">
      <c r="B13" s="25">
        <v>8</v>
      </c>
      <c r="C13" s="649" t="s">
        <v>70</v>
      </c>
      <c r="D13" s="649"/>
      <c r="E13" s="649"/>
      <c r="F13" s="649"/>
      <c r="G13" s="26">
        <v>1629393</v>
      </c>
      <c r="H13" s="26">
        <v>0</v>
      </c>
      <c r="I13" s="27">
        <v>1908368</v>
      </c>
      <c r="J13" s="27"/>
      <c r="K13" s="26">
        <f t="shared" si="0"/>
        <v>22322684100</v>
      </c>
      <c r="L13" s="27">
        <f t="shared" si="1"/>
        <v>61373114880</v>
      </c>
      <c r="M13" s="28">
        <f t="shared" si="4"/>
        <v>39050430780</v>
      </c>
      <c r="N13" s="45">
        <f t="shared" si="2"/>
        <v>278975</v>
      </c>
      <c r="O13" s="47">
        <f t="shared" si="3"/>
        <v>0</v>
      </c>
      <c r="P13" s="29">
        <f>(((M13-O13)/32160))-(N13)</f>
        <v>935279.68843283574</v>
      </c>
      <c r="Q13" s="29">
        <f>N13</f>
        <v>278975</v>
      </c>
      <c r="R13" s="29"/>
      <c r="S13" s="29"/>
      <c r="T13" s="46"/>
    </row>
    <row r="14" spans="2:20" ht="47.25" customHeight="1">
      <c r="B14" s="25">
        <v>9</v>
      </c>
      <c r="C14" s="649" t="s">
        <v>71</v>
      </c>
      <c r="D14" s="649"/>
      <c r="E14" s="649"/>
      <c r="F14" s="649"/>
      <c r="G14" s="26">
        <v>0</v>
      </c>
      <c r="H14" s="26">
        <v>8485526895</v>
      </c>
      <c r="I14" s="27">
        <v>433567</v>
      </c>
      <c r="J14" s="27">
        <v>3818487103</v>
      </c>
      <c r="K14" s="26">
        <f t="shared" si="0"/>
        <v>8485526895</v>
      </c>
      <c r="L14" s="27">
        <f t="shared" si="1"/>
        <v>17762001823</v>
      </c>
      <c r="M14" s="28">
        <f t="shared" si="4"/>
        <v>9276474928</v>
      </c>
      <c r="N14" s="45">
        <f t="shared" si="2"/>
        <v>433567</v>
      </c>
      <c r="O14" s="47">
        <f t="shared" si="3"/>
        <v>-4667039792</v>
      </c>
      <c r="P14" s="29">
        <v>0</v>
      </c>
      <c r="Q14" s="29"/>
      <c r="R14" s="29">
        <f>N14</f>
        <v>433567</v>
      </c>
      <c r="S14" s="29"/>
      <c r="T14" s="49">
        <f>O14</f>
        <v>-4667039792</v>
      </c>
    </row>
    <row r="15" spans="2:20" ht="47.25" customHeight="1">
      <c r="B15" s="25">
        <v>10</v>
      </c>
      <c r="C15" s="649" t="s">
        <v>72</v>
      </c>
      <c r="D15" s="649"/>
      <c r="E15" s="649"/>
      <c r="F15" s="649"/>
      <c r="G15" s="26">
        <v>31422</v>
      </c>
      <c r="H15" s="26">
        <v>895223684</v>
      </c>
      <c r="I15" s="27">
        <v>190593</v>
      </c>
      <c r="J15" s="27"/>
      <c r="K15" s="26">
        <f t="shared" si="0"/>
        <v>1325705084</v>
      </c>
      <c r="L15" s="27">
        <f t="shared" si="1"/>
        <v>6129470880</v>
      </c>
      <c r="M15" s="28">
        <f t="shared" si="4"/>
        <v>4803765796</v>
      </c>
      <c r="N15" s="45">
        <f t="shared" si="2"/>
        <v>159171</v>
      </c>
      <c r="O15" s="47">
        <f t="shared" si="3"/>
        <v>-895223684</v>
      </c>
      <c r="P15" s="29">
        <f>(((M15-O15)/32160))-(N15)</f>
        <v>18036.384328358195</v>
      </c>
      <c r="Q15" s="29"/>
      <c r="R15" s="29">
        <f>N15</f>
        <v>159171</v>
      </c>
      <c r="S15" s="29"/>
      <c r="T15" s="49">
        <f>O15</f>
        <v>-895223684</v>
      </c>
    </row>
    <row r="16" spans="2:20" ht="47.25" customHeight="1">
      <c r="B16" s="25">
        <v>11</v>
      </c>
      <c r="C16" s="649" t="s">
        <v>73</v>
      </c>
      <c r="D16" s="649"/>
      <c r="E16" s="649"/>
      <c r="F16" s="649"/>
      <c r="G16" s="26">
        <v>150256</v>
      </c>
      <c r="H16" s="26">
        <v>0</v>
      </c>
      <c r="I16" s="27">
        <v>150256</v>
      </c>
      <c r="J16" s="27"/>
      <c r="K16" s="26">
        <f t="shared" si="0"/>
        <v>2058507200</v>
      </c>
      <c r="L16" s="27">
        <f t="shared" si="1"/>
        <v>4832232960</v>
      </c>
      <c r="M16" s="28">
        <f t="shared" si="4"/>
        <v>2773725760</v>
      </c>
      <c r="N16" s="45">
        <f t="shared" si="2"/>
        <v>0</v>
      </c>
      <c r="O16" s="47">
        <f t="shared" si="3"/>
        <v>0</v>
      </c>
      <c r="P16" s="29">
        <f>(M16-O16)/32160</f>
        <v>86247.69154228855</v>
      </c>
      <c r="Q16" s="29"/>
      <c r="R16" s="29"/>
      <c r="S16" s="29"/>
      <c r="T16" s="46"/>
    </row>
    <row r="17" spans="2:20" ht="47.25" customHeight="1">
      <c r="B17" s="25">
        <v>12</v>
      </c>
      <c r="C17" s="609" t="s">
        <v>74</v>
      </c>
      <c r="D17" s="609"/>
      <c r="E17" s="609"/>
      <c r="F17" s="609"/>
      <c r="G17" s="26">
        <v>259377</v>
      </c>
      <c r="H17" s="26">
        <v>0</v>
      </c>
      <c r="I17" s="27">
        <v>259377</v>
      </c>
      <c r="J17" s="27"/>
      <c r="K17" s="26">
        <f t="shared" si="0"/>
        <v>3553464900</v>
      </c>
      <c r="L17" s="27">
        <f t="shared" si="1"/>
        <v>8341564320</v>
      </c>
      <c r="M17" s="28">
        <f t="shared" si="4"/>
        <v>4788099420</v>
      </c>
      <c r="N17" s="45">
        <f t="shared" si="2"/>
        <v>0</v>
      </c>
      <c r="O17" s="47">
        <f t="shared" si="3"/>
        <v>0</v>
      </c>
      <c r="P17" s="29">
        <f>(M17-O17)/32160</f>
        <v>148883.68843283583</v>
      </c>
      <c r="Q17" s="29"/>
      <c r="R17" s="29"/>
      <c r="S17" s="29"/>
      <c r="T17" s="46"/>
    </row>
    <row r="18" spans="2:20" ht="47.25" customHeight="1">
      <c r="B18" s="25">
        <v>13</v>
      </c>
      <c r="C18" s="609" t="s">
        <v>75</v>
      </c>
      <c r="D18" s="609"/>
      <c r="E18" s="609"/>
      <c r="F18" s="609"/>
      <c r="G18" s="26">
        <v>0</v>
      </c>
      <c r="H18" s="26">
        <v>2625392658</v>
      </c>
      <c r="I18" s="27"/>
      <c r="J18" s="27">
        <v>8425000000</v>
      </c>
      <c r="K18" s="26">
        <f t="shared" si="0"/>
        <v>2625392658</v>
      </c>
      <c r="L18" s="27">
        <f t="shared" si="1"/>
        <v>8425000000</v>
      </c>
      <c r="M18" s="28">
        <f t="shared" si="4"/>
        <v>5799607342</v>
      </c>
      <c r="N18" s="45">
        <f t="shared" si="2"/>
        <v>0</v>
      </c>
      <c r="O18" s="50">
        <f t="shared" si="3"/>
        <v>5799607342</v>
      </c>
      <c r="P18" s="29">
        <f t="shared" ref="P18:P19" si="5">((M18-O18)/32160)</f>
        <v>0</v>
      </c>
      <c r="Q18" s="29"/>
      <c r="R18" s="29"/>
      <c r="S18" s="29">
        <f>O18</f>
        <v>5799607342</v>
      </c>
      <c r="T18" s="46"/>
    </row>
    <row r="19" spans="2:20" ht="47.25" customHeight="1">
      <c r="B19" s="25">
        <v>14</v>
      </c>
      <c r="C19" s="609" t="s">
        <v>76</v>
      </c>
      <c r="D19" s="609"/>
      <c r="E19" s="609"/>
      <c r="F19" s="609"/>
      <c r="G19" s="26">
        <v>0</v>
      </c>
      <c r="H19" s="26">
        <v>692306316</v>
      </c>
      <c r="I19" s="27"/>
      <c r="J19" s="27">
        <v>6500000000</v>
      </c>
      <c r="K19" s="26">
        <f t="shared" si="0"/>
        <v>692306316</v>
      </c>
      <c r="L19" s="27">
        <f t="shared" si="1"/>
        <v>6500000000</v>
      </c>
      <c r="M19" s="28">
        <f t="shared" si="4"/>
        <v>5807693684</v>
      </c>
      <c r="N19" s="45">
        <f t="shared" si="2"/>
        <v>0</v>
      </c>
      <c r="O19" s="50">
        <f t="shared" si="3"/>
        <v>5807693684</v>
      </c>
      <c r="P19" s="29">
        <f t="shared" si="5"/>
        <v>0</v>
      </c>
      <c r="Q19" s="29"/>
      <c r="R19" s="29"/>
      <c r="S19" s="29">
        <f>O19</f>
        <v>5807693684</v>
      </c>
      <c r="T19" s="46"/>
    </row>
    <row r="20" spans="2:20" ht="47.25" customHeight="1" thickBot="1">
      <c r="B20" s="38"/>
      <c r="C20" s="610" t="s">
        <v>42</v>
      </c>
      <c r="D20" s="610"/>
      <c r="E20" s="610"/>
      <c r="F20" s="610"/>
      <c r="G20" s="39">
        <f>SUM(G6:G19)</f>
        <v>9029303</v>
      </c>
      <c r="H20" s="39">
        <f>SUM(H6:H19)</f>
        <v>86694856700</v>
      </c>
      <c r="I20" s="40">
        <f>SUM(I6:I17)</f>
        <v>13354322</v>
      </c>
      <c r="J20" s="40">
        <f>SUM(J6:J19)</f>
        <v>85748894677.23999</v>
      </c>
      <c r="K20" s="39">
        <f t="shared" si="0"/>
        <v>210396307800</v>
      </c>
      <c r="L20" s="40">
        <f t="shared" si="1"/>
        <v>515223890197.23999</v>
      </c>
      <c r="M20" s="41">
        <f>L20-K20</f>
        <v>304827582397.23999</v>
      </c>
      <c r="N20" s="51">
        <f>SUM(N6:N16)</f>
        <v>4325019</v>
      </c>
      <c r="O20" s="52">
        <f>J20-H20</f>
        <v>-945962022.76000977</v>
      </c>
      <c r="P20" s="42">
        <f>SUM(P6:P19)</f>
        <v>5182864.8439054722</v>
      </c>
      <c r="Q20" s="53">
        <f t="shared" ref="Q20:T20" si="6">SUM(Q6:Q16)</f>
        <v>278975</v>
      </c>
      <c r="R20" s="53">
        <f t="shared" si="6"/>
        <v>4046044</v>
      </c>
      <c r="S20" s="53">
        <f>SUM(S6:S19)</f>
        <v>27212171965</v>
      </c>
      <c r="T20" s="54">
        <f t="shared" si="6"/>
        <v>-28161496424</v>
      </c>
    </row>
    <row r="21" spans="2:20" ht="15.75" thickTop="1">
      <c r="C21" s="608"/>
      <c r="D21" s="608"/>
      <c r="E21" s="608"/>
      <c r="F21" s="608"/>
    </row>
    <row r="22" spans="2:20" ht="53.25" customHeight="1"/>
    <row r="23" spans="2:20" ht="42.75" customHeight="1">
      <c r="J23" s="365">
        <f>J20*Inflation!IRR_Inflation_Factor</f>
        <v>4269386354638.5439</v>
      </c>
      <c r="K23" s="365"/>
      <c r="P23" s="33"/>
      <c r="Q23" s="33"/>
      <c r="R23" s="33"/>
      <c r="S23" s="33"/>
    </row>
    <row r="24" spans="2:20" ht="36" customHeight="1">
      <c r="K24" s="365"/>
      <c r="L24" s="365"/>
    </row>
    <row r="25" spans="2:20" ht="39.75" customHeight="1">
      <c r="K25" s="365"/>
      <c r="L25" s="365"/>
    </row>
    <row r="26" spans="2:20" ht="34.5" customHeight="1">
      <c r="L26" s="365"/>
    </row>
    <row r="27" spans="2:20" ht="36" customHeight="1"/>
    <row r="28" spans="2:20" ht="38.25" customHeight="1">
      <c r="H28" s="365"/>
    </row>
    <row r="30" spans="2:20" ht="21" customHeight="1"/>
    <row r="32" spans="2:20" ht="26.25" customHeight="1"/>
    <row r="33" spans="3:6">
      <c r="C33" s="608"/>
      <c r="D33" s="608"/>
      <c r="E33" s="608"/>
      <c r="F33" s="608"/>
    </row>
    <row r="34" spans="3:6">
      <c r="C34" s="608"/>
      <c r="D34" s="608"/>
      <c r="E34" s="608"/>
      <c r="F34" s="608"/>
    </row>
    <row r="35" spans="3:6">
      <c r="C35" s="608"/>
      <c r="D35" s="608"/>
      <c r="E35" s="608"/>
      <c r="F35" s="608"/>
    </row>
  </sheetData>
  <mergeCells count="34">
    <mergeCell ref="C35:F35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33:F33"/>
    <mergeCell ref="C34:F34"/>
    <mergeCell ref="C12:F12"/>
    <mergeCell ref="P4:P5"/>
    <mergeCell ref="Q4:Q5"/>
    <mergeCell ref="R4:R5"/>
    <mergeCell ref="S4:S5"/>
    <mergeCell ref="C7:F7"/>
    <mergeCell ref="C8:F8"/>
    <mergeCell ref="C9:F9"/>
    <mergeCell ref="C10:F10"/>
    <mergeCell ref="C11:F11"/>
    <mergeCell ref="T4:T5"/>
    <mergeCell ref="C6:F6"/>
    <mergeCell ref="B2:T3"/>
    <mergeCell ref="B4:B5"/>
    <mergeCell ref="C4:F5"/>
    <mergeCell ref="G4:H4"/>
    <mergeCell ref="I4:J4"/>
    <mergeCell ref="K4:K5"/>
    <mergeCell ref="L4:L5"/>
    <mergeCell ref="M4:M5"/>
    <mergeCell ref="N4:N5"/>
    <mergeCell ref="O4:O5"/>
  </mergeCells>
  <pageMargins left="0.1" right="0.11" top="0.28000000000000003" bottom="0.27" header="0.15" footer="0.08"/>
  <pageSetup paperSize="9" scale="45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J40"/>
  <sheetViews>
    <sheetView rightToLeft="1" topLeftCell="A12" zoomScale="80" zoomScaleNormal="80" workbookViewId="0">
      <selection activeCell="G37" sqref="G37"/>
    </sheetView>
  </sheetViews>
  <sheetFormatPr defaultColWidth="9.140625" defaultRowHeight="15"/>
  <cols>
    <col min="1" max="1" width="4.42578125" style="121" customWidth="1"/>
    <col min="2" max="2" width="56" style="121" bestFit="1" customWidth="1"/>
    <col min="3" max="3" width="12.42578125" style="121" customWidth="1"/>
    <col min="4" max="4" width="9.140625" style="121" customWidth="1"/>
    <col min="5" max="5" width="20.5703125" style="149" customWidth="1"/>
    <col min="6" max="6" width="13.85546875" style="149" hidden="1" customWidth="1"/>
    <col min="7" max="7" width="20.5703125" style="149" customWidth="1"/>
    <col min="8" max="8" width="18" style="149" hidden="1" customWidth="1"/>
    <col min="9" max="9" width="9.140625" style="124"/>
    <col min="10" max="10" width="0" style="124" hidden="1" customWidth="1"/>
    <col min="11" max="16384" width="9.140625" style="124"/>
  </cols>
  <sheetData>
    <row r="1" spans="1:10" hidden="1">
      <c r="E1" s="625"/>
      <c r="F1" s="625"/>
      <c r="G1" s="122" t="s">
        <v>229</v>
      </c>
      <c r="H1" s="123" t="s">
        <v>230</v>
      </c>
    </row>
    <row r="2" spans="1:10" ht="19.5" hidden="1" customHeight="1" thickBot="1">
      <c r="E2" s="683"/>
      <c r="F2" s="683"/>
      <c r="G2" s="125">
        <v>42000</v>
      </c>
      <c r="H2" s="126">
        <v>32600</v>
      </c>
    </row>
    <row r="3" spans="1:10">
      <c r="E3" s="124"/>
      <c r="F3" s="127"/>
      <c r="G3" s="124"/>
      <c r="H3" s="124"/>
    </row>
    <row r="4" spans="1:10" ht="15.75">
      <c r="A4" s="630"/>
      <c r="B4" s="630"/>
      <c r="C4" s="630"/>
      <c r="D4" s="630"/>
      <c r="E4" s="684" t="s">
        <v>231</v>
      </c>
      <c r="F4" s="684"/>
      <c r="G4" s="685" t="s">
        <v>232</v>
      </c>
      <c r="H4" s="686"/>
    </row>
    <row r="5" spans="1:10" ht="15.75">
      <c r="A5" s="630"/>
      <c r="B5" s="630"/>
      <c r="C5" s="630"/>
      <c r="D5" s="630"/>
      <c r="E5" s="632" t="s">
        <v>233</v>
      </c>
      <c r="F5" s="632"/>
      <c r="G5" s="633" t="s">
        <v>233</v>
      </c>
      <c r="H5" s="681"/>
    </row>
    <row r="6" spans="1:10" ht="33.75" customHeight="1">
      <c r="A6" s="128"/>
      <c r="B6" s="129" t="s">
        <v>234</v>
      </c>
      <c r="C6" s="129" t="s">
        <v>235</v>
      </c>
      <c r="D6" s="129" t="s">
        <v>236</v>
      </c>
      <c r="E6" s="129" t="s">
        <v>237</v>
      </c>
      <c r="F6" s="129" t="s">
        <v>238</v>
      </c>
      <c r="G6" s="129" t="s">
        <v>237</v>
      </c>
      <c r="H6" s="129" t="s">
        <v>238</v>
      </c>
    </row>
    <row r="7" spans="1:10" ht="33.75" customHeight="1">
      <c r="A7" s="128"/>
      <c r="B7" s="130" t="s">
        <v>239</v>
      </c>
      <c r="C7" s="129"/>
      <c r="D7" s="129"/>
      <c r="E7" s="129"/>
      <c r="F7" s="129"/>
      <c r="G7" s="129"/>
      <c r="H7" s="129"/>
      <c r="J7" s="129"/>
    </row>
    <row r="8" spans="1:10" ht="15" customHeight="1">
      <c r="A8" s="131">
        <v>1</v>
      </c>
      <c r="B8" s="132" t="s">
        <v>240</v>
      </c>
      <c r="C8" s="133" t="s">
        <v>241</v>
      </c>
      <c r="D8" s="133">
        <v>13</v>
      </c>
      <c r="E8" s="134">
        <f>J8*$G$2</f>
        <v>29400000</v>
      </c>
      <c r="F8" s="135"/>
      <c r="G8" s="135">
        <f>E8*D8</f>
        <v>382200000</v>
      </c>
      <c r="H8" s="135">
        <f t="shared" ref="H8:H35" si="0">F8*D8</f>
        <v>0</v>
      </c>
      <c r="J8" s="135">
        <v>700</v>
      </c>
    </row>
    <row r="9" spans="1:10" ht="15" customHeight="1">
      <c r="A9" s="131">
        <v>2</v>
      </c>
      <c r="B9" s="132" t="s">
        <v>242</v>
      </c>
      <c r="C9" s="133" t="s">
        <v>241</v>
      </c>
      <c r="D9" s="133">
        <v>15</v>
      </c>
      <c r="E9" s="134">
        <f t="shared" ref="E9:E28" si="1">J9*$G$2</f>
        <v>44100000</v>
      </c>
      <c r="F9" s="135"/>
      <c r="G9" s="135">
        <f>E9*D9</f>
        <v>661500000</v>
      </c>
      <c r="H9" s="135">
        <f t="shared" si="0"/>
        <v>0</v>
      </c>
      <c r="J9" s="135">
        <v>1050</v>
      </c>
    </row>
    <row r="10" spans="1:10" ht="15" customHeight="1">
      <c r="A10" s="136">
        <v>3</v>
      </c>
      <c r="B10" s="132" t="s">
        <v>243</v>
      </c>
      <c r="C10" s="133" t="s">
        <v>244</v>
      </c>
      <c r="D10" s="137">
        <v>2</v>
      </c>
      <c r="E10" s="134"/>
      <c r="F10" s="135"/>
      <c r="G10" s="135">
        <f>E10*D10</f>
        <v>0</v>
      </c>
      <c r="H10" s="135">
        <f t="shared" si="0"/>
        <v>0</v>
      </c>
      <c r="J10" s="135"/>
    </row>
    <row r="11" spans="1:10" ht="15" customHeight="1">
      <c r="A11" s="131">
        <v>4</v>
      </c>
      <c r="B11" s="132" t="s">
        <v>243</v>
      </c>
      <c r="C11" s="133" t="s">
        <v>241</v>
      </c>
      <c r="D11" s="137">
        <v>19</v>
      </c>
      <c r="E11" s="134"/>
      <c r="F11" s="135"/>
      <c r="G11" s="135">
        <v>0</v>
      </c>
      <c r="H11" s="135">
        <f t="shared" si="0"/>
        <v>0</v>
      </c>
      <c r="J11" s="135"/>
    </row>
    <row r="12" spans="1:10" ht="15" customHeight="1">
      <c r="A12" s="136">
        <v>5</v>
      </c>
      <c r="B12" s="132" t="s">
        <v>245</v>
      </c>
      <c r="C12" s="133" t="s">
        <v>246</v>
      </c>
      <c r="D12" s="133">
        <v>2</v>
      </c>
      <c r="E12" s="134"/>
      <c r="F12" s="135"/>
      <c r="G12" s="135">
        <f t="shared" ref="G12:G24" si="2">E12*D12</f>
        <v>0</v>
      </c>
      <c r="H12" s="135">
        <f t="shared" si="0"/>
        <v>0</v>
      </c>
      <c r="J12" s="135"/>
    </row>
    <row r="13" spans="1:10" ht="15" customHeight="1">
      <c r="A13" s="131">
        <v>6</v>
      </c>
      <c r="B13" s="132" t="s">
        <v>247</v>
      </c>
      <c r="C13" s="133" t="s">
        <v>248</v>
      </c>
      <c r="D13" s="133">
        <v>20</v>
      </c>
      <c r="E13" s="134">
        <f t="shared" si="1"/>
        <v>2520000</v>
      </c>
      <c r="F13" s="135"/>
      <c r="G13" s="135">
        <f t="shared" si="2"/>
        <v>50400000</v>
      </c>
      <c r="H13" s="135">
        <f t="shared" si="0"/>
        <v>0</v>
      </c>
      <c r="J13" s="135">
        <v>60</v>
      </c>
    </row>
    <row r="14" spans="1:10" ht="15" customHeight="1">
      <c r="A14" s="136">
        <v>7</v>
      </c>
      <c r="B14" s="132" t="s">
        <v>249</v>
      </c>
      <c r="C14" s="133" t="s">
        <v>250</v>
      </c>
      <c r="D14" s="133">
        <v>8</v>
      </c>
      <c r="E14" s="134">
        <f t="shared" si="1"/>
        <v>31500000</v>
      </c>
      <c r="F14" s="135"/>
      <c r="G14" s="135">
        <f t="shared" si="2"/>
        <v>252000000</v>
      </c>
      <c r="H14" s="135">
        <f t="shared" si="0"/>
        <v>0</v>
      </c>
      <c r="J14" s="135">
        <v>750</v>
      </c>
    </row>
    <row r="15" spans="1:10" ht="15" customHeight="1">
      <c r="A15" s="131">
        <v>8</v>
      </c>
      <c r="B15" s="132" t="s">
        <v>251</v>
      </c>
      <c r="C15" s="133" t="s">
        <v>252</v>
      </c>
      <c r="D15" s="133">
        <v>20</v>
      </c>
      <c r="E15" s="134">
        <f t="shared" si="1"/>
        <v>1890000</v>
      </c>
      <c r="F15" s="135"/>
      <c r="G15" s="135">
        <f t="shared" si="2"/>
        <v>37800000</v>
      </c>
      <c r="H15" s="135">
        <f t="shared" si="0"/>
        <v>0</v>
      </c>
      <c r="J15" s="135">
        <v>45</v>
      </c>
    </row>
    <row r="16" spans="1:10" ht="15" customHeight="1">
      <c r="A16" s="136">
        <v>9</v>
      </c>
      <c r="B16" s="132" t="s">
        <v>253</v>
      </c>
      <c r="C16" s="133" t="s">
        <v>254</v>
      </c>
      <c r="D16" s="133">
        <v>12</v>
      </c>
      <c r="E16" s="134">
        <f t="shared" si="1"/>
        <v>18900000</v>
      </c>
      <c r="F16" s="135"/>
      <c r="G16" s="135">
        <f t="shared" si="2"/>
        <v>226800000</v>
      </c>
      <c r="H16" s="135">
        <f t="shared" si="0"/>
        <v>0</v>
      </c>
      <c r="J16" s="135">
        <v>450</v>
      </c>
    </row>
    <row r="17" spans="1:10" ht="15" customHeight="1">
      <c r="A17" s="131">
        <v>10</v>
      </c>
      <c r="B17" s="132" t="s">
        <v>255</v>
      </c>
      <c r="C17" s="133" t="s">
        <v>256</v>
      </c>
      <c r="D17" s="133">
        <v>5</v>
      </c>
      <c r="E17" s="134">
        <f t="shared" si="1"/>
        <v>31500000</v>
      </c>
      <c r="F17" s="135"/>
      <c r="G17" s="135">
        <f t="shared" si="2"/>
        <v>157500000</v>
      </c>
      <c r="H17" s="135">
        <f t="shared" si="0"/>
        <v>0</v>
      </c>
      <c r="J17" s="135">
        <v>750</v>
      </c>
    </row>
    <row r="18" spans="1:10" ht="25.5" customHeight="1">
      <c r="A18" s="136">
        <v>11</v>
      </c>
      <c r="B18" s="132" t="s">
        <v>257</v>
      </c>
      <c r="C18" s="133" t="s">
        <v>256</v>
      </c>
      <c r="D18" s="137">
        <v>2</v>
      </c>
      <c r="E18" s="134"/>
      <c r="F18" s="135"/>
      <c r="G18" s="135">
        <f t="shared" si="2"/>
        <v>0</v>
      </c>
      <c r="H18" s="135">
        <f t="shared" si="0"/>
        <v>0</v>
      </c>
      <c r="J18" s="135"/>
    </row>
    <row r="19" spans="1:10" ht="15" customHeight="1">
      <c r="A19" s="131">
        <v>12</v>
      </c>
      <c r="B19" s="132" t="s">
        <v>258</v>
      </c>
      <c r="C19" s="133" t="s">
        <v>256</v>
      </c>
      <c r="D19" s="133">
        <v>13</v>
      </c>
      <c r="E19" s="134"/>
      <c r="F19" s="135"/>
      <c r="G19" s="135">
        <f t="shared" si="2"/>
        <v>0</v>
      </c>
      <c r="H19" s="135">
        <f t="shared" si="0"/>
        <v>0</v>
      </c>
      <c r="J19" s="135"/>
    </row>
    <row r="20" spans="1:10" ht="15.75" customHeight="1">
      <c r="A20" s="136">
        <v>13</v>
      </c>
      <c r="B20" s="132" t="s">
        <v>259</v>
      </c>
      <c r="C20" s="133" t="s">
        <v>256</v>
      </c>
      <c r="D20" s="133">
        <v>3</v>
      </c>
      <c r="E20" s="134">
        <f t="shared" si="1"/>
        <v>3150000</v>
      </c>
      <c r="F20" s="135"/>
      <c r="G20" s="135">
        <f t="shared" si="2"/>
        <v>9450000</v>
      </c>
      <c r="H20" s="135">
        <f t="shared" si="0"/>
        <v>0</v>
      </c>
      <c r="J20" s="135">
        <v>75</v>
      </c>
    </row>
    <row r="21" spans="1:10" ht="15" customHeight="1">
      <c r="A21" s="131">
        <v>14</v>
      </c>
      <c r="B21" s="132" t="s">
        <v>260</v>
      </c>
      <c r="C21" s="133" t="s">
        <v>256</v>
      </c>
      <c r="D21" s="133">
        <v>2</v>
      </c>
      <c r="E21" s="134"/>
      <c r="F21" s="135"/>
      <c r="G21" s="135">
        <f t="shared" si="2"/>
        <v>0</v>
      </c>
      <c r="H21" s="135">
        <f t="shared" si="0"/>
        <v>0</v>
      </c>
      <c r="J21" s="135"/>
    </row>
    <row r="22" spans="1:10" ht="15" customHeight="1">
      <c r="A22" s="136">
        <v>15</v>
      </c>
      <c r="B22" s="132" t="s">
        <v>261</v>
      </c>
      <c r="C22" s="133" t="s">
        <v>256</v>
      </c>
      <c r="D22" s="133">
        <v>1</v>
      </c>
      <c r="E22" s="134"/>
      <c r="F22" s="135"/>
      <c r="G22" s="135">
        <f t="shared" si="2"/>
        <v>0</v>
      </c>
      <c r="H22" s="135">
        <f t="shared" si="0"/>
        <v>0</v>
      </c>
      <c r="J22" s="135"/>
    </row>
    <row r="23" spans="1:10" ht="15" customHeight="1">
      <c r="A23" s="131">
        <v>16</v>
      </c>
      <c r="B23" s="132" t="s">
        <v>262</v>
      </c>
      <c r="C23" s="133" t="s">
        <v>256</v>
      </c>
      <c r="D23" s="133">
        <v>1</v>
      </c>
      <c r="E23" s="134"/>
      <c r="F23" s="135"/>
      <c r="G23" s="135">
        <f t="shared" si="2"/>
        <v>0</v>
      </c>
      <c r="H23" s="135">
        <f t="shared" si="0"/>
        <v>0</v>
      </c>
      <c r="J23" s="135"/>
    </row>
    <row r="24" spans="1:10" ht="15" customHeight="1">
      <c r="A24" s="136">
        <v>17</v>
      </c>
      <c r="B24" s="132" t="s">
        <v>263</v>
      </c>
      <c r="C24" s="133" t="s">
        <v>256</v>
      </c>
      <c r="D24" s="133">
        <v>2</v>
      </c>
      <c r="E24" s="134"/>
      <c r="F24" s="135"/>
      <c r="G24" s="135">
        <f t="shared" si="2"/>
        <v>0</v>
      </c>
      <c r="H24" s="135">
        <f t="shared" si="0"/>
        <v>0</v>
      </c>
      <c r="J24" s="135"/>
    </row>
    <row r="25" spans="1:10" ht="15" customHeight="1">
      <c r="A25" s="131">
        <v>18</v>
      </c>
      <c r="B25" s="132" t="s">
        <v>264</v>
      </c>
      <c r="C25" s="133" t="s">
        <v>256</v>
      </c>
      <c r="D25" s="133">
        <v>3</v>
      </c>
      <c r="E25" s="134">
        <f t="shared" si="1"/>
        <v>840000000</v>
      </c>
      <c r="F25" s="135"/>
      <c r="G25" s="135">
        <v>0</v>
      </c>
      <c r="H25" s="135">
        <f t="shared" si="0"/>
        <v>0</v>
      </c>
      <c r="J25" s="135">
        <v>20000</v>
      </c>
    </row>
    <row r="26" spans="1:10" ht="140.25">
      <c r="A26" s="136">
        <v>19</v>
      </c>
      <c r="B26" s="138" t="s">
        <v>265</v>
      </c>
      <c r="C26" s="133" t="s">
        <v>256</v>
      </c>
      <c r="D26" s="133">
        <v>7</v>
      </c>
      <c r="E26" s="134">
        <f t="shared" si="1"/>
        <v>168000000</v>
      </c>
      <c r="F26" s="135"/>
      <c r="G26" s="135">
        <f>E26*D26</f>
        <v>1176000000</v>
      </c>
      <c r="H26" s="135">
        <f t="shared" si="0"/>
        <v>0</v>
      </c>
      <c r="J26" s="135">
        <v>4000</v>
      </c>
    </row>
    <row r="27" spans="1:10" ht="15" customHeight="1">
      <c r="A27" s="131">
        <v>20</v>
      </c>
      <c r="B27" s="132" t="s">
        <v>266</v>
      </c>
      <c r="C27" s="133" t="s">
        <v>256</v>
      </c>
      <c r="D27" s="133">
        <v>3</v>
      </c>
      <c r="E27" s="134"/>
      <c r="F27" s="135"/>
      <c r="G27" s="135">
        <f>E27*D27</f>
        <v>0</v>
      </c>
      <c r="H27" s="135">
        <f t="shared" si="0"/>
        <v>0</v>
      </c>
      <c r="J27" s="135"/>
    </row>
    <row r="28" spans="1:10" ht="15.75" customHeight="1">
      <c r="A28" s="136">
        <v>21</v>
      </c>
      <c r="B28" s="132" t="s">
        <v>267</v>
      </c>
      <c r="C28" s="133" t="s">
        <v>256</v>
      </c>
      <c r="D28" s="133">
        <v>8</v>
      </c>
      <c r="E28" s="134">
        <f t="shared" si="1"/>
        <v>1890000</v>
      </c>
      <c r="F28" s="135"/>
      <c r="G28" s="135">
        <f>E28*D28</f>
        <v>15120000</v>
      </c>
      <c r="H28" s="135">
        <f t="shared" si="0"/>
        <v>0</v>
      </c>
      <c r="J28" s="135">
        <v>45</v>
      </c>
    </row>
    <row r="29" spans="1:10" ht="15.75" customHeight="1">
      <c r="A29" s="131">
        <v>22</v>
      </c>
      <c r="B29" s="132" t="s">
        <v>268</v>
      </c>
      <c r="C29" s="133" t="s">
        <v>256</v>
      </c>
      <c r="D29" s="139">
        <v>1</v>
      </c>
      <c r="E29" s="134"/>
      <c r="F29" s="135"/>
      <c r="G29" s="135">
        <f>E29*D29</f>
        <v>0</v>
      </c>
      <c r="H29" s="135">
        <f t="shared" si="0"/>
        <v>0</v>
      </c>
      <c r="J29" s="135"/>
    </row>
    <row r="30" spans="1:10" ht="15" customHeight="1">
      <c r="A30" s="136">
        <v>23</v>
      </c>
      <c r="B30" s="132" t="s">
        <v>269</v>
      </c>
      <c r="C30" s="133" t="s">
        <v>256</v>
      </c>
      <c r="D30" s="133">
        <v>179</v>
      </c>
      <c r="E30" s="134"/>
      <c r="F30" s="135"/>
      <c r="G30" s="135">
        <f>E30*D30</f>
        <v>0</v>
      </c>
      <c r="H30" s="135">
        <f t="shared" si="0"/>
        <v>0</v>
      </c>
      <c r="J30" s="135"/>
    </row>
    <row r="31" spans="1:10" ht="15" customHeight="1">
      <c r="A31" s="131">
        <v>24</v>
      </c>
      <c r="B31" s="132" t="s">
        <v>270</v>
      </c>
      <c r="C31" s="133" t="s">
        <v>256</v>
      </c>
      <c r="D31" s="133">
        <v>3</v>
      </c>
      <c r="E31" s="134"/>
      <c r="F31" s="135"/>
      <c r="G31" s="135">
        <v>0</v>
      </c>
      <c r="H31" s="135">
        <f t="shared" si="0"/>
        <v>0</v>
      </c>
      <c r="J31" s="135"/>
    </row>
    <row r="32" spans="1:10" ht="15" customHeight="1">
      <c r="A32" s="136">
        <v>25</v>
      </c>
      <c r="B32" s="132" t="s">
        <v>271</v>
      </c>
      <c r="C32" s="133" t="s">
        <v>256</v>
      </c>
      <c r="D32" s="133">
        <v>1</v>
      </c>
      <c r="E32" s="134"/>
      <c r="F32" s="135"/>
      <c r="G32" s="135">
        <f>E32*D32</f>
        <v>0</v>
      </c>
      <c r="H32" s="135">
        <f t="shared" si="0"/>
        <v>0</v>
      </c>
      <c r="J32" s="135"/>
    </row>
    <row r="33" spans="1:10" ht="15" customHeight="1">
      <c r="A33" s="131">
        <v>26</v>
      </c>
      <c r="B33" s="132" t="s">
        <v>272</v>
      </c>
      <c r="C33" s="133" t="s">
        <v>256</v>
      </c>
      <c r="D33" s="133">
        <v>5</v>
      </c>
      <c r="E33" s="134"/>
      <c r="F33" s="135"/>
      <c r="G33" s="135">
        <f>E33*D33</f>
        <v>0</v>
      </c>
      <c r="H33" s="135">
        <f t="shared" si="0"/>
        <v>0</v>
      </c>
      <c r="J33" s="135"/>
    </row>
    <row r="34" spans="1:10" ht="15" customHeight="1">
      <c r="A34" s="136">
        <v>27</v>
      </c>
      <c r="B34" s="132" t="s">
        <v>273</v>
      </c>
      <c r="C34" s="133" t="s">
        <v>256</v>
      </c>
      <c r="D34" s="133">
        <v>2</v>
      </c>
      <c r="E34" s="140"/>
      <c r="F34" s="135"/>
      <c r="G34" s="135">
        <f>E34*D34</f>
        <v>0</v>
      </c>
      <c r="H34" s="135">
        <f t="shared" si="0"/>
        <v>0</v>
      </c>
      <c r="J34" s="135"/>
    </row>
    <row r="35" spans="1:10" ht="15" customHeight="1">
      <c r="A35" s="131">
        <v>52</v>
      </c>
      <c r="B35" s="141"/>
      <c r="C35" s="142"/>
      <c r="D35" s="143"/>
      <c r="E35" s="140"/>
      <c r="F35" s="135"/>
      <c r="G35" s="135">
        <f>E35*D35</f>
        <v>0</v>
      </c>
      <c r="H35" s="135">
        <f t="shared" si="0"/>
        <v>0</v>
      </c>
      <c r="J35" s="135"/>
    </row>
    <row r="36" spans="1:10" ht="15.75">
      <c r="A36" s="128"/>
      <c r="B36" s="144"/>
      <c r="C36" s="144"/>
      <c r="D36" s="128"/>
      <c r="E36" s="140"/>
      <c r="F36" s="140"/>
      <c r="G36" s="135"/>
      <c r="H36" s="135"/>
      <c r="J36" s="140"/>
    </row>
    <row r="37" spans="1:10">
      <c r="E37" s="145"/>
      <c r="F37" s="145"/>
      <c r="G37" s="338">
        <f>SUM(G8:G36)</f>
        <v>2968770000</v>
      </c>
      <c r="H37" s="146">
        <f>SUM(H8:H36)</f>
        <v>0</v>
      </c>
    </row>
    <row r="38" spans="1:10" ht="15.75">
      <c r="E38" s="147"/>
      <c r="F38" s="147"/>
      <c r="G38" s="148" t="s">
        <v>237</v>
      </c>
      <c r="H38" s="129" t="s">
        <v>238</v>
      </c>
    </row>
    <row r="39" spans="1:10" ht="15.75">
      <c r="E39" s="147"/>
      <c r="F39" s="147"/>
      <c r="G39" s="621" t="s">
        <v>233</v>
      </c>
      <c r="H39" s="681"/>
    </row>
    <row r="40" spans="1:10" ht="16.5" thickBot="1">
      <c r="E40" s="147"/>
      <c r="F40" s="147"/>
      <c r="G40" s="623" t="s">
        <v>232</v>
      </c>
      <c r="H40" s="682"/>
    </row>
  </sheetData>
  <autoFilter ref="A6:H35" xr:uid="{00000000-0009-0000-0000-000006000000}"/>
  <mergeCells count="9">
    <mergeCell ref="G39:H39"/>
    <mergeCell ref="G40:H40"/>
    <mergeCell ref="E1:F1"/>
    <mergeCell ref="E2:F2"/>
    <mergeCell ref="A4:D5"/>
    <mergeCell ref="E4:F4"/>
    <mergeCell ref="G4:H4"/>
    <mergeCell ref="E5:F5"/>
    <mergeCell ref="G5:H5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4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14"/>
  <sheetViews>
    <sheetView rightToLeft="1" topLeftCell="D4" workbookViewId="0">
      <selection activeCell="J4" sqref="J4"/>
    </sheetView>
  </sheetViews>
  <sheetFormatPr defaultRowHeight="15"/>
  <cols>
    <col min="1" max="1" width="2.28515625" customWidth="1"/>
    <col min="2" max="7" width="12.85546875" customWidth="1"/>
    <col min="8" max="8" width="17.140625" bestFit="1" customWidth="1"/>
    <col min="9" max="9" width="18" bestFit="1" customWidth="1"/>
    <col min="10" max="10" width="17.7109375" bestFit="1" customWidth="1"/>
    <col min="11" max="12" width="12.85546875" customWidth="1"/>
    <col min="13" max="13" width="15.7109375" customWidth="1"/>
    <col min="14" max="15" width="7.85546875" customWidth="1"/>
  </cols>
  <sheetData>
    <row r="1" spans="2:13" ht="15.75" thickBot="1"/>
    <row r="2" spans="2:13" ht="21.75" customHeight="1" thickTop="1">
      <c r="B2" s="696" t="s">
        <v>8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10"/>
    </row>
    <row r="3" spans="2:13" ht="21" customHeight="1">
      <c r="B3" s="698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11"/>
    </row>
    <row r="4" spans="2:13" ht="66" customHeight="1">
      <c r="B4" s="2" t="s">
        <v>0</v>
      </c>
      <c r="C4" s="699" t="s">
        <v>7</v>
      </c>
      <c r="D4" s="699"/>
      <c r="E4" s="699"/>
      <c r="F4" s="9" t="s">
        <v>516</v>
      </c>
      <c r="G4" s="9" t="s">
        <v>517</v>
      </c>
      <c r="H4" s="9" t="s">
        <v>518</v>
      </c>
      <c r="I4" s="9" t="s">
        <v>519</v>
      </c>
      <c r="J4" s="9" t="s">
        <v>10</v>
      </c>
      <c r="K4" s="676" t="s">
        <v>9</v>
      </c>
      <c r="L4" s="676"/>
      <c r="M4" s="12" t="s">
        <v>16</v>
      </c>
    </row>
    <row r="5" spans="2:13" ht="36" customHeight="1">
      <c r="B5" s="1">
        <v>1</v>
      </c>
      <c r="C5" s="609" t="s">
        <v>3</v>
      </c>
      <c r="D5" s="609"/>
      <c r="E5" s="609"/>
      <c r="F5" s="3">
        <v>9029303</v>
      </c>
      <c r="G5" s="3">
        <v>13354322</v>
      </c>
      <c r="H5" s="3">
        <v>86694856700</v>
      </c>
      <c r="I5" s="3">
        <f>'ME.p.1392'!J20</f>
        <v>85748894677.23999</v>
      </c>
      <c r="J5" s="3">
        <f t="shared" ref="J5:J10" si="0">(F5*13700)+H5</f>
        <v>210396307800</v>
      </c>
      <c r="K5" s="700">
        <f t="shared" ref="K5:K10" si="1">(G5*32160)+I5</f>
        <v>515223890197.23999</v>
      </c>
      <c r="L5" s="700"/>
      <c r="M5" s="13">
        <f>K5/J5*100-100</f>
        <v>144.88257212526997</v>
      </c>
    </row>
    <row r="6" spans="2:13" ht="36" customHeight="1">
      <c r="B6" s="1">
        <v>2</v>
      </c>
      <c r="C6" s="609" t="s">
        <v>4</v>
      </c>
      <c r="D6" s="609"/>
      <c r="E6" s="609"/>
      <c r="F6" s="3">
        <v>0</v>
      </c>
      <c r="G6" s="3">
        <v>717000</v>
      </c>
      <c r="H6" s="3">
        <v>28432602619</v>
      </c>
      <c r="I6" s="3">
        <f>'EL.p.1392'!J15</f>
        <v>92000000000</v>
      </c>
      <c r="J6" s="3">
        <f t="shared" si="0"/>
        <v>28432602619</v>
      </c>
      <c r="K6" s="700">
        <f t="shared" si="1"/>
        <v>115058720000</v>
      </c>
      <c r="L6" s="700"/>
      <c r="M6" s="13">
        <f t="shared" ref="M6:M10" si="2">K6/J6*100-100</f>
        <v>304.67178309984308</v>
      </c>
    </row>
    <row r="7" spans="2:13" ht="36" customHeight="1">
      <c r="B7" s="1">
        <v>3</v>
      </c>
      <c r="C7" s="609" t="s">
        <v>388</v>
      </c>
      <c r="D7" s="609"/>
      <c r="E7" s="609"/>
      <c r="F7" s="3">
        <f>'IN.p&amp;C.1392'!C12</f>
        <v>1496325.9725212464</v>
      </c>
      <c r="G7" s="3">
        <f>'IN.p&amp;C.1392'!E12</f>
        <v>2516990</v>
      </c>
      <c r="H7" s="3">
        <f>SUM('IN.p&amp;C.1392'!D5:D9)</f>
        <v>17544116311</v>
      </c>
      <c r="I7" s="3">
        <f>'IN.p&amp;C.1392'!F16</f>
        <v>24800000000</v>
      </c>
      <c r="J7" s="3">
        <f t="shared" si="0"/>
        <v>38043782134.541077</v>
      </c>
      <c r="K7" s="700">
        <f t="shared" si="1"/>
        <v>105746398400</v>
      </c>
      <c r="L7" s="700"/>
      <c r="M7" s="13">
        <f t="shared" si="2"/>
        <v>177.95974129499001</v>
      </c>
    </row>
    <row r="8" spans="2:13" ht="36" customHeight="1">
      <c r="B8" s="1">
        <v>4</v>
      </c>
      <c r="C8" s="609" t="s">
        <v>5</v>
      </c>
      <c r="D8" s="609"/>
      <c r="E8" s="609"/>
      <c r="F8" s="3">
        <v>0</v>
      </c>
      <c r="G8" s="3">
        <v>0</v>
      </c>
      <c r="H8" s="3">
        <v>1969492105</v>
      </c>
      <c r="I8" s="3">
        <f>'SEFTY.p.1392'!G37</f>
        <v>2968770000</v>
      </c>
      <c r="J8" s="3">
        <f t="shared" si="0"/>
        <v>1969492105</v>
      </c>
      <c r="K8" s="701">
        <f t="shared" si="1"/>
        <v>2968770000</v>
      </c>
      <c r="L8" s="701"/>
      <c r="M8" s="13">
        <f t="shared" si="2"/>
        <v>50.737847207567256</v>
      </c>
    </row>
    <row r="9" spans="2:13" ht="36" customHeight="1">
      <c r="B9" s="1">
        <v>5</v>
      </c>
      <c r="C9" s="609" t="s">
        <v>6</v>
      </c>
      <c r="D9" s="609"/>
      <c r="E9" s="609"/>
      <c r="F9" s="3">
        <v>488460</v>
      </c>
      <c r="G9" s="3">
        <v>825366</v>
      </c>
      <c r="H9" s="3">
        <v>28035386975</v>
      </c>
      <c r="I9" s="3">
        <v>185089085859</v>
      </c>
      <c r="J9" s="3">
        <f t="shared" si="0"/>
        <v>34727288975</v>
      </c>
      <c r="K9" s="700">
        <f t="shared" si="1"/>
        <v>211632856419</v>
      </c>
      <c r="L9" s="700"/>
      <c r="M9" s="13">
        <f t="shared" si="2"/>
        <v>509.41369932836801</v>
      </c>
    </row>
    <row r="10" spans="2:13" ht="36" customHeight="1">
      <c r="B10" s="1">
        <v>6</v>
      </c>
      <c r="C10" s="609" t="s">
        <v>2</v>
      </c>
      <c r="D10" s="609"/>
      <c r="E10" s="609"/>
      <c r="F10" s="3">
        <f>SUM(F5:F9)</f>
        <v>11014088.972521245</v>
      </c>
      <c r="G10" s="3">
        <f>SUM(G5:G9)</f>
        <v>17413678</v>
      </c>
      <c r="H10" s="3">
        <f>SUM(H5:H9)</f>
        <v>162676454710</v>
      </c>
      <c r="I10" s="4">
        <f>SUM(I5:I9)</f>
        <v>390606750536.23999</v>
      </c>
      <c r="J10" s="4">
        <f t="shared" si="0"/>
        <v>313569473633.54108</v>
      </c>
      <c r="K10" s="700">
        <f t="shared" si="1"/>
        <v>950630635016.23999</v>
      </c>
      <c r="L10" s="700"/>
      <c r="M10" s="13">
        <f t="shared" si="2"/>
        <v>203.16427935431386</v>
      </c>
    </row>
    <row r="11" spans="2:13" ht="28.5" customHeight="1">
      <c r="B11" s="687" t="s">
        <v>1</v>
      </c>
      <c r="C11" s="688"/>
      <c r="D11" s="688"/>
      <c r="E11" s="688"/>
      <c r="F11" s="688"/>
      <c r="G11" s="688"/>
      <c r="H11" s="688"/>
      <c r="I11" s="688"/>
      <c r="J11" s="688"/>
      <c r="K11" s="688"/>
      <c r="L11" s="688"/>
      <c r="M11" s="689"/>
    </row>
    <row r="12" spans="2:13" ht="23.25" hidden="1" customHeight="1">
      <c r="B12" s="690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</row>
    <row r="13" spans="2:13" ht="18" hidden="1" customHeight="1">
      <c r="B13" s="690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</row>
    <row r="14" spans="2:13" ht="42" hidden="1" customHeight="1" thickBot="1">
      <c r="B14" s="693"/>
      <c r="C14" s="694"/>
      <c r="D14" s="694"/>
      <c r="E14" s="694"/>
      <c r="F14" s="694"/>
      <c r="G14" s="694"/>
      <c r="H14" s="694"/>
      <c r="I14" s="694"/>
      <c r="J14" s="694"/>
      <c r="K14" s="694"/>
      <c r="L14" s="694"/>
      <c r="M14" s="695"/>
    </row>
  </sheetData>
  <mergeCells count="16">
    <mergeCell ref="B11:M14"/>
    <mergeCell ref="B2:L3"/>
    <mergeCell ref="C10:E10"/>
    <mergeCell ref="C8:E8"/>
    <mergeCell ref="C4:E4"/>
    <mergeCell ref="K4:L4"/>
    <mergeCell ref="C9:E9"/>
    <mergeCell ref="K9:L9"/>
    <mergeCell ref="K5:L5"/>
    <mergeCell ref="C5:E5"/>
    <mergeCell ref="K6:L6"/>
    <mergeCell ref="K7:L7"/>
    <mergeCell ref="K10:L10"/>
    <mergeCell ref="K8:L8"/>
    <mergeCell ref="C6:E6"/>
    <mergeCell ref="C7:E7"/>
  </mergeCells>
  <pageMargins left="0" right="0.06" top="0.37" bottom="0.74803149606299213" header="0.31496062992125984" footer="0.31496062992125984"/>
  <pageSetup paperSize="9" scale="78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8"/>
  <sheetViews>
    <sheetView rightToLeft="1" topLeftCell="C1" workbookViewId="0">
      <selection activeCell="H4" sqref="H4"/>
    </sheetView>
  </sheetViews>
  <sheetFormatPr defaultColWidth="9" defaultRowHeight="12.75"/>
  <cols>
    <col min="1" max="5" width="9" style="77"/>
    <col min="6" max="6" width="29.5703125" style="77" customWidth="1"/>
    <col min="7" max="7" width="18.7109375" style="77" bestFit="1" customWidth="1"/>
    <col min="8" max="8" width="19.28515625" style="77" bestFit="1" customWidth="1"/>
    <col min="9" max="9" width="10.42578125" style="77" customWidth="1"/>
    <col min="10" max="10" width="13.85546875" style="77" customWidth="1"/>
    <col min="11" max="16384" width="9" style="77"/>
  </cols>
  <sheetData>
    <row r="2" spans="2:10" ht="13.5" thickBot="1"/>
    <row r="3" spans="2:10" ht="53.25" customHeight="1" thickTop="1">
      <c r="B3" s="78" t="s">
        <v>0</v>
      </c>
      <c r="C3" s="703" t="s">
        <v>23</v>
      </c>
      <c r="D3" s="704"/>
      <c r="E3" s="704"/>
      <c r="F3" s="705"/>
      <c r="G3" s="79" t="s">
        <v>515</v>
      </c>
      <c r="H3" s="79">
        <v>1392</v>
      </c>
      <c r="I3" s="79" t="s">
        <v>106</v>
      </c>
      <c r="J3" s="80" t="s">
        <v>107</v>
      </c>
    </row>
    <row r="4" spans="2:10" ht="65.25" customHeight="1">
      <c r="B4" s="81">
        <v>1</v>
      </c>
      <c r="C4" s="706" t="s">
        <v>108</v>
      </c>
      <c r="D4" s="706"/>
      <c r="E4" s="706"/>
      <c r="F4" s="706"/>
      <c r="G4" s="82">
        <v>0</v>
      </c>
      <c r="H4" s="83">
        <v>53937235487</v>
      </c>
      <c r="I4" s="84">
        <f>H4/H7*100</f>
        <v>17.580401862496871</v>
      </c>
      <c r="J4" s="85"/>
    </row>
    <row r="5" spans="2:10" ht="114.75" customHeight="1">
      <c r="B5" s="81">
        <v>2</v>
      </c>
      <c r="C5" s="706" t="s">
        <v>109</v>
      </c>
      <c r="D5" s="706"/>
      <c r="E5" s="706"/>
      <c r="F5" s="706"/>
      <c r="G5" s="82">
        <v>0</v>
      </c>
      <c r="H5" s="83">
        <v>81226100000</v>
      </c>
      <c r="I5" s="84">
        <f>H5/H7*100</f>
        <v>26.474984615545079</v>
      </c>
      <c r="J5" s="85"/>
    </row>
    <row r="6" spans="2:10" ht="45" customHeight="1">
      <c r="B6" s="81">
        <v>3</v>
      </c>
      <c r="C6" s="706" t="s">
        <v>110</v>
      </c>
      <c r="D6" s="706"/>
      <c r="E6" s="706"/>
      <c r="F6" s="706"/>
      <c r="G6" s="86">
        <v>73807829439</v>
      </c>
      <c r="H6" s="83">
        <v>171639864513</v>
      </c>
      <c r="I6" s="84">
        <f>H6/H7*100</f>
        <v>55.944613521958054</v>
      </c>
      <c r="J6" s="87"/>
    </row>
    <row r="7" spans="2:10" ht="43.5" customHeight="1" thickBot="1">
      <c r="B7" s="88">
        <v>4</v>
      </c>
      <c r="C7" s="707" t="s">
        <v>111</v>
      </c>
      <c r="D7" s="707"/>
      <c r="E7" s="707"/>
      <c r="F7" s="707"/>
      <c r="G7" s="89">
        <f>G4+G5+G6</f>
        <v>73807829439</v>
      </c>
      <c r="H7" s="90">
        <f>SUM(H4:H6)</f>
        <v>306803200000</v>
      </c>
      <c r="I7" s="91">
        <v>100</v>
      </c>
      <c r="J7" s="92"/>
    </row>
    <row r="8" spans="2:10" ht="13.5" thickTop="1">
      <c r="C8" s="702"/>
      <c r="D8" s="702"/>
      <c r="E8" s="702"/>
      <c r="F8" s="702"/>
      <c r="G8" s="93"/>
    </row>
  </sheetData>
  <mergeCells count="6">
    <mergeCell ref="C8:F8"/>
    <mergeCell ref="C3:F3"/>
    <mergeCell ref="C4:F4"/>
    <mergeCell ref="C5:F5"/>
    <mergeCell ref="C6:F6"/>
    <mergeCell ref="C7:F7"/>
  </mergeCells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4"/>
  <sheetViews>
    <sheetView rightToLeft="1" topLeftCell="B10" workbookViewId="0">
      <selection activeCell="C4" sqref="C4"/>
    </sheetView>
  </sheetViews>
  <sheetFormatPr defaultColWidth="9" defaultRowHeight="15"/>
  <cols>
    <col min="1" max="1" width="8" style="270" customWidth="1"/>
    <col min="2" max="2" width="29.28515625" style="270" customWidth="1"/>
    <col min="3" max="3" width="12.5703125" style="270" customWidth="1"/>
    <col min="4" max="4" width="12.7109375" style="270" customWidth="1"/>
    <col min="5" max="5" width="9" style="270"/>
    <col min="6" max="6" width="12" style="270" customWidth="1"/>
    <col min="7" max="7" width="13.7109375" style="270" customWidth="1"/>
    <col min="8" max="8" width="13.5703125" style="270" customWidth="1"/>
    <col min="9" max="9" width="13.140625" style="270" customWidth="1"/>
    <col min="10" max="16384" width="9" style="270"/>
  </cols>
  <sheetData>
    <row r="1" spans="1:8" ht="32.25" customHeight="1">
      <c r="A1" s="723" t="s">
        <v>43</v>
      </c>
      <c r="B1" s="724"/>
      <c r="C1" s="725"/>
    </row>
    <row r="2" spans="1:8" ht="51.75" customHeight="1">
      <c r="A2" s="312" t="s">
        <v>0</v>
      </c>
      <c r="B2" s="312" t="s">
        <v>44</v>
      </c>
      <c r="C2" s="312" t="s">
        <v>45</v>
      </c>
    </row>
    <row r="3" spans="1:8" ht="15.75">
      <c r="A3" s="335">
        <v>1</v>
      </c>
      <c r="B3" s="334" t="s">
        <v>46</v>
      </c>
      <c r="C3" s="333">
        <f>H84</f>
        <v>5912000000</v>
      </c>
    </row>
    <row r="4" spans="1:8" ht="15.75">
      <c r="A4" s="335">
        <v>2</v>
      </c>
      <c r="B4" s="334" t="s">
        <v>47</v>
      </c>
      <c r="C4" s="333">
        <f>F48</f>
        <v>240000000</v>
      </c>
    </row>
    <row r="5" spans="1:8" ht="15.75">
      <c r="A5" s="335">
        <v>3</v>
      </c>
      <c r="B5" s="334" t="s">
        <v>48</v>
      </c>
      <c r="C5" s="333">
        <f>G35</f>
        <v>144000000</v>
      </c>
    </row>
    <row r="6" spans="1:8" ht="15.75">
      <c r="A6" s="335">
        <v>4</v>
      </c>
      <c r="B6" s="334" t="s">
        <v>49</v>
      </c>
      <c r="C6" s="333">
        <f>H25</f>
        <v>434000000</v>
      </c>
    </row>
    <row r="7" spans="1:8" ht="15.75">
      <c r="A7" s="335">
        <v>5</v>
      </c>
      <c r="B7" s="334" t="s">
        <v>50</v>
      </c>
      <c r="C7" s="333">
        <f>F31</f>
        <v>2520000000</v>
      </c>
    </row>
    <row r="8" spans="1:8" ht="15.75">
      <c r="A8" s="726" t="s">
        <v>468</v>
      </c>
      <c r="B8" s="727"/>
      <c r="C8" s="332">
        <f>SUM(C3:C7)</f>
        <v>9250000000</v>
      </c>
    </row>
    <row r="9" spans="1:8">
      <c r="A9" s="270" t="s">
        <v>52</v>
      </c>
    </row>
    <row r="10" spans="1:8" ht="15.75">
      <c r="A10" s="723" t="s">
        <v>441</v>
      </c>
      <c r="B10" s="724"/>
      <c r="C10" s="724"/>
      <c r="D10" s="724"/>
      <c r="E10" s="724"/>
      <c r="F10" s="724"/>
      <c r="G10" s="724"/>
      <c r="H10" s="725"/>
    </row>
    <row r="11" spans="1:8" ht="15.75">
      <c r="A11" s="728" t="s">
        <v>467</v>
      </c>
      <c r="B11" s="729"/>
      <c r="C11" s="729"/>
      <c r="D11" s="729"/>
      <c r="E11" s="729"/>
      <c r="F11" s="729"/>
      <c r="G11" s="729"/>
      <c r="H11" s="730"/>
    </row>
    <row r="12" spans="1:8" ht="63">
      <c r="A12" s="286" t="s">
        <v>22</v>
      </c>
      <c r="B12" s="331" t="s">
        <v>466</v>
      </c>
      <c r="C12" s="308" t="s">
        <v>465</v>
      </c>
      <c r="D12" s="307" t="s">
        <v>464</v>
      </c>
      <c r="E12" s="307" t="s">
        <v>463</v>
      </c>
      <c r="F12" s="307" t="s">
        <v>462</v>
      </c>
      <c r="G12" s="307" t="s">
        <v>461</v>
      </c>
      <c r="H12" s="312" t="s">
        <v>45</v>
      </c>
    </row>
    <row r="13" spans="1:8" ht="15.75">
      <c r="A13" s="278">
        <v>1</v>
      </c>
      <c r="B13" s="329" t="s">
        <v>460</v>
      </c>
      <c r="C13" s="317">
        <v>2</v>
      </c>
      <c r="D13" s="278">
        <v>4</v>
      </c>
      <c r="E13" s="278">
        <v>8</v>
      </c>
      <c r="F13" s="278">
        <v>1</v>
      </c>
      <c r="G13" s="328">
        <v>5000000</v>
      </c>
      <c r="H13" s="330">
        <v>40000000</v>
      </c>
    </row>
    <row r="14" spans="1:8" ht="15.75">
      <c r="A14" s="278">
        <v>2</v>
      </c>
      <c r="B14" s="329" t="s">
        <v>459</v>
      </c>
      <c r="C14" s="317">
        <v>2</v>
      </c>
      <c r="D14" s="278">
        <v>4</v>
      </c>
      <c r="E14" s="278">
        <v>8</v>
      </c>
      <c r="F14" s="278">
        <v>1</v>
      </c>
      <c r="G14" s="328">
        <v>5000000</v>
      </c>
      <c r="H14" s="328">
        <v>40000000</v>
      </c>
    </row>
    <row r="15" spans="1:8" ht="15.75">
      <c r="A15" s="278">
        <v>3</v>
      </c>
      <c r="B15" s="329" t="s">
        <v>458</v>
      </c>
      <c r="C15" s="317">
        <v>2</v>
      </c>
      <c r="D15" s="278">
        <v>4</v>
      </c>
      <c r="E15" s="278">
        <v>8</v>
      </c>
      <c r="F15" s="278">
        <v>1</v>
      </c>
      <c r="G15" s="328">
        <v>5000000</v>
      </c>
      <c r="H15" s="328">
        <v>40000000</v>
      </c>
    </row>
    <row r="16" spans="1:8" ht="15.75">
      <c r="A16" s="278">
        <v>4</v>
      </c>
      <c r="B16" s="329" t="s">
        <v>457</v>
      </c>
      <c r="C16" s="317">
        <v>3</v>
      </c>
      <c r="D16" s="278">
        <v>4</v>
      </c>
      <c r="E16" s="278">
        <v>12</v>
      </c>
      <c r="F16" s="278">
        <v>1</v>
      </c>
      <c r="G16" s="328">
        <v>3500000</v>
      </c>
      <c r="H16" s="328">
        <v>42000000</v>
      </c>
    </row>
    <row r="17" spans="1:8" ht="15.75">
      <c r="A17" s="278">
        <v>5</v>
      </c>
      <c r="B17" s="329" t="s">
        <v>456</v>
      </c>
      <c r="C17" s="317">
        <v>1</v>
      </c>
      <c r="D17" s="278">
        <v>4</v>
      </c>
      <c r="E17" s="278">
        <v>4</v>
      </c>
      <c r="F17" s="278">
        <v>1</v>
      </c>
      <c r="G17" s="328">
        <v>5000000</v>
      </c>
      <c r="H17" s="328">
        <v>20000000</v>
      </c>
    </row>
    <row r="18" spans="1:8" ht="15.75">
      <c r="A18" s="278">
        <v>6</v>
      </c>
      <c r="B18" s="329" t="s">
        <v>455</v>
      </c>
      <c r="C18" s="317">
        <v>1</v>
      </c>
      <c r="D18" s="278">
        <v>4</v>
      </c>
      <c r="E18" s="278">
        <v>4</v>
      </c>
      <c r="F18" s="278">
        <v>1</v>
      </c>
      <c r="G18" s="328">
        <v>5000000</v>
      </c>
      <c r="H18" s="328">
        <v>20000000</v>
      </c>
    </row>
    <row r="19" spans="1:8" ht="15.75">
      <c r="A19" s="278">
        <v>7</v>
      </c>
      <c r="B19" s="329" t="s">
        <v>454</v>
      </c>
      <c r="C19" s="317">
        <v>2</v>
      </c>
      <c r="D19" s="278">
        <v>4</v>
      </c>
      <c r="E19" s="278">
        <v>8</v>
      </c>
      <c r="F19" s="278">
        <v>1</v>
      </c>
      <c r="G19" s="328">
        <v>5000000</v>
      </c>
      <c r="H19" s="328">
        <v>40000000</v>
      </c>
    </row>
    <row r="20" spans="1:8" ht="15.75">
      <c r="A20" s="278">
        <v>8</v>
      </c>
      <c r="B20" s="329" t="s">
        <v>453</v>
      </c>
      <c r="C20" s="317">
        <v>2</v>
      </c>
      <c r="D20" s="278">
        <v>4</v>
      </c>
      <c r="E20" s="278">
        <v>8</v>
      </c>
      <c r="F20" s="278">
        <v>1</v>
      </c>
      <c r="G20" s="328">
        <v>5000000</v>
      </c>
      <c r="H20" s="328">
        <v>40000000</v>
      </c>
    </row>
    <row r="21" spans="1:8" ht="15.75">
      <c r="A21" s="278">
        <v>9</v>
      </c>
      <c r="B21" s="329" t="s">
        <v>452</v>
      </c>
      <c r="C21" s="317">
        <v>1</v>
      </c>
      <c r="D21" s="278">
        <v>4</v>
      </c>
      <c r="E21" s="278">
        <v>4</v>
      </c>
      <c r="F21" s="278">
        <v>1</v>
      </c>
      <c r="G21" s="328">
        <v>5000000</v>
      </c>
      <c r="H21" s="328">
        <v>20000000</v>
      </c>
    </row>
    <row r="22" spans="1:8" ht="15.75">
      <c r="A22" s="278">
        <v>10</v>
      </c>
      <c r="B22" s="329" t="s">
        <v>451</v>
      </c>
      <c r="C22" s="317">
        <v>3</v>
      </c>
      <c r="D22" s="278">
        <v>4</v>
      </c>
      <c r="E22" s="278">
        <v>12</v>
      </c>
      <c r="F22" s="278">
        <v>1</v>
      </c>
      <c r="G22" s="328">
        <v>5000000</v>
      </c>
      <c r="H22" s="328">
        <v>60000000</v>
      </c>
    </row>
    <row r="23" spans="1:8" ht="15.75">
      <c r="A23" s="278">
        <v>11</v>
      </c>
      <c r="B23" s="329" t="s">
        <v>450</v>
      </c>
      <c r="C23" s="317">
        <v>2</v>
      </c>
      <c r="D23" s="278">
        <v>4</v>
      </c>
      <c r="E23" s="278">
        <v>8</v>
      </c>
      <c r="F23" s="278">
        <v>1</v>
      </c>
      <c r="G23" s="328">
        <v>5000000</v>
      </c>
      <c r="H23" s="328">
        <v>40000000</v>
      </c>
    </row>
    <row r="24" spans="1:8" ht="15.75">
      <c r="A24" s="278">
        <v>12</v>
      </c>
      <c r="B24" s="329" t="s">
        <v>449</v>
      </c>
      <c r="C24" s="317">
        <v>2</v>
      </c>
      <c r="D24" s="278">
        <v>4</v>
      </c>
      <c r="E24" s="278">
        <v>8</v>
      </c>
      <c r="F24" s="278">
        <v>1</v>
      </c>
      <c r="G24" s="328">
        <v>4000000</v>
      </c>
      <c r="H24" s="328">
        <v>32000000</v>
      </c>
    </row>
    <row r="25" spans="1:8" ht="15.75">
      <c r="A25" s="731" t="s">
        <v>51</v>
      </c>
      <c r="B25" s="732"/>
      <c r="C25" s="327"/>
      <c r="D25" s="326"/>
      <c r="E25" s="325"/>
      <c r="F25" s="325"/>
      <c r="G25" s="324"/>
      <c r="H25" s="323">
        <f>SUM(H13:H24)</f>
        <v>434000000</v>
      </c>
    </row>
    <row r="26" spans="1:8" ht="15.75">
      <c r="A26" s="722" t="s">
        <v>441</v>
      </c>
      <c r="B26" s="722"/>
      <c r="C26" s="722"/>
      <c r="D26" s="722"/>
      <c r="E26" s="722"/>
      <c r="F26" s="722"/>
    </row>
    <row r="27" spans="1:8" ht="15.75">
      <c r="A27" s="708" t="s">
        <v>448</v>
      </c>
      <c r="B27" s="708"/>
      <c r="C27" s="708"/>
      <c r="D27" s="708"/>
      <c r="E27" s="708"/>
      <c r="F27" s="709"/>
    </row>
    <row r="28" spans="1:8" ht="47.25">
      <c r="A28" s="322" t="s">
        <v>0</v>
      </c>
      <c r="B28" s="286" t="s">
        <v>44</v>
      </c>
      <c r="C28" s="286" t="s">
        <v>447</v>
      </c>
      <c r="D28" s="308" t="s">
        <v>446</v>
      </c>
      <c r="E28" s="321" t="s">
        <v>445</v>
      </c>
      <c r="F28" s="320" t="s">
        <v>444</v>
      </c>
    </row>
    <row r="29" spans="1:8" ht="45">
      <c r="A29" s="278">
        <v>1</v>
      </c>
      <c r="B29" s="319" t="s">
        <v>443</v>
      </c>
      <c r="C29" s="278">
        <v>2</v>
      </c>
      <c r="D29" s="318">
        <v>20000000</v>
      </c>
      <c r="E29" s="317">
        <v>42</v>
      </c>
      <c r="F29" s="316">
        <v>1680000000</v>
      </c>
    </row>
    <row r="30" spans="1:8" ht="45">
      <c r="A30" s="278">
        <v>2</v>
      </c>
      <c r="B30" s="319" t="s">
        <v>442</v>
      </c>
      <c r="C30" s="278">
        <v>1</v>
      </c>
      <c r="D30" s="318">
        <v>20000000</v>
      </c>
      <c r="E30" s="317">
        <v>42</v>
      </c>
      <c r="F30" s="316">
        <v>840000000</v>
      </c>
    </row>
    <row r="31" spans="1:8" ht="15.75">
      <c r="A31" s="315" t="s">
        <v>51</v>
      </c>
      <c r="B31" s="314"/>
      <c r="C31" s="314"/>
      <c r="D31" s="314"/>
      <c r="E31" s="314"/>
      <c r="F31" s="313">
        <f>SUM(F29:F30)</f>
        <v>2520000000</v>
      </c>
    </row>
    <row r="32" spans="1:8" ht="15.75">
      <c r="A32" s="710" t="s">
        <v>441</v>
      </c>
      <c r="B32" s="710"/>
      <c r="C32" s="710"/>
      <c r="D32" s="710"/>
      <c r="E32" s="710"/>
      <c r="F32" s="710"/>
      <c r="G32" s="710"/>
    </row>
    <row r="33" spans="1:7" ht="15.75">
      <c r="A33" s="708" t="s">
        <v>440</v>
      </c>
      <c r="B33" s="708"/>
      <c r="C33" s="708"/>
      <c r="D33" s="708"/>
      <c r="E33" s="708"/>
      <c r="F33" s="708"/>
      <c r="G33" s="708"/>
    </row>
    <row r="34" spans="1:7" ht="63">
      <c r="A34" s="312" t="s">
        <v>0</v>
      </c>
      <c r="B34" s="286" t="s">
        <v>44</v>
      </c>
      <c r="C34" s="286" t="s">
        <v>439</v>
      </c>
      <c r="D34" s="286" t="s">
        <v>438</v>
      </c>
      <c r="E34" s="307" t="s">
        <v>437</v>
      </c>
      <c r="F34" s="308" t="s">
        <v>436</v>
      </c>
      <c r="G34" s="286" t="s">
        <v>435</v>
      </c>
    </row>
    <row r="35" spans="1:7">
      <c r="A35" s="711">
        <v>1</v>
      </c>
      <c r="B35" s="714" t="s">
        <v>434</v>
      </c>
      <c r="C35" s="714">
        <v>15</v>
      </c>
      <c r="D35" s="717">
        <v>1200000</v>
      </c>
      <c r="E35" s="712">
        <v>42</v>
      </c>
      <c r="F35" s="720" t="s">
        <v>433</v>
      </c>
      <c r="G35" s="718">
        <v>144000000</v>
      </c>
    </row>
    <row r="36" spans="1:7">
      <c r="A36" s="712"/>
      <c r="B36" s="715"/>
      <c r="C36" s="715"/>
      <c r="D36" s="718"/>
      <c r="E36" s="712"/>
      <c r="F36" s="720"/>
      <c r="G36" s="718"/>
    </row>
    <row r="37" spans="1:7">
      <c r="A37" s="712"/>
      <c r="B37" s="715"/>
      <c r="C37" s="715"/>
      <c r="D37" s="718"/>
      <c r="E37" s="712"/>
      <c r="F37" s="720"/>
      <c r="G37" s="718"/>
    </row>
    <row r="38" spans="1:7">
      <c r="A38" s="712"/>
      <c r="B38" s="715"/>
      <c r="C38" s="715"/>
      <c r="D38" s="718"/>
      <c r="E38" s="712"/>
      <c r="F38" s="720"/>
      <c r="G38" s="718"/>
    </row>
    <row r="39" spans="1:7">
      <c r="A39" s="712"/>
      <c r="B39" s="715"/>
      <c r="C39" s="715"/>
      <c r="D39" s="718"/>
      <c r="E39" s="712"/>
      <c r="F39" s="720"/>
      <c r="G39" s="718"/>
    </row>
    <row r="40" spans="1:7">
      <c r="A40" s="712"/>
      <c r="B40" s="715"/>
      <c r="C40" s="715"/>
      <c r="D40" s="718"/>
      <c r="E40" s="712"/>
      <c r="F40" s="720"/>
      <c r="G40" s="718"/>
    </row>
    <row r="41" spans="1:7">
      <c r="A41" s="712"/>
      <c r="B41" s="715"/>
      <c r="C41" s="715"/>
      <c r="D41" s="718"/>
      <c r="E41" s="712"/>
      <c r="F41" s="720"/>
      <c r="G41" s="718"/>
    </row>
    <row r="42" spans="1:7">
      <c r="A42" s="712"/>
      <c r="B42" s="715"/>
      <c r="C42" s="715"/>
      <c r="D42" s="718"/>
      <c r="E42" s="712"/>
      <c r="F42" s="720"/>
      <c r="G42" s="718"/>
    </row>
    <row r="43" spans="1:7">
      <c r="A43" s="712"/>
      <c r="B43" s="715"/>
      <c r="C43" s="715"/>
      <c r="D43" s="718"/>
      <c r="E43" s="712"/>
      <c r="F43" s="720"/>
      <c r="G43" s="718"/>
    </row>
    <row r="44" spans="1:7">
      <c r="A44" s="713"/>
      <c r="B44" s="716"/>
      <c r="C44" s="716"/>
      <c r="D44" s="719"/>
      <c r="E44" s="713"/>
      <c r="F44" s="721"/>
      <c r="G44" s="719"/>
    </row>
    <row r="46" spans="1:7" ht="15.75">
      <c r="A46" s="311" t="s">
        <v>432</v>
      </c>
      <c r="B46" s="310"/>
      <c r="C46" s="310"/>
      <c r="D46" s="310"/>
      <c r="E46" s="310"/>
      <c r="F46" s="310"/>
    </row>
    <row r="47" spans="1:7" ht="94.5">
      <c r="A47" s="309" t="s">
        <v>0</v>
      </c>
      <c r="B47" s="286" t="s">
        <v>44</v>
      </c>
      <c r="C47" s="308" t="s">
        <v>431</v>
      </c>
      <c r="D47" s="307" t="s">
        <v>430</v>
      </c>
      <c r="E47" s="307" t="s">
        <v>429</v>
      </c>
      <c r="F47" s="306" t="s">
        <v>428</v>
      </c>
    </row>
    <row r="48" spans="1:7" ht="15.75">
      <c r="A48" s="305">
        <v>1</v>
      </c>
      <c r="B48" s="304" t="s">
        <v>427</v>
      </c>
      <c r="C48" s="302">
        <v>60000000</v>
      </c>
      <c r="D48" s="303">
        <v>4</v>
      </c>
      <c r="E48" s="303">
        <v>4</v>
      </c>
      <c r="F48" s="302">
        <v>240000000</v>
      </c>
    </row>
    <row r="49" spans="1:8" ht="45">
      <c r="A49" s="296"/>
      <c r="B49" s="301" t="s">
        <v>426</v>
      </c>
      <c r="C49" s="293"/>
      <c r="D49" s="294"/>
      <c r="E49" s="294"/>
      <c r="F49" s="293"/>
    </row>
    <row r="50" spans="1:8" ht="45">
      <c r="A50" s="296"/>
      <c r="B50" s="301" t="s">
        <v>425</v>
      </c>
      <c r="C50" s="293"/>
      <c r="D50" s="294"/>
      <c r="E50" s="294"/>
      <c r="F50" s="293"/>
    </row>
    <row r="51" spans="1:8" ht="0.75" customHeight="1">
      <c r="A51" s="296"/>
      <c r="B51" s="300"/>
      <c r="C51" s="293"/>
      <c r="D51" s="294"/>
      <c r="E51" s="294"/>
      <c r="F51" s="293"/>
    </row>
    <row r="52" spans="1:8" ht="18.75" hidden="1" customHeight="1">
      <c r="A52" s="296"/>
      <c r="B52" s="295"/>
      <c r="C52" s="293"/>
      <c r="D52" s="294"/>
      <c r="E52" s="294"/>
      <c r="F52" s="293"/>
    </row>
    <row r="53" spans="1:8" ht="18.75" hidden="1" customHeight="1">
      <c r="A53" s="296"/>
      <c r="B53" s="299"/>
      <c r="C53" s="293"/>
      <c r="D53" s="294"/>
      <c r="E53" s="294"/>
      <c r="F53" s="293"/>
    </row>
    <row r="54" spans="1:8" ht="18.75" hidden="1" customHeight="1">
      <c r="A54" s="296"/>
      <c r="B54" s="298"/>
      <c r="C54" s="293"/>
      <c r="D54" s="294"/>
      <c r="E54" s="294"/>
      <c r="F54" s="293"/>
    </row>
    <row r="55" spans="1:8" ht="18.75" hidden="1" customHeight="1">
      <c r="A55" s="296"/>
      <c r="B55" s="297"/>
      <c r="C55" s="293"/>
      <c r="D55" s="294"/>
      <c r="E55" s="294"/>
      <c r="F55" s="293"/>
    </row>
    <row r="56" spans="1:8" ht="18.75" hidden="1" customHeight="1">
      <c r="A56" s="296"/>
      <c r="B56" s="297"/>
      <c r="C56" s="293"/>
      <c r="D56" s="294"/>
      <c r="E56" s="294"/>
      <c r="F56" s="293"/>
    </row>
    <row r="57" spans="1:8" ht="18.75" hidden="1" customHeight="1">
      <c r="A57" s="296"/>
      <c r="B57" s="295"/>
      <c r="C57" s="293"/>
      <c r="D57" s="294"/>
      <c r="E57" s="294"/>
      <c r="F57" s="293"/>
    </row>
    <row r="58" spans="1:8" ht="18.75" hidden="1" customHeight="1">
      <c r="A58" s="292"/>
      <c r="B58" s="291"/>
      <c r="C58" s="289"/>
      <c r="D58" s="290"/>
      <c r="E58" s="290"/>
      <c r="F58" s="289"/>
    </row>
    <row r="59" spans="1:8" ht="15.75">
      <c r="A59" s="288" t="s">
        <v>424</v>
      </c>
      <c r="B59" s="288"/>
      <c r="C59" s="288"/>
      <c r="D59" s="288"/>
      <c r="E59" s="288"/>
      <c r="F59" s="288"/>
      <c r="G59" s="288"/>
      <c r="H59" s="288"/>
    </row>
    <row r="60" spans="1:8" ht="15.75">
      <c r="A60" s="287" t="s">
        <v>423</v>
      </c>
      <c r="B60" s="287"/>
      <c r="C60" s="287"/>
      <c r="D60" s="287"/>
      <c r="E60" s="287"/>
      <c r="F60" s="287"/>
      <c r="G60" s="287"/>
      <c r="H60" s="287"/>
    </row>
    <row r="61" spans="1:8" ht="47.25">
      <c r="A61" s="286" t="s">
        <v>22</v>
      </c>
      <c r="B61" s="286" t="s">
        <v>23</v>
      </c>
      <c r="C61" s="286" t="s">
        <v>422</v>
      </c>
      <c r="D61" s="285" t="s">
        <v>421</v>
      </c>
      <c r="E61" s="285" t="s">
        <v>420</v>
      </c>
      <c r="F61" s="285" t="s">
        <v>419</v>
      </c>
      <c r="G61" s="285" t="s">
        <v>418</v>
      </c>
      <c r="H61" s="285" t="s">
        <v>417</v>
      </c>
    </row>
    <row r="62" spans="1:8" ht="15.75">
      <c r="A62" s="278">
        <v>1</v>
      </c>
      <c r="B62" s="280" t="s">
        <v>416</v>
      </c>
      <c r="C62" s="279">
        <v>200</v>
      </c>
      <c r="D62" s="279">
        <v>3</v>
      </c>
      <c r="E62" s="278">
        <v>42</v>
      </c>
      <c r="F62" s="282">
        <v>350000</v>
      </c>
      <c r="G62" s="281">
        <f t="shared" ref="G62:G77" si="0">(E62/D62)*C62</f>
        <v>2800</v>
      </c>
      <c r="H62" s="276">
        <v>980000000</v>
      </c>
    </row>
    <row r="63" spans="1:8" ht="15.75">
      <c r="A63" s="278">
        <v>2</v>
      </c>
      <c r="B63" s="280" t="s">
        <v>415</v>
      </c>
      <c r="C63" s="279">
        <v>50</v>
      </c>
      <c r="D63" s="279">
        <v>6</v>
      </c>
      <c r="E63" s="278">
        <v>42</v>
      </c>
      <c r="F63" s="284">
        <v>1200000</v>
      </c>
      <c r="G63" s="281">
        <f t="shared" si="0"/>
        <v>350</v>
      </c>
      <c r="H63" s="275">
        <f>G63*F63</f>
        <v>420000000</v>
      </c>
    </row>
    <row r="64" spans="1:8" ht="30">
      <c r="A64" s="278">
        <v>3</v>
      </c>
      <c r="B64" s="280" t="s">
        <v>414</v>
      </c>
      <c r="C64" s="279">
        <v>40</v>
      </c>
      <c r="D64" s="279">
        <v>42</v>
      </c>
      <c r="E64" s="278">
        <v>42</v>
      </c>
      <c r="F64" s="277">
        <v>1300000</v>
      </c>
      <c r="G64" s="281">
        <f t="shared" si="0"/>
        <v>40</v>
      </c>
      <c r="H64" s="275">
        <f>G64*F64</f>
        <v>52000000</v>
      </c>
    </row>
    <row r="65" spans="1:8" ht="15.75">
      <c r="A65" s="278">
        <v>4</v>
      </c>
      <c r="B65" s="280" t="s">
        <v>413</v>
      </c>
      <c r="C65" s="279">
        <v>250</v>
      </c>
      <c r="D65" s="279">
        <v>6</v>
      </c>
      <c r="E65" s="278">
        <v>42</v>
      </c>
      <c r="F65" s="282">
        <v>550000</v>
      </c>
      <c r="G65" s="281">
        <f t="shared" si="0"/>
        <v>1750</v>
      </c>
      <c r="H65" s="276">
        <v>962500000</v>
      </c>
    </row>
    <row r="66" spans="1:8" ht="15.75">
      <c r="A66" s="278">
        <v>5</v>
      </c>
      <c r="B66" s="280" t="s">
        <v>412</v>
      </c>
      <c r="C66" s="279">
        <v>35</v>
      </c>
      <c r="D66" s="279">
        <v>42</v>
      </c>
      <c r="E66" s="278">
        <v>42</v>
      </c>
      <c r="F66" s="277">
        <v>650000</v>
      </c>
      <c r="G66" s="281">
        <f t="shared" si="0"/>
        <v>35</v>
      </c>
      <c r="H66" s="275">
        <f>G66*F66</f>
        <v>22750000</v>
      </c>
    </row>
    <row r="67" spans="1:8" ht="15.75">
      <c r="A67" s="278">
        <v>6</v>
      </c>
      <c r="B67" s="280" t="s">
        <v>411</v>
      </c>
      <c r="C67" s="279">
        <v>200</v>
      </c>
      <c r="D67" s="279">
        <v>21</v>
      </c>
      <c r="E67" s="278">
        <v>42</v>
      </c>
      <c r="F67" s="282">
        <v>150000</v>
      </c>
      <c r="G67" s="281">
        <f t="shared" si="0"/>
        <v>400</v>
      </c>
      <c r="H67" s="283">
        <v>60000000</v>
      </c>
    </row>
    <row r="68" spans="1:8" ht="15.75">
      <c r="A68" s="278">
        <v>7</v>
      </c>
      <c r="B68" s="280" t="s">
        <v>410</v>
      </c>
      <c r="C68" s="279">
        <v>200</v>
      </c>
      <c r="D68" s="279">
        <v>0.5</v>
      </c>
      <c r="E68" s="278">
        <v>42</v>
      </c>
      <c r="F68" s="282">
        <v>35000</v>
      </c>
      <c r="G68" s="281">
        <f t="shared" si="0"/>
        <v>16800</v>
      </c>
      <c r="H68" s="276">
        <v>588000000</v>
      </c>
    </row>
    <row r="69" spans="1:8" ht="15.75">
      <c r="A69" s="278">
        <v>8</v>
      </c>
      <c r="B69" s="280" t="s">
        <v>409</v>
      </c>
      <c r="C69" s="279">
        <v>30</v>
      </c>
      <c r="D69" s="279">
        <v>1</v>
      </c>
      <c r="E69" s="278">
        <v>42</v>
      </c>
      <c r="F69" s="277">
        <v>800000</v>
      </c>
      <c r="G69" s="281">
        <f t="shared" si="0"/>
        <v>1260</v>
      </c>
      <c r="H69" s="275">
        <f>G69*F69</f>
        <v>1008000000</v>
      </c>
    </row>
    <row r="70" spans="1:8" ht="15.75">
      <c r="A70" s="278">
        <v>9</v>
      </c>
      <c r="B70" s="280" t="s">
        <v>408</v>
      </c>
      <c r="C70" s="279">
        <v>30</v>
      </c>
      <c r="D70" s="279">
        <v>2</v>
      </c>
      <c r="E70" s="278">
        <v>42</v>
      </c>
      <c r="F70" s="277">
        <v>250000</v>
      </c>
      <c r="G70" s="281">
        <f t="shared" si="0"/>
        <v>630</v>
      </c>
      <c r="H70" s="275">
        <f>G70*F70</f>
        <v>157500000</v>
      </c>
    </row>
    <row r="71" spans="1:8" ht="15.75">
      <c r="A71" s="278">
        <v>10</v>
      </c>
      <c r="B71" s="280" t="s">
        <v>407</v>
      </c>
      <c r="C71" s="279">
        <v>30</v>
      </c>
      <c r="D71" s="279">
        <v>3</v>
      </c>
      <c r="E71" s="278">
        <v>42</v>
      </c>
      <c r="F71" s="277">
        <v>150000</v>
      </c>
      <c r="G71" s="281">
        <f t="shared" si="0"/>
        <v>420</v>
      </c>
      <c r="H71" s="275">
        <f>F71*G71</f>
        <v>63000000</v>
      </c>
    </row>
    <row r="72" spans="1:8" ht="15.75">
      <c r="A72" s="278">
        <v>12</v>
      </c>
      <c r="B72" s="280" t="s">
        <v>406</v>
      </c>
      <c r="C72" s="279">
        <v>200</v>
      </c>
      <c r="D72" s="279">
        <v>0.5</v>
      </c>
      <c r="E72" s="278">
        <v>42</v>
      </c>
      <c r="F72" s="282">
        <v>30000</v>
      </c>
      <c r="G72" s="281">
        <f t="shared" si="0"/>
        <v>16800</v>
      </c>
      <c r="H72" s="276">
        <v>504000000</v>
      </c>
    </row>
    <row r="73" spans="1:8" ht="30">
      <c r="A73" s="278">
        <v>13</v>
      </c>
      <c r="B73" s="280" t="s">
        <v>405</v>
      </c>
      <c r="C73" s="279">
        <v>50</v>
      </c>
      <c r="D73" s="279">
        <v>6</v>
      </c>
      <c r="E73" s="278">
        <v>42</v>
      </c>
      <c r="F73" s="277">
        <v>50000</v>
      </c>
      <c r="G73" s="281">
        <f t="shared" si="0"/>
        <v>350</v>
      </c>
      <c r="H73" s="275">
        <f>G73*F73</f>
        <v>17500000</v>
      </c>
    </row>
    <row r="74" spans="1:8" ht="15.75">
      <c r="A74" s="278">
        <v>14</v>
      </c>
      <c r="B74" s="280" t="s">
        <v>404</v>
      </c>
      <c r="C74" s="279">
        <v>3</v>
      </c>
      <c r="D74" s="279">
        <v>42</v>
      </c>
      <c r="E74" s="278">
        <v>42</v>
      </c>
      <c r="F74" s="277">
        <v>750000</v>
      </c>
      <c r="G74" s="281">
        <f t="shared" si="0"/>
        <v>3</v>
      </c>
      <c r="H74" s="275">
        <f>G74*F74</f>
        <v>2250000</v>
      </c>
    </row>
    <row r="75" spans="1:8" ht="30">
      <c r="A75" s="278">
        <v>15</v>
      </c>
      <c r="B75" s="280" t="s">
        <v>403</v>
      </c>
      <c r="C75" s="279">
        <v>100</v>
      </c>
      <c r="D75" s="279">
        <v>1</v>
      </c>
      <c r="E75" s="278">
        <v>42</v>
      </c>
      <c r="F75" s="282">
        <v>40000</v>
      </c>
      <c r="G75" s="281">
        <f t="shared" si="0"/>
        <v>4200</v>
      </c>
      <c r="H75" s="276">
        <v>168000000</v>
      </c>
    </row>
    <row r="76" spans="1:8" ht="30">
      <c r="A76" s="278">
        <v>18</v>
      </c>
      <c r="B76" s="280" t="s">
        <v>402</v>
      </c>
      <c r="C76" s="279">
        <v>15</v>
      </c>
      <c r="D76" s="279">
        <v>6</v>
      </c>
      <c r="E76" s="278">
        <v>42</v>
      </c>
      <c r="F76" s="277">
        <v>500000</v>
      </c>
      <c r="G76" s="281">
        <f t="shared" si="0"/>
        <v>105</v>
      </c>
      <c r="H76" s="275">
        <v>52500000</v>
      </c>
    </row>
    <row r="77" spans="1:8" ht="15.75">
      <c r="A77" s="278">
        <v>19</v>
      </c>
      <c r="B77" s="280" t="s">
        <v>401</v>
      </c>
      <c r="C77" s="279">
        <v>8</v>
      </c>
      <c r="D77" s="279">
        <v>1</v>
      </c>
      <c r="E77" s="278">
        <v>42</v>
      </c>
      <c r="F77" s="282">
        <v>1500000</v>
      </c>
      <c r="G77" s="281">
        <f t="shared" si="0"/>
        <v>336</v>
      </c>
      <c r="H77" s="276">
        <v>504000000</v>
      </c>
    </row>
    <row r="78" spans="1:8" ht="15.75">
      <c r="A78" s="278">
        <v>20</v>
      </c>
      <c r="B78" s="280" t="s">
        <v>400</v>
      </c>
      <c r="C78" s="279"/>
      <c r="D78" s="279">
        <v>1</v>
      </c>
      <c r="E78" s="278">
        <v>42</v>
      </c>
      <c r="F78" s="277">
        <v>1000000</v>
      </c>
      <c r="G78" s="276" t="s">
        <v>169</v>
      </c>
      <c r="H78" s="275">
        <v>42000000</v>
      </c>
    </row>
    <row r="79" spans="1:8" ht="45">
      <c r="A79" s="278">
        <v>22</v>
      </c>
      <c r="B79" s="280" t="s">
        <v>399</v>
      </c>
      <c r="C79" s="279">
        <v>60</v>
      </c>
      <c r="D79" s="279">
        <v>42</v>
      </c>
      <c r="E79" s="278">
        <v>42</v>
      </c>
      <c r="F79" s="277">
        <v>900000</v>
      </c>
      <c r="G79" s="276">
        <v>60</v>
      </c>
      <c r="H79" s="275">
        <f>G79*F79</f>
        <v>54000000</v>
      </c>
    </row>
    <row r="80" spans="1:8" ht="45">
      <c r="A80" s="278">
        <v>23</v>
      </c>
      <c r="B80" s="280" t="s">
        <v>398</v>
      </c>
      <c r="C80" s="279">
        <v>10</v>
      </c>
      <c r="D80" s="279">
        <v>42</v>
      </c>
      <c r="E80" s="278">
        <v>42</v>
      </c>
      <c r="F80" s="277">
        <v>900000</v>
      </c>
      <c r="G80" s="276">
        <v>10</v>
      </c>
      <c r="H80" s="275">
        <f>G80*F80</f>
        <v>9000000</v>
      </c>
    </row>
    <row r="81" spans="1:8" ht="60">
      <c r="A81" s="278">
        <v>24</v>
      </c>
      <c r="B81" s="280" t="s">
        <v>397</v>
      </c>
      <c r="C81" s="279" t="s">
        <v>396</v>
      </c>
      <c r="D81" s="279">
        <v>42</v>
      </c>
      <c r="E81" s="278">
        <v>42</v>
      </c>
      <c r="F81" s="277">
        <v>100000000</v>
      </c>
      <c r="G81" s="276">
        <v>2</v>
      </c>
      <c r="H81" s="275">
        <f>G81*F81</f>
        <v>200000000</v>
      </c>
    </row>
    <row r="82" spans="1:8" ht="45">
      <c r="A82" s="278">
        <v>25</v>
      </c>
      <c r="B82" s="280" t="s">
        <v>395</v>
      </c>
      <c r="C82" s="279" t="s">
        <v>394</v>
      </c>
      <c r="D82" s="279">
        <v>42</v>
      </c>
      <c r="E82" s="278">
        <v>42</v>
      </c>
      <c r="F82" s="277">
        <v>30000000</v>
      </c>
      <c r="G82" s="276" t="s">
        <v>169</v>
      </c>
      <c r="H82" s="275">
        <f>F82</f>
        <v>30000000</v>
      </c>
    </row>
    <row r="83" spans="1:8" ht="45">
      <c r="A83" s="278">
        <v>26</v>
      </c>
      <c r="B83" s="280" t="s">
        <v>393</v>
      </c>
      <c r="C83" s="279" t="s">
        <v>392</v>
      </c>
      <c r="D83" s="279">
        <v>42</v>
      </c>
      <c r="E83" s="278">
        <v>42</v>
      </c>
      <c r="F83" s="277">
        <v>2500000</v>
      </c>
      <c r="G83" s="276">
        <v>6</v>
      </c>
      <c r="H83" s="275">
        <f>G83*F83</f>
        <v>15000000</v>
      </c>
    </row>
    <row r="84" spans="1:8" ht="15.75">
      <c r="A84" s="274" t="s">
        <v>51</v>
      </c>
      <c r="B84" s="273"/>
      <c r="C84" s="273"/>
      <c r="D84" s="273"/>
      <c r="E84" s="273"/>
      <c r="F84" s="273"/>
      <c r="G84" s="272"/>
      <c r="H84" s="271">
        <f>SUM(H62:H83)</f>
        <v>5912000000</v>
      </c>
    </row>
  </sheetData>
  <mergeCells count="16">
    <mergeCell ref="A26:F26"/>
    <mergeCell ref="A1:C1"/>
    <mergeCell ref="A8:B8"/>
    <mergeCell ref="A10:H10"/>
    <mergeCell ref="A11:H11"/>
    <mergeCell ref="A25:B25"/>
    <mergeCell ref="A27:F27"/>
    <mergeCell ref="A32:G32"/>
    <mergeCell ref="A33:G33"/>
    <mergeCell ref="A35:A44"/>
    <mergeCell ref="B35:B44"/>
    <mergeCell ref="C35:C44"/>
    <mergeCell ref="D35:D44"/>
    <mergeCell ref="E35:E44"/>
    <mergeCell ref="F35:F44"/>
    <mergeCell ref="G35:G44"/>
  </mergeCells>
  <pageMargins left="0.7" right="0.7" top="0.75" bottom="0.75" header="0.3" footer="0.3"/>
  <pageSetup paperSize="9" scale="93" orientation="landscape" r:id="rId1"/>
  <colBreaks count="1" manualBreakCount="1">
    <brk id="6" max="1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35"/>
  <sheetViews>
    <sheetView rightToLeft="1" topLeftCell="B10" zoomScale="80" zoomScaleNormal="80" workbookViewId="0">
      <selection activeCell="L10" sqref="L10"/>
    </sheetView>
  </sheetViews>
  <sheetFormatPr defaultRowHeight="15"/>
  <cols>
    <col min="1" max="1" width="3" hidden="1" customWidth="1"/>
    <col min="2" max="2" width="7.28515625" customWidth="1"/>
    <col min="5" max="5" width="7" customWidth="1"/>
    <col min="6" max="6" width="38" customWidth="1"/>
    <col min="7" max="7" width="27.85546875" customWidth="1"/>
    <col min="8" max="9" width="24.28515625" customWidth="1"/>
    <col min="10" max="10" width="23.42578125" customWidth="1"/>
    <col min="11" max="11" width="23.140625" customWidth="1"/>
    <col min="12" max="12" width="23.42578125" customWidth="1"/>
    <col min="13" max="13" width="21" customWidth="1"/>
    <col min="14" max="14" width="21.7109375" customWidth="1"/>
    <col min="16" max="16" width="3.42578125" customWidth="1"/>
    <col min="17" max="17" width="20.7109375" customWidth="1"/>
  </cols>
  <sheetData>
    <row r="1" spans="2:17">
      <c r="G1" s="20"/>
    </row>
    <row r="2" spans="2:17" ht="30" customHeight="1">
      <c r="B2" s="733" t="s">
        <v>21</v>
      </c>
      <c r="C2" s="733"/>
      <c r="D2" s="733"/>
      <c r="E2" s="733"/>
      <c r="F2" s="733"/>
      <c r="G2" s="733"/>
      <c r="H2" s="733"/>
      <c r="I2" s="733"/>
      <c r="J2" s="733"/>
    </row>
    <row r="3" spans="2:17" ht="15.75" thickBot="1">
      <c r="B3" s="734"/>
      <c r="C3" s="734"/>
      <c r="D3" s="734"/>
      <c r="E3" s="734"/>
      <c r="F3" s="734"/>
      <c r="G3" s="734"/>
      <c r="H3" s="734"/>
      <c r="I3" s="734"/>
      <c r="J3" s="734"/>
    </row>
    <row r="4" spans="2:17" ht="36.75" customHeight="1" thickTop="1">
      <c r="B4" s="613" t="s">
        <v>22</v>
      </c>
      <c r="C4" s="735" t="s">
        <v>23</v>
      </c>
      <c r="D4" s="735"/>
      <c r="E4" s="735"/>
      <c r="F4" s="735"/>
      <c r="G4" s="21" t="s">
        <v>515</v>
      </c>
      <c r="H4" s="22">
        <v>1392</v>
      </c>
      <c r="I4" s="22">
        <v>1402</v>
      </c>
      <c r="J4" s="679" t="s">
        <v>24</v>
      </c>
      <c r="K4" s="736" t="s">
        <v>25</v>
      </c>
      <c r="L4" s="736" t="s">
        <v>26</v>
      </c>
      <c r="M4" s="736" t="s">
        <v>27</v>
      </c>
      <c r="N4" s="737" t="s">
        <v>28</v>
      </c>
    </row>
    <row r="5" spans="2:17" ht="36.75" customHeight="1">
      <c r="B5" s="614"/>
      <c r="C5" s="606"/>
      <c r="D5" s="606"/>
      <c r="E5" s="606"/>
      <c r="F5" s="606"/>
      <c r="G5" s="23" t="s">
        <v>29</v>
      </c>
      <c r="H5" s="24" t="s">
        <v>29</v>
      </c>
      <c r="I5" s="24"/>
      <c r="J5" s="680"/>
      <c r="K5" s="649"/>
      <c r="L5" s="649"/>
      <c r="M5" s="649"/>
      <c r="N5" s="738"/>
    </row>
    <row r="6" spans="2:17" ht="36.75" customHeight="1">
      <c r="B6" s="25">
        <v>1</v>
      </c>
      <c r="C6" s="606" t="s">
        <v>30</v>
      </c>
      <c r="D6" s="606"/>
      <c r="E6" s="606"/>
      <c r="F6" s="606"/>
      <c r="G6" s="26">
        <v>5424752834</v>
      </c>
      <c r="H6" s="27">
        <v>0</v>
      </c>
      <c r="I6" s="27"/>
      <c r="J6" s="28">
        <f t="shared" ref="J6:J20" si="0">H6-G6</f>
        <v>-5424752834</v>
      </c>
      <c r="K6" s="29"/>
      <c r="L6" s="29">
        <f>0.5*J6</f>
        <v>-2712376417</v>
      </c>
      <c r="M6" s="29"/>
      <c r="N6" s="30">
        <f>0.5*J6</f>
        <v>-2712376417</v>
      </c>
    </row>
    <row r="7" spans="2:17" ht="36.75" customHeight="1">
      <c r="B7" s="25">
        <v>2</v>
      </c>
      <c r="C7" s="606" t="s">
        <v>31</v>
      </c>
      <c r="D7" s="606"/>
      <c r="E7" s="606"/>
      <c r="F7" s="606"/>
      <c r="G7" s="26">
        <v>957309324</v>
      </c>
      <c r="H7" s="27">
        <v>0</v>
      </c>
      <c r="I7" s="27"/>
      <c r="J7" s="28">
        <f t="shared" si="0"/>
        <v>-957309324</v>
      </c>
      <c r="K7" s="29"/>
      <c r="L7" s="29">
        <f>J7</f>
        <v>-957309324</v>
      </c>
      <c r="M7" s="29"/>
      <c r="N7" s="31"/>
    </row>
    <row r="8" spans="2:17" ht="36.75" customHeight="1">
      <c r="B8" s="25">
        <v>3</v>
      </c>
      <c r="C8" s="665" t="s">
        <v>32</v>
      </c>
      <c r="D8" s="665"/>
      <c r="E8" s="665"/>
      <c r="F8" s="665"/>
      <c r="G8" s="26">
        <v>3021143119</v>
      </c>
      <c r="H8" s="27">
        <v>0</v>
      </c>
      <c r="I8" s="27"/>
      <c r="J8" s="28">
        <f t="shared" si="0"/>
        <v>-3021143119</v>
      </c>
      <c r="K8" s="29"/>
      <c r="L8" s="29">
        <f>0.55*J8</f>
        <v>-1661628715.45</v>
      </c>
      <c r="M8" s="29"/>
      <c r="N8" s="32">
        <f>0.45*J8</f>
        <v>-1359514403.55</v>
      </c>
    </row>
    <row r="9" spans="2:17" ht="36.75" customHeight="1">
      <c r="B9" s="25">
        <v>4</v>
      </c>
      <c r="C9" s="606" t="s">
        <v>33</v>
      </c>
      <c r="D9" s="606"/>
      <c r="E9" s="606"/>
      <c r="F9" s="606"/>
      <c r="G9" s="26">
        <v>73807829439</v>
      </c>
      <c r="H9" s="27">
        <v>306803200000</v>
      </c>
      <c r="I9" s="27"/>
      <c r="J9" s="28">
        <f>H9-G9</f>
        <v>232995370561</v>
      </c>
      <c r="K9" s="29">
        <f>0.34*J9</f>
        <v>79218425990.740005</v>
      </c>
      <c r="L9" s="29">
        <f>0.33*J9</f>
        <v>76888472285.130005</v>
      </c>
      <c r="M9" s="29">
        <f>0.23*J9</f>
        <v>53588935229.029999</v>
      </c>
      <c r="N9" s="32">
        <f>0.1*J9</f>
        <v>23299537056.100002</v>
      </c>
      <c r="Q9" s="33"/>
    </row>
    <row r="10" spans="2:17" ht="36.75" customHeight="1">
      <c r="B10" s="25">
        <v>5</v>
      </c>
      <c r="C10" s="606" t="s">
        <v>34</v>
      </c>
      <c r="D10" s="606"/>
      <c r="E10" s="606"/>
      <c r="F10" s="606"/>
      <c r="G10" s="26">
        <v>5555428022</v>
      </c>
      <c r="H10" s="27">
        <f>'c.cefty.1392'!C8</f>
        <v>9250000000</v>
      </c>
      <c r="I10" s="27"/>
      <c r="J10" s="28">
        <f t="shared" si="0"/>
        <v>3694571978</v>
      </c>
      <c r="K10" s="29"/>
      <c r="L10" s="29">
        <f>J10</f>
        <v>3694571978</v>
      </c>
      <c r="M10" s="29"/>
      <c r="N10" s="34"/>
      <c r="Q10" s="33"/>
    </row>
    <row r="11" spans="2:17" ht="36.75" customHeight="1">
      <c r="B11" s="25">
        <v>6</v>
      </c>
      <c r="C11" s="606" t="s">
        <v>35</v>
      </c>
      <c r="D11" s="606"/>
      <c r="E11" s="606"/>
      <c r="F11" s="606"/>
      <c r="G11" s="26">
        <v>18894843991</v>
      </c>
      <c r="H11" s="27">
        <f>G11*2.38</f>
        <v>44969728698.579994</v>
      </c>
      <c r="I11" s="27"/>
      <c r="J11" s="28">
        <f t="shared" si="0"/>
        <v>26074884707.579994</v>
      </c>
      <c r="K11" s="29"/>
      <c r="L11" s="29">
        <f>J11</f>
        <v>26074884707.579994</v>
      </c>
      <c r="M11" s="29"/>
      <c r="N11" s="34"/>
      <c r="Q11" s="35"/>
    </row>
    <row r="12" spans="2:17" ht="36.75" customHeight="1">
      <c r="B12" s="25">
        <v>7</v>
      </c>
      <c r="C12" s="606" t="s">
        <v>36</v>
      </c>
      <c r="D12" s="606"/>
      <c r="E12" s="606"/>
      <c r="F12" s="606"/>
      <c r="G12" s="26">
        <v>18147619049</v>
      </c>
      <c r="H12" s="27">
        <f>G12*2.38</f>
        <v>43191333336.619995</v>
      </c>
      <c r="I12" s="27"/>
      <c r="J12" s="28">
        <f t="shared" si="0"/>
        <v>25043714287.619995</v>
      </c>
      <c r="K12" s="29"/>
      <c r="L12" s="29">
        <f>J12</f>
        <v>25043714287.619995</v>
      </c>
      <c r="M12" s="29"/>
      <c r="N12" s="31"/>
      <c r="Q12" s="33"/>
    </row>
    <row r="13" spans="2:17" ht="36.75" customHeight="1">
      <c r="B13" s="25">
        <v>8</v>
      </c>
      <c r="C13" s="606" t="s">
        <v>37</v>
      </c>
      <c r="D13" s="606"/>
      <c r="E13" s="606"/>
      <c r="F13" s="606"/>
      <c r="G13" s="26">
        <v>1759824479</v>
      </c>
      <c r="H13" s="27">
        <v>2365100000</v>
      </c>
      <c r="I13" s="27"/>
      <c r="J13" s="28">
        <f t="shared" si="0"/>
        <v>605275521</v>
      </c>
      <c r="K13" s="29">
        <f>0.3*J13</f>
        <v>181582656.29999998</v>
      </c>
      <c r="L13" s="29"/>
      <c r="M13" s="29"/>
      <c r="N13" s="30">
        <f>0.7*J13</f>
        <v>423692864.69999999</v>
      </c>
      <c r="Q13" s="33"/>
    </row>
    <row r="14" spans="2:17" ht="36.75" customHeight="1">
      <c r="B14" s="25">
        <v>9</v>
      </c>
      <c r="C14" s="606" t="s">
        <v>38</v>
      </c>
      <c r="D14" s="606"/>
      <c r="E14" s="606"/>
      <c r="F14" s="606"/>
      <c r="G14" s="26">
        <v>2150896585</v>
      </c>
      <c r="H14" s="27">
        <v>2320000000</v>
      </c>
      <c r="I14" s="27"/>
      <c r="J14" s="28">
        <f t="shared" si="0"/>
        <v>169103415</v>
      </c>
      <c r="K14" s="29"/>
      <c r="L14" s="29"/>
      <c r="M14" s="29"/>
      <c r="N14" s="30">
        <f>J14</f>
        <v>169103415</v>
      </c>
      <c r="Q14" s="36"/>
    </row>
    <row r="15" spans="2:17" ht="36.75" customHeight="1">
      <c r="B15" s="25">
        <v>10</v>
      </c>
      <c r="C15" s="606" t="s">
        <v>39</v>
      </c>
      <c r="D15" s="606"/>
      <c r="E15" s="606"/>
      <c r="F15" s="606"/>
      <c r="G15" s="26">
        <v>4571016275</v>
      </c>
      <c r="H15" s="27">
        <v>15873760000</v>
      </c>
      <c r="I15" s="388">
        <f>H15*Inflation!IRR_Inflation_Factor</f>
        <v>790345048713.44299</v>
      </c>
      <c r="J15" s="28">
        <f t="shared" si="0"/>
        <v>11302743725</v>
      </c>
      <c r="K15" s="37"/>
      <c r="L15" s="29">
        <f>0.7*J15</f>
        <v>7911920607.499999</v>
      </c>
      <c r="M15" s="29">
        <f>0.15*J15</f>
        <v>1695411558.75</v>
      </c>
      <c r="N15" s="32">
        <f>0.15*J15</f>
        <v>1695411558.75</v>
      </c>
      <c r="Q15" s="36"/>
    </row>
    <row r="16" spans="2:17" ht="36.75" customHeight="1">
      <c r="B16" s="25">
        <v>11</v>
      </c>
      <c r="C16" s="606" t="s">
        <v>40</v>
      </c>
      <c r="D16" s="606"/>
      <c r="E16" s="606"/>
      <c r="F16" s="606"/>
      <c r="G16" s="26">
        <v>1684354128</v>
      </c>
      <c r="H16" s="27">
        <f>0.04*(H15+H14+H13+H12+H11)</f>
        <v>4348796881.407999</v>
      </c>
      <c r="I16" s="27"/>
      <c r="J16" s="28">
        <f t="shared" si="0"/>
        <v>2664442753.407999</v>
      </c>
      <c r="K16" s="29">
        <f>0.15*J16</f>
        <v>399666413.01119983</v>
      </c>
      <c r="L16" s="29">
        <f>0.7*J16</f>
        <v>1865109927.3855991</v>
      </c>
      <c r="M16" s="29">
        <f>0.15*J16</f>
        <v>399666413.01119983</v>
      </c>
      <c r="N16" s="31"/>
    </row>
    <row r="17" spans="2:14" ht="36.75" customHeight="1">
      <c r="B17" s="25">
        <v>12</v>
      </c>
      <c r="C17" s="606" t="s">
        <v>41</v>
      </c>
      <c r="D17" s="606"/>
      <c r="E17" s="606"/>
      <c r="F17" s="606"/>
      <c r="G17" s="26">
        <v>2653941537</v>
      </c>
      <c r="H17" s="27">
        <f>0.06*(H16+H15+H14+H13+H12+H11)</f>
        <v>6784123134.996479</v>
      </c>
      <c r="I17" s="27"/>
      <c r="J17" s="28">
        <f t="shared" si="0"/>
        <v>4130181597.996479</v>
      </c>
      <c r="K17" s="29"/>
      <c r="L17" s="29">
        <f>J17</f>
        <v>4130181597.996479</v>
      </c>
      <c r="M17" s="29"/>
      <c r="N17" s="31"/>
    </row>
    <row r="18" spans="2:14" ht="36.75" customHeight="1">
      <c r="B18" s="25"/>
      <c r="C18" s="606"/>
      <c r="D18" s="606"/>
      <c r="E18" s="606"/>
      <c r="F18" s="606"/>
      <c r="G18" s="26"/>
      <c r="H18" s="27"/>
      <c r="I18" s="27"/>
      <c r="J18" s="28">
        <f t="shared" si="0"/>
        <v>0</v>
      </c>
      <c r="K18" s="29"/>
      <c r="L18" s="29"/>
      <c r="M18" s="29"/>
      <c r="N18" s="31"/>
    </row>
    <row r="19" spans="2:14" ht="36.75" customHeight="1">
      <c r="B19" s="25"/>
      <c r="C19" s="609"/>
      <c r="D19" s="609"/>
      <c r="E19" s="609"/>
      <c r="F19" s="609"/>
      <c r="G19" s="26"/>
      <c r="H19" s="27"/>
      <c r="I19" s="27"/>
      <c r="J19" s="28">
        <f t="shared" si="0"/>
        <v>0</v>
      </c>
      <c r="K19" s="29"/>
      <c r="L19" s="29"/>
      <c r="M19" s="29"/>
      <c r="N19" s="31"/>
    </row>
    <row r="20" spans="2:14" ht="36.75" customHeight="1" thickBot="1">
      <c r="B20" s="38"/>
      <c r="C20" s="739" t="s">
        <v>42</v>
      </c>
      <c r="D20" s="739"/>
      <c r="E20" s="739"/>
      <c r="F20" s="739"/>
      <c r="G20" s="39">
        <f>SUM(G6:G19)</f>
        <v>138628958782</v>
      </c>
      <c r="H20" s="40">
        <f>SUM(H6:H19)</f>
        <v>435906042051.60449</v>
      </c>
      <c r="I20" s="40"/>
      <c r="J20" s="41">
        <f t="shared" si="0"/>
        <v>297277083269.60449</v>
      </c>
      <c r="K20" s="42">
        <f>SUM(K6:K19)</f>
        <v>79799675060.051208</v>
      </c>
      <c r="L20" s="42">
        <f t="shared" ref="L20:N20" si="1">SUM(L6:L19)</f>
        <v>140277540934.76208</v>
      </c>
      <c r="M20" s="42">
        <f t="shared" si="1"/>
        <v>55684013200.791199</v>
      </c>
      <c r="N20" s="43">
        <f t="shared" si="1"/>
        <v>21515854074.000004</v>
      </c>
    </row>
    <row r="21" spans="2:14" ht="15.75" thickTop="1">
      <c r="C21" s="608"/>
      <c r="D21" s="608"/>
      <c r="E21" s="608"/>
      <c r="F21" s="608"/>
    </row>
    <row r="22" spans="2:14" ht="74.25" customHeight="1"/>
    <row r="23" spans="2:14" ht="27.75" customHeight="1"/>
    <row r="24" spans="2:14" ht="27.75" customHeight="1"/>
    <row r="25" spans="2:14" ht="27.75" customHeight="1"/>
    <row r="26" spans="2:14" ht="27.75" customHeight="1"/>
    <row r="27" spans="2:14" ht="27.75" customHeight="1"/>
    <row r="28" spans="2:14" ht="27.75" customHeight="1"/>
    <row r="29" spans="2:14" ht="20.25" customHeight="1"/>
    <row r="30" spans="2:14" ht="20.25" customHeight="1"/>
    <row r="31" spans="2:14" ht="20.25" customHeight="1"/>
    <row r="32" spans="2:14" ht="20.25" customHeight="1"/>
    <row r="33" spans="3:6">
      <c r="C33" s="608"/>
      <c r="D33" s="608"/>
      <c r="E33" s="608"/>
      <c r="F33" s="608"/>
    </row>
    <row r="34" spans="3:6">
      <c r="C34" s="608"/>
      <c r="D34" s="608"/>
      <c r="E34" s="608"/>
      <c r="F34" s="608"/>
    </row>
    <row r="35" spans="3:6">
      <c r="C35" s="608"/>
      <c r="D35" s="608"/>
      <c r="E35" s="608"/>
      <c r="F35" s="608"/>
    </row>
  </sheetData>
  <mergeCells count="27">
    <mergeCell ref="C33:F33"/>
    <mergeCell ref="C34:F34"/>
    <mergeCell ref="C35:F35"/>
    <mergeCell ref="C16:F16"/>
    <mergeCell ref="C17:F17"/>
    <mergeCell ref="C18:F18"/>
    <mergeCell ref="C19:F19"/>
    <mergeCell ref="C20:F20"/>
    <mergeCell ref="C21:F21"/>
    <mergeCell ref="C15:F15"/>
    <mergeCell ref="M4:M5"/>
    <mergeCell ref="N4:N5"/>
    <mergeCell ref="C6:F6"/>
    <mergeCell ref="C7:F7"/>
    <mergeCell ref="C8:F8"/>
    <mergeCell ref="C9:F9"/>
    <mergeCell ref="L4:L5"/>
    <mergeCell ref="C10:F10"/>
    <mergeCell ref="C11:F11"/>
    <mergeCell ref="C12:F12"/>
    <mergeCell ref="C13:F13"/>
    <mergeCell ref="C14:F14"/>
    <mergeCell ref="B2:J3"/>
    <mergeCell ref="B4:B5"/>
    <mergeCell ref="C4:F5"/>
    <mergeCell ref="J4:J5"/>
    <mergeCell ref="K4:K5"/>
  </mergeCells>
  <pageMargins left="0.1" right="0.11" top="0.28000000000000003" bottom="0.27" header="0.15" footer="0.08"/>
  <pageSetup paperSize="9" scale="54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O13"/>
  <sheetViews>
    <sheetView rightToLeft="1" workbookViewId="0">
      <selection activeCell="P7" sqref="P7"/>
    </sheetView>
  </sheetViews>
  <sheetFormatPr defaultRowHeight="15"/>
  <cols>
    <col min="1" max="1" width="1.42578125" customWidth="1"/>
    <col min="2" max="2" width="5.85546875" customWidth="1"/>
    <col min="3" max="3" width="6" customWidth="1"/>
    <col min="4" max="4" width="4.5703125" customWidth="1"/>
    <col min="5" max="5" width="5.140625" customWidth="1"/>
    <col min="6" max="6" width="11.42578125" customWidth="1"/>
    <col min="7" max="7" width="12.28515625" customWidth="1"/>
    <col min="8" max="8" width="16" bestFit="1" customWidth="1"/>
    <col min="9" max="9" width="16.5703125" customWidth="1"/>
    <col min="10" max="10" width="7.42578125" customWidth="1"/>
    <col min="11" max="11" width="6" customWidth="1"/>
    <col min="12" max="12" width="6.42578125" hidden="1" customWidth="1"/>
    <col min="13" max="13" width="16.85546875" customWidth="1"/>
    <col min="14" max="14" width="19.42578125" customWidth="1"/>
    <col min="15" max="15" width="11.42578125" customWidth="1"/>
  </cols>
  <sheetData>
    <row r="1" spans="2:15" ht="15.75" thickBot="1"/>
    <row r="2" spans="2:15" ht="15" customHeight="1" thickTop="1">
      <c r="B2" s="740" t="s">
        <v>19</v>
      </c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2"/>
    </row>
    <row r="3" spans="2:15" ht="30.75" customHeight="1">
      <c r="B3" s="743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745"/>
    </row>
    <row r="4" spans="2:15" ht="62.25" customHeight="1">
      <c r="B4" s="5" t="s">
        <v>0</v>
      </c>
      <c r="C4" s="747" t="s">
        <v>7</v>
      </c>
      <c r="D4" s="747"/>
      <c r="E4" s="747"/>
      <c r="F4" s="15" t="s">
        <v>540</v>
      </c>
      <c r="G4" s="15" t="s">
        <v>542</v>
      </c>
      <c r="H4" s="15" t="s">
        <v>541</v>
      </c>
      <c r="I4" s="15" t="s">
        <v>543</v>
      </c>
      <c r="J4" s="15" t="s">
        <v>14</v>
      </c>
      <c r="K4" s="747" t="s">
        <v>15</v>
      </c>
      <c r="L4" s="747"/>
      <c r="M4" s="15" t="s">
        <v>17</v>
      </c>
      <c r="N4" s="15" t="s">
        <v>20</v>
      </c>
      <c r="O4" s="17" t="s">
        <v>18</v>
      </c>
    </row>
    <row r="5" spans="2:15" ht="39.75" customHeight="1">
      <c r="B5" s="6">
        <v>1</v>
      </c>
      <c r="C5" s="606" t="s">
        <v>11</v>
      </c>
      <c r="D5" s="606"/>
      <c r="E5" s="606"/>
      <c r="F5" s="7"/>
      <c r="G5" s="336"/>
      <c r="H5" s="7">
        <v>12354143525</v>
      </c>
      <c r="I5" s="336">
        <f>E.1392!L17</f>
        <v>26439400000</v>
      </c>
      <c r="J5" s="14">
        <v>0</v>
      </c>
      <c r="K5" s="748">
        <f>I5/H5*100-100</f>
        <v>114.01240763066173</v>
      </c>
      <c r="L5" s="748"/>
      <c r="M5" s="8">
        <f>(F5*13700)+H5</f>
        <v>12354143525</v>
      </c>
      <c r="N5" s="8">
        <f>(G5*32160)+I5</f>
        <v>26439400000</v>
      </c>
      <c r="O5" s="16">
        <f t="shared" ref="O5:O7" si="0">N5/M5*100-100</f>
        <v>114.01240763066173</v>
      </c>
    </row>
    <row r="6" spans="2:15" ht="39.75" customHeight="1">
      <c r="B6" s="6">
        <v>2</v>
      </c>
      <c r="C6" s="606" t="s">
        <v>12</v>
      </c>
      <c r="D6" s="606"/>
      <c r="E6" s="606"/>
      <c r="F6" s="7">
        <v>10257663</v>
      </c>
      <c r="G6" s="336">
        <v>17340188</v>
      </c>
      <c r="H6" s="7">
        <v>162676454707</v>
      </c>
      <c r="I6" s="336">
        <f>p.summary1392!I10</f>
        <v>390606750536.23999</v>
      </c>
      <c r="J6" s="14">
        <f>G6/F6*100</f>
        <v>169.0461852763149</v>
      </c>
      <c r="K6" s="746">
        <f>I6/H6*100</f>
        <v>240.11265258993384</v>
      </c>
      <c r="L6" s="746"/>
      <c r="M6" s="8">
        <f>(F6*13700)+H6</f>
        <v>303206437807</v>
      </c>
      <c r="N6" s="8">
        <f>(G6*32160)+I6</f>
        <v>948267196616.23999</v>
      </c>
      <c r="O6" s="16">
        <f t="shared" si="0"/>
        <v>212.74639268043529</v>
      </c>
    </row>
    <row r="7" spans="2:15" ht="39.75" customHeight="1">
      <c r="B7" s="6">
        <v>3</v>
      </c>
      <c r="C7" s="606" t="s">
        <v>13</v>
      </c>
      <c r="D7" s="606"/>
      <c r="E7" s="606"/>
      <c r="F7" s="7"/>
      <c r="G7" s="336"/>
      <c r="H7" s="7">
        <v>138628958782</v>
      </c>
      <c r="I7" s="336">
        <f>'c.summary1392'!H20</f>
        <v>435906042051.60449</v>
      </c>
      <c r="J7" s="14">
        <v>0</v>
      </c>
      <c r="K7" s="748">
        <f>I7/H7*100-100</f>
        <v>214.44082526587067</v>
      </c>
      <c r="L7" s="748"/>
      <c r="M7" s="8">
        <f>(F7*13700)+H7</f>
        <v>138628958782</v>
      </c>
      <c r="N7" s="8">
        <f>(G7*32160)+I7</f>
        <v>435906042051.60449</v>
      </c>
      <c r="O7" s="16">
        <f t="shared" si="0"/>
        <v>214.44082526587067</v>
      </c>
    </row>
    <row r="8" spans="2:15" ht="39.75" customHeight="1">
      <c r="B8" s="6">
        <v>6</v>
      </c>
      <c r="C8" s="750" t="s">
        <v>2</v>
      </c>
      <c r="D8" s="750"/>
      <c r="E8" s="750"/>
      <c r="F8" s="7">
        <f>SUM(F5:F7)</f>
        <v>10257663</v>
      </c>
      <c r="G8" s="336">
        <f>SUM(G5:G7)</f>
        <v>17340188</v>
      </c>
      <c r="H8" s="7">
        <f>SUM(H5:H7)</f>
        <v>313659557014</v>
      </c>
      <c r="I8" s="337">
        <f>SUM(I5:I7)</f>
        <v>852952192587.84448</v>
      </c>
      <c r="J8" s="8">
        <f>SUM(J5:J7)</f>
        <v>169.0461852763149</v>
      </c>
      <c r="K8" s="751">
        <f>I8/H8*100-100</f>
        <v>171.93566193481985</v>
      </c>
      <c r="L8" s="751"/>
      <c r="M8" s="8">
        <f>(F8*13700)+H8</f>
        <v>454189540114</v>
      </c>
      <c r="N8" s="8">
        <f>(G8*32160)+I8</f>
        <v>1410612638667.8445</v>
      </c>
      <c r="O8" s="18">
        <f>N8/M8*100-100</f>
        <v>210.57796670389757</v>
      </c>
    </row>
    <row r="9" spans="2:15" ht="26.25" customHeight="1">
      <c r="B9" s="687" t="s">
        <v>1</v>
      </c>
      <c r="C9" s="688"/>
      <c r="D9" s="688"/>
      <c r="E9" s="688"/>
      <c r="F9" s="688"/>
      <c r="G9" s="688"/>
      <c r="H9" s="688"/>
      <c r="I9" s="688"/>
      <c r="J9" s="688"/>
      <c r="K9" s="688"/>
      <c r="L9" s="688"/>
      <c r="M9" s="688"/>
      <c r="N9" s="688"/>
      <c r="O9" s="689"/>
    </row>
    <row r="10" spans="2:15" ht="27.75" hidden="1" customHeight="1">
      <c r="B10" s="690"/>
      <c r="C10" s="691"/>
      <c r="D10" s="691"/>
      <c r="E10" s="691"/>
      <c r="F10" s="691"/>
      <c r="G10" s="691"/>
      <c r="H10" s="691"/>
      <c r="I10" s="691"/>
      <c r="J10" s="691"/>
      <c r="K10" s="691"/>
      <c r="L10" s="691"/>
      <c r="M10" s="691"/>
      <c r="N10" s="691"/>
      <c r="O10" s="692"/>
    </row>
    <row r="11" spans="2:15" ht="27.75" hidden="1" customHeight="1">
      <c r="B11" s="690"/>
      <c r="C11" s="691"/>
      <c r="D11" s="691"/>
      <c r="E11" s="691"/>
      <c r="F11" s="691"/>
      <c r="G11" s="691"/>
      <c r="H11" s="691"/>
      <c r="I11" s="691"/>
      <c r="J11" s="691"/>
      <c r="K11" s="691"/>
      <c r="L11" s="691"/>
      <c r="M11" s="691"/>
      <c r="N11" s="691"/>
      <c r="O11" s="692"/>
    </row>
    <row r="12" spans="2:15" ht="27.75" hidden="1" customHeight="1" thickBot="1">
      <c r="B12" s="693"/>
      <c r="C12" s="694"/>
      <c r="D12" s="694"/>
      <c r="E12" s="694"/>
      <c r="F12" s="694"/>
      <c r="G12" s="691"/>
      <c r="H12" s="691"/>
      <c r="I12" s="691"/>
      <c r="J12" s="694"/>
      <c r="K12" s="694"/>
      <c r="L12" s="694"/>
      <c r="M12" s="694"/>
      <c r="N12" s="694"/>
      <c r="O12" s="695"/>
    </row>
    <row r="13" spans="2:15" ht="39.75" customHeight="1">
      <c r="G13" s="749"/>
      <c r="H13" s="749"/>
      <c r="I13" s="418"/>
    </row>
  </sheetData>
  <mergeCells count="13">
    <mergeCell ref="G13:H13"/>
    <mergeCell ref="C8:E8"/>
    <mergeCell ref="K8:L8"/>
    <mergeCell ref="C7:E7"/>
    <mergeCell ref="K7:L7"/>
    <mergeCell ref="B9:O12"/>
    <mergeCell ref="B2:O3"/>
    <mergeCell ref="C6:E6"/>
    <mergeCell ref="K6:L6"/>
    <mergeCell ref="C4:E4"/>
    <mergeCell ref="K4:L4"/>
    <mergeCell ref="C5:E5"/>
    <mergeCell ref="K5:L5"/>
  </mergeCells>
  <pageMargins left="0.12" right="0.1" top="0.74803149606299213" bottom="0.74803149606299213" header="0.31496062992125984" footer="0.31496062992125984"/>
  <pageSetup paperSize="9" scale="78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19"/>
  <sheetViews>
    <sheetView rightToLeft="1" topLeftCell="A8" zoomScale="130" zoomScaleNormal="130" zoomScaleSheetLayoutView="100" workbookViewId="0">
      <selection activeCell="J16" sqref="J16"/>
    </sheetView>
  </sheetViews>
  <sheetFormatPr defaultColWidth="9.140625" defaultRowHeight="15"/>
  <cols>
    <col min="1" max="1" width="1.5703125" style="151" customWidth="1"/>
    <col min="2" max="2" width="9.42578125" style="151" bestFit="1" customWidth="1"/>
    <col min="3" max="3" width="11.42578125" style="151" bestFit="1" customWidth="1"/>
    <col min="4" max="4" width="11.140625" style="151" bestFit="1" customWidth="1"/>
    <col min="5" max="5" width="9.140625" style="151"/>
    <col min="6" max="6" width="33.140625" style="151" bestFit="1" customWidth="1"/>
    <col min="7" max="7" width="18.7109375" style="151" bestFit="1" customWidth="1"/>
    <col min="8" max="16384" width="9.140625" style="151"/>
  </cols>
  <sheetData>
    <row r="1" spans="2:8" ht="8.25" customHeight="1" thickBot="1"/>
    <row r="2" spans="2:8" ht="18.75" thickBot="1">
      <c r="B2" s="252" t="s">
        <v>279</v>
      </c>
      <c r="C2" s="253" t="s">
        <v>280</v>
      </c>
      <c r="D2" s="252" t="s">
        <v>281</v>
      </c>
      <c r="E2" s="508"/>
      <c r="F2" s="523"/>
      <c r="G2" s="524"/>
      <c r="H2" s="509"/>
    </row>
    <row r="3" spans="2:8" ht="18">
      <c r="B3" s="193">
        <v>1392</v>
      </c>
      <c r="C3" s="248">
        <v>0.37</v>
      </c>
      <c r="D3" s="250">
        <v>0.02</v>
      </c>
      <c r="E3" s="510"/>
      <c r="F3" s="515" t="s">
        <v>282</v>
      </c>
      <c r="G3" s="519">
        <v>2000000</v>
      </c>
      <c r="H3" s="511"/>
    </row>
    <row r="4" spans="2:8" ht="18">
      <c r="B4" s="152">
        <v>1393</v>
      </c>
      <c r="C4" s="248">
        <v>0.156</v>
      </c>
      <c r="D4" s="250">
        <v>0.02</v>
      </c>
      <c r="E4" s="510"/>
      <c r="F4" s="516" t="s">
        <v>283</v>
      </c>
      <c r="G4" s="520">
        <v>1.1000000000000001</v>
      </c>
      <c r="H4" s="511"/>
    </row>
    <row r="5" spans="2:8" ht="18">
      <c r="B5" s="152">
        <v>1394</v>
      </c>
      <c r="C5" s="248">
        <v>0.11899999999999999</v>
      </c>
      <c r="D5" s="250">
        <v>0.02</v>
      </c>
      <c r="E5" s="510"/>
      <c r="F5" s="526" t="s">
        <v>284</v>
      </c>
      <c r="G5" s="527">
        <v>0.2</v>
      </c>
      <c r="H5" s="511"/>
    </row>
    <row r="6" spans="2:8" ht="18">
      <c r="B6" s="152">
        <v>1395</v>
      </c>
      <c r="C6" s="248">
        <v>0.09</v>
      </c>
      <c r="D6" s="250">
        <v>0.02</v>
      </c>
      <c r="E6" s="510"/>
      <c r="F6" s="535" t="s">
        <v>521</v>
      </c>
      <c r="G6" s="536">
        <v>0.03</v>
      </c>
      <c r="H6" s="511"/>
    </row>
    <row r="7" spans="2:8" ht="18">
      <c r="B7" s="152">
        <v>1396</v>
      </c>
      <c r="C7" s="248">
        <v>9.6000000000000002E-2</v>
      </c>
      <c r="D7" s="250">
        <v>0.02</v>
      </c>
      <c r="E7" s="510"/>
      <c r="F7" s="528" t="s">
        <v>551</v>
      </c>
      <c r="G7" s="537">
        <v>40530.800000000003</v>
      </c>
      <c r="H7" s="511"/>
    </row>
    <row r="8" spans="2:8" ht="18.75" thickBot="1">
      <c r="B8" s="152">
        <v>1397</v>
      </c>
      <c r="C8" s="248">
        <v>0.312</v>
      </c>
      <c r="D8" s="250">
        <v>0.02</v>
      </c>
      <c r="E8" s="510"/>
      <c r="G8" s="406"/>
      <c r="H8" s="511"/>
    </row>
    <row r="9" spans="2:8" ht="18.75" thickBot="1">
      <c r="B9" s="152">
        <v>1398</v>
      </c>
      <c r="C9" s="248">
        <v>0.41199999999999998</v>
      </c>
      <c r="D9" s="250">
        <v>0.02</v>
      </c>
      <c r="E9" s="510"/>
      <c r="F9" s="522" t="s">
        <v>547</v>
      </c>
      <c r="G9" s="585">
        <f>G12*G11*G10</f>
        <v>1.2713249999999998</v>
      </c>
      <c r="H9" s="511"/>
    </row>
    <row r="10" spans="2:8" ht="18.75" thickBot="1">
      <c r="B10" s="152">
        <v>1399</v>
      </c>
      <c r="C10" s="248">
        <v>0.47</v>
      </c>
      <c r="D10" s="250">
        <v>0.05</v>
      </c>
      <c r="E10" s="510"/>
      <c r="F10" s="521" t="s">
        <v>523</v>
      </c>
      <c r="G10" s="536">
        <v>1.1000000000000001</v>
      </c>
      <c r="H10" s="511"/>
    </row>
    <row r="11" spans="2:8" ht="18">
      <c r="B11" s="152">
        <v>1400</v>
      </c>
      <c r="C11" s="248">
        <v>0.46200000000000002</v>
      </c>
      <c r="D11" s="250">
        <v>0.05</v>
      </c>
      <c r="E11" s="510"/>
      <c r="F11" s="518" t="s">
        <v>522</v>
      </c>
      <c r="G11" s="536">
        <v>1.0049999999999999</v>
      </c>
      <c r="H11" s="511"/>
    </row>
    <row r="12" spans="2:8" ht="18.75" thickBot="1">
      <c r="B12" s="152">
        <v>1401</v>
      </c>
      <c r="C12" s="248">
        <v>0.46500000000000002</v>
      </c>
      <c r="D12" s="250">
        <v>4.9000000000000002E-2</v>
      </c>
      <c r="E12" s="510"/>
      <c r="F12" s="517" t="s">
        <v>534</v>
      </c>
      <c r="G12" s="536">
        <v>1.1499999999999999</v>
      </c>
      <c r="H12" s="511"/>
    </row>
    <row r="13" spans="2:8" ht="19.5" thickBot="1">
      <c r="B13" s="152">
        <v>1402</v>
      </c>
      <c r="C13" s="248">
        <v>0.5</v>
      </c>
      <c r="D13" s="250">
        <v>0.04</v>
      </c>
      <c r="E13" s="510"/>
      <c r="F13" s="517"/>
      <c r="G13" s="525"/>
      <c r="H13" s="511"/>
    </row>
    <row r="14" spans="2:8" ht="19.5" thickBot="1">
      <c r="B14" s="601">
        <v>1403</v>
      </c>
      <c r="C14" s="602">
        <v>0.4</v>
      </c>
      <c r="D14" s="603">
        <v>0.04</v>
      </c>
      <c r="E14" s="510"/>
      <c r="F14" s="604"/>
      <c r="G14" s="605"/>
      <c r="H14" s="511"/>
    </row>
    <row r="15" spans="2:8" ht="19.5" thickBot="1">
      <c r="B15" s="601">
        <v>1404</v>
      </c>
      <c r="C15" s="602">
        <v>0.6</v>
      </c>
      <c r="D15" s="603">
        <v>0.04</v>
      </c>
      <c r="E15" s="510"/>
      <c r="F15" s="604"/>
      <c r="G15" s="605"/>
      <c r="H15" s="511"/>
    </row>
    <row r="16" spans="2:8" ht="19.5" thickBot="1">
      <c r="B16" s="601">
        <v>1405</v>
      </c>
      <c r="C16" s="602">
        <v>0.2</v>
      </c>
      <c r="D16" s="603">
        <v>0.01</v>
      </c>
      <c r="E16" s="510"/>
      <c r="F16" s="604"/>
      <c r="G16" s="605"/>
      <c r="H16" s="511"/>
    </row>
    <row r="17" spans="2:8" ht="19.5" thickBot="1">
      <c r="B17" s="153"/>
      <c r="C17" s="249">
        <f>PRODUCT(C3+1,C4+1,C5+1,C6+1,C7+1,C8+1,C9+1,C10+1,C11+1,C12+1,C13+1,C14+1,C15+1,C16+1)</f>
        <v>49.789403941690125</v>
      </c>
      <c r="D17" s="251">
        <f>PRODUCT(D3+1,D4+1,D5+1,D6+1,D7+1,D8+1,D9+1,D10+1,D11+1,D12+1,D13+1,D14+1,D15+1,D16+1)</f>
        <v>1.5093038516721788</v>
      </c>
      <c r="E17" s="512"/>
      <c r="F17" s="513"/>
      <c r="G17" s="513"/>
      <c r="H17" s="514"/>
    </row>
    <row r="19" spans="2:8">
      <c r="C19" s="989"/>
      <c r="D19" s="989"/>
    </row>
  </sheetData>
  <pageMargins left="0.7" right="0.7" top="0.75" bottom="0.75" header="0.3" footer="0.3"/>
  <pageSetup paperSize="9" scale="5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4:M19"/>
  <sheetViews>
    <sheetView rightToLeft="1" topLeftCell="F7" workbookViewId="0">
      <selection activeCell="M16" sqref="M16"/>
    </sheetView>
  </sheetViews>
  <sheetFormatPr defaultRowHeight="15"/>
  <cols>
    <col min="6" max="6" width="2" customWidth="1"/>
    <col min="7" max="7" width="11.42578125" customWidth="1"/>
    <col min="8" max="8" width="13.42578125" customWidth="1"/>
    <col min="9" max="9" width="18.28515625" bestFit="1" customWidth="1"/>
    <col min="10" max="10" width="14.85546875" customWidth="1"/>
    <col min="11" max="11" width="13" customWidth="1"/>
    <col min="12" max="12" width="18" bestFit="1" customWidth="1"/>
    <col min="13" max="13" width="19.85546875" bestFit="1" customWidth="1"/>
  </cols>
  <sheetData>
    <row r="4" spans="2:13" ht="14.25" customHeight="1">
      <c r="B4" s="752" t="s">
        <v>215</v>
      </c>
      <c r="C4" s="752"/>
      <c r="D4" s="752"/>
      <c r="E4" s="752"/>
      <c r="F4" s="752"/>
      <c r="G4" s="752"/>
      <c r="H4" s="752"/>
      <c r="I4" s="752"/>
      <c r="J4" s="752"/>
      <c r="K4" s="752"/>
      <c r="L4" s="752"/>
    </row>
    <row r="5" spans="2:13" ht="15" customHeight="1" thickBot="1">
      <c r="B5" s="753"/>
      <c r="C5" s="753"/>
      <c r="D5" s="753"/>
      <c r="E5" s="753"/>
      <c r="F5" s="753"/>
      <c r="G5" s="753"/>
      <c r="H5" s="753"/>
      <c r="I5" s="753"/>
      <c r="J5" s="753"/>
      <c r="K5" s="753"/>
      <c r="L5" s="753"/>
    </row>
    <row r="6" spans="2:13" ht="21.75" customHeight="1" thickTop="1">
      <c r="B6" s="613" t="s">
        <v>22</v>
      </c>
      <c r="C6" s="615" t="s">
        <v>23</v>
      </c>
      <c r="D6" s="615"/>
      <c r="E6" s="615"/>
      <c r="F6" s="615"/>
      <c r="G6" s="616" t="s">
        <v>481</v>
      </c>
      <c r="H6" s="617"/>
      <c r="I6" s="618"/>
      <c r="J6" s="619">
        <v>1392</v>
      </c>
      <c r="K6" s="620"/>
      <c r="L6" s="620"/>
      <c r="M6" s="24">
        <v>1405</v>
      </c>
    </row>
    <row r="7" spans="2:13" ht="45.75" customHeight="1">
      <c r="B7" s="614"/>
      <c r="C7" s="609"/>
      <c r="D7" s="609"/>
      <c r="E7" s="609"/>
      <c r="F7" s="609"/>
      <c r="G7" s="19" t="s">
        <v>217</v>
      </c>
      <c r="H7" s="23" t="s">
        <v>218</v>
      </c>
      <c r="I7" s="23" t="s">
        <v>45</v>
      </c>
      <c r="J7" s="44" t="s">
        <v>217</v>
      </c>
      <c r="K7" s="24" t="s">
        <v>218</v>
      </c>
      <c r="L7" s="538" t="s">
        <v>45</v>
      </c>
      <c r="M7" s="24" t="s">
        <v>554</v>
      </c>
    </row>
    <row r="8" spans="2:13" ht="15.75">
      <c r="B8" s="25">
        <v>1</v>
      </c>
      <c r="C8" s="609" t="s">
        <v>219</v>
      </c>
      <c r="D8" s="609"/>
      <c r="E8" s="609"/>
      <c r="F8" s="609"/>
      <c r="G8" s="26">
        <v>3112</v>
      </c>
      <c r="H8" s="26">
        <v>280000</v>
      </c>
      <c r="I8" s="26">
        <f t="shared" ref="I8:I13" si="0">H8*G8</f>
        <v>871360000</v>
      </c>
      <c r="J8" s="27">
        <v>3112</v>
      </c>
      <c r="K8" s="27">
        <v>550000</v>
      </c>
      <c r="L8" s="539">
        <f>K8*J8</f>
        <v>1711600000</v>
      </c>
      <c r="M8" s="541">
        <f>L8*Inflation!IRR_Inflation_Factor</f>
        <v>85219543786.596817</v>
      </c>
    </row>
    <row r="9" spans="2:13" ht="15.75">
      <c r="B9" s="25">
        <v>2</v>
      </c>
      <c r="C9" s="609" t="s">
        <v>221</v>
      </c>
      <c r="D9" s="609"/>
      <c r="E9" s="609"/>
      <c r="F9" s="609"/>
      <c r="G9" s="26">
        <v>11461</v>
      </c>
      <c r="H9" s="26">
        <v>250000</v>
      </c>
      <c r="I9" s="26">
        <f t="shared" si="0"/>
        <v>2865250000</v>
      </c>
      <c r="J9" s="27">
        <v>11461</v>
      </c>
      <c r="K9" s="27">
        <v>550000</v>
      </c>
      <c r="L9" s="539">
        <f t="shared" ref="L9:L14" si="1">K9*J9</f>
        <v>6303550000</v>
      </c>
      <c r="M9" s="542">
        <f>L9*Inflation!IRR_Inflation_Factor</f>
        <v>313849997216.64081</v>
      </c>
    </row>
    <row r="10" spans="2:13" ht="27" customHeight="1">
      <c r="B10" s="25">
        <v>3</v>
      </c>
      <c r="C10" s="609" t="s">
        <v>222</v>
      </c>
      <c r="D10" s="609"/>
      <c r="E10" s="609"/>
      <c r="F10" s="609"/>
      <c r="G10" s="26">
        <v>6126</v>
      </c>
      <c r="H10" s="26">
        <v>250000</v>
      </c>
      <c r="I10" s="26">
        <f>H10*G10</f>
        <v>1531500000</v>
      </c>
      <c r="J10" s="27">
        <v>6312</v>
      </c>
      <c r="K10" s="27">
        <v>550000</v>
      </c>
      <c r="L10" s="539">
        <f t="shared" si="1"/>
        <v>3471600000</v>
      </c>
      <c r="M10" s="543">
        <f>L10*Inflation!IRR_Inflation_Factor</f>
        <v>172848894723.97144</v>
      </c>
    </row>
    <row r="11" spans="2:13" ht="15.75">
      <c r="B11" s="25">
        <v>4</v>
      </c>
      <c r="C11" s="609" t="s">
        <v>224</v>
      </c>
      <c r="D11" s="609"/>
      <c r="E11" s="609"/>
      <c r="F11" s="609"/>
      <c r="G11" s="26">
        <v>5704</v>
      </c>
      <c r="H11" s="26">
        <v>250000</v>
      </c>
      <c r="I11" s="26">
        <f t="shared" si="0"/>
        <v>1426000000</v>
      </c>
      <c r="J11" s="27">
        <v>5704</v>
      </c>
      <c r="K11" s="27">
        <v>550000</v>
      </c>
      <c r="L11" s="539">
        <f t="shared" si="1"/>
        <v>3137200000</v>
      </c>
      <c r="M11" s="542">
        <f>L11*Inflation!IRR_Inflation_Factor</f>
        <v>156199318045.87027</v>
      </c>
    </row>
    <row r="12" spans="2:13" ht="15.75">
      <c r="B12" s="25">
        <v>5</v>
      </c>
      <c r="C12" s="609" t="s">
        <v>225</v>
      </c>
      <c r="D12" s="609"/>
      <c r="E12" s="609"/>
      <c r="F12" s="609"/>
      <c r="G12" s="26">
        <v>5176</v>
      </c>
      <c r="H12" s="26">
        <v>250000</v>
      </c>
      <c r="I12" s="26">
        <f t="shared" si="0"/>
        <v>1294000000</v>
      </c>
      <c r="J12" s="27">
        <v>5176</v>
      </c>
      <c r="K12" s="27">
        <v>550000</v>
      </c>
      <c r="L12" s="539">
        <f t="shared" si="1"/>
        <v>2846800000</v>
      </c>
      <c r="M12" s="542">
        <f>L12*Inflation!IRR_Inflation_Factor</f>
        <v>141740475141.20346</v>
      </c>
    </row>
    <row r="13" spans="2:13" ht="15.75">
      <c r="B13" s="25">
        <v>6</v>
      </c>
      <c r="C13" s="609" t="s">
        <v>226</v>
      </c>
      <c r="D13" s="609"/>
      <c r="E13" s="609"/>
      <c r="F13" s="609"/>
      <c r="G13" s="26">
        <v>6760</v>
      </c>
      <c r="H13" s="26">
        <v>250000</v>
      </c>
      <c r="I13" s="26">
        <f t="shared" si="0"/>
        <v>1690000000</v>
      </c>
      <c r="J13" s="27">
        <v>6760</v>
      </c>
      <c r="K13" s="27">
        <v>550000</v>
      </c>
      <c r="L13" s="539">
        <f t="shared" si="1"/>
        <v>3718000000</v>
      </c>
      <c r="M13" s="542">
        <f>L13*Inflation!IRR_Inflation_Factor</f>
        <v>185117003855.20389</v>
      </c>
    </row>
    <row r="14" spans="2:13" ht="15.75">
      <c r="B14" s="25">
        <v>7</v>
      </c>
      <c r="C14" s="609" t="s">
        <v>227</v>
      </c>
      <c r="D14" s="609"/>
      <c r="E14" s="609"/>
      <c r="F14" s="609"/>
      <c r="G14" s="26">
        <v>7183</v>
      </c>
      <c r="H14" s="26">
        <v>250000</v>
      </c>
      <c r="I14" s="26">
        <f>H14*G14</f>
        <v>1795750000</v>
      </c>
      <c r="J14" s="27">
        <v>7183</v>
      </c>
      <c r="K14" s="27">
        <v>550000</v>
      </c>
      <c r="L14" s="539">
        <f t="shared" si="1"/>
        <v>3950650000</v>
      </c>
      <c r="M14" s="542">
        <f>L14*Inflation!IRR_Inflation_Factor</f>
        <v>196700508682.2381</v>
      </c>
    </row>
    <row r="15" spans="2:13" ht="15.75">
      <c r="B15" s="25">
        <v>8</v>
      </c>
      <c r="C15" s="609" t="s">
        <v>228</v>
      </c>
      <c r="D15" s="609"/>
      <c r="E15" s="609"/>
      <c r="F15" s="609"/>
      <c r="G15" s="55"/>
      <c r="H15" s="26"/>
      <c r="I15" s="26">
        <v>880283525</v>
      </c>
      <c r="J15" s="27"/>
      <c r="K15" s="27"/>
      <c r="L15" s="539">
        <v>1300000000</v>
      </c>
      <c r="M15" s="542">
        <f>L15*Inflation!IRR_Inflation_Factor</f>
        <v>64726225124.197159</v>
      </c>
    </row>
    <row r="16" spans="2:13" ht="16.5" thickBot="1">
      <c r="B16" s="38"/>
      <c r="C16" s="610" t="s">
        <v>42</v>
      </c>
      <c r="D16" s="610"/>
      <c r="E16" s="610"/>
      <c r="F16" s="610"/>
      <c r="G16" s="39">
        <f>SUM(G8:G15)</f>
        <v>45522</v>
      </c>
      <c r="H16" s="39"/>
      <c r="I16" s="39">
        <f>SUM(I8:I15)</f>
        <v>12354143525</v>
      </c>
      <c r="J16" s="40">
        <f>SUM(J8:J15)</f>
        <v>45708</v>
      </c>
      <c r="K16" s="40">
        <f>SUM(K8:K15)</f>
        <v>3850000</v>
      </c>
      <c r="L16" s="540">
        <f>SUM(L8:L15)</f>
        <v>26439400000</v>
      </c>
      <c r="M16" s="542">
        <f>M15+M14+M13+M12+M11+M10+M9+M8</f>
        <v>1316401966575.9221</v>
      </c>
    </row>
    <row r="17" spans="12:13" ht="15.75" thickTop="1"/>
    <row r="18" spans="12:13">
      <c r="L18" s="33">
        <f>L16*Inflation!IRR_Inflation_Factor</f>
        <v>1316401966575.9219</v>
      </c>
    </row>
    <row r="19" spans="12:13">
      <c r="M19" s="33"/>
    </row>
  </sheetData>
  <mergeCells count="14">
    <mergeCell ref="B4:L5"/>
    <mergeCell ref="B6:B7"/>
    <mergeCell ref="C6:F7"/>
    <mergeCell ref="G6:I6"/>
    <mergeCell ref="J6:L6"/>
    <mergeCell ref="C14:F14"/>
    <mergeCell ref="C15:F15"/>
    <mergeCell ref="C16:F16"/>
    <mergeCell ref="C8:F8"/>
    <mergeCell ref="C9:F9"/>
    <mergeCell ref="C10:F10"/>
    <mergeCell ref="C11:F11"/>
    <mergeCell ref="C12:F12"/>
    <mergeCell ref="C13:F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F21"/>
  <sheetViews>
    <sheetView rightToLeft="1" topLeftCell="A5" workbookViewId="0">
      <selection activeCell="I9" sqref="I9"/>
    </sheetView>
  </sheetViews>
  <sheetFormatPr defaultRowHeight="15"/>
  <cols>
    <col min="3" max="3" width="18.42578125" customWidth="1"/>
    <col min="4" max="4" width="12" customWidth="1"/>
    <col min="5" max="5" width="16.42578125" customWidth="1"/>
    <col min="6" max="6" width="14.7109375" customWidth="1"/>
  </cols>
  <sheetData>
    <row r="2" spans="2:6" ht="6.75" customHeight="1"/>
    <row r="3" spans="2:6" ht="49.5" customHeight="1">
      <c r="B3" s="754" t="s">
        <v>592</v>
      </c>
      <c r="C3" s="755"/>
      <c r="D3" s="755"/>
      <c r="E3" s="755"/>
      <c r="F3" s="756"/>
    </row>
    <row r="4" spans="2:6" ht="36.75" customHeight="1">
      <c r="B4" s="70" t="s">
        <v>0</v>
      </c>
      <c r="C4" s="70" t="s">
        <v>23</v>
      </c>
      <c r="D4" s="70" t="s">
        <v>62</v>
      </c>
      <c r="E4" s="70" t="s">
        <v>91</v>
      </c>
      <c r="F4" s="70"/>
    </row>
    <row r="5" spans="2:6" ht="55.5" customHeight="1">
      <c r="B5" s="502">
        <v>1</v>
      </c>
      <c r="C5" s="503" t="s">
        <v>92</v>
      </c>
      <c r="D5" s="505">
        <f>'IN.p&amp;C.1392'!E3*Inflation!Euro_Inflation_Factor</f>
        <v>751633.3181327451</v>
      </c>
      <c r="E5" s="505">
        <v>0</v>
      </c>
      <c r="F5" s="505"/>
    </row>
    <row r="6" spans="2:6" ht="85.5" customHeight="1">
      <c r="B6" s="502">
        <v>2</v>
      </c>
      <c r="C6" s="503" t="s">
        <v>94</v>
      </c>
      <c r="D6" s="505">
        <f>'IN.p&amp;C.1392'!E4*Inflation!Euro_Inflation_Factor</f>
        <v>738049.5834676954</v>
      </c>
      <c r="E6" s="505">
        <v>0</v>
      </c>
      <c r="F6" s="505"/>
    </row>
    <row r="7" spans="2:6" ht="37.5" customHeight="1">
      <c r="B7" s="502">
        <v>3</v>
      </c>
      <c r="C7" s="503" t="s">
        <v>95</v>
      </c>
      <c r="D7" s="505">
        <f>'IN.p&amp;C.1392'!E5*Inflation!Euro_Inflation_Factor</f>
        <v>1630033.0667674365</v>
      </c>
      <c r="E7" s="505">
        <v>0</v>
      </c>
      <c r="F7" s="505"/>
    </row>
    <row r="8" spans="2:6" ht="43.5" customHeight="1">
      <c r="B8" s="502">
        <v>4</v>
      </c>
      <c r="C8" s="503" t="s">
        <v>97</v>
      </c>
      <c r="D8" s="505">
        <f>'IN.p&amp;C.1392'!E6*Inflation!Euro_Inflation_Factor</f>
        <v>301860.77033443574</v>
      </c>
      <c r="E8" s="505">
        <v>0</v>
      </c>
      <c r="F8" s="505"/>
    </row>
    <row r="9" spans="2:6" ht="54" customHeight="1">
      <c r="B9" s="502">
        <v>5</v>
      </c>
      <c r="C9" s="503" t="s">
        <v>98</v>
      </c>
      <c r="D9" s="505">
        <f>'IN.p&amp;C.1392'!E7*Inflation!Euro_Inflation_Factor</f>
        <v>377325.96291804471</v>
      </c>
      <c r="E9" s="505">
        <v>0</v>
      </c>
      <c r="F9" s="505"/>
    </row>
    <row r="10" spans="2:6" ht="37.5" customHeight="1">
      <c r="B10" s="502">
        <v>6</v>
      </c>
      <c r="C10" s="503" t="s">
        <v>100</v>
      </c>
      <c r="D10" s="505"/>
      <c r="E10" s="505">
        <f>'IN.p&amp;C.1392'!F8*Inflation!IRR_Inflation_Factor</f>
        <v>450594105672.29565</v>
      </c>
      <c r="F10" s="505"/>
    </row>
    <row r="11" spans="2:6" ht="51" customHeight="1">
      <c r="B11" s="502">
        <v>6</v>
      </c>
      <c r="C11" s="503" t="s">
        <v>102</v>
      </c>
      <c r="D11" s="505"/>
      <c r="E11" s="505">
        <f>'IN.p&amp;C.1392'!F9*Inflation!IRR_Inflation_Factor</f>
        <v>784183112081.61951</v>
      </c>
      <c r="F11" s="505"/>
    </row>
    <row r="12" spans="2:6" ht="55.5" customHeight="1">
      <c r="B12" s="502">
        <v>7</v>
      </c>
      <c r="C12" s="504" t="s">
        <v>389</v>
      </c>
      <c r="D12" s="505"/>
      <c r="E12" s="505">
        <f>'IN.p&amp;C.1392'!F10*Inflation!IRR_Inflation_Factor</f>
        <v>117836582308.79802</v>
      </c>
      <c r="F12" s="505"/>
    </row>
    <row r="13" spans="2:6" ht="52.5" customHeight="1">
      <c r="B13" s="502">
        <v>8</v>
      </c>
      <c r="C13" s="504" t="s">
        <v>390</v>
      </c>
      <c r="D13" s="505"/>
      <c r="E13" s="505">
        <f>'IN.p&amp;C.1392'!F11*Inflation!IRR_Inflation_Factor</f>
        <v>121883664218.79436</v>
      </c>
      <c r="F13" s="505"/>
    </row>
    <row r="14" spans="2:6" ht="35.25" customHeight="1">
      <c r="B14" s="70">
        <v>10</v>
      </c>
      <c r="C14" s="70" t="s">
        <v>104</v>
      </c>
      <c r="D14" s="72">
        <f>D9+D8+D7+D6+D5</f>
        <v>3798902.7016203576</v>
      </c>
      <c r="E14" s="72">
        <f>E13+E12+E11+E10</f>
        <v>1474497464281.5076</v>
      </c>
      <c r="F14" s="72"/>
    </row>
    <row r="15" spans="2:6">
      <c r="B15" s="63"/>
      <c r="C15" s="63"/>
      <c r="D15" s="63"/>
      <c r="E15" s="63"/>
      <c r="F15" s="63"/>
    </row>
    <row r="16" spans="2:6">
      <c r="B16" s="63"/>
      <c r="C16" s="63"/>
      <c r="D16" s="63"/>
      <c r="E16" s="256"/>
      <c r="F16" s="262"/>
    </row>
    <row r="17" spans="2:6">
      <c r="B17" s="63"/>
      <c r="C17" s="63"/>
      <c r="D17" s="63"/>
      <c r="E17" s="257" t="s">
        <v>529</v>
      </c>
      <c r="F17" s="72">
        <f>E13+E12</f>
        <v>239720246527.59238</v>
      </c>
    </row>
    <row r="18" spans="2:6">
      <c r="B18" s="63"/>
      <c r="C18" s="63"/>
      <c r="D18" s="63"/>
      <c r="E18" s="260" t="s">
        <v>274</v>
      </c>
      <c r="F18" s="72">
        <f>E11+E10</f>
        <v>1234777217753.915</v>
      </c>
    </row>
    <row r="19" spans="2:6">
      <c r="B19" s="63"/>
      <c r="C19" s="63"/>
      <c r="D19" s="63"/>
      <c r="E19" s="259"/>
      <c r="F19" s="419">
        <f>F18+F17</f>
        <v>1474497464281.5073</v>
      </c>
    </row>
    <row r="20" spans="2:6">
      <c r="B20" s="63"/>
      <c r="C20" s="63"/>
      <c r="D20" s="63"/>
      <c r="E20" s="258"/>
      <c r="F20" s="150"/>
    </row>
    <row r="21" spans="2:6">
      <c r="B21" s="63"/>
      <c r="C21" s="63"/>
      <c r="D21" s="63"/>
      <c r="E21" s="63"/>
      <c r="F21" s="150"/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H24"/>
  <sheetViews>
    <sheetView rightToLeft="1" topLeftCell="A14" workbookViewId="0">
      <selection activeCell="C16" sqref="C16:F16"/>
    </sheetView>
  </sheetViews>
  <sheetFormatPr defaultRowHeight="15"/>
  <cols>
    <col min="2" max="2" width="5" customWidth="1"/>
    <col min="7" max="7" width="18.7109375" customWidth="1"/>
    <col min="8" max="8" width="28.85546875" customWidth="1"/>
  </cols>
  <sheetData>
    <row r="3" spans="2:8">
      <c r="B3" s="659" t="s">
        <v>533</v>
      </c>
      <c r="C3" s="659"/>
      <c r="D3" s="659"/>
      <c r="E3" s="659"/>
      <c r="F3" s="659"/>
      <c r="G3" s="659"/>
      <c r="H3" s="659"/>
    </row>
    <row r="4" spans="2:8" ht="15.75" thickBot="1">
      <c r="B4" s="660"/>
      <c r="C4" s="660"/>
      <c r="D4" s="660"/>
      <c r="E4" s="660"/>
      <c r="F4" s="660"/>
      <c r="G4" s="660"/>
      <c r="H4" s="660"/>
    </row>
    <row r="5" spans="2:8" ht="21.75" customHeight="1" thickTop="1">
      <c r="B5" s="761" t="s">
        <v>22</v>
      </c>
      <c r="C5" s="763" t="s">
        <v>23</v>
      </c>
      <c r="D5" s="763"/>
      <c r="E5" s="763"/>
      <c r="F5" s="763"/>
      <c r="G5" s="674">
        <v>1405</v>
      </c>
      <c r="H5" s="674"/>
    </row>
    <row r="6" spans="2:8" ht="15.75">
      <c r="B6" s="762"/>
      <c r="C6" s="764"/>
      <c r="D6" s="764"/>
      <c r="E6" s="764"/>
      <c r="F6" s="764"/>
      <c r="G6" s="24" t="s">
        <v>62</v>
      </c>
      <c r="H6" s="24" t="s">
        <v>29</v>
      </c>
    </row>
    <row r="7" spans="2:8" ht="39" customHeight="1">
      <c r="B7" s="25">
        <v>1</v>
      </c>
      <c r="C7" s="649" t="s">
        <v>63</v>
      </c>
      <c r="D7" s="649"/>
      <c r="E7" s="649"/>
      <c r="F7" s="649"/>
      <c r="G7" s="434">
        <f>'ME.p.1392'!I6*Inflation!Euro_Inflation_Factor</f>
        <v>2931783.489973064</v>
      </c>
      <c r="H7" s="435">
        <f>'ME.p.1392'!J6*Inflation!IRR_Inflation_Factor</f>
        <v>1396015511759.3333</v>
      </c>
    </row>
    <row r="8" spans="2:8" ht="45" customHeight="1">
      <c r="B8" s="25">
        <v>2</v>
      </c>
      <c r="C8" s="649" t="s">
        <v>528</v>
      </c>
      <c r="D8" s="649"/>
      <c r="E8" s="649"/>
      <c r="F8" s="649"/>
      <c r="G8" s="434">
        <f>'ME.p.1392'!I7*Inflation!Euro_Inflation_Factor</f>
        <v>1552119.7833364152</v>
      </c>
      <c r="H8" s="435">
        <f>'ME.p.1392'!J7*Inflation!IRR_Inflation_Factor</f>
        <v>603216579327.37891</v>
      </c>
    </row>
    <row r="9" spans="2:8" ht="33" customHeight="1">
      <c r="B9" s="25">
        <v>3</v>
      </c>
      <c r="C9" s="649" t="s">
        <v>65</v>
      </c>
      <c r="D9" s="649"/>
      <c r="E9" s="649"/>
      <c r="F9" s="649"/>
      <c r="G9" s="495">
        <v>0</v>
      </c>
      <c r="H9" s="499">
        <f>'ME.p.1392'!I8*Inflation!Euro_Inflation_Factor*Inflation!G3</f>
        <v>776059891668.20764</v>
      </c>
    </row>
    <row r="10" spans="2:8" ht="33.75" customHeight="1">
      <c r="B10" s="25">
        <v>4</v>
      </c>
      <c r="C10" s="649" t="s">
        <v>66</v>
      </c>
      <c r="D10" s="649"/>
      <c r="E10" s="649"/>
      <c r="F10" s="649"/>
      <c r="G10" s="434">
        <f>'ME.p.1392'!I9*Inflation!Euro_Inflation_Factor*0.45</f>
        <v>1654871.0765328647</v>
      </c>
      <c r="H10" s="499">
        <f>'ME.p.1392'!J9*Inflation!Euro_Inflation_Factor*Inflation!G3*0.55</f>
        <v>5582431764837.5303</v>
      </c>
    </row>
    <row r="11" spans="2:8" ht="39" customHeight="1">
      <c r="B11" s="25">
        <v>5</v>
      </c>
      <c r="C11" s="649" t="s">
        <v>67</v>
      </c>
      <c r="D11" s="649"/>
      <c r="E11" s="649"/>
      <c r="F11" s="649"/>
      <c r="G11" s="434">
        <v>0</v>
      </c>
      <c r="H11" s="435">
        <f>'ME.p.1392'!I10*Inflation!Euro_Inflation_Factor*Inflation!G3</f>
        <v>8885700417087.9922</v>
      </c>
    </row>
    <row r="12" spans="2:8" ht="24.75" customHeight="1">
      <c r="B12" s="25">
        <v>6</v>
      </c>
      <c r="C12" s="649" t="s">
        <v>68</v>
      </c>
      <c r="D12" s="649"/>
      <c r="E12" s="649"/>
      <c r="F12" s="649"/>
      <c r="G12" s="434">
        <v>0</v>
      </c>
      <c r="H12" s="435">
        <f>('ME.p.1392'!J11)+('ME.p.1392'!I11*Inflation!Euro_Inflation_Factor*Inflation!G3)</f>
        <v>3932204308800.9463</v>
      </c>
    </row>
    <row r="13" spans="2:8" ht="26.25" customHeight="1">
      <c r="B13" s="25">
        <v>7</v>
      </c>
      <c r="C13" s="649" t="s">
        <v>69</v>
      </c>
      <c r="D13" s="649"/>
      <c r="E13" s="649"/>
      <c r="F13" s="649"/>
      <c r="G13" s="434">
        <v>0</v>
      </c>
      <c r="H13" s="435">
        <f>('ME.p.1392'!J12*Inflation!IRR_Inflation_Factor)+('ME.p.1392'!I12*Inflation!Euro_Inflation_Factor*Inflation!G3)</f>
        <v>1630500377183.5701</v>
      </c>
    </row>
    <row r="14" spans="2:8" ht="36.75" customHeight="1">
      <c r="B14" s="25">
        <v>8</v>
      </c>
      <c r="C14" s="649" t="s">
        <v>536</v>
      </c>
      <c r="D14" s="649"/>
      <c r="E14" s="649"/>
      <c r="F14" s="649"/>
      <c r="G14" s="434">
        <v>0</v>
      </c>
      <c r="H14" s="499">
        <f>('ME.p.1392'!I13*Inflation!Euro_Inflation_Factor*Inflation!G3)*0.4</f>
        <v>2304245738246.3457</v>
      </c>
    </row>
    <row r="15" spans="2:8" ht="36.75" customHeight="1">
      <c r="B15" s="25">
        <v>9</v>
      </c>
      <c r="C15" s="652" t="s">
        <v>535</v>
      </c>
      <c r="D15" s="653"/>
      <c r="E15" s="653"/>
      <c r="F15" s="654"/>
      <c r="G15" s="434">
        <f>'ME.p.1392'!I13*Inflation!Euro_Inflation_Factor*0.6</f>
        <v>1728184.3036847594</v>
      </c>
      <c r="H15" s="507">
        <v>0</v>
      </c>
    </row>
    <row r="16" spans="2:8" ht="48" customHeight="1">
      <c r="B16" s="25">
        <v>10</v>
      </c>
      <c r="C16" s="649" t="s">
        <v>71</v>
      </c>
      <c r="D16" s="649"/>
      <c r="E16" s="649"/>
      <c r="F16" s="649"/>
      <c r="G16" s="434">
        <v>0</v>
      </c>
      <c r="H16" s="435">
        <f>('ME.p.1392'!J14*Inflation!IRR_Inflation_Factor)+('ME.p.1392'!I14*Inflation!Euro_Inflation_Factor*Inflation!G3)</f>
        <v>1498888882933.3042</v>
      </c>
    </row>
    <row r="17" spans="2:8" ht="34.5" customHeight="1">
      <c r="B17" s="25">
        <v>11</v>
      </c>
      <c r="C17" s="649" t="s">
        <v>72</v>
      </c>
      <c r="D17" s="649"/>
      <c r="E17" s="649"/>
      <c r="F17" s="649"/>
      <c r="G17" s="434">
        <v>0</v>
      </c>
      <c r="H17" s="499">
        <f>'ME.p.1392'!I15*Inflation!Euro_Inflation_Factor*Inflation!G3</f>
        <v>575325498003.51111</v>
      </c>
    </row>
    <row r="18" spans="2:8" ht="28.5" customHeight="1">
      <c r="B18" s="25">
        <v>12</v>
      </c>
      <c r="C18" s="649" t="s">
        <v>73</v>
      </c>
      <c r="D18" s="649"/>
      <c r="E18" s="649"/>
      <c r="F18" s="649"/>
      <c r="G18" s="434">
        <v>0</v>
      </c>
      <c r="H18" s="499">
        <f>'ME.p.1392'!I16*Inflation!Euro_Inflation_Factor*Inflation!G3</f>
        <v>453563919073.70984</v>
      </c>
    </row>
    <row r="19" spans="2:8" ht="33" customHeight="1">
      <c r="B19" s="25">
        <v>13</v>
      </c>
      <c r="C19" s="609" t="s">
        <v>74</v>
      </c>
      <c r="D19" s="609"/>
      <c r="E19" s="609"/>
      <c r="F19" s="609"/>
      <c r="G19" s="434">
        <v>0</v>
      </c>
      <c r="H19" s="499">
        <f>'ME.p.1392'!I17*Inflation!Euro_Inflation_Factor*Inflation!G3</f>
        <v>782957410270.34949</v>
      </c>
    </row>
    <row r="20" spans="2:8" ht="24.75" customHeight="1">
      <c r="B20" s="25">
        <v>14</v>
      </c>
      <c r="C20" s="609" t="s">
        <v>75</v>
      </c>
      <c r="D20" s="609"/>
      <c r="E20" s="609"/>
      <c r="F20" s="609"/>
      <c r="G20" s="496">
        <v>0</v>
      </c>
      <c r="H20" s="435">
        <f>'ME.p.1392'!J18*Inflation!IRR_Inflation_Factor</f>
        <v>419475728208.73932</v>
      </c>
    </row>
    <row r="21" spans="2:8" ht="33.75" customHeight="1">
      <c r="B21" s="25">
        <v>15</v>
      </c>
      <c r="C21" s="609" t="s">
        <v>76</v>
      </c>
      <c r="D21" s="609"/>
      <c r="E21" s="609"/>
      <c r="F21" s="609"/>
      <c r="G21" s="497">
        <v>0</v>
      </c>
      <c r="H21" s="435">
        <f>'ME.p.1392'!J19*Inflation!IRR_Inflation_Factor</f>
        <v>323631125620.98584</v>
      </c>
    </row>
    <row r="22" spans="2:8" ht="33.75" customHeight="1">
      <c r="B22" s="430">
        <v>16</v>
      </c>
      <c r="C22" s="758" t="s">
        <v>538</v>
      </c>
      <c r="D22" s="759"/>
      <c r="E22" s="759"/>
      <c r="F22" s="760"/>
      <c r="G22" s="498">
        <v>0</v>
      </c>
      <c r="H22" s="500">
        <f>Extra.1405!C7</f>
        <v>2074776221456.5278</v>
      </c>
    </row>
    <row r="23" spans="2:8" ht="26.25" customHeight="1" thickBot="1">
      <c r="B23" s="501"/>
      <c r="C23" s="757" t="s">
        <v>42</v>
      </c>
      <c r="D23" s="757"/>
      <c r="E23" s="757"/>
      <c r="F23" s="757"/>
      <c r="G23" s="40">
        <f>SUM(G7:G22)</f>
        <v>7866958.6535271034</v>
      </c>
      <c r="H23" s="40">
        <f>SUM(H7:H22)</f>
        <v>31238993374478.43</v>
      </c>
    </row>
    <row r="24" spans="2:8" ht="15.75" thickTop="1"/>
  </sheetData>
  <mergeCells count="21">
    <mergeCell ref="C13:F13"/>
    <mergeCell ref="C7:F7"/>
    <mergeCell ref="B3:H4"/>
    <mergeCell ref="B5:B6"/>
    <mergeCell ref="C5:F6"/>
    <mergeCell ref="G5:H5"/>
    <mergeCell ref="C8:F8"/>
    <mergeCell ref="C9:F9"/>
    <mergeCell ref="C10:F10"/>
    <mergeCell ref="C11:F11"/>
    <mergeCell ref="C12:F12"/>
    <mergeCell ref="C21:F21"/>
    <mergeCell ref="C23:F23"/>
    <mergeCell ref="C14:F14"/>
    <mergeCell ref="C16:F16"/>
    <mergeCell ref="C17:F17"/>
    <mergeCell ref="C18:F18"/>
    <mergeCell ref="C19:F19"/>
    <mergeCell ref="C20:F20"/>
    <mergeCell ref="C15:F15"/>
    <mergeCell ref="C22:F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D3:J16"/>
  <sheetViews>
    <sheetView rightToLeft="1" topLeftCell="D1" workbookViewId="0">
      <selection activeCell="J16" sqref="J16"/>
    </sheetView>
  </sheetViews>
  <sheetFormatPr defaultRowHeight="15"/>
  <cols>
    <col min="4" max="4" width="9.85546875" customWidth="1"/>
    <col min="5" max="6" width="23.140625" customWidth="1"/>
    <col min="7" max="7" width="12.85546875" customWidth="1"/>
    <col min="8" max="8" width="23.140625" hidden="1" customWidth="1"/>
    <col min="9" max="10" width="23.140625" customWidth="1"/>
  </cols>
  <sheetData>
    <row r="3" spans="4:10" ht="9.75" customHeight="1"/>
    <row r="4" spans="4:10" ht="27" customHeight="1">
      <c r="D4" s="765" t="s">
        <v>504</v>
      </c>
      <c r="E4" s="657"/>
      <c r="F4" s="657"/>
      <c r="G4" s="657"/>
      <c r="H4" s="657"/>
      <c r="I4" s="657"/>
      <c r="J4" s="657"/>
    </row>
    <row r="5" spans="4:10" ht="36.75" customHeight="1">
      <c r="D5" s="609" t="s">
        <v>22</v>
      </c>
      <c r="E5" s="649" t="s">
        <v>23</v>
      </c>
      <c r="F5" s="649"/>
      <c r="G5" s="649"/>
      <c r="H5" s="649"/>
      <c r="I5" s="766" t="s">
        <v>593</v>
      </c>
      <c r="J5" s="766"/>
    </row>
    <row r="6" spans="4:10" ht="36.75" customHeight="1">
      <c r="D6" s="609"/>
      <c r="E6" s="649"/>
      <c r="F6" s="649"/>
      <c r="G6" s="649"/>
      <c r="H6" s="649"/>
      <c r="I6" s="375" t="s">
        <v>61</v>
      </c>
      <c r="J6" s="375" t="s">
        <v>29</v>
      </c>
    </row>
    <row r="7" spans="4:10" ht="24.75" customHeight="1">
      <c r="D7" s="384">
        <v>1</v>
      </c>
      <c r="E7" s="649" t="s">
        <v>503</v>
      </c>
      <c r="F7" s="649"/>
      <c r="G7" s="649"/>
      <c r="H7" s="649"/>
      <c r="I7" s="379"/>
      <c r="J7" s="379">
        <v>628485722475</v>
      </c>
    </row>
    <row r="8" spans="4:10" ht="32.25" customHeight="1">
      <c r="D8" s="384">
        <v>2</v>
      </c>
      <c r="E8" s="649" t="s">
        <v>83</v>
      </c>
      <c r="F8" s="649"/>
      <c r="G8" s="649"/>
      <c r="H8" s="649"/>
      <c r="I8" s="379"/>
      <c r="J8" s="379">
        <v>244000184294</v>
      </c>
    </row>
    <row r="9" spans="4:10" ht="18" customHeight="1">
      <c r="D9" s="384">
        <v>3</v>
      </c>
      <c r="E9" s="649" t="s">
        <v>84</v>
      </c>
      <c r="F9" s="649"/>
      <c r="G9" s="649"/>
      <c r="H9" s="649"/>
      <c r="I9" s="379"/>
      <c r="J9" s="379">
        <v>592730999306</v>
      </c>
    </row>
    <row r="10" spans="4:10" ht="36.75" customHeight="1">
      <c r="D10" s="384">
        <v>4</v>
      </c>
      <c r="E10" s="649" t="s">
        <v>502</v>
      </c>
      <c r="F10" s="649"/>
      <c r="G10" s="649"/>
      <c r="H10" s="649"/>
      <c r="I10" s="379">
        <f>(450527692324*0.554466129702747)/550000</f>
        <v>454186.08343054232</v>
      </c>
      <c r="J10" s="379">
        <f>450527692324*0.445533870297253</f>
        <v>200725346437.20172</v>
      </c>
    </row>
    <row r="11" spans="4:10" ht="21" customHeight="1">
      <c r="D11" s="384">
        <v>5</v>
      </c>
      <c r="E11" s="649" t="s">
        <v>501</v>
      </c>
      <c r="F11" s="649"/>
      <c r="G11" s="649"/>
      <c r="H11" s="649"/>
      <c r="I11" s="379">
        <f>(74091374913*0.929198602787513)/550000</f>
        <v>125173.82190502799</v>
      </c>
      <c r="J11" s="379">
        <f>74091374913*0.0708013972124875</f>
        <v>5245772865.2346449</v>
      </c>
    </row>
    <row r="12" spans="4:10" ht="20.25" customHeight="1">
      <c r="D12" s="384">
        <v>6</v>
      </c>
      <c r="E12" s="649" t="s">
        <v>85</v>
      </c>
      <c r="F12" s="649"/>
      <c r="G12" s="649"/>
      <c r="H12" s="649"/>
      <c r="I12" s="379"/>
      <c r="J12" s="379">
        <v>754000000000</v>
      </c>
    </row>
    <row r="13" spans="4:10" ht="20.25" customHeight="1">
      <c r="D13" s="384">
        <v>7</v>
      </c>
      <c r="E13" s="649" t="s">
        <v>86</v>
      </c>
      <c r="F13" s="649"/>
      <c r="G13" s="649"/>
      <c r="H13" s="649"/>
      <c r="I13" s="379"/>
      <c r="J13" s="379"/>
    </row>
    <row r="14" spans="4:10" ht="20.25" customHeight="1">
      <c r="D14" s="384">
        <v>8</v>
      </c>
      <c r="E14" s="649" t="s">
        <v>87</v>
      </c>
      <c r="F14" s="649"/>
      <c r="G14" s="649"/>
      <c r="H14" s="649"/>
      <c r="I14" s="379"/>
      <c r="J14" s="379"/>
    </row>
    <row r="15" spans="4:10" ht="21.75" customHeight="1">
      <c r="D15" s="384">
        <v>9</v>
      </c>
      <c r="E15" s="649" t="s">
        <v>88</v>
      </c>
      <c r="F15" s="649"/>
      <c r="G15" s="649"/>
      <c r="H15" s="649"/>
      <c r="I15" s="379"/>
      <c r="J15" s="379"/>
    </row>
    <row r="16" spans="4:10" ht="15.75">
      <c r="D16" s="384"/>
      <c r="E16" s="649" t="s">
        <v>42</v>
      </c>
      <c r="F16" s="649"/>
      <c r="G16" s="649"/>
      <c r="H16" s="649"/>
      <c r="I16" s="376">
        <f>SUM(I7:I12)</f>
        <v>579359.90533557034</v>
      </c>
      <c r="J16" s="376">
        <f>SUM(J7:J12)</f>
        <v>2425188025377.4365</v>
      </c>
    </row>
  </sheetData>
  <mergeCells count="14">
    <mergeCell ref="E13:H13"/>
    <mergeCell ref="E14:H14"/>
    <mergeCell ref="E15:H15"/>
    <mergeCell ref="E16:H16"/>
    <mergeCell ref="D4:J4"/>
    <mergeCell ref="E7:H7"/>
    <mergeCell ref="E8:H8"/>
    <mergeCell ref="E9:H9"/>
    <mergeCell ref="E10:H10"/>
    <mergeCell ref="E11:H11"/>
    <mergeCell ref="E12:H12"/>
    <mergeCell ref="D5:D6"/>
    <mergeCell ref="E5:H6"/>
    <mergeCell ref="I5:J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48"/>
  <sheetViews>
    <sheetView rightToLeft="1" topLeftCell="A29" zoomScaleNormal="100" workbookViewId="0">
      <selection activeCell="J45" sqref="J45"/>
    </sheetView>
  </sheetViews>
  <sheetFormatPr defaultColWidth="9" defaultRowHeight="15.75"/>
  <cols>
    <col min="1" max="1" width="3.42578125" style="96" customWidth="1"/>
    <col min="2" max="2" width="18" style="96" customWidth="1"/>
    <col min="3" max="3" width="44.42578125" style="96" customWidth="1"/>
    <col min="4" max="4" width="27.140625" style="96" customWidth="1"/>
    <col min="5" max="5" width="16.7109375" style="96" customWidth="1"/>
    <col min="6" max="6" width="22.85546875" style="119" customWidth="1"/>
    <col min="7" max="7" width="13" style="119" customWidth="1"/>
    <col min="8" max="8" width="26.5703125" style="96" customWidth="1"/>
    <col min="9" max="9" width="44.5703125" style="96" customWidth="1"/>
    <col min="10" max="10" width="23.5703125" style="120" customWidth="1"/>
    <col min="11" max="11" width="29.42578125" style="96" customWidth="1"/>
    <col min="12" max="12" width="19.28515625" style="96" bestFit="1" customWidth="1"/>
    <col min="13" max="13" width="34.140625" style="96" bestFit="1" customWidth="1"/>
    <col min="14" max="14" width="17.7109375" style="96" bestFit="1" customWidth="1"/>
    <col min="15" max="16384" width="9" style="96"/>
  </cols>
  <sheetData>
    <row r="1" spans="1:15" ht="35.25" customHeight="1" thickTop="1" thickBot="1">
      <c r="A1" s="781" t="s">
        <v>112</v>
      </c>
      <c r="B1" s="782"/>
      <c r="C1" s="782"/>
      <c r="D1" s="782"/>
      <c r="E1" s="782"/>
      <c r="F1" s="782"/>
      <c r="G1" s="782"/>
      <c r="H1" s="782"/>
      <c r="I1" s="192"/>
      <c r="J1" s="94"/>
      <c r="K1" s="95"/>
    </row>
    <row r="2" spans="1:15" ht="21.75" thickTop="1">
      <c r="A2" s="97" t="s">
        <v>0</v>
      </c>
      <c r="B2" s="783" t="s">
        <v>113</v>
      </c>
      <c r="C2" s="783"/>
      <c r="D2" s="98" t="s">
        <v>90</v>
      </c>
      <c r="E2" s="98" t="s">
        <v>114</v>
      </c>
      <c r="F2" s="98" t="s">
        <v>115</v>
      </c>
      <c r="G2" s="99" t="s">
        <v>116</v>
      </c>
      <c r="H2" s="100" t="s">
        <v>117</v>
      </c>
      <c r="I2" s="223" t="s">
        <v>594</v>
      </c>
      <c r="J2" s="220"/>
      <c r="K2" s="101" t="s">
        <v>118</v>
      </c>
      <c r="O2" s="197"/>
    </row>
    <row r="3" spans="1:15" ht="21">
      <c r="A3" s="199">
        <v>1</v>
      </c>
      <c r="B3" s="784" t="s">
        <v>140</v>
      </c>
      <c r="C3" s="784"/>
      <c r="D3" s="200" t="s">
        <v>141</v>
      </c>
      <c r="E3" s="200">
        <v>680</v>
      </c>
      <c r="F3" s="201">
        <v>7600000000</v>
      </c>
      <c r="G3" s="202">
        <v>1.3</v>
      </c>
      <c r="H3" s="203">
        <f>F3*G3</f>
        <v>9880000000</v>
      </c>
      <c r="I3" s="224">
        <f>E3*N33</f>
        <v>206050338720.00003</v>
      </c>
      <c r="J3" s="222"/>
      <c r="K3" s="221"/>
      <c r="O3" s="197"/>
    </row>
    <row r="4" spans="1:15" ht="21">
      <c r="A4" s="199">
        <v>2</v>
      </c>
      <c r="B4" s="784" t="s">
        <v>142</v>
      </c>
      <c r="C4" s="784"/>
      <c r="D4" s="200" t="s">
        <v>143</v>
      </c>
      <c r="E4" s="200">
        <v>231</v>
      </c>
      <c r="F4" s="201">
        <v>4756000000</v>
      </c>
      <c r="G4" s="202">
        <v>1.3</v>
      </c>
      <c r="H4" s="203">
        <f>F4*G4</f>
        <v>6182800000</v>
      </c>
      <c r="I4" s="224">
        <f>E4*N33</f>
        <v>69996512124.000015</v>
      </c>
      <c r="J4" s="222" t="s">
        <v>121</v>
      </c>
      <c r="K4" s="221">
        <v>6182800000</v>
      </c>
      <c r="O4" s="197"/>
    </row>
    <row r="5" spans="1:15" ht="21">
      <c r="A5" s="199">
        <v>3</v>
      </c>
      <c r="B5" s="784" t="s">
        <v>144</v>
      </c>
      <c r="C5" s="784"/>
      <c r="D5" s="200" t="s">
        <v>145</v>
      </c>
      <c r="E5" s="200">
        <v>660</v>
      </c>
      <c r="F5" s="201">
        <v>4523000000</v>
      </c>
      <c r="G5" s="202">
        <v>1.3</v>
      </c>
      <c r="H5" s="203">
        <f>F5*G5</f>
        <v>5879900000</v>
      </c>
      <c r="I5" s="224">
        <f>E5*N33</f>
        <v>199990034640.00003</v>
      </c>
      <c r="J5" s="222"/>
      <c r="K5" s="221"/>
      <c r="O5" s="197"/>
    </row>
    <row r="6" spans="1:15" ht="21">
      <c r="A6" s="199">
        <v>4</v>
      </c>
      <c r="B6" s="779" t="s">
        <v>173</v>
      </c>
      <c r="C6" s="779"/>
      <c r="D6" s="200" t="s">
        <v>174</v>
      </c>
      <c r="E6" s="200">
        <v>100</v>
      </c>
      <c r="F6" s="201">
        <v>1251000000</v>
      </c>
      <c r="G6" s="202">
        <v>1.3</v>
      </c>
      <c r="H6" s="203">
        <f>F6*G6</f>
        <v>1626300000</v>
      </c>
      <c r="I6" s="224">
        <f>E6*N33</f>
        <v>30301520400.000008</v>
      </c>
      <c r="J6" s="219"/>
      <c r="K6" s="107"/>
      <c r="O6" s="197"/>
    </row>
    <row r="7" spans="1:15" ht="23.45" customHeight="1">
      <c r="A7" s="102">
        <v>5</v>
      </c>
      <c r="B7" s="780" t="s">
        <v>119</v>
      </c>
      <c r="C7" s="780"/>
      <c r="D7" s="103"/>
      <c r="E7" s="103" t="s">
        <v>120</v>
      </c>
      <c r="F7" s="104">
        <v>2100000000</v>
      </c>
      <c r="G7" s="105">
        <v>1.3</v>
      </c>
      <c r="H7" s="106">
        <f t="shared" ref="H7:H44" si="0">F7*G7</f>
        <v>2730000000</v>
      </c>
      <c r="I7" s="217">
        <f>F7*Inflation!IRR_Inflation_Factor*$N$42</f>
        <v>170336491527.4314</v>
      </c>
      <c r="J7" s="222" t="s">
        <v>121</v>
      </c>
      <c r="K7" s="221">
        <v>2730000000</v>
      </c>
      <c r="O7" s="197"/>
    </row>
    <row r="8" spans="1:15" ht="23.45" customHeight="1">
      <c r="A8" s="102">
        <v>6</v>
      </c>
      <c r="B8" s="780" t="s">
        <v>122</v>
      </c>
      <c r="C8" s="780"/>
      <c r="D8" s="103"/>
      <c r="E8" s="103" t="s">
        <v>123</v>
      </c>
      <c r="F8" s="104">
        <v>2500000000</v>
      </c>
      <c r="G8" s="105">
        <v>1.3</v>
      </c>
      <c r="H8" s="106">
        <f t="shared" si="0"/>
        <v>3250000000</v>
      </c>
      <c r="I8" s="217">
        <f>F8*Inflation!IRR_Inflation_Factor*$N$42</f>
        <v>202781537532.65643</v>
      </c>
      <c r="J8" s="222" t="s">
        <v>124</v>
      </c>
      <c r="K8" s="221">
        <v>1315476190.4761906</v>
      </c>
      <c r="O8" s="197"/>
    </row>
    <row r="9" spans="1:15" ht="23.45" customHeight="1">
      <c r="A9" s="102">
        <v>7</v>
      </c>
      <c r="B9" s="780" t="s">
        <v>125</v>
      </c>
      <c r="C9" s="780"/>
      <c r="D9" s="103"/>
      <c r="E9" s="103" t="s">
        <v>126</v>
      </c>
      <c r="F9" s="104">
        <v>4900000000</v>
      </c>
      <c r="G9" s="105">
        <v>1.3</v>
      </c>
      <c r="H9" s="106">
        <f t="shared" si="0"/>
        <v>6370000000</v>
      </c>
      <c r="I9" s="217">
        <f>F9*Inflation!IRR_Inflation_Factor*$N$42</f>
        <v>397451813564.00665</v>
      </c>
      <c r="J9" s="222" t="s">
        <v>127</v>
      </c>
      <c r="K9" s="221">
        <v>4794729520.8655329</v>
      </c>
      <c r="O9" s="197"/>
    </row>
    <row r="10" spans="1:15" ht="23.45" customHeight="1">
      <c r="A10" s="102">
        <v>8</v>
      </c>
      <c r="B10" s="780" t="s">
        <v>128</v>
      </c>
      <c r="C10" s="780"/>
      <c r="D10" s="103"/>
      <c r="E10" s="103" t="s">
        <v>129</v>
      </c>
      <c r="F10" s="104">
        <v>1700000000</v>
      </c>
      <c r="G10" s="105">
        <v>1.3</v>
      </c>
      <c r="H10" s="106">
        <f t="shared" si="0"/>
        <v>2210000000</v>
      </c>
      <c r="I10" s="217">
        <f>F10*Inflation!IRR_Inflation_Factor*$N$42</f>
        <v>137891445522.20639</v>
      </c>
      <c r="J10" s="222" t="s">
        <v>130</v>
      </c>
      <c r="K10" s="221">
        <v>624349775.78475344</v>
      </c>
      <c r="O10" s="197"/>
    </row>
    <row r="11" spans="1:15" ht="23.45" customHeight="1">
      <c r="A11" s="102">
        <v>9</v>
      </c>
      <c r="B11" s="780" t="s">
        <v>131</v>
      </c>
      <c r="C11" s="780"/>
      <c r="D11" s="103"/>
      <c r="E11" s="103" t="s">
        <v>132</v>
      </c>
      <c r="F11" s="104">
        <v>1500000000</v>
      </c>
      <c r="G11" s="105">
        <v>1.3</v>
      </c>
      <c r="H11" s="106">
        <f t="shared" si="0"/>
        <v>1950000000</v>
      </c>
      <c r="I11" s="217">
        <f>F11*Inflation!IRR_Inflation_Factor*$N$42</f>
        <v>121668922519.59386</v>
      </c>
      <c r="J11" s="222" t="s">
        <v>133</v>
      </c>
      <c r="K11" s="221">
        <v>450000000</v>
      </c>
      <c r="O11" s="204"/>
    </row>
    <row r="12" spans="1:15" ht="23.45" customHeight="1">
      <c r="A12" s="102">
        <v>10</v>
      </c>
      <c r="B12" s="780" t="s">
        <v>134</v>
      </c>
      <c r="C12" s="780"/>
      <c r="D12" s="103"/>
      <c r="E12" s="103" t="s">
        <v>135</v>
      </c>
      <c r="F12" s="104">
        <v>170000000</v>
      </c>
      <c r="G12" s="105">
        <v>1.3</v>
      </c>
      <c r="H12" s="106">
        <f t="shared" si="0"/>
        <v>221000000</v>
      </c>
      <c r="I12" s="217">
        <f>F12*Inflation!IRR_Inflation_Factor*$N$42</f>
        <v>13789144552.220638</v>
      </c>
      <c r="J12" s="222"/>
      <c r="K12" s="221"/>
    </row>
    <row r="13" spans="1:15" ht="23.45" customHeight="1">
      <c r="A13" s="102">
        <v>11</v>
      </c>
      <c r="B13" s="780" t="s">
        <v>136</v>
      </c>
      <c r="C13" s="780"/>
      <c r="D13" s="103"/>
      <c r="E13" s="103" t="s">
        <v>137</v>
      </c>
      <c r="F13" s="104">
        <v>1900000000</v>
      </c>
      <c r="G13" s="105">
        <v>1.3</v>
      </c>
      <c r="H13" s="106">
        <f t="shared" si="0"/>
        <v>2470000000</v>
      </c>
      <c r="I13" s="217">
        <f>F13*Inflation!IRR_Inflation_Factor*$N$42</f>
        <v>154113968524.81891</v>
      </c>
      <c r="J13" s="222" t="s">
        <v>121</v>
      </c>
      <c r="K13" s="221">
        <v>2470000000</v>
      </c>
    </row>
    <row r="14" spans="1:15" ht="23.45" customHeight="1">
      <c r="A14" s="102">
        <v>12</v>
      </c>
      <c r="B14" s="780" t="s">
        <v>138</v>
      </c>
      <c r="C14" s="780"/>
      <c r="D14" s="103"/>
      <c r="E14" s="103" t="s">
        <v>139</v>
      </c>
      <c r="F14" s="104">
        <v>1000000000</v>
      </c>
      <c r="G14" s="105">
        <v>1.3</v>
      </c>
      <c r="H14" s="106">
        <f t="shared" si="0"/>
        <v>1300000000</v>
      </c>
      <c r="I14" s="217">
        <f>F14*Inflation!IRR_Inflation_Factor*$N$42</f>
        <v>81112615013.062576</v>
      </c>
      <c r="J14" s="222"/>
      <c r="K14" s="221"/>
    </row>
    <row r="15" spans="1:15" ht="23.45" customHeight="1">
      <c r="A15" s="102">
        <v>13</v>
      </c>
      <c r="B15" s="768" t="s">
        <v>147</v>
      </c>
      <c r="C15" s="768"/>
      <c r="D15" s="103" t="s">
        <v>546</v>
      </c>
      <c r="E15" s="103" t="s">
        <v>148</v>
      </c>
      <c r="F15" s="104">
        <v>37524000000</v>
      </c>
      <c r="G15" s="105">
        <v>1.3</v>
      </c>
      <c r="H15" s="106">
        <f t="shared" si="0"/>
        <v>48781200000</v>
      </c>
      <c r="I15" s="217">
        <f>F15*Inflation!IRR_Inflation_Factor*$N$42</f>
        <v>3043669765750.1602</v>
      </c>
      <c r="J15" s="222" t="s">
        <v>121</v>
      </c>
      <c r="K15" s="221">
        <v>48781200000</v>
      </c>
      <c r="N15" s="194"/>
      <c r="O15" s="196"/>
    </row>
    <row r="16" spans="1:15" ht="23.45" customHeight="1">
      <c r="A16" s="102">
        <v>14</v>
      </c>
      <c r="B16" s="780" t="s">
        <v>149</v>
      </c>
      <c r="C16" s="780"/>
      <c r="D16" s="103" t="s">
        <v>150</v>
      </c>
      <c r="E16" s="103" t="s">
        <v>151</v>
      </c>
      <c r="F16" s="104">
        <v>16788000000</v>
      </c>
      <c r="G16" s="105">
        <v>1.3</v>
      </c>
      <c r="H16" s="106">
        <f t="shared" si="0"/>
        <v>21824400000</v>
      </c>
      <c r="I16" s="217">
        <f>F16*Inflation!IRR_Inflation_Factor*$N$42</f>
        <v>1361718580839.2947</v>
      </c>
      <c r="J16" s="222"/>
      <c r="K16" s="221"/>
      <c r="N16" s="194"/>
      <c r="O16" s="196"/>
    </row>
    <row r="17" spans="1:15" ht="23.45" customHeight="1">
      <c r="A17" s="102">
        <v>15</v>
      </c>
      <c r="B17" s="780" t="s">
        <v>152</v>
      </c>
      <c r="C17" s="780"/>
      <c r="D17" s="108" t="s">
        <v>153</v>
      </c>
      <c r="E17" s="103" t="s">
        <v>154</v>
      </c>
      <c r="F17" s="104">
        <v>14817000000</v>
      </c>
      <c r="G17" s="105">
        <v>1.3</v>
      </c>
      <c r="H17" s="106">
        <f t="shared" si="0"/>
        <v>19262100000</v>
      </c>
      <c r="I17" s="217">
        <f>F17*Inflation!IRR_Inflation_Factor*$N$42</f>
        <v>1201845616648.5481</v>
      </c>
      <c r="J17" s="222" t="s">
        <v>121</v>
      </c>
      <c r="K17" s="221">
        <v>19262100000</v>
      </c>
      <c r="N17" s="195"/>
      <c r="O17" s="196"/>
    </row>
    <row r="18" spans="1:15" ht="23.45" customHeight="1">
      <c r="A18" s="102">
        <v>16</v>
      </c>
      <c r="B18" s="776" t="s">
        <v>155</v>
      </c>
      <c r="C18" s="776"/>
      <c r="D18" s="103" t="s">
        <v>156</v>
      </c>
      <c r="E18" s="103"/>
      <c r="F18" s="104">
        <v>6354000000</v>
      </c>
      <c r="G18" s="105">
        <v>1.3</v>
      </c>
      <c r="H18" s="106">
        <f t="shared" si="0"/>
        <v>8260200000</v>
      </c>
      <c r="I18" s="217">
        <f>F18*Inflation!IRR_Inflation_Factor*$N$42</f>
        <v>515389555792.99963</v>
      </c>
      <c r="J18" s="222"/>
      <c r="K18" s="221"/>
    </row>
    <row r="19" spans="1:15" ht="23.45" customHeight="1">
      <c r="A19" s="102">
        <v>17</v>
      </c>
      <c r="B19" s="768" t="s">
        <v>157</v>
      </c>
      <c r="C19" s="768"/>
      <c r="D19" s="103" t="s">
        <v>158</v>
      </c>
      <c r="E19" s="103" t="s">
        <v>159</v>
      </c>
      <c r="F19" s="104">
        <v>42631000000</v>
      </c>
      <c r="G19" s="105">
        <v>1.3</v>
      </c>
      <c r="H19" s="106">
        <f t="shared" si="0"/>
        <v>55420300000</v>
      </c>
      <c r="I19" s="217">
        <f>F19*Inflation!IRR_Inflation_Factor*$N$42</f>
        <v>3457911890621.8706</v>
      </c>
      <c r="J19" s="222" t="s">
        <v>160</v>
      </c>
      <c r="K19" s="221">
        <v>33252180000</v>
      </c>
    </row>
    <row r="20" spans="1:15" ht="23.45" customHeight="1">
      <c r="A20" s="102">
        <v>18</v>
      </c>
      <c r="B20" s="768" t="s">
        <v>161</v>
      </c>
      <c r="C20" s="768"/>
      <c r="D20" s="103" t="s">
        <v>162</v>
      </c>
      <c r="E20" s="104"/>
      <c r="F20" s="104">
        <v>13870000000</v>
      </c>
      <c r="G20" s="105">
        <v>1.3</v>
      </c>
      <c r="H20" s="106">
        <f t="shared" si="0"/>
        <v>18031000000</v>
      </c>
      <c r="I20" s="217">
        <f>F20*Inflation!IRR_Inflation_Factor*$N$42</f>
        <v>1125031970231.178</v>
      </c>
      <c r="J20" s="222" t="s">
        <v>163</v>
      </c>
      <c r="K20" s="221">
        <v>9015500000</v>
      </c>
    </row>
    <row r="21" spans="1:15" ht="23.45" customHeight="1">
      <c r="A21" s="102">
        <v>19</v>
      </c>
      <c r="B21" s="768" t="s">
        <v>164</v>
      </c>
      <c r="C21" s="768"/>
      <c r="D21" s="103" t="s">
        <v>165</v>
      </c>
      <c r="E21" s="104" t="s">
        <v>166</v>
      </c>
      <c r="F21" s="104">
        <f>230000000*25</f>
        <v>5750000000</v>
      </c>
      <c r="G21" s="105">
        <v>1.3</v>
      </c>
      <c r="H21" s="106">
        <f t="shared" si="0"/>
        <v>7475000000</v>
      </c>
      <c r="I21" s="217">
        <f>F21*Inflation!IRR_Inflation_Factor*$N$42</f>
        <v>466397536325.1098</v>
      </c>
      <c r="J21" s="222" t="s">
        <v>160</v>
      </c>
      <c r="K21" s="221">
        <v>4485000000</v>
      </c>
    </row>
    <row r="22" spans="1:15" ht="23.45" customHeight="1">
      <c r="A22" s="102">
        <v>20</v>
      </c>
      <c r="B22" s="768" t="s">
        <v>167</v>
      </c>
      <c r="C22" s="768"/>
      <c r="D22" s="103" t="s">
        <v>168</v>
      </c>
      <c r="E22" s="104" t="s">
        <v>169</v>
      </c>
      <c r="F22" s="104">
        <v>1800000000</v>
      </c>
      <c r="G22" s="105">
        <v>1</v>
      </c>
      <c r="H22" s="106">
        <f t="shared" si="0"/>
        <v>1800000000</v>
      </c>
      <c r="I22" s="217">
        <f>F22*Inflation!IRR_Inflation_Factor*$N$42</f>
        <v>146002707023.51263</v>
      </c>
      <c r="J22" s="222" t="s">
        <v>121</v>
      </c>
      <c r="K22" s="221">
        <v>1800000000</v>
      </c>
    </row>
    <row r="23" spans="1:15" ht="23.45" customHeight="1">
      <c r="A23" s="102">
        <v>21</v>
      </c>
      <c r="B23" s="768" t="s">
        <v>170</v>
      </c>
      <c r="C23" s="768"/>
      <c r="D23" s="103" t="s">
        <v>171</v>
      </c>
      <c r="E23" s="103" t="s">
        <v>172</v>
      </c>
      <c r="F23" s="104">
        <v>8543000000</v>
      </c>
      <c r="G23" s="105">
        <v>1.3</v>
      </c>
      <c r="H23" s="106">
        <f t="shared" si="0"/>
        <v>11105900000</v>
      </c>
      <c r="I23" s="217">
        <f>F23*Inflation!IRR_Inflation_Factor*$N$42</f>
        <v>692945070056.59363</v>
      </c>
      <c r="J23" s="222" t="s">
        <v>51</v>
      </c>
      <c r="K23" s="221">
        <f>SUM(K3:K22)</f>
        <v>135163335487.12648</v>
      </c>
    </row>
    <row r="24" spans="1:15" ht="23.45" customHeight="1">
      <c r="A24" s="102">
        <v>22</v>
      </c>
      <c r="B24" s="776" t="s">
        <v>175</v>
      </c>
      <c r="C24" s="776"/>
      <c r="D24" s="103" t="s">
        <v>176</v>
      </c>
      <c r="E24" s="103" t="s">
        <v>177</v>
      </c>
      <c r="F24" s="104">
        <v>2582000000</v>
      </c>
      <c r="G24" s="105">
        <v>1.3</v>
      </c>
      <c r="H24" s="106">
        <f t="shared" si="0"/>
        <v>3356600000</v>
      </c>
      <c r="I24" s="217">
        <f>F24*Inflation!IRR_Inflation_Factor*$N$42</f>
        <v>209432771963.72757</v>
      </c>
      <c r="J24" s="109"/>
      <c r="K24" s="110"/>
      <c r="M24" s="767" t="s">
        <v>360</v>
      </c>
      <c r="N24" s="767"/>
    </row>
    <row r="25" spans="1:15" ht="23.45" customHeight="1">
      <c r="A25" s="102">
        <v>23</v>
      </c>
      <c r="B25" s="768" t="s">
        <v>178</v>
      </c>
      <c r="C25" s="768"/>
      <c r="D25" s="103" t="s">
        <v>179</v>
      </c>
      <c r="E25" s="104"/>
      <c r="F25" s="104">
        <v>720000000</v>
      </c>
      <c r="G25" s="105">
        <v>1.3</v>
      </c>
      <c r="H25" s="106">
        <f t="shared" si="0"/>
        <v>936000000</v>
      </c>
      <c r="I25" s="217">
        <f>F25*Inflation!IRR_Inflation_Factor*$N$42</f>
        <v>58401082809.40506</v>
      </c>
      <c r="J25" s="109"/>
      <c r="K25" s="110"/>
      <c r="M25" s="103" t="s">
        <v>352</v>
      </c>
      <c r="N25" s="205">
        <v>1.06</v>
      </c>
    </row>
    <row r="26" spans="1:15" ht="23.45" customHeight="1">
      <c r="A26" s="102">
        <v>24</v>
      </c>
      <c r="B26" s="768" t="s">
        <v>180</v>
      </c>
      <c r="C26" s="768"/>
      <c r="D26" s="103" t="s">
        <v>181</v>
      </c>
      <c r="E26" s="104"/>
      <c r="F26" s="104">
        <v>1400000000</v>
      </c>
      <c r="G26" s="105">
        <v>1.3</v>
      </c>
      <c r="H26" s="106">
        <f t="shared" si="0"/>
        <v>1820000000</v>
      </c>
      <c r="I26" s="217">
        <f>F26*Inflation!IRR_Inflation_Factor*$N$42</f>
        <v>113557661018.28761</v>
      </c>
      <c r="J26" s="109"/>
      <c r="K26" s="110"/>
      <c r="M26" s="206" t="s">
        <v>356</v>
      </c>
      <c r="N26" s="205">
        <v>1.0900000000000001</v>
      </c>
    </row>
    <row r="27" spans="1:15" ht="23.45" customHeight="1">
      <c r="A27" s="102">
        <v>25</v>
      </c>
      <c r="B27" s="768" t="s">
        <v>182</v>
      </c>
      <c r="C27" s="768"/>
      <c r="D27" s="103" t="s">
        <v>183</v>
      </c>
      <c r="E27" s="104"/>
      <c r="F27" s="104">
        <v>7000000000</v>
      </c>
      <c r="G27" s="105">
        <v>1.3</v>
      </c>
      <c r="H27" s="106">
        <f t="shared" si="0"/>
        <v>9100000000</v>
      </c>
      <c r="I27" s="217">
        <f>F27*Inflation!IRR_Inflation_Factor*$N$42</f>
        <v>567788305091.43799</v>
      </c>
      <c r="J27" s="109"/>
      <c r="K27" s="110"/>
      <c r="M27" s="207" t="s">
        <v>350</v>
      </c>
      <c r="N27" s="205">
        <v>1.41</v>
      </c>
    </row>
    <row r="28" spans="1:15" ht="23.45" customHeight="1">
      <c r="A28" s="102">
        <v>26</v>
      </c>
      <c r="B28" s="768" t="s">
        <v>184</v>
      </c>
      <c r="C28" s="768"/>
      <c r="D28" s="103" t="s">
        <v>185</v>
      </c>
      <c r="E28" s="104"/>
      <c r="F28" s="104">
        <v>1250000000</v>
      </c>
      <c r="G28" s="105">
        <v>1.3</v>
      </c>
      <c r="H28" s="106">
        <f t="shared" si="0"/>
        <v>1625000000</v>
      </c>
      <c r="I28" s="217">
        <f>F28*Inflation!IRR_Inflation_Factor*$N$42</f>
        <v>101390768766.32822</v>
      </c>
      <c r="J28" s="109"/>
      <c r="K28" s="110"/>
      <c r="M28" s="207" t="s">
        <v>354</v>
      </c>
      <c r="N28" s="205">
        <v>1</v>
      </c>
    </row>
    <row r="29" spans="1:15" ht="23.45" customHeight="1">
      <c r="A29" s="102">
        <v>27</v>
      </c>
      <c r="B29" s="768" t="s">
        <v>186</v>
      </c>
      <c r="C29" s="768"/>
      <c r="D29" s="103" t="s">
        <v>185</v>
      </c>
      <c r="E29" s="104"/>
      <c r="F29" s="104">
        <v>1000000000</v>
      </c>
      <c r="G29" s="105">
        <v>1.3</v>
      </c>
      <c r="H29" s="106">
        <f t="shared" si="0"/>
        <v>1300000000</v>
      </c>
      <c r="I29" s="217">
        <f>F29*Inflation!IRR_Inflation_Factor*$N$42</f>
        <v>81112615013.062576</v>
      </c>
      <c r="J29" s="109"/>
      <c r="K29" s="110"/>
      <c r="M29" s="208" t="s">
        <v>355</v>
      </c>
      <c r="N29" s="205">
        <v>1</v>
      </c>
    </row>
    <row r="30" spans="1:15" ht="23.45" customHeight="1">
      <c r="A30" s="102">
        <v>28</v>
      </c>
      <c r="B30" s="776" t="s">
        <v>187</v>
      </c>
      <c r="C30" s="776"/>
      <c r="D30" s="103" t="s">
        <v>188</v>
      </c>
      <c r="E30" s="103" t="s">
        <v>189</v>
      </c>
      <c r="F30" s="104">
        <v>500000000</v>
      </c>
      <c r="G30" s="105">
        <v>1.3</v>
      </c>
      <c r="H30" s="106">
        <f t="shared" si="0"/>
        <v>650000000</v>
      </c>
      <c r="I30" s="217">
        <f>F30*Inflation!IRR_Inflation_Factor*$N$42</f>
        <v>40556307506.531288</v>
      </c>
      <c r="J30" s="109"/>
      <c r="K30" s="110"/>
      <c r="M30" s="209" t="s">
        <v>351</v>
      </c>
      <c r="N30" s="205">
        <v>2</v>
      </c>
    </row>
    <row r="31" spans="1:15" ht="23.45" customHeight="1">
      <c r="A31" s="102">
        <v>29</v>
      </c>
      <c r="B31" s="776" t="s">
        <v>190</v>
      </c>
      <c r="C31" s="776"/>
      <c r="D31" s="103" t="s">
        <v>191</v>
      </c>
      <c r="E31" s="104"/>
      <c r="F31" s="104">
        <f>20*50000000</f>
        <v>1000000000</v>
      </c>
      <c r="G31" s="105">
        <v>1.3</v>
      </c>
      <c r="H31" s="106">
        <f t="shared" si="0"/>
        <v>1300000000</v>
      </c>
      <c r="I31" s="217">
        <f>F31*Inflation!IRR_Inflation_Factor*$N$42</f>
        <v>81112615013.062576</v>
      </c>
      <c r="J31" s="109"/>
      <c r="K31" s="110"/>
      <c r="M31" s="209" t="s">
        <v>353</v>
      </c>
      <c r="N31" s="218">
        <f>N25*N26*N27*N28*N29*N30</f>
        <v>3.2582280000000003</v>
      </c>
    </row>
    <row r="32" spans="1:15" ht="23.45" customHeight="1">
      <c r="A32" s="102">
        <v>30</v>
      </c>
      <c r="B32" s="776" t="s">
        <v>192</v>
      </c>
      <c r="C32" s="776"/>
      <c r="D32" s="103" t="s">
        <v>193</v>
      </c>
      <c r="E32" s="104"/>
      <c r="F32" s="104">
        <v>1335000000</v>
      </c>
      <c r="G32" s="105">
        <v>1.3</v>
      </c>
      <c r="H32" s="106">
        <f t="shared" si="0"/>
        <v>1735500000</v>
      </c>
      <c r="I32" s="217">
        <f>F32*Inflation!IRR_Inflation_Factor*$N$42</f>
        <v>108285341042.43854</v>
      </c>
      <c r="J32" s="109"/>
      <c r="K32" s="110"/>
      <c r="M32" s="209" t="s">
        <v>358</v>
      </c>
      <c r="N32" s="210">
        <v>93000000</v>
      </c>
    </row>
    <row r="33" spans="1:14" ht="23.45" customHeight="1">
      <c r="A33" s="102">
        <v>31</v>
      </c>
      <c r="B33" s="768" t="s">
        <v>194</v>
      </c>
      <c r="C33" s="768"/>
      <c r="D33" s="103" t="s">
        <v>195</v>
      </c>
      <c r="E33" s="104"/>
      <c r="F33" s="104">
        <v>1400000000</v>
      </c>
      <c r="G33" s="105">
        <v>1.3</v>
      </c>
      <c r="H33" s="106">
        <f t="shared" si="0"/>
        <v>1820000000</v>
      </c>
      <c r="I33" s="217">
        <f>F33*Inflation!IRR_Inflation_Factor*$N$42</f>
        <v>113557661018.28761</v>
      </c>
      <c r="J33" s="109"/>
      <c r="K33" s="110"/>
      <c r="M33" s="211" t="s">
        <v>357</v>
      </c>
      <c r="N33" s="212">
        <f>N32*N31</f>
        <v>303015204.00000006</v>
      </c>
    </row>
    <row r="34" spans="1:14" ht="23.45" customHeight="1">
      <c r="A34" s="102">
        <v>32</v>
      </c>
      <c r="B34" s="768" t="s">
        <v>196</v>
      </c>
      <c r="C34" s="768"/>
      <c r="D34" s="103" t="s">
        <v>197</v>
      </c>
      <c r="E34" s="104"/>
      <c r="F34" s="104">
        <v>450000000</v>
      </c>
      <c r="G34" s="105">
        <v>1.3</v>
      </c>
      <c r="H34" s="106">
        <f t="shared" si="0"/>
        <v>585000000</v>
      </c>
      <c r="I34" s="217">
        <f>F34*Inflation!IRR_Inflation_Factor*$N$42</f>
        <v>36500676755.878159</v>
      </c>
      <c r="J34" s="109"/>
      <c r="K34" s="110"/>
    </row>
    <row r="35" spans="1:14" ht="23.45" customHeight="1">
      <c r="A35" s="102">
        <v>33</v>
      </c>
      <c r="B35" s="768" t="s">
        <v>198</v>
      </c>
      <c r="C35" s="768"/>
      <c r="D35" s="103"/>
      <c r="E35" s="104" t="s">
        <v>199</v>
      </c>
      <c r="F35" s="104">
        <v>2400000000</v>
      </c>
      <c r="G35" s="105">
        <v>1.3</v>
      </c>
      <c r="H35" s="106">
        <f t="shared" si="0"/>
        <v>3120000000</v>
      </c>
      <c r="I35" s="217">
        <f>F35*Inflation!IRR_Inflation_Factor*$N$42</f>
        <v>194670276031.35019</v>
      </c>
      <c r="J35" s="109"/>
      <c r="K35" s="110"/>
      <c r="M35" s="767" t="s">
        <v>359</v>
      </c>
      <c r="N35" s="767"/>
    </row>
    <row r="36" spans="1:14" ht="24.95" customHeight="1">
      <c r="A36" s="102">
        <v>34</v>
      </c>
      <c r="B36" s="768" t="s">
        <v>200</v>
      </c>
      <c r="C36" s="768"/>
      <c r="D36" s="103" t="s">
        <v>158</v>
      </c>
      <c r="E36" s="103" t="s">
        <v>146</v>
      </c>
      <c r="F36" s="104">
        <v>550000000</v>
      </c>
      <c r="G36" s="105">
        <v>1.3</v>
      </c>
      <c r="H36" s="106">
        <f t="shared" si="0"/>
        <v>715000000</v>
      </c>
      <c r="I36" s="217">
        <f>F36*Inflation!IRR_Inflation_Factor*$N$42</f>
        <v>44611938257.184418</v>
      </c>
      <c r="J36" s="109"/>
      <c r="K36" s="110"/>
      <c r="M36" s="103" t="s">
        <v>352</v>
      </c>
      <c r="N36" s="205">
        <v>1.06</v>
      </c>
    </row>
    <row r="37" spans="1:14" ht="23.45" customHeight="1">
      <c r="A37" s="102">
        <v>35</v>
      </c>
      <c r="B37" s="768" t="s">
        <v>201</v>
      </c>
      <c r="C37" s="768"/>
      <c r="D37" s="103" t="s">
        <v>202</v>
      </c>
      <c r="E37" s="104"/>
      <c r="F37" s="104">
        <v>1800000000</v>
      </c>
      <c r="G37" s="105">
        <v>1.3</v>
      </c>
      <c r="H37" s="106">
        <f t="shared" si="0"/>
        <v>2340000000</v>
      </c>
      <c r="I37" s="217">
        <f>F37*Inflation!IRR_Inflation_Factor*$N$42</f>
        <v>146002707023.51263</v>
      </c>
      <c r="J37" s="109"/>
      <c r="K37" s="110"/>
      <c r="M37" s="206" t="s">
        <v>356</v>
      </c>
      <c r="N37" s="205">
        <v>1.0900000000000001</v>
      </c>
    </row>
    <row r="38" spans="1:14" ht="24.95" customHeight="1">
      <c r="A38" s="102">
        <v>36</v>
      </c>
      <c r="B38" s="768" t="s">
        <v>203</v>
      </c>
      <c r="C38" s="768"/>
      <c r="D38" s="103" t="s">
        <v>204</v>
      </c>
      <c r="E38" s="104"/>
      <c r="F38" s="104">
        <v>1000000000</v>
      </c>
      <c r="G38" s="105">
        <v>1.3</v>
      </c>
      <c r="H38" s="106">
        <f t="shared" si="0"/>
        <v>1300000000</v>
      </c>
      <c r="I38" s="217">
        <f>F38*Inflation!IRR_Inflation_Factor*$N$42</f>
        <v>81112615013.062576</v>
      </c>
      <c r="J38" s="109"/>
      <c r="K38" s="110"/>
      <c r="M38" s="207" t="s">
        <v>350</v>
      </c>
      <c r="N38" s="205">
        <v>1.41</v>
      </c>
    </row>
    <row r="39" spans="1:14" ht="23.45" customHeight="1">
      <c r="A39" s="102">
        <v>37</v>
      </c>
      <c r="B39" s="768" t="s">
        <v>205</v>
      </c>
      <c r="C39" s="768"/>
      <c r="D39" s="103"/>
      <c r="E39" s="104"/>
      <c r="F39" s="104">
        <v>13900000000</v>
      </c>
      <c r="G39" s="105">
        <v>1.3</v>
      </c>
      <c r="H39" s="106">
        <f t="shared" si="0"/>
        <v>18070000000</v>
      </c>
      <c r="I39" s="217">
        <f>F39*Inflation!IRR_Inflation_Factor*$N$42</f>
        <v>1127465348681.5698</v>
      </c>
      <c r="J39" s="109"/>
      <c r="K39" s="110"/>
      <c r="M39" s="207" t="s">
        <v>354</v>
      </c>
      <c r="N39" s="205">
        <v>1</v>
      </c>
    </row>
    <row r="40" spans="1:14" ht="23.45" customHeight="1">
      <c r="A40" s="102">
        <v>38</v>
      </c>
      <c r="B40" s="768" t="s">
        <v>206</v>
      </c>
      <c r="C40" s="768"/>
      <c r="D40" s="103" t="s">
        <v>207</v>
      </c>
      <c r="E40" s="104" t="s">
        <v>169</v>
      </c>
      <c r="F40" s="104">
        <v>200000000</v>
      </c>
      <c r="G40" s="105">
        <v>1</v>
      </c>
      <c r="H40" s="106">
        <f t="shared" si="0"/>
        <v>200000000</v>
      </c>
      <c r="I40" s="217">
        <f>F40*Inflation!IRR_Inflation_Factor*$N$42</f>
        <v>16222523002.612514</v>
      </c>
      <c r="J40" s="109"/>
      <c r="K40" s="110"/>
      <c r="M40" s="208" t="s">
        <v>355</v>
      </c>
      <c r="N40" s="205">
        <v>1</v>
      </c>
    </row>
    <row r="41" spans="1:14" ht="23.45" customHeight="1">
      <c r="A41" s="102">
        <v>39</v>
      </c>
      <c r="B41" s="768" t="s">
        <v>208</v>
      </c>
      <c r="C41" s="768"/>
      <c r="D41" s="103"/>
      <c r="E41" s="104" t="s">
        <v>169</v>
      </c>
      <c r="F41" s="104">
        <v>4000000000</v>
      </c>
      <c r="G41" s="105">
        <v>1.3</v>
      </c>
      <c r="H41" s="106">
        <f t="shared" si="0"/>
        <v>5200000000</v>
      </c>
      <c r="I41" s="217">
        <f>F41*Inflation!IRR_Inflation_Factor*$N$42</f>
        <v>324450460052.25031</v>
      </c>
      <c r="J41" s="109"/>
      <c r="K41" s="110"/>
      <c r="M41" s="209" t="s">
        <v>351</v>
      </c>
      <c r="N41" s="205">
        <v>1</v>
      </c>
    </row>
    <row r="42" spans="1:14" ht="23.45" customHeight="1">
      <c r="A42" s="102">
        <v>40</v>
      </c>
      <c r="B42" s="768" t="s">
        <v>209</v>
      </c>
      <c r="C42" s="768"/>
      <c r="D42" s="103"/>
      <c r="E42" s="104" t="s">
        <v>169</v>
      </c>
      <c r="F42" s="104">
        <v>1000000000</v>
      </c>
      <c r="G42" s="105">
        <v>1.3</v>
      </c>
      <c r="H42" s="106">
        <f t="shared" si="0"/>
        <v>1300000000</v>
      </c>
      <c r="I42" s="217">
        <f>F42*Inflation!IRR_Inflation_Factor*$N$42</f>
        <v>81112615013.062576</v>
      </c>
      <c r="J42" s="111"/>
      <c r="K42" s="110"/>
      <c r="M42" s="209" t="s">
        <v>353</v>
      </c>
      <c r="N42" s="218">
        <f>N36*N37*N38*N39*N40*N41</f>
        <v>1.6291140000000002</v>
      </c>
    </row>
    <row r="43" spans="1:14" ht="23.45" customHeight="1" thickBot="1">
      <c r="A43" s="102">
        <v>41</v>
      </c>
      <c r="B43" s="768" t="s">
        <v>210</v>
      </c>
      <c r="C43" s="768"/>
      <c r="D43" s="103" t="s">
        <v>211</v>
      </c>
      <c r="E43" s="104" t="s">
        <v>169</v>
      </c>
      <c r="F43" s="104">
        <v>1000000000</v>
      </c>
      <c r="G43" s="105">
        <v>1.3</v>
      </c>
      <c r="H43" s="106">
        <f t="shared" si="0"/>
        <v>1300000000</v>
      </c>
      <c r="I43" s="217">
        <f>F43*Inflation!IRR_Inflation_Factor*$N$42</f>
        <v>81112615013.062576</v>
      </c>
      <c r="J43" s="111"/>
      <c r="K43" s="110"/>
      <c r="M43" s="213"/>
      <c r="N43" s="214"/>
    </row>
    <row r="44" spans="1:14" ht="50.25" customHeight="1" thickTop="1" thickBot="1">
      <c r="A44" s="102">
        <v>42</v>
      </c>
      <c r="B44" s="769" t="s">
        <v>212</v>
      </c>
      <c r="C44" s="770"/>
      <c r="D44" s="112"/>
      <c r="E44" s="113" t="s">
        <v>169</v>
      </c>
      <c r="F44" s="113">
        <v>10000000000</v>
      </c>
      <c r="G44" s="114">
        <v>1.3</v>
      </c>
      <c r="H44" s="115">
        <f t="shared" si="0"/>
        <v>13000000000</v>
      </c>
      <c r="I44" s="217">
        <f>F44*Inflation!IRR_Inflation_Factor*$N$42</f>
        <v>811126150130.62573</v>
      </c>
      <c r="J44" s="111"/>
      <c r="K44" s="116"/>
      <c r="M44" s="215"/>
      <c r="N44" s="216"/>
    </row>
    <row r="45" spans="1:14" ht="23.45" customHeight="1" thickTop="1" thickBot="1">
      <c r="A45" s="117"/>
      <c r="B45" s="118"/>
      <c r="C45" s="118"/>
      <c r="D45" s="118"/>
      <c r="E45" s="771" t="s">
        <v>213</v>
      </c>
      <c r="F45" s="772"/>
      <c r="H45" s="775">
        <f>SUM(H3:H44)</f>
        <v>306803200000</v>
      </c>
      <c r="I45" s="240">
        <f>SUM(I3:I44)</f>
        <v>18215980092146</v>
      </c>
      <c r="J45" s="111"/>
    </row>
    <row r="46" spans="1:14" ht="18.75" customHeight="1" thickTop="1" thickBot="1">
      <c r="A46" s="117"/>
      <c r="B46" s="117"/>
      <c r="C46" s="117"/>
      <c r="D46" s="117"/>
      <c r="E46" s="773"/>
      <c r="F46" s="774"/>
      <c r="H46" s="775"/>
      <c r="I46" s="198"/>
    </row>
    <row r="47" spans="1:14" ht="24.75" thickTop="1" thickBot="1">
      <c r="A47" s="117"/>
      <c r="B47" s="117"/>
      <c r="C47" s="117"/>
      <c r="D47" s="117"/>
      <c r="E47" s="777" t="s">
        <v>214</v>
      </c>
      <c r="F47" s="778"/>
      <c r="H47" s="241">
        <f>H45-K23</f>
        <v>171639864512.87354</v>
      </c>
      <c r="I47" s="242"/>
    </row>
    <row r="48" spans="1:14" ht="16.5" thickTop="1">
      <c r="A48" s="117"/>
      <c r="B48" s="117"/>
      <c r="C48" s="117"/>
      <c r="D48" s="117"/>
      <c r="E48" s="117"/>
    </row>
  </sheetData>
  <mergeCells count="49">
    <mergeCell ref="A1:H1"/>
    <mergeCell ref="B2:C2"/>
    <mergeCell ref="B7:C7"/>
    <mergeCell ref="B8:C8"/>
    <mergeCell ref="B9:C9"/>
    <mergeCell ref="B3:C3"/>
    <mergeCell ref="B4:C4"/>
    <mergeCell ref="B5:C5"/>
    <mergeCell ref="B22:C22"/>
    <mergeCell ref="B23:C23"/>
    <mergeCell ref="B6:C6"/>
    <mergeCell ref="B19:C19"/>
    <mergeCell ref="B11:C11"/>
    <mergeCell ref="B12:C12"/>
    <mergeCell ref="B13:C13"/>
    <mergeCell ref="B14:C14"/>
    <mergeCell ref="B17:C17"/>
    <mergeCell ref="B18:C18"/>
    <mergeCell ref="B15:C15"/>
    <mergeCell ref="B16:C16"/>
    <mergeCell ref="B10:C10"/>
    <mergeCell ref="B20:C20"/>
    <mergeCell ref="B21:C21"/>
    <mergeCell ref="E47:F47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M24:N24"/>
    <mergeCell ref="M35:N35"/>
    <mergeCell ref="B43:C43"/>
    <mergeCell ref="B44:C44"/>
    <mergeCell ref="E45:F46"/>
    <mergeCell ref="H45:H46"/>
    <mergeCell ref="B30:C30"/>
    <mergeCell ref="B24:C24"/>
    <mergeCell ref="B25:C25"/>
    <mergeCell ref="B26:C26"/>
    <mergeCell ref="B27:C27"/>
    <mergeCell ref="B28:C28"/>
    <mergeCell ref="B29:C29"/>
  </mergeCells>
  <printOptions horizontalCentered="1" verticalCentered="1"/>
  <pageMargins left="0" right="0" top="0" bottom="0.19685039370078741" header="0.19685039370078741" footer="0.19685039370078741"/>
  <pageSetup paperSize="9" scale="4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86F0-58A0-4B99-9763-F0B42034683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W25"/>
  <sheetViews>
    <sheetView rightToLeft="1" workbookViewId="0">
      <selection activeCell="C10" sqref="C10"/>
    </sheetView>
  </sheetViews>
  <sheetFormatPr defaultRowHeight="15"/>
  <cols>
    <col min="1" max="1" width="5.5703125" customWidth="1"/>
    <col min="2" max="2" width="63.42578125" bestFit="1" customWidth="1"/>
    <col min="3" max="3" width="29.28515625" bestFit="1" customWidth="1"/>
    <col min="4" max="4" width="19.85546875" customWidth="1"/>
    <col min="5" max="5" width="19.85546875" bestFit="1" customWidth="1"/>
    <col min="6" max="6" width="12.5703125" customWidth="1"/>
    <col min="9" max="9" width="21" bestFit="1" customWidth="1"/>
    <col min="15" max="15" width="13.7109375" customWidth="1"/>
    <col min="16" max="16" width="15.42578125" customWidth="1"/>
    <col min="17" max="17" width="17.140625" customWidth="1"/>
    <col min="18" max="18" width="21.140625" customWidth="1"/>
    <col min="19" max="19" width="23.28515625" customWidth="1"/>
    <col min="21" max="21" width="25.7109375" customWidth="1"/>
    <col min="22" max="22" width="29" customWidth="1"/>
    <col min="23" max="23" width="31.42578125" customWidth="1"/>
  </cols>
  <sheetData>
    <row r="1" spans="2:23" ht="48.75" customHeight="1" thickBot="1">
      <c r="B1" s="788" t="s">
        <v>595</v>
      </c>
      <c r="C1" s="789"/>
      <c r="D1" s="790"/>
    </row>
    <row r="2" spans="2:23" ht="48.75" customHeight="1">
      <c r="B2" s="404" t="s">
        <v>275</v>
      </c>
      <c r="C2" s="404" t="s">
        <v>276</v>
      </c>
      <c r="D2" s="405" t="s">
        <v>313</v>
      </c>
      <c r="F2" s="785" t="s">
        <v>333</v>
      </c>
      <c r="G2" s="786"/>
      <c r="H2" s="786"/>
      <c r="I2" s="787"/>
      <c r="K2" s="341"/>
      <c r="L2" s="342"/>
      <c r="M2" s="342"/>
      <c r="N2" s="342"/>
      <c r="O2" s="342" t="s">
        <v>361</v>
      </c>
      <c r="P2" s="342"/>
      <c r="Q2" s="342"/>
      <c r="R2" s="342"/>
      <c r="S2" s="343"/>
      <c r="U2" s="243" t="s">
        <v>322</v>
      </c>
      <c r="V2" s="340" t="s">
        <v>323</v>
      </c>
      <c r="W2" s="243" t="s">
        <v>0</v>
      </c>
    </row>
    <row r="3" spans="2:23" ht="24.95" customHeight="1">
      <c r="B3" s="366" t="s">
        <v>278</v>
      </c>
      <c r="C3" s="230">
        <f>Extra.1405!R8</f>
        <v>78142886019</v>
      </c>
      <c r="D3" s="231">
        <v>0</v>
      </c>
      <c r="F3" s="385" t="s">
        <v>340</v>
      </c>
      <c r="G3" s="358" t="s">
        <v>341</v>
      </c>
      <c r="H3" s="358" t="s">
        <v>342</v>
      </c>
      <c r="I3" s="359"/>
      <c r="K3" s="344" t="s">
        <v>362</v>
      </c>
      <c r="L3" s="345"/>
      <c r="M3" s="345"/>
      <c r="N3" s="345"/>
      <c r="O3" s="345" t="s">
        <v>363</v>
      </c>
      <c r="P3" s="345"/>
      <c r="Q3" s="345"/>
      <c r="R3" s="345"/>
      <c r="S3" s="346" t="s">
        <v>364</v>
      </c>
      <c r="U3" s="244">
        <v>79052570000</v>
      </c>
      <c r="V3" s="245" t="s">
        <v>324</v>
      </c>
      <c r="W3" s="246">
        <v>1</v>
      </c>
    </row>
    <row r="4" spans="2:23" ht="24.95" customHeight="1">
      <c r="B4" s="366" t="s">
        <v>286</v>
      </c>
      <c r="C4" s="230">
        <v>500000000000</v>
      </c>
      <c r="D4" s="428">
        <v>0</v>
      </c>
      <c r="F4" s="385"/>
      <c r="G4" s="358"/>
      <c r="H4" s="358"/>
      <c r="I4" s="359"/>
      <c r="K4" s="344" t="s">
        <v>365</v>
      </c>
      <c r="L4" s="345"/>
      <c r="M4" s="345"/>
      <c r="N4" s="345"/>
      <c r="O4" s="345" t="s">
        <v>366</v>
      </c>
      <c r="P4" s="345"/>
      <c r="Q4" s="345"/>
      <c r="R4" s="345"/>
      <c r="S4" s="346" t="s">
        <v>367</v>
      </c>
      <c r="U4" s="244">
        <v>11737000000</v>
      </c>
      <c r="V4" s="245" t="s">
        <v>325</v>
      </c>
      <c r="W4" s="246">
        <v>2</v>
      </c>
    </row>
    <row r="5" spans="2:23" ht="24.95" customHeight="1">
      <c r="B5" s="367" t="s">
        <v>285</v>
      </c>
      <c r="C5" s="232">
        <v>644374000000</v>
      </c>
      <c r="D5" s="427">
        <v>0</v>
      </c>
      <c r="E5" s="226" t="s">
        <v>380</v>
      </c>
      <c r="F5" s="385" t="s">
        <v>343</v>
      </c>
      <c r="G5" s="358">
        <v>5</v>
      </c>
      <c r="H5" s="360">
        <v>300</v>
      </c>
      <c r="I5" s="361">
        <f>G5*H5</f>
        <v>1500</v>
      </c>
      <c r="K5" s="344" t="s">
        <v>368</v>
      </c>
      <c r="L5" s="345"/>
      <c r="M5" s="345"/>
      <c r="N5" s="345"/>
      <c r="O5" s="345" t="s">
        <v>369</v>
      </c>
      <c r="P5" s="345"/>
      <c r="Q5" s="345"/>
      <c r="R5" s="345"/>
      <c r="S5" s="346" t="s">
        <v>370</v>
      </c>
      <c r="U5" s="244">
        <v>5489770000</v>
      </c>
      <c r="V5" s="245" t="s">
        <v>326</v>
      </c>
      <c r="W5" s="246">
        <v>3</v>
      </c>
    </row>
    <row r="6" spans="2:23" ht="27" customHeight="1">
      <c r="B6" s="370" t="s">
        <v>583</v>
      </c>
      <c r="C6" s="228">
        <f>('c.summary1405'!L5+'c.summary1405'!L6+'c.summary1405'!L7+'c.summary1405'!L8+'c.summary1405'!L9)*0.025</f>
        <v>818256765028.12927</v>
      </c>
      <c r="D6" s="229"/>
      <c r="F6" s="385"/>
      <c r="G6" s="358"/>
      <c r="H6" s="360"/>
      <c r="I6" s="361"/>
      <c r="K6" s="347"/>
      <c r="L6" s="348"/>
      <c r="M6" s="348"/>
      <c r="N6" s="348"/>
      <c r="O6" s="348"/>
      <c r="P6" s="348"/>
      <c r="Q6" s="348"/>
      <c r="R6" s="348"/>
      <c r="S6" s="349"/>
      <c r="U6" s="247">
        <f>SUM(U3:U5)</f>
        <v>96279340000</v>
      </c>
      <c r="V6" s="151"/>
      <c r="W6" s="151"/>
    </row>
    <row r="7" spans="2:23" ht="24.95" customHeight="1">
      <c r="B7" s="368" t="s">
        <v>287</v>
      </c>
      <c r="C7" s="228">
        <f>('p.lab.1392'!G32*Inflation!IRR_Inflation_Factor)+('p.lab.1392'!H32*Inflation!Euro_Inflation_Factor*Inflation!G3)</f>
        <v>2074776221456.5278</v>
      </c>
      <c r="D7" s="422">
        <v>0</v>
      </c>
      <c r="F7" s="385" t="s">
        <v>344</v>
      </c>
      <c r="G7" s="358">
        <v>3</v>
      </c>
      <c r="H7" s="360">
        <v>300</v>
      </c>
      <c r="I7" s="361">
        <f t="shared" ref="I7:I17" si="0">G7*H7</f>
        <v>900</v>
      </c>
      <c r="K7" s="350" t="s">
        <v>22</v>
      </c>
      <c r="L7" s="225" t="s">
        <v>371</v>
      </c>
      <c r="M7" s="225" t="s">
        <v>372</v>
      </c>
      <c r="N7" s="225" t="s">
        <v>373</v>
      </c>
      <c r="O7" s="225" t="s">
        <v>374</v>
      </c>
      <c r="P7" s="225" t="s">
        <v>375</v>
      </c>
      <c r="Q7" s="225" t="s">
        <v>376</v>
      </c>
      <c r="R7" s="225" t="s">
        <v>377</v>
      </c>
      <c r="S7" s="351" t="s">
        <v>378</v>
      </c>
    </row>
    <row r="8" spans="2:23" ht="24.95" customHeight="1" thickBot="1">
      <c r="B8" s="368" t="s">
        <v>386</v>
      </c>
      <c r="C8" s="228">
        <f>91599188310*0.8*1.058</f>
        <v>77529552985.584</v>
      </c>
      <c r="D8" s="425">
        <v>0</v>
      </c>
      <c r="E8" s="357" t="s">
        <v>381</v>
      </c>
      <c r="F8" s="385"/>
      <c r="G8" s="358"/>
      <c r="H8" s="360"/>
      <c r="I8" s="361"/>
      <c r="K8" s="352">
        <v>1</v>
      </c>
      <c r="L8" s="353" t="s">
        <v>379</v>
      </c>
      <c r="M8" s="353">
        <v>73617195320</v>
      </c>
      <c r="N8" s="353">
        <v>0</v>
      </c>
      <c r="O8" s="353">
        <v>73617195320</v>
      </c>
      <c r="P8" s="354">
        <v>0.04</v>
      </c>
      <c r="Q8" s="353">
        <v>4525690699.4799995</v>
      </c>
      <c r="R8" s="355">
        <v>78142886019</v>
      </c>
      <c r="S8" s="356">
        <v>0</v>
      </c>
    </row>
    <row r="9" spans="2:23" ht="24.95" customHeight="1">
      <c r="B9" s="368" t="s">
        <v>387</v>
      </c>
      <c r="C9" s="228">
        <v>0</v>
      </c>
      <c r="D9" s="426">
        <v>972724</v>
      </c>
      <c r="E9" s="357" t="s">
        <v>383</v>
      </c>
      <c r="F9" s="385"/>
      <c r="G9" s="358"/>
      <c r="H9" s="360"/>
      <c r="I9" s="361"/>
    </row>
    <row r="10" spans="2:23" ht="24.95" customHeight="1">
      <c r="B10" s="368" t="s">
        <v>482</v>
      </c>
      <c r="C10" s="228">
        <f>('ME.p.1392'!J20*Inflation!IRR_Inflation_Factor*0.3)+('ME.p.1392'!I20*Inflation!Euro_Inflation_Factor*Inflation!G3*0.1)</f>
        <v>5311961832605.666</v>
      </c>
      <c r="D10" s="423">
        <v>0</v>
      </c>
      <c r="E10" s="371"/>
      <c r="F10" s="385"/>
      <c r="G10" s="358"/>
      <c r="H10" s="360"/>
      <c r="I10" s="361"/>
    </row>
    <row r="11" spans="2:23" ht="24.95" customHeight="1">
      <c r="B11" s="368" t="s">
        <v>553</v>
      </c>
      <c r="C11" s="228">
        <f>('c.summary1392'!H12+'c.summary1392'!H11)*0.1*Inflation!IRR_Inflation_Factor</f>
        <v>438948672959.8974</v>
      </c>
      <c r="D11" s="423"/>
      <c r="E11" s="371"/>
      <c r="F11" s="385"/>
      <c r="G11" s="358"/>
      <c r="H11" s="360"/>
      <c r="I11" s="361"/>
    </row>
    <row r="12" spans="2:23" ht="24.95" customHeight="1">
      <c r="B12" s="369" t="s">
        <v>327</v>
      </c>
      <c r="C12" s="227">
        <f>U6</f>
        <v>96279340000</v>
      </c>
      <c r="D12" s="424">
        <v>0</v>
      </c>
      <c r="F12" s="385"/>
      <c r="G12" s="358"/>
      <c r="H12" s="360"/>
      <c r="I12" s="361"/>
    </row>
    <row r="13" spans="2:23" ht="24.95" customHeight="1">
      <c r="B13" s="234" t="s">
        <v>51</v>
      </c>
      <c r="C13" s="235">
        <f>SUM(C3:C12)</f>
        <v>10040269271054.803</v>
      </c>
      <c r="D13" s="268">
        <f>SUM(D3:D12)</f>
        <v>972724</v>
      </c>
      <c r="F13" s="385" t="s">
        <v>345</v>
      </c>
      <c r="G13" s="358">
        <v>3</v>
      </c>
      <c r="H13" s="360">
        <v>300</v>
      </c>
      <c r="I13" s="361">
        <f t="shared" si="0"/>
        <v>900</v>
      </c>
    </row>
    <row r="14" spans="2:23" ht="24.95" customHeight="1">
      <c r="B14" s="233"/>
      <c r="C14" s="264">
        <v>0</v>
      </c>
      <c r="D14" s="267">
        <v>0</v>
      </c>
      <c r="E14" s="357" t="s">
        <v>381</v>
      </c>
      <c r="F14" s="385" t="s">
        <v>346</v>
      </c>
      <c r="G14" s="358">
        <v>10</v>
      </c>
      <c r="H14" s="360">
        <v>300</v>
      </c>
      <c r="I14" s="361">
        <f t="shared" si="0"/>
        <v>3000</v>
      </c>
    </row>
    <row r="15" spans="2:23" ht="31.5" customHeight="1">
      <c r="B15" s="233"/>
      <c r="C15" s="264">
        <v>0</v>
      </c>
      <c r="D15" s="267">
        <v>0</v>
      </c>
      <c r="E15" s="357" t="s">
        <v>382</v>
      </c>
      <c r="F15" s="385" t="s">
        <v>347</v>
      </c>
      <c r="G15" s="358">
        <v>5</v>
      </c>
      <c r="H15" s="360">
        <v>300</v>
      </c>
      <c r="I15" s="361">
        <f t="shared" si="0"/>
        <v>1500</v>
      </c>
    </row>
    <row r="16" spans="2:23" ht="24.95" customHeight="1">
      <c r="B16" s="233"/>
      <c r="C16" s="264">
        <v>0</v>
      </c>
      <c r="D16" s="421">
        <v>0</v>
      </c>
      <c r="E16" s="357" t="s">
        <v>383</v>
      </c>
      <c r="F16" s="385" t="s">
        <v>348</v>
      </c>
      <c r="G16" s="358">
        <v>15</v>
      </c>
      <c r="H16" s="360">
        <v>300</v>
      </c>
      <c r="I16" s="361">
        <f t="shared" si="0"/>
        <v>4500</v>
      </c>
    </row>
    <row r="17" spans="2:9" ht="24.95" customHeight="1">
      <c r="B17" s="269" t="s">
        <v>391</v>
      </c>
      <c r="C17" s="265">
        <f>C16+C15+C14</f>
        <v>0</v>
      </c>
      <c r="D17" s="266">
        <v>0</v>
      </c>
      <c r="F17" s="385" t="s">
        <v>349</v>
      </c>
      <c r="G17" s="358">
        <v>3</v>
      </c>
      <c r="H17" s="360">
        <v>300</v>
      </c>
      <c r="I17" s="361">
        <f t="shared" si="0"/>
        <v>900</v>
      </c>
    </row>
    <row r="18" spans="2:9" ht="24.95" customHeight="1" thickBot="1">
      <c r="B18" s="236" t="s">
        <v>277</v>
      </c>
      <c r="C18" s="237">
        <f>I18*Inflation!G3</f>
        <v>26400000000</v>
      </c>
      <c r="D18" s="238"/>
      <c r="E18" s="239" t="s">
        <v>384</v>
      </c>
      <c r="F18" s="386" t="s">
        <v>51</v>
      </c>
      <c r="G18" s="362">
        <f>SUM(G5:G17)</f>
        <v>44</v>
      </c>
      <c r="H18" s="363">
        <v>300</v>
      </c>
      <c r="I18" s="364">
        <f>SUM(I5:I17)</f>
        <v>13200</v>
      </c>
    </row>
    <row r="19" spans="2:9" ht="18.75" thickBot="1">
      <c r="B19" s="190"/>
      <c r="C19" s="191"/>
    </row>
    <row r="22" spans="2:9">
      <c r="I22" s="254"/>
    </row>
    <row r="23" spans="2:9">
      <c r="I23" s="254"/>
    </row>
    <row r="24" spans="2:9">
      <c r="I24" s="255"/>
    </row>
    <row r="25" spans="2:9">
      <c r="I25" s="254"/>
    </row>
  </sheetData>
  <mergeCells count="2">
    <mergeCell ref="F2:I2"/>
    <mergeCell ref="B1:D1"/>
  </mergeCells>
  <printOptions horizontalCentered="1" verticalCentered="1"/>
  <pageMargins left="0" right="0" top="0" bottom="0" header="0" footer="0"/>
  <pageSetup paperSize="9" orientation="landscape" horizontalDpi="144" verticalDpi="144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O23"/>
  <sheetViews>
    <sheetView rightToLeft="1" topLeftCell="F2" zoomScale="130" zoomScaleNormal="130" workbookViewId="0">
      <selection activeCell="L14" sqref="L14:M14"/>
    </sheetView>
  </sheetViews>
  <sheetFormatPr defaultRowHeight="15"/>
  <cols>
    <col min="4" max="4" width="1" customWidth="1"/>
    <col min="5" max="5" width="32.42578125" customWidth="1"/>
    <col min="6" max="6" width="29.42578125" customWidth="1"/>
    <col min="10" max="10" width="4.42578125" customWidth="1"/>
    <col min="11" max="11" width="19.7109375" customWidth="1"/>
    <col min="13" max="13" width="14.28515625" customWidth="1"/>
    <col min="15" max="15" width="18.42578125" bestFit="1" customWidth="1"/>
  </cols>
  <sheetData>
    <row r="1" spans="2:15" ht="15.75" thickBot="1"/>
    <row r="2" spans="2:15" ht="21.75" customHeight="1" thickTop="1" thickBot="1">
      <c r="B2" s="674" t="s">
        <v>23</v>
      </c>
      <c r="C2" s="674"/>
      <c r="D2" s="674"/>
      <c r="E2" s="619"/>
      <c r="F2" s="493">
        <v>1405</v>
      </c>
    </row>
    <row r="3" spans="2:15" ht="16.5" thickBot="1">
      <c r="B3" s="817"/>
      <c r="C3" s="817"/>
      <c r="D3" s="817"/>
      <c r="E3" s="817"/>
      <c r="F3" s="492" t="s">
        <v>29</v>
      </c>
    </row>
    <row r="4" spans="2:15" ht="16.5" thickBot="1">
      <c r="B4" s="606" t="s">
        <v>582</v>
      </c>
      <c r="C4" s="606"/>
      <c r="D4" s="606"/>
      <c r="E4" s="606"/>
      <c r="F4" s="435">
        <f>(F7+F8+F9+F10+F11+F12+F13+F14+F15)*0.05</f>
        <v>1232519277759.6963</v>
      </c>
      <c r="H4" s="796" t="s">
        <v>596</v>
      </c>
      <c r="I4" s="797"/>
      <c r="J4" s="797"/>
      <c r="K4" s="797"/>
      <c r="L4" s="797"/>
      <c r="M4" s="798"/>
    </row>
    <row r="5" spans="2:15" ht="21" customHeight="1">
      <c r="B5" s="606" t="s">
        <v>505</v>
      </c>
      <c r="C5" s="606"/>
      <c r="D5" s="606"/>
      <c r="E5" s="606"/>
      <c r="F5" s="435">
        <v>571426000000</v>
      </c>
      <c r="H5" s="466">
        <v>1</v>
      </c>
      <c r="I5" s="811" t="s">
        <v>510</v>
      </c>
      <c r="J5" s="812"/>
      <c r="K5" s="813"/>
      <c r="L5" s="814">
        <f>(F7+Extra.1405!C3+Extra.1405!C4)*Inflation!G9</f>
        <v>23893438395215.613</v>
      </c>
      <c r="M5" s="815"/>
    </row>
    <row r="6" spans="2:15" ht="15.75">
      <c r="B6" s="665" t="s">
        <v>506</v>
      </c>
      <c r="C6" s="665"/>
      <c r="D6" s="665"/>
      <c r="E6" s="665"/>
      <c r="F6" s="435">
        <f>Extra.1405!C5</f>
        <v>644374000000</v>
      </c>
      <c r="H6" s="463">
        <v>1</v>
      </c>
      <c r="I6" s="791" t="s">
        <v>3</v>
      </c>
      <c r="J6" s="792"/>
      <c r="K6" s="793"/>
      <c r="L6" s="794">
        <f>(F8+F9+F10+Extra.1405!C11)*Inflation!G9</f>
        <v>6724021892345.2207</v>
      </c>
      <c r="M6" s="795"/>
    </row>
    <row r="7" spans="2:15" ht="15.75">
      <c r="B7" s="606" t="s">
        <v>33</v>
      </c>
      <c r="C7" s="606"/>
      <c r="D7" s="606"/>
      <c r="E7" s="606"/>
      <c r="F7" s="435">
        <f>'CV1405'!I45</f>
        <v>18215980092146</v>
      </c>
      <c r="H7" s="463">
        <v>2</v>
      </c>
      <c r="I7" s="791" t="s">
        <v>4</v>
      </c>
      <c r="J7" s="792"/>
      <c r="K7" s="793"/>
      <c r="L7" s="810">
        <f>F13*Inflation!G9</f>
        <v>1004785419055.6178</v>
      </c>
      <c r="M7" s="795"/>
    </row>
    <row r="8" spans="2:15" ht="15.75">
      <c r="B8" s="606" t="s">
        <v>34</v>
      </c>
      <c r="C8" s="606"/>
      <c r="D8" s="606"/>
      <c r="E8" s="606"/>
      <c r="F8" s="435">
        <f>'c.summary1392'!H10*Inflation!IRR_Inflation_Factor</f>
        <v>460551986460.63367</v>
      </c>
      <c r="H8" s="463">
        <v>3</v>
      </c>
      <c r="I8" s="791" t="s">
        <v>388</v>
      </c>
      <c r="J8" s="792"/>
      <c r="K8" s="793"/>
      <c r="L8" s="794">
        <f>(F11+F12+Extra.1405!C8)*Inflation!G9</f>
        <v>403327601366.08893</v>
      </c>
      <c r="M8" s="795"/>
    </row>
    <row r="9" spans="2:15" ht="16.5" thickBot="1">
      <c r="B9" s="606" t="s">
        <v>35</v>
      </c>
      <c r="C9" s="606"/>
      <c r="D9" s="606"/>
      <c r="E9" s="606"/>
      <c r="F9" s="435">
        <f>'c.summary1392'!H11*Inflation!IRR_Inflation_Factor</f>
        <v>2239015987321.8145</v>
      </c>
      <c r="H9" s="463">
        <v>4</v>
      </c>
      <c r="I9" s="791" t="s">
        <v>507</v>
      </c>
      <c r="J9" s="792"/>
      <c r="K9" s="793"/>
      <c r="L9" s="806">
        <f>(F14+F15)*Inflation!G9</f>
        <v>704697293142.62341</v>
      </c>
      <c r="M9" s="807"/>
    </row>
    <row r="10" spans="2:15" ht="16.5" thickBot="1">
      <c r="B10" s="606" t="s">
        <v>36</v>
      </c>
      <c r="C10" s="606"/>
      <c r="D10" s="606"/>
      <c r="E10" s="606"/>
      <c r="F10" s="435">
        <f>'c.summary1392'!H12*Inflation!IRR_Inflation_Factor</f>
        <v>2150470742277.1597</v>
      </c>
      <c r="H10" s="463">
        <v>5</v>
      </c>
      <c r="I10" s="791" t="s">
        <v>509</v>
      </c>
      <c r="J10" s="792"/>
      <c r="K10" s="793"/>
      <c r="L10" s="804">
        <f>F5*Inflation!G9</f>
        <v>726468159449.99988</v>
      </c>
      <c r="M10" s="805"/>
    </row>
    <row r="11" spans="2:15" ht="15.75">
      <c r="B11" s="606" t="s">
        <v>37</v>
      </c>
      <c r="C11" s="606"/>
      <c r="D11" s="606"/>
      <c r="E11" s="606"/>
      <c r="F11" s="435">
        <f>'IN.P&amp;C 1405'!E12</f>
        <v>117836582308.79802</v>
      </c>
      <c r="H11" s="463">
        <v>6</v>
      </c>
      <c r="I11" s="791" t="s">
        <v>508</v>
      </c>
      <c r="J11" s="792"/>
      <c r="K11" s="793"/>
      <c r="L11" s="808">
        <f>F6*Inflation!G9</f>
        <v>819208775549.99988</v>
      </c>
      <c r="M11" s="809"/>
    </row>
    <row r="12" spans="2:15" ht="15.75">
      <c r="B12" s="606" t="s">
        <v>38</v>
      </c>
      <c r="C12" s="606"/>
      <c r="D12" s="606"/>
      <c r="E12" s="606"/>
      <c r="F12" s="435">
        <f>'IN.P&amp;C 1405'!E13</f>
        <v>121883664218.79436</v>
      </c>
      <c r="H12" s="467">
        <v>7</v>
      </c>
      <c r="I12" s="791" t="s">
        <v>531</v>
      </c>
      <c r="J12" s="792"/>
      <c r="K12" s="793"/>
      <c r="L12" s="794">
        <f>(L9+L8+L7+L6+L5)*0.05</f>
        <v>1636513530056.2583</v>
      </c>
      <c r="M12" s="795"/>
    </row>
    <row r="13" spans="2:15" ht="15.75">
      <c r="B13" s="606" t="s">
        <v>39</v>
      </c>
      <c r="C13" s="606"/>
      <c r="D13" s="606"/>
      <c r="E13" s="606"/>
      <c r="F13" s="435">
        <f>'c.summary1392'!H15*Inflation!IRR_Inflation_Factor</f>
        <v>790345048713.44299</v>
      </c>
      <c r="H13" s="467">
        <v>8</v>
      </c>
      <c r="I13" s="791" t="s">
        <v>530</v>
      </c>
      <c r="J13" s="792"/>
      <c r="K13" s="793"/>
      <c r="L13" s="794">
        <f>(L9+L8+L7+L6+L5)*0.025</f>
        <v>818256765028.12915</v>
      </c>
      <c r="M13" s="795"/>
    </row>
    <row r="14" spans="2:15" ht="16.5" thickBot="1">
      <c r="B14" s="606" t="s">
        <v>40</v>
      </c>
      <c r="C14" s="606"/>
      <c r="D14" s="606"/>
      <c r="E14" s="606"/>
      <c r="F14" s="435">
        <f>'c.summary1392'!H16*Inflation!IRR_Inflation_Factor</f>
        <v>216524004588.78516</v>
      </c>
      <c r="H14" s="465">
        <v>9</v>
      </c>
      <c r="I14" s="799" t="s">
        <v>2</v>
      </c>
      <c r="J14" s="800"/>
      <c r="K14" s="801"/>
      <c r="L14" s="802">
        <f>L13+L12+L11+L10+L9+L8+L7+L6+L5</f>
        <v>36730717831209.547</v>
      </c>
      <c r="M14" s="803"/>
    </row>
    <row r="15" spans="2:15" ht="15.75">
      <c r="B15" s="606" t="s">
        <v>41</v>
      </c>
      <c r="C15" s="606"/>
      <c r="D15" s="606"/>
      <c r="E15" s="606"/>
      <c r="F15" s="435">
        <f>'c.summary1392'!H17*Inflation!IRR_Inflation_Factor</f>
        <v>337777447158.50488</v>
      </c>
    </row>
    <row r="16" spans="2:15" ht="18.75" thickBot="1">
      <c r="B16" s="816" t="s">
        <v>42</v>
      </c>
      <c r="C16" s="816"/>
      <c r="D16" s="816"/>
      <c r="E16" s="816"/>
      <c r="F16" s="40">
        <f>F15+F14+F13+F12+F11+F10+F9+F8+F7+F6+F5+F4</f>
        <v>27098704832953.629</v>
      </c>
      <c r="O16" s="33">
        <f>L13+L12+L9+L8+L7+L6+L5+L11+L10</f>
        <v>36730717831209.547</v>
      </c>
    </row>
    <row r="17" spans="6:11" ht="15.75" thickTop="1"/>
    <row r="19" spans="6:11">
      <c r="F19" s="33"/>
    </row>
    <row r="20" spans="6:11">
      <c r="F20" s="33"/>
    </row>
    <row r="23" spans="6:11">
      <c r="K23" s="33"/>
    </row>
  </sheetData>
  <mergeCells count="35">
    <mergeCell ref="B9:E9"/>
    <mergeCell ref="B2:E3"/>
    <mergeCell ref="B4:E4"/>
    <mergeCell ref="B5:E5"/>
    <mergeCell ref="B6:E6"/>
    <mergeCell ref="B7:E7"/>
    <mergeCell ref="B8:E8"/>
    <mergeCell ref="B16:E16"/>
    <mergeCell ref="B10:E10"/>
    <mergeCell ref="B11:E11"/>
    <mergeCell ref="B12:E12"/>
    <mergeCell ref="B13:E13"/>
    <mergeCell ref="B14:E14"/>
    <mergeCell ref="B15:E15"/>
    <mergeCell ref="L6:M6"/>
    <mergeCell ref="I7:K7"/>
    <mergeCell ref="L7:M7"/>
    <mergeCell ref="I5:K5"/>
    <mergeCell ref="L5:M5"/>
    <mergeCell ref="I12:K12"/>
    <mergeCell ref="L12:M12"/>
    <mergeCell ref="H4:M4"/>
    <mergeCell ref="I14:K14"/>
    <mergeCell ref="L14:M14"/>
    <mergeCell ref="I10:K10"/>
    <mergeCell ref="I13:K13"/>
    <mergeCell ref="L13:M13"/>
    <mergeCell ref="L10:M10"/>
    <mergeCell ref="I8:K8"/>
    <mergeCell ref="L8:M8"/>
    <mergeCell ref="I9:K9"/>
    <mergeCell ref="L9:M9"/>
    <mergeCell ref="I11:K11"/>
    <mergeCell ref="L11:M11"/>
    <mergeCell ref="I6:K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H12"/>
  <sheetViews>
    <sheetView rightToLeft="1" topLeftCell="B1" zoomScale="145" zoomScaleNormal="145" workbookViewId="0">
      <selection activeCell="F4" sqref="F4:G4"/>
    </sheetView>
  </sheetViews>
  <sheetFormatPr defaultRowHeight="15"/>
  <cols>
    <col min="2" max="2" width="14.5703125" customWidth="1"/>
    <col min="3" max="3" width="7.42578125" customWidth="1"/>
    <col min="4" max="4" width="6.7109375" customWidth="1"/>
    <col min="5" max="5" width="6.5703125" customWidth="1"/>
    <col min="6" max="6" width="8.85546875" customWidth="1"/>
    <col min="7" max="7" width="12.42578125" customWidth="1"/>
    <col min="8" max="8" width="13.85546875" customWidth="1"/>
  </cols>
  <sheetData>
    <row r="1" spans="2:8" ht="15.75" thickBot="1"/>
    <row r="2" spans="2:8" ht="15.75" thickBot="1">
      <c r="B2" s="820" t="s">
        <v>597</v>
      </c>
      <c r="C2" s="821"/>
      <c r="D2" s="821"/>
      <c r="E2" s="821"/>
      <c r="F2" s="821"/>
      <c r="G2" s="821"/>
      <c r="H2" s="822"/>
    </row>
    <row r="3" spans="2:8" ht="15.75">
      <c r="B3" s="462" t="s">
        <v>0</v>
      </c>
      <c r="C3" s="830" t="s">
        <v>7</v>
      </c>
      <c r="D3" s="831"/>
      <c r="E3" s="832"/>
      <c r="F3" s="833" t="s">
        <v>29</v>
      </c>
      <c r="G3" s="834"/>
      <c r="H3" s="464" t="s">
        <v>61</v>
      </c>
    </row>
    <row r="4" spans="2:8">
      <c r="B4" s="463">
        <v>1</v>
      </c>
      <c r="C4" s="823" t="s">
        <v>3</v>
      </c>
      <c r="D4" s="824"/>
      <c r="E4" s="825"/>
      <c r="F4" s="826">
        <f>'ME.P.1405'!H23+Extra.1405!C10</f>
        <v>36550955207084.094</v>
      </c>
      <c r="G4" s="827"/>
      <c r="H4" s="581">
        <f>'ME.P.1405'!G23*Inflation!G9</f>
        <v>10001461.210195344</v>
      </c>
    </row>
    <row r="5" spans="2:8">
      <c r="B5" s="463">
        <v>2</v>
      </c>
      <c r="C5" s="823" t="s">
        <v>4</v>
      </c>
      <c r="D5" s="824"/>
      <c r="E5" s="825"/>
      <c r="F5" s="826">
        <f>'EL.P.1405'!J16</f>
        <v>2425188025377.4365</v>
      </c>
      <c r="G5" s="827"/>
      <c r="H5" s="581">
        <f>'EL.P.1405'!I16*Inflation!G9</f>
        <v>736554.73165074387</v>
      </c>
    </row>
    <row r="6" spans="2:8">
      <c r="B6" s="463">
        <v>3</v>
      </c>
      <c r="C6" s="823" t="s">
        <v>388</v>
      </c>
      <c r="D6" s="824"/>
      <c r="E6" s="825"/>
      <c r="F6" s="826">
        <f>'IN.P&amp;C 1405'!F18</f>
        <v>1234777217753.915</v>
      </c>
      <c r="G6" s="827"/>
      <c r="H6" s="582">
        <f>('IN.P&amp;C 1405'!D14+Extra.1405!D9)*Inflation!G9</f>
        <v>6066288.3164374996</v>
      </c>
    </row>
    <row r="7" spans="2:8">
      <c r="B7" s="463">
        <v>4</v>
      </c>
      <c r="C7" s="823" t="s">
        <v>5</v>
      </c>
      <c r="D7" s="824"/>
      <c r="E7" s="825"/>
      <c r="F7" s="828">
        <f>p.summary1392!I8*Inflation!C17</f>
        <v>147813288739.97141</v>
      </c>
      <c r="G7" s="829"/>
      <c r="H7" s="583">
        <v>0</v>
      </c>
    </row>
    <row r="8" spans="2:8" ht="15.75" thickBot="1">
      <c r="B8" s="465">
        <v>6</v>
      </c>
      <c r="C8" s="799" t="s">
        <v>2</v>
      </c>
      <c r="D8" s="800"/>
      <c r="E8" s="801"/>
      <c r="F8" s="818">
        <f>SUM(F4:G7)</f>
        <v>40358733738955.414</v>
      </c>
      <c r="G8" s="819"/>
      <c r="H8" s="584">
        <f>SUM(H4:H7)</f>
        <v>16804304.258283585</v>
      </c>
    </row>
    <row r="12" spans="2:8">
      <c r="G12" s="566">
        <f>F8*Inflation!G9</f>
        <v>51309067170677.484</v>
      </c>
    </row>
  </sheetData>
  <mergeCells count="13">
    <mergeCell ref="C8:E8"/>
    <mergeCell ref="F8:G8"/>
    <mergeCell ref="B2:H2"/>
    <mergeCell ref="C6:E6"/>
    <mergeCell ref="F6:G6"/>
    <mergeCell ref="C7:E7"/>
    <mergeCell ref="F7:G7"/>
    <mergeCell ref="C3:E3"/>
    <mergeCell ref="F3:G3"/>
    <mergeCell ref="C4:E4"/>
    <mergeCell ref="F4:G4"/>
    <mergeCell ref="C5:E5"/>
    <mergeCell ref="F5:G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O39"/>
  <sheetViews>
    <sheetView rightToLeft="1" topLeftCell="A3" zoomScale="85" zoomScaleNormal="85" workbookViewId="0">
      <selection activeCell="E6" sqref="E6"/>
    </sheetView>
  </sheetViews>
  <sheetFormatPr defaultRowHeight="15"/>
  <cols>
    <col min="1" max="1" width="2" customWidth="1"/>
    <col min="2" max="2" width="6.42578125" bestFit="1" customWidth="1"/>
    <col min="3" max="3" width="11.5703125" bestFit="1" customWidth="1"/>
    <col min="4" max="4" width="54.140625" bestFit="1" customWidth="1"/>
    <col min="5" max="5" width="28.28515625" bestFit="1" customWidth="1"/>
    <col min="6" max="6" width="15.42578125" bestFit="1" customWidth="1"/>
    <col min="7" max="7" width="13.5703125" hidden="1" customWidth="1"/>
    <col min="8" max="8" width="0.140625" customWidth="1"/>
    <col min="15" max="15" width="32.85546875" customWidth="1"/>
  </cols>
  <sheetData>
    <row r="1" spans="2:15" ht="6.75" customHeight="1" thickBot="1"/>
    <row r="2" spans="2:15" ht="24.95" customHeight="1" thickBot="1">
      <c r="B2" s="835" t="s">
        <v>537</v>
      </c>
      <c r="C2" s="836"/>
      <c r="D2" s="836"/>
      <c r="E2" s="836"/>
      <c r="F2" s="837"/>
      <c r="G2" s="429"/>
    </row>
    <row r="3" spans="2:15" ht="24.95" customHeight="1" thickBot="1">
      <c r="B3" s="838">
        <v>1405</v>
      </c>
      <c r="C3" s="839"/>
      <c r="D3" s="839"/>
      <c r="E3" s="839"/>
      <c r="F3" s="840"/>
      <c r="G3" s="177">
        <v>1402.06</v>
      </c>
    </row>
    <row r="4" spans="2:15" ht="24.95" customHeight="1" thickBot="1">
      <c r="B4" s="449" t="s">
        <v>0</v>
      </c>
      <c r="C4" s="450" t="s">
        <v>7</v>
      </c>
      <c r="D4" s="450" t="s">
        <v>23</v>
      </c>
      <c r="E4" s="441" t="s">
        <v>314</v>
      </c>
      <c r="F4" s="178" t="s">
        <v>328</v>
      </c>
      <c r="G4" s="179" t="s">
        <v>524</v>
      </c>
    </row>
    <row r="5" spans="2:15" ht="24.95" customHeight="1" thickBot="1">
      <c r="B5" s="451">
        <v>1</v>
      </c>
      <c r="C5" s="452" t="s">
        <v>329</v>
      </c>
      <c r="D5" s="453" t="s">
        <v>315</v>
      </c>
      <c r="E5" s="442">
        <f>(E.1405!M16+Extra.1405!C12)*Inflation!G9</f>
        <v>1795977062082.634</v>
      </c>
      <c r="F5" s="180">
        <v>0</v>
      </c>
      <c r="G5" s="410">
        <v>0</v>
      </c>
    </row>
    <row r="6" spans="2:15" ht="24.95" customHeight="1">
      <c r="B6" s="844">
        <v>2</v>
      </c>
      <c r="C6" s="848" t="s">
        <v>330</v>
      </c>
      <c r="D6" s="454" t="s">
        <v>331</v>
      </c>
      <c r="E6" s="443">
        <f>(p.summary1405!F8)*Inflation!G9</f>
        <v>51309067170677.484</v>
      </c>
      <c r="F6" s="181">
        <f>(p.summary1405!H8)</f>
        <v>16804304.258283585</v>
      </c>
      <c r="G6" s="411">
        <f>F6*Inflation!G4</f>
        <v>18484734.684111945</v>
      </c>
    </row>
    <row r="7" spans="2:15" ht="24.95" customHeight="1">
      <c r="B7" s="845"/>
      <c r="C7" s="849"/>
      <c r="D7" s="455" t="s">
        <v>316</v>
      </c>
      <c r="E7" s="444">
        <f>E6*0.01</f>
        <v>513090671706.77484</v>
      </c>
      <c r="F7" s="182">
        <f>F6*0.01</f>
        <v>168043.04258283586</v>
      </c>
      <c r="G7" s="412">
        <f>F7*1.1</f>
        <v>184847.34684111946</v>
      </c>
      <c r="H7" s="183"/>
    </row>
    <row r="8" spans="2:15" ht="24.95" customHeight="1">
      <c r="B8" s="845"/>
      <c r="C8" s="849"/>
      <c r="D8" s="455" t="s">
        <v>317</v>
      </c>
      <c r="E8" s="444">
        <f>E6*0.005</f>
        <v>256545335853.38742</v>
      </c>
      <c r="F8" s="182">
        <f>F6*0.005</f>
        <v>84021.521291417928</v>
      </c>
      <c r="G8" s="412">
        <f>F8*1.1</f>
        <v>92423.673420559731</v>
      </c>
    </row>
    <row r="9" spans="2:15" ht="24.95" customHeight="1">
      <c r="B9" s="845"/>
      <c r="C9" s="849"/>
      <c r="D9" s="455" t="s">
        <v>332</v>
      </c>
      <c r="E9" s="444">
        <f>E6*0.002</f>
        <v>102618134341.35497</v>
      </c>
      <c r="F9" s="182">
        <f>F6*0.002</f>
        <v>33608.608516567168</v>
      </c>
      <c r="G9" s="412">
        <f>F9*1.1</f>
        <v>36969.469368223887</v>
      </c>
    </row>
    <row r="10" spans="2:15" ht="24.95" customHeight="1">
      <c r="B10" s="845"/>
      <c r="C10" s="849"/>
      <c r="D10" s="455" t="s">
        <v>318</v>
      </c>
      <c r="E10" s="444">
        <f>E6*0.008</f>
        <v>410472537365.41986</v>
      </c>
      <c r="F10" s="182">
        <f>F6*0.008</f>
        <v>134434.43406626867</v>
      </c>
      <c r="G10" s="412">
        <f>F10*1.1</f>
        <v>147877.87747289555</v>
      </c>
      <c r="H10" s="183"/>
    </row>
    <row r="11" spans="2:15" ht="24.95" customHeight="1">
      <c r="B11" s="845"/>
      <c r="C11" s="849"/>
      <c r="D11" s="455" t="s">
        <v>333</v>
      </c>
      <c r="E11" s="444">
        <f>Extra.1405!C18*Inflation!G9</f>
        <v>33562979999.999996</v>
      </c>
      <c r="F11" s="184">
        <v>0</v>
      </c>
      <c r="G11" s="412">
        <f>F11*1.09</f>
        <v>0</v>
      </c>
      <c r="H11" s="183"/>
    </row>
    <row r="12" spans="2:15" ht="24.95" customHeight="1">
      <c r="B12" s="845"/>
      <c r="C12" s="849"/>
      <c r="D12" s="456" t="s">
        <v>385</v>
      </c>
      <c r="E12" s="444">
        <f>E6*0.05</f>
        <v>2565453358533.8745</v>
      </c>
      <c r="F12" s="184">
        <f>F6*0.05</f>
        <v>840215.21291417931</v>
      </c>
      <c r="G12" s="412">
        <f>F12*1.1</f>
        <v>924236.73420559731</v>
      </c>
      <c r="H12" s="183"/>
    </row>
    <row r="13" spans="2:15" ht="24.95" customHeight="1">
      <c r="B13" s="845"/>
      <c r="C13" s="849"/>
      <c r="D13" s="455" t="s">
        <v>334</v>
      </c>
      <c r="E13" s="444">
        <f>F6*Inflation!G3*Inflation!G5</f>
        <v>6721721703313.4346</v>
      </c>
      <c r="F13" s="184">
        <v>0</v>
      </c>
      <c r="G13" s="412">
        <f>F13*1.1</f>
        <v>0</v>
      </c>
      <c r="H13" s="183"/>
    </row>
    <row r="14" spans="2:15" ht="24.95" customHeight="1">
      <c r="B14" s="846"/>
      <c r="C14" s="850"/>
      <c r="D14" s="457" t="s">
        <v>532</v>
      </c>
      <c r="E14" s="445">
        <f>(E6*Inflation!G6)</f>
        <v>1539272015120.3245</v>
      </c>
      <c r="F14" s="184">
        <f>F6*Inflation!G6</f>
        <v>504129.12774850754</v>
      </c>
      <c r="G14" s="413"/>
      <c r="H14" s="183"/>
    </row>
    <row r="15" spans="2:15" ht="24.95" customHeight="1" thickBot="1">
      <c r="B15" s="847"/>
      <c r="C15" s="851"/>
      <c r="D15" s="458" t="s">
        <v>335</v>
      </c>
      <c r="E15" s="446">
        <f>SUM(E6:E14)</f>
        <v>63451803906912.063</v>
      </c>
      <c r="F15" s="185">
        <f>SUM(F6:F14)</f>
        <v>18568756.205403361</v>
      </c>
      <c r="G15" s="414">
        <f>SUM(G6:G13)</f>
        <v>19871089.78542034</v>
      </c>
      <c r="H15" s="183"/>
    </row>
    <row r="16" spans="2:15" ht="24.95" customHeight="1">
      <c r="B16" s="852">
        <v>3</v>
      </c>
      <c r="C16" s="853" t="s">
        <v>336</v>
      </c>
      <c r="D16" s="459" t="s">
        <v>319</v>
      </c>
      <c r="E16" s="447">
        <f>'c.summary1405'!L12+'c.summary1405'!L13</f>
        <v>2454770295084.3877</v>
      </c>
      <c r="F16" s="181">
        <v>0</v>
      </c>
      <c r="G16" s="415">
        <v>0</v>
      </c>
      <c r="H16" s="183"/>
      <c r="O16">
        <f>F22+E22/500000</f>
        <v>225308074.03003207</v>
      </c>
    </row>
    <row r="17" spans="2:15" ht="24.95" customHeight="1">
      <c r="B17" s="845"/>
      <c r="C17" s="849"/>
      <c r="D17" s="455" t="s">
        <v>337</v>
      </c>
      <c r="E17" s="444">
        <f>'c.summary1405'!L5+'c.summary1405'!L6+'c.summary1405'!L7+'c.summary1405'!L8+'c.summary1405'!L9</f>
        <v>32730270601125.168</v>
      </c>
      <c r="F17" s="182">
        <v>0</v>
      </c>
      <c r="G17" s="412">
        <v>0</v>
      </c>
      <c r="H17" s="183"/>
    </row>
    <row r="18" spans="2:15" ht="24.95" customHeight="1">
      <c r="B18" s="845"/>
      <c r="C18" s="849"/>
      <c r="D18" s="455" t="s">
        <v>520</v>
      </c>
      <c r="E18" s="444">
        <f>'c.summary1405'!L11</f>
        <v>819208775549.99988</v>
      </c>
      <c r="F18" s="184"/>
      <c r="G18" s="412"/>
      <c r="H18" s="183"/>
      <c r="O18">
        <v>66000000</v>
      </c>
    </row>
    <row r="19" spans="2:15" ht="24.95" customHeight="1">
      <c r="B19" s="845"/>
      <c r="C19" s="849"/>
      <c r="D19" s="455" t="s">
        <v>320</v>
      </c>
      <c r="E19" s="444">
        <f>'c.summary1405'!L10</f>
        <v>726468159449.99988</v>
      </c>
      <c r="F19" s="184">
        <v>0</v>
      </c>
      <c r="G19" s="412">
        <v>0</v>
      </c>
      <c r="N19">
        <f>O18/O19</f>
        <v>0.75</v>
      </c>
      <c r="O19">
        <v>88000000</v>
      </c>
    </row>
    <row r="20" spans="2:15" ht="24.95" customHeight="1" thickBot="1">
      <c r="B20" s="847"/>
      <c r="C20" s="851"/>
      <c r="D20" s="458" t="s">
        <v>338</v>
      </c>
      <c r="E20" s="446">
        <f>(E19+E18+E17+E16)</f>
        <v>36730717831209.555</v>
      </c>
      <c r="F20" s="185">
        <v>0</v>
      </c>
      <c r="G20" s="414">
        <v>0</v>
      </c>
    </row>
    <row r="21" spans="2:15" ht="24.95" customHeight="1" thickBot="1">
      <c r="B21" s="451">
        <v>4</v>
      </c>
      <c r="C21" s="841" t="s">
        <v>339</v>
      </c>
      <c r="D21" s="842"/>
      <c r="E21" s="448">
        <f>(E20+E15+E5)*0.01+(F22*Inflation!G3)*0.01</f>
        <v>1391160112110.1099</v>
      </c>
      <c r="F21" s="186"/>
      <c r="G21" s="416"/>
    </row>
    <row r="22" spans="2:15" ht="24.95" customHeight="1" thickBot="1">
      <c r="B22" s="838" t="s">
        <v>321</v>
      </c>
      <c r="C22" s="839"/>
      <c r="D22" s="843"/>
      <c r="E22" s="460">
        <f>(E21+E20+E15+E5)</f>
        <v>103369658912314.36</v>
      </c>
      <c r="F22" s="461">
        <f>F15</f>
        <v>18568756.205403361</v>
      </c>
      <c r="G22" s="417">
        <f>G15</f>
        <v>19871089.78542034</v>
      </c>
      <c r="H22" s="187"/>
    </row>
    <row r="23" spans="2:15">
      <c r="H23" s="187"/>
    </row>
    <row r="24" spans="2:15">
      <c r="E24" s="188"/>
      <c r="F24" s="189"/>
      <c r="G24" s="189"/>
    </row>
    <row r="25" spans="2:15">
      <c r="E25" s="494"/>
    </row>
    <row r="28" spans="2:15">
      <c r="D28" s="409" t="s">
        <v>525</v>
      </c>
      <c r="E28" s="407">
        <f>(F22*Inflation!G3)+E22</f>
        <v>140507171323121.09</v>
      </c>
    </row>
    <row r="29" spans="2:15">
      <c r="D29" s="409" t="s">
        <v>526</v>
      </c>
      <c r="E29" s="408">
        <f>E28/Inflation!G3</f>
        <v>70253585.66156055</v>
      </c>
    </row>
    <row r="30" spans="2:15">
      <c r="D30" s="409" t="s">
        <v>527</v>
      </c>
      <c r="E30" s="408">
        <f>E29/55000</f>
        <v>1277.3379211192828</v>
      </c>
    </row>
    <row r="32" spans="2:15">
      <c r="E32" s="33"/>
    </row>
    <row r="33" spans="5:6">
      <c r="E33" s="33"/>
    </row>
    <row r="34" spans="5:6">
      <c r="E34" s="33"/>
    </row>
    <row r="35" spans="5:6">
      <c r="E35" s="577">
        <f>E22*0.005</f>
        <v>516848294561.57178</v>
      </c>
      <c r="F35" s="578" t="s">
        <v>584</v>
      </c>
    </row>
    <row r="36" spans="5:6">
      <c r="E36" s="579">
        <f>E22-E35</f>
        <v>102852810617752.78</v>
      </c>
      <c r="F36" s="580" t="s">
        <v>585</v>
      </c>
    </row>
    <row r="37" spans="5:6">
      <c r="E37" s="579">
        <f>E36+E35</f>
        <v>103369658912314.36</v>
      </c>
      <c r="F37" s="580"/>
    </row>
    <row r="38" spans="5:6">
      <c r="E38" s="576"/>
    </row>
    <row r="39" spans="5:6">
      <c r="E39" s="33"/>
    </row>
  </sheetData>
  <mergeCells count="8">
    <mergeCell ref="B2:F2"/>
    <mergeCell ref="B3:F3"/>
    <mergeCell ref="C21:D21"/>
    <mergeCell ref="B22:D22"/>
    <mergeCell ref="B6:B15"/>
    <mergeCell ref="C6:C15"/>
    <mergeCell ref="B16:B20"/>
    <mergeCell ref="C16:C20"/>
  </mergeCells>
  <printOptions horizontalCentered="1" verticalCentered="1"/>
  <pageMargins left="0" right="0" top="0" bottom="0" header="0" footer="0"/>
  <pageSetup paperSize="9" scale="110" orientation="landscape" horizontalDpi="144" verticalDpi="144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J17"/>
  <sheetViews>
    <sheetView rightToLeft="1" zoomScale="145" zoomScaleNormal="145" workbookViewId="0">
      <selection activeCell="D13" sqref="D13"/>
    </sheetView>
  </sheetViews>
  <sheetFormatPr defaultRowHeight="15"/>
  <cols>
    <col min="1" max="1" width="4.85546875" customWidth="1"/>
    <col min="3" max="3" width="16.85546875" customWidth="1"/>
    <col min="4" max="4" width="22.42578125" customWidth="1"/>
    <col min="5" max="5" width="12.42578125" customWidth="1"/>
    <col min="6" max="6" width="22.140625" customWidth="1"/>
    <col min="7" max="7" width="3.7109375" customWidth="1"/>
    <col min="8" max="8" width="12.140625" customWidth="1"/>
    <col min="9" max="9" width="11.85546875" customWidth="1"/>
    <col min="10" max="10" width="15.7109375" customWidth="1"/>
  </cols>
  <sheetData>
    <row r="2" spans="2:10" ht="14.25" customHeight="1">
      <c r="B2" s="606" t="s">
        <v>598</v>
      </c>
      <c r="C2" s="606"/>
      <c r="D2" s="606"/>
      <c r="E2" s="606"/>
      <c r="G2" s="589"/>
      <c r="H2" s="589"/>
      <c r="I2" s="589"/>
      <c r="J2" s="589"/>
    </row>
    <row r="3" spans="2:10" ht="14.25" customHeight="1">
      <c r="B3" s="606"/>
      <c r="C3" s="606"/>
      <c r="D3" s="606"/>
      <c r="E3" s="606"/>
      <c r="G3" s="589"/>
      <c r="H3" s="589"/>
      <c r="I3" s="589"/>
      <c r="J3" s="589"/>
    </row>
    <row r="4" spans="2:10">
      <c r="B4" s="15" t="s">
        <v>0</v>
      </c>
      <c r="C4" s="431" t="s">
        <v>7</v>
      </c>
      <c r="D4" s="431" t="s">
        <v>29</v>
      </c>
      <c r="E4" s="431" t="s">
        <v>61</v>
      </c>
      <c r="G4" s="436"/>
      <c r="H4" s="436"/>
      <c r="I4" s="436"/>
      <c r="J4" s="436"/>
    </row>
    <row r="5" spans="2:10" ht="15.75">
      <c r="B5" s="339">
        <v>1</v>
      </c>
      <c r="C5" s="398" t="s">
        <v>11</v>
      </c>
      <c r="D5" s="420">
        <f>'Summary_M3 1405'!E5</f>
        <v>1795977062082.634</v>
      </c>
      <c r="E5" s="420">
        <v>0</v>
      </c>
      <c r="G5" s="437"/>
      <c r="H5" s="437"/>
      <c r="I5" s="438"/>
      <c r="J5" s="438"/>
    </row>
    <row r="6" spans="2:10" ht="15.75">
      <c r="B6" s="339">
        <v>2</v>
      </c>
      <c r="C6" s="398" t="s">
        <v>12</v>
      </c>
      <c r="D6" s="420">
        <f>'Summary_M3 1405'!E15</f>
        <v>63451803906912.063</v>
      </c>
      <c r="E6" s="420">
        <f>'Summary_M3 1405'!F22</f>
        <v>18568756.205403361</v>
      </c>
      <c r="F6" s="365">
        <f>D6+E6*500000</f>
        <v>72736182009613.75</v>
      </c>
      <c r="G6" s="437"/>
      <c r="H6" s="437"/>
      <c r="I6" s="438"/>
      <c r="J6" s="438"/>
    </row>
    <row r="7" spans="2:10" ht="15.75">
      <c r="B7" s="339">
        <v>3</v>
      </c>
      <c r="C7" s="398" t="s">
        <v>13</v>
      </c>
      <c r="D7" s="420">
        <f>'Summary_M3 1405'!E20</f>
        <v>36730717831209.555</v>
      </c>
      <c r="E7" s="491">
        <v>0</v>
      </c>
      <c r="G7" s="436"/>
      <c r="H7" s="437"/>
      <c r="I7" s="438"/>
      <c r="J7" s="438"/>
    </row>
    <row r="8" spans="2:10" ht="15.75">
      <c r="B8" s="339">
        <v>4</v>
      </c>
      <c r="C8" s="432" t="s">
        <v>514</v>
      </c>
      <c r="D8" s="420">
        <f>'Summary_M3 1405'!E21</f>
        <v>1391160112110.1099</v>
      </c>
      <c r="E8" s="490" t="s">
        <v>256</v>
      </c>
      <c r="G8" s="437"/>
      <c r="H8" s="437"/>
      <c r="I8" s="438"/>
      <c r="J8" s="438"/>
    </row>
    <row r="9" spans="2:10" ht="15.75">
      <c r="B9" s="339">
        <v>5</v>
      </c>
      <c r="C9" s="433" t="s">
        <v>2</v>
      </c>
      <c r="D9" s="420">
        <f>SUM(D5:D8)</f>
        <v>103369658912314.36</v>
      </c>
      <c r="E9" s="420">
        <f>SUM(E5:E7)</f>
        <v>18568756.205403361</v>
      </c>
      <c r="G9" s="437"/>
      <c r="H9" s="439"/>
      <c r="I9" s="438"/>
      <c r="J9" s="438"/>
    </row>
    <row r="10" spans="2:10">
      <c r="G10" s="436"/>
      <c r="H10" s="440"/>
      <c r="I10" s="440"/>
      <c r="J10" s="440"/>
    </row>
    <row r="12" spans="2:10" ht="15.75" thickBot="1"/>
    <row r="13" spans="2:10" ht="16.5" thickBot="1">
      <c r="C13" s="545" t="s">
        <v>555</v>
      </c>
      <c r="D13" s="544">
        <f>D7+D8</f>
        <v>38121877943319.664</v>
      </c>
      <c r="H13">
        <f>D5/F15*100</f>
        <v>1.59424119159018</v>
      </c>
    </row>
    <row r="14" spans="2:10">
      <c r="H14">
        <f>F6/F15*100</f>
        <v>64.565979113485739</v>
      </c>
    </row>
    <row r="15" spans="2:10">
      <c r="F15" s="365">
        <f>D9+E9*500000</f>
        <v>112654037015016.05</v>
      </c>
      <c r="H15">
        <f>D7/F15*100</f>
        <v>32.604883770222628</v>
      </c>
    </row>
    <row r="17" spans="8:8">
      <c r="H17">
        <f>SUM(H13:H16)</f>
        <v>98.765104075298552</v>
      </c>
    </row>
  </sheetData>
  <mergeCells count="1">
    <mergeCell ref="B2:E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I28"/>
  <sheetViews>
    <sheetView rightToLeft="1" view="pageBreakPreview" zoomScale="75" zoomScaleNormal="100" zoomScaleSheetLayoutView="75" workbookViewId="0">
      <selection activeCell="S25" sqref="S25"/>
    </sheetView>
  </sheetViews>
  <sheetFormatPr defaultRowHeight="15"/>
  <cols>
    <col min="1" max="1" width="7.85546875" customWidth="1"/>
    <col min="2" max="2" width="5.42578125" customWidth="1"/>
    <col min="6" max="6" width="10.7109375" customWidth="1"/>
    <col min="7" max="7" width="24.42578125" customWidth="1"/>
    <col min="8" max="8" width="24.5703125" customWidth="1"/>
    <col min="9" max="9" width="18.7109375" customWidth="1"/>
  </cols>
  <sheetData>
    <row r="1" spans="2:9" ht="15.75" thickBot="1"/>
    <row r="2" spans="2:9">
      <c r="B2" s="856" t="s">
        <v>599</v>
      </c>
      <c r="C2" s="857"/>
      <c r="D2" s="857"/>
      <c r="E2" s="857"/>
      <c r="F2" s="857"/>
      <c r="G2" s="857"/>
      <c r="H2" s="857"/>
      <c r="I2" s="858"/>
    </row>
    <row r="3" spans="2:9" ht="15.75" thickBot="1">
      <c r="B3" s="859"/>
      <c r="C3" s="860"/>
      <c r="D3" s="860"/>
      <c r="E3" s="860"/>
      <c r="F3" s="860"/>
      <c r="G3" s="860"/>
      <c r="H3" s="860"/>
      <c r="I3" s="861"/>
    </row>
    <row r="4" spans="2:9">
      <c r="B4" s="856" t="s">
        <v>478</v>
      </c>
      <c r="C4" s="857"/>
      <c r="D4" s="857"/>
      <c r="E4" s="857"/>
      <c r="F4" s="857"/>
      <c r="G4" s="858"/>
      <c r="H4" s="864" t="s">
        <v>511</v>
      </c>
      <c r="I4" s="864" t="s">
        <v>539</v>
      </c>
    </row>
    <row r="5" spans="2:9" ht="15.75" thickBot="1">
      <c r="B5" s="859"/>
      <c r="C5" s="862"/>
      <c r="D5" s="862"/>
      <c r="E5" s="862"/>
      <c r="F5" s="862"/>
      <c r="G5" s="863"/>
      <c r="H5" s="865"/>
      <c r="I5" s="865"/>
    </row>
    <row r="6" spans="2:9" ht="29.25" customHeight="1" thickBot="1">
      <c r="B6" s="483">
        <v>1</v>
      </c>
      <c r="C6" s="866" t="s">
        <v>471</v>
      </c>
      <c r="D6" s="867"/>
      <c r="E6" s="867"/>
      <c r="F6" s="867"/>
      <c r="G6" s="868"/>
      <c r="H6" s="468">
        <v>2515263000</v>
      </c>
      <c r="I6" s="476">
        <v>0</v>
      </c>
    </row>
    <row r="7" spans="2:9" ht="34.5" customHeight="1" thickBot="1">
      <c r="B7" s="484">
        <v>2</v>
      </c>
      <c r="C7" s="897" t="s">
        <v>472</v>
      </c>
      <c r="D7" s="898"/>
      <c r="E7" s="898"/>
      <c r="F7" s="898"/>
      <c r="G7" s="899"/>
      <c r="H7" s="469">
        <v>115153056000</v>
      </c>
      <c r="I7" s="477">
        <v>0</v>
      </c>
    </row>
    <row r="8" spans="2:9" ht="35.25" customHeight="1" thickBot="1">
      <c r="B8" s="485">
        <v>3</v>
      </c>
      <c r="C8" s="900" t="s">
        <v>473</v>
      </c>
      <c r="D8" s="901"/>
      <c r="E8" s="901"/>
      <c r="F8" s="902"/>
      <c r="G8" s="903"/>
      <c r="H8" s="470">
        <v>316955314000</v>
      </c>
      <c r="I8" s="476">
        <v>0</v>
      </c>
    </row>
    <row r="9" spans="2:9" ht="31.5" customHeight="1" thickBot="1">
      <c r="B9" s="484">
        <v>4</v>
      </c>
      <c r="C9" s="913" t="s">
        <v>552</v>
      </c>
      <c r="D9" s="914"/>
      <c r="E9" s="914"/>
      <c r="F9" s="914"/>
      <c r="G9" s="915"/>
      <c r="H9" s="471">
        <f>H8+H7+H6</f>
        <v>434623633000</v>
      </c>
      <c r="I9" s="477">
        <v>0</v>
      </c>
    </row>
    <row r="10" spans="2:9" ht="25.5" customHeight="1" thickBot="1">
      <c r="B10" s="904">
        <v>5</v>
      </c>
      <c r="C10" s="907" t="s">
        <v>469</v>
      </c>
      <c r="D10" s="908"/>
      <c r="E10" s="913" t="s">
        <v>512</v>
      </c>
      <c r="F10" s="914"/>
      <c r="G10" s="915"/>
      <c r="H10" s="886">
        <f>'EPC 1405'!D5+'EPC 1405'!D6+'EPC 1405'!D13</f>
        <v>103369658912314.36</v>
      </c>
      <c r="I10" s="478">
        <v>0</v>
      </c>
    </row>
    <row r="11" spans="2:9" ht="14.25" customHeight="1">
      <c r="B11" s="905"/>
      <c r="C11" s="909"/>
      <c r="D11" s="910"/>
      <c r="E11" s="923" t="s">
        <v>513</v>
      </c>
      <c r="F11" s="924"/>
      <c r="G11" s="924"/>
      <c r="H11" s="887"/>
      <c r="I11" s="869">
        <f>'EPC 1405'!E9</f>
        <v>18568756.205403361</v>
      </c>
    </row>
    <row r="12" spans="2:9" ht="14.25" customHeight="1" thickBot="1">
      <c r="B12" s="905"/>
      <c r="C12" s="909"/>
      <c r="D12" s="910"/>
      <c r="E12" s="925"/>
      <c r="F12" s="926"/>
      <c r="G12" s="926"/>
      <c r="H12" s="887"/>
      <c r="I12" s="870"/>
    </row>
    <row r="13" spans="2:9" ht="14.25" customHeight="1">
      <c r="B13" s="905"/>
      <c r="C13" s="909"/>
      <c r="D13" s="910"/>
      <c r="E13" s="871" t="s">
        <v>470</v>
      </c>
      <c r="F13" s="872"/>
      <c r="G13" s="872"/>
      <c r="H13" s="887"/>
      <c r="I13" s="875">
        <v>0</v>
      </c>
    </row>
    <row r="14" spans="2:9" ht="15" customHeight="1" thickBot="1">
      <c r="B14" s="906"/>
      <c r="C14" s="911"/>
      <c r="D14" s="912"/>
      <c r="E14" s="873"/>
      <c r="F14" s="874"/>
      <c r="G14" s="874"/>
      <c r="H14" s="888"/>
      <c r="I14" s="876"/>
    </row>
    <row r="15" spans="2:9" ht="16.5" thickBot="1">
      <c r="B15" s="486">
        <v>6</v>
      </c>
      <c r="C15" s="877" t="s">
        <v>474</v>
      </c>
      <c r="D15" s="878"/>
      <c r="E15" s="878"/>
      <c r="F15" s="878"/>
      <c r="G15" s="879"/>
      <c r="H15" s="472">
        <f>H10*0.4</f>
        <v>41347863564925.742</v>
      </c>
      <c r="I15" s="479">
        <v>0</v>
      </c>
    </row>
    <row r="16" spans="2:9" ht="16.5" thickBot="1">
      <c r="B16" s="487">
        <v>7</v>
      </c>
      <c r="C16" s="880" t="s">
        <v>475</v>
      </c>
      <c r="D16" s="881"/>
      <c r="E16" s="881"/>
      <c r="F16" s="881"/>
      <c r="G16" s="882"/>
      <c r="H16" s="473">
        <v>0</v>
      </c>
      <c r="I16" s="479">
        <v>0</v>
      </c>
    </row>
    <row r="17" spans="2:9" ht="16.5" thickBot="1">
      <c r="B17" s="488">
        <v>8</v>
      </c>
      <c r="C17" s="877" t="s">
        <v>545</v>
      </c>
      <c r="D17" s="878"/>
      <c r="E17" s="878"/>
      <c r="F17" s="878"/>
      <c r="G17" s="879"/>
      <c r="H17" s="474">
        <f>H10*0.25</f>
        <v>25842414728078.59</v>
      </c>
      <c r="I17" s="506">
        <v>0</v>
      </c>
    </row>
    <row r="18" spans="2:9" ht="18.75" thickBot="1">
      <c r="B18" s="489">
        <v>9</v>
      </c>
      <c r="C18" s="927" t="s">
        <v>479</v>
      </c>
      <c r="D18" s="928"/>
      <c r="E18" s="928"/>
      <c r="F18" s="928"/>
      <c r="G18" s="929"/>
      <c r="H18" s="474">
        <f>50000000000*Inflation!IRR_Inflation_Factor</f>
        <v>2489470197084.5063</v>
      </c>
      <c r="I18" s="480">
        <v>0</v>
      </c>
    </row>
    <row r="19" spans="2:9" ht="16.5" thickBot="1">
      <c r="B19" s="486">
        <v>10</v>
      </c>
      <c r="C19" s="877" t="s">
        <v>476</v>
      </c>
      <c r="D19" s="878"/>
      <c r="E19" s="878"/>
      <c r="F19" s="878"/>
      <c r="G19" s="879"/>
      <c r="H19" s="474">
        <f>66289335000*Inflation!IRR_Inflation_Factor</f>
        <v>3300506477341.0171</v>
      </c>
      <c r="I19" s="481">
        <v>0</v>
      </c>
    </row>
    <row r="20" spans="2:9" ht="16.5" thickBot="1">
      <c r="B20" s="487">
        <v>11</v>
      </c>
      <c r="C20" s="883" t="s">
        <v>477</v>
      </c>
      <c r="D20" s="884"/>
      <c r="E20" s="884"/>
      <c r="F20" s="884"/>
      <c r="G20" s="885"/>
      <c r="H20" s="475">
        <f>1000000000*Inflation!IRR_Inflation_Factor</f>
        <v>49789403941.690125</v>
      </c>
      <c r="I20" s="482">
        <v>0</v>
      </c>
    </row>
    <row r="21" spans="2:9" ht="15" customHeight="1">
      <c r="B21" s="916">
        <v>13</v>
      </c>
      <c r="C21" s="917" t="s">
        <v>391</v>
      </c>
      <c r="D21" s="918"/>
      <c r="E21" s="918"/>
      <c r="F21" s="918"/>
      <c r="G21" s="919"/>
      <c r="H21" s="854">
        <f>H20+H19+H18+H17+H16+H15+H13+H11+H10</f>
        <v>176399703283685.91</v>
      </c>
      <c r="I21" s="854">
        <f>I17+I11</f>
        <v>18568756.205403361</v>
      </c>
    </row>
    <row r="22" spans="2:9" ht="15" customHeight="1" thickBot="1">
      <c r="B22" s="855"/>
      <c r="C22" s="920"/>
      <c r="D22" s="921"/>
      <c r="E22" s="921"/>
      <c r="F22" s="921"/>
      <c r="G22" s="922"/>
      <c r="H22" s="855"/>
      <c r="I22" s="855"/>
    </row>
    <row r="23" spans="2:9" ht="21" customHeight="1" thickBot="1">
      <c r="B23" s="894" t="s">
        <v>550</v>
      </c>
      <c r="C23" s="895"/>
      <c r="D23" s="895"/>
      <c r="E23" s="895"/>
      <c r="F23" s="895"/>
      <c r="G23" s="896"/>
      <c r="H23" s="534">
        <f>H21-H25</f>
        <v>175379709975476.31</v>
      </c>
      <c r="I23" s="533">
        <v>0</v>
      </c>
    </row>
    <row r="24" spans="2:9" ht="33" customHeight="1">
      <c r="B24" s="891" t="s">
        <v>548</v>
      </c>
      <c r="C24" s="892"/>
      <c r="D24" s="892"/>
      <c r="E24" s="892"/>
      <c r="F24" s="892"/>
      <c r="G24" s="893"/>
      <c r="H24" s="530">
        <v>1722805000000</v>
      </c>
      <c r="I24" s="531">
        <v>0</v>
      </c>
    </row>
    <row r="25" spans="2:9" ht="39" customHeight="1" thickBot="1">
      <c r="B25" s="889" t="s">
        <v>549</v>
      </c>
      <c r="C25" s="890"/>
      <c r="D25" s="890"/>
      <c r="E25" s="890"/>
      <c r="F25" s="890"/>
      <c r="G25" s="890"/>
      <c r="H25" s="532">
        <f>H24-(I25*Inflation!G7)</f>
        <v>1019993308209.6</v>
      </c>
      <c r="I25" s="529">
        <v>17340188</v>
      </c>
    </row>
    <row r="28" spans="2:9">
      <c r="H28" s="33"/>
    </row>
  </sheetData>
  <mergeCells count="29">
    <mergeCell ref="B25:G25"/>
    <mergeCell ref="B24:G24"/>
    <mergeCell ref="B23:G23"/>
    <mergeCell ref="C7:G7"/>
    <mergeCell ref="C8:G8"/>
    <mergeCell ref="B10:B14"/>
    <mergeCell ref="C10:D14"/>
    <mergeCell ref="E10:G10"/>
    <mergeCell ref="B21:B22"/>
    <mergeCell ref="C21:G22"/>
    <mergeCell ref="E11:G12"/>
    <mergeCell ref="C18:G18"/>
    <mergeCell ref="C9:G9"/>
    <mergeCell ref="H21:H22"/>
    <mergeCell ref="B2:I3"/>
    <mergeCell ref="B4:G5"/>
    <mergeCell ref="H4:H5"/>
    <mergeCell ref="I4:I5"/>
    <mergeCell ref="C6:G6"/>
    <mergeCell ref="I21:I22"/>
    <mergeCell ref="I11:I12"/>
    <mergeCell ref="E13:G14"/>
    <mergeCell ref="I13:I14"/>
    <mergeCell ref="C15:G15"/>
    <mergeCell ref="C16:G16"/>
    <mergeCell ref="C17:G17"/>
    <mergeCell ref="C19:G19"/>
    <mergeCell ref="C20:G20"/>
    <mergeCell ref="H10:H14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40"/>
  <sheetViews>
    <sheetView rightToLeft="1" tabSelected="1" zoomScale="115" zoomScaleNormal="115" workbookViewId="0">
      <selection activeCell="D5" sqref="D5:D9"/>
    </sheetView>
  </sheetViews>
  <sheetFormatPr defaultColWidth="9" defaultRowHeight="15"/>
  <cols>
    <col min="1" max="1" width="24.85546875" style="270" customWidth="1"/>
    <col min="2" max="2" width="9" style="546"/>
    <col min="3" max="3" width="16" style="546" customWidth="1"/>
    <col min="4" max="4" width="20.42578125" style="546" customWidth="1"/>
    <col min="5" max="5" width="29.42578125" style="546" customWidth="1"/>
    <col min="6" max="6" width="28.28515625" style="546" bestFit="1" customWidth="1"/>
    <col min="7" max="7" width="24.42578125" style="546" bestFit="1" customWidth="1"/>
    <col min="8" max="8" width="9" style="270"/>
    <col min="9" max="9" width="45.7109375" style="270" customWidth="1"/>
    <col min="10" max="10" width="26.5703125" style="270" customWidth="1"/>
    <col min="11" max="16384" width="9" style="270"/>
  </cols>
  <sheetData>
    <row r="1" spans="2:10" ht="15.75" thickBot="1"/>
    <row r="2" spans="2:10" ht="21" thickBot="1">
      <c r="B2" s="935" t="s">
        <v>580</v>
      </c>
      <c r="C2" s="936"/>
      <c r="D2" s="936"/>
      <c r="E2" s="936"/>
      <c r="F2" s="936"/>
      <c r="G2" s="937"/>
    </row>
    <row r="3" spans="2:10" ht="16.5" thickBot="1">
      <c r="B3" s="547" t="s">
        <v>0</v>
      </c>
      <c r="C3" s="548" t="s">
        <v>7</v>
      </c>
      <c r="D3" s="938" t="s">
        <v>23</v>
      </c>
      <c r="E3" s="939"/>
      <c r="F3" s="549" t="s">
        <v>314</v>
      </c>
      <c r="G3" s="549" t="s">
        <v>586</v>
      </c>
    </row>
    <row r="4" spans="2:10" ht="18.75" thickBot="1">
      <c r="B4" s="550">
        <v>1</v>
      </c>
      <c r="C4" s="551" t="s">
        <v>557</v>
      </c>
      <c r="D4" s="990" t="s">
        <v>315</v>
      </c>
      <c r="E4" s="991"/>
      <c r="F4" s="552">
        <f>'Summary_M3 1405'!E5</f>
        <v>1795977062082.634</v>
      </c>
      <c r="G4" s="552">
        <v>0</v>
      </c>
      <c r="I4" s="587"/>
    </row>
    <row r="5" spans="2:10" ht="21" customHeight="1">
      <c r="B5" s="957">
        <v>2</v>
      </c>
      <c r="C5" s="933" t="s">
        <v>558</v>
      </c>
      <c r="D5" s="933" t="s">
        <v>559</v>
      </c>
      <c r="E5" s="553" t="s">
        <v>560</v>
      </c>
      <c r="F5" s="554">
        <f>p.summary1405!F4*Inflation!G9</f>
        <v>46468143128646.18</v>
      </c>
      <c r="G5" s="554">
        <f>p.summary1405!H4</f>
        <v>10001461.210195344</v>
      </c>
      <c r="I5" s="587">
        <f>F5+G5*500000</f>
        <v>51468873733743.852</v>
      </c>
      <c r="J5" s="270">
        <f>I5/I9*100</f>
        <v>86.196320117515384</v>
      </c>
    </row>
    <row r="6" spans="2:10" ht="15.75">
      <c r="B6" s="958"/>
      <c r="C6" s="934"/>
      <c r="D6" s="934"/>
      <c r="E6" s="555" t="s">
        <v>561</v>
      </c>
      <c r="F6" s="556">
        <f>p.summary1405!F5*Inflation!G9</f>
        <v>3083202166362.9692</v>
      </c>
      <c r="G6" s="556">
        <f>p.summary1405!H5</f>
        <v>736554.73165074387</v>
      </c>
      <c r="I6" s="587">
        <f>F6+G6*500000</f>
        <v>3451479532188.3413</v>
      </c>
      <c r="J6" s="270">
        <f>I6/I9*100</f>
        <v>5.7802864732303121</v>
      </c>
    </row>
    <row r="7" spans="2:10" ht="15.75">
      <c r="B7" s="958"/>
      <c r="C7" s="934"/>
      <c r="D7" s="934"/>
      <c r="E7" s="569" t="s">
        <v>562</v>
      </c>
      <c r="F7" s="574">
        <f>p.summary1405!F6*Inflation!G9</f>
        <v>1569803146360.9958</v>
      </c>
      <c r="G7" s="570">
        <f>p.summary1405!H6</f>
        <v>6066288.3164374996</v>
      </c>
      <c r="I7" s="587">
        <f>F7+G7*500000</f>
        <v>4602947304579.7461</v>
      </c>
      <c r="J7" s="270">
        <f>I7/I9*100</f>
        <v>7.7086808116706411</v>
      </c>
    </row>
    <row r="8" spans="2:10" ht="15.75">
      <c r="B8" s="958"/>
      <c r="C8" s="934"/>
      <c r="D8" s="934"/>
      <c r="E8" s="569" t="s">
        <v>556</v>
      </c>
      <c r="F8" s="575">
        <f>p.summary1405!F7*Inflation!G9</f>
        <v>187918729307.34412</v>
      </c>
      <c r="G8" s="570">
        <v>0</v>
      </c>
      <c r="I8" s="587">
        <f>F8</f>
        <v>187918729307.34412</v>
      </c>
      <c r="J8" s="270">
        <f>I8/I9*100</f>
        <v>0.31471259758367193</v>
      </c>
    </row>
    <row r="9" spans="2:10" ht="16.5" thickBot="1">
      <c r="B9" s="958"/>
      <c r="C9" s="934"/>
      <c r="D9" s="934"/>
      <c r="E9" s="567" t="s">
        <v>563</v>
      </c>
      <c r="F9" s="568">
        <f>SUM(F5:F8)</f>
        <v>51309067170677.484</v>
      </c>
      <c r="G9" s="568">
        <f>SUM(G5:G7)</f>
        <v>16804304.258283585</v>
      </c>
      <c r="I9" s="586">
        <f>F9+G9*500000</f>
        <v>59711219299819.281</v>
      </c>
      <c r="J9" s="270">
        <f>SUM(J4:J8)</f>
        <v>100.00000000000001</v>
      </c>
    </row>
    <row r="10" spans="2:10" ht="16.5" thickBot="1">
      <c r="B10" s="958"/>
      <c r="C10" s="934"/>
      <c r="D10" s="930" t="s">
        <v>316</v>
      </c>
      <c r="E10" s="931"/>
      <c r="F10" s="552">
        <f>SUM(F9*0.01)</f>
        <v>513090671706.77484</v>
      </c>
      <c r="G10" s="552">
        <f>SUM(G9*0.01)</f>
        <v>168043.04258283586</v>
      </c>
    </row>
    <row r="11" spans="2:10" ht="16.5" thickBot="1">
      <c r="B11" s="958"/>
      <c r="C11" s="934"/>
      <c r="D11" s="930" t="s">
        <v>317</v>
      </c>
      <c r="E11" s="931"/>
      <c r="F11" s="552">
        <f>SUM(F9*0.005)</f>
        <v>256545335853.38742</v>
      </c>
      <c r="G11" s="552">
        <f>SUM(G9*0.005)</f>
        <v>84021.521291417928</v>
      </c>
      <c r="I11" s="588">
        <f>I8+I7+I6+I5+I4</f>
        <v>59711219299819.281</v>
      </c>
    </row>
    <row r="12" spans="2:10" ht="16.5" thickBot="1">
      <c r="B12" s="958"/>
      <c r="C12" s="934"/>
      <c r="D12" s="930" t="s">
        <v>564</v>
      </c>
      <c r="E12" s="931"/>
      <c r="F12" s="552">
        <f>SUM(F9*0.002)</f>
        <v>102618134341.35497</v>
      </c>
      <c r="G12" s="552">
        <f>SUM(G9*0.002)</f>
        <v>33608.608516567168</v>
      </c>
    </row>
    <row r="13" spans="2:10" ht="16.5" thickBot="1">
      <c r="B13" s="958"/>
      <c r="C13" s="934"/>
      <c r="D13" s="930" t="s">
        <v>318</v>
      </c>
      <c r="E13" s="931"/>
      <c r="F13" s="552">
        <f>SUM(F9*0.008)</f>
        <v>410472537365.41986</v>
      </c>
      <c r="G13" s="552">
        <f>SUM(G9*0.008)</f>
        <v>134434.43406626867</v>
      </c>
      <c r="J13" s="270">
        <f>I5/I18*100</f>
        <v>70.761032971102424</v>
      </c>
    </row>
    <row r="14" spans="2:10" ht="16.5" thickBot="1">
      <c r="B14" s="958"/>
      <c r="C14" s="934"/>
      <c r="D14" s="930" t="s">
        <v>565</v>
      </c>
      <c r="E14" s="932"/>
      <c r="F14" s="552">
        <f>'Summary_M3 1405'!E13</f>
        <v>6721721703313.4346</v>
      </c>
      <c r="G14" s="552">
        <v>0</v>
      </c>
      <c r="J14" s="270">
        <f>I6/I18*100</f>
        <v>4.7452030568942281</v>
      </c>
    </row>
    <row r="15" spans="2:10" ht="16.5" thickBot="1">
      <c r="B15" s="958"/>
      <c r="C15" s="934"/>
      <c r="D15" s="930" t="s">
        <v>576</v>
      </c>
      <c r="E15" s="932"/>
      <c r="F15" s="552">
        <f>'Summary_M3 1405'!E12</f>
        <v>2565453358533.8745</v>
      </c>
      <c r="G15" s="552">
        <f>G9*0.05</f>
        <v>840215.21291417931</v>
      </c>
      <c r="J15" s="270">
        <f>I7/I18*100</f>
        <v>6.3282773131690657</v>
      </c>
    </row>
    <row r="16" spans="2:10" ht="16.5" thickBot="1">
      <c r="B16" s="958"/>
      <c r="C16" s="934"/>
      <c r="D16" s="930" t="s">
        <v>577</v>
      </c>
      <c r="E16" s="932"/>
      <c r="F16" s="552">
        <f>'Summary_M3 1405'!E14</f>
        <v>1539272015120.3245</v>
      </c>
      <c r="G16" s="552">
        <f>G9*Inflation!G6</f>
        <v>504129.12774850754</v>
      </c>
      <c r="J16" s="270">
        <f>I8/I18*100</f>
        <v>0.25835660343363415</v>
      </c>
    </row>
    <row r="17" spans="2:10" ht="16.5" thickBot="1">
      <c r="B17" s="958"/>
      <c r="C17" s="934"/>
      <c r="D17" s="930" t="s">
        <v>578</v>
      </c>
      <c r="E17" s="932"/>
      <c r="F17" s="552">
        <f>'Summary_M3 1405'!E11</f>
        <v>33562979999.999996</v>
      </c>
      <c r="G17" s="552">
        <v>0</v>
      </c>
    </row>
    <row r="18" spans="2:10" ht="18.75" thickBot="1">
      <c r="B18" s="959"/>
      <c r="C18" s="934"/>
      <c r="D18" s="942" t="s">
        <v>566</v>
      </c>
      <c r="E18" s="943"/>
      <c r="F18" s="552">
        <f>SUM(F9:F17)</f>
        <v>63451803906912.063</v>
      </c>
      <c r="G18" s="552">
        <f>SUM(G9:G17)</f>
        <v>18568756.205403361</v>
      </c>
      <c r="I18" s="588">
        <f>F18+G18*500000</f>
        <v>72736182009613.75</v>
      </c>
      <c r="J18" s="270">
        <f>SUM(J13:J16)</f>
        <v>82.092869944599357</v>
      </c>
    </row>
    <row r="19" spans="2:10" ht="16.5" thickBot="1">
      <c r="B19" s="956">
        <v>3</v>
      </c>
      <c r="C19" s="955" t="s">
        <v>567</v>
      </c>
      <c r="D19" s="931" t="s">
        <v>581</v>
      </c>
      <c r="E19" s="932"/>
      <c r="F19" s="552">
        <f>'c.summary1405'!L12</f>
        <v>1636513530056.2583</v>
      </c>
      <c r="G19" s="552"/>
    </row>
    <row r="20" spans="2:10" ht="16.5" thickBot="1">
      <c r="B20" s="956"/>
      <c r="C20" s="955"/>
      <c r="D20" s="944" t="s">
        <v>568</v>
      </c>
      <c r="E20" s="557" t="s">
        <v>569</v>
      </c>
      <c r="F20" s="558">
        <f>'c.summary1405'!L5</f>
        <v>23893438395215.613</v>
      </c>
      <c r="G20" s="552">
        <v>0</v>
      </c>
    </row>
    <row r="21" spans="2:10" ht="16.5" thickBot="1">
      <c r="B21" s="956"/>
      <c r="C21" s="955"/>
      <c r="D21" s="945"/>
      <c r="E21" s="559" t="s">
        <v>570</v>
      </c>
      <c r="F21" s="552">
        <f>'c.summary1405'!L6</f>
        <v>6724021892345.2207</v>
      </c>
      <c r="G21" s="552">
        <v>0</v>
      </c>
    </row>
    <row r="22" spans="2:10" ht="16.5" thickBot="1">
      <c r="B22" s="956"/>
      <c r="C22" s="955"/>
      <c r="D22" s="945"/>
      <c r="E22" s="559" t="s">
        <v>571</v>
      </c>
      <c r="F22" s="552">
        <f>'c.summary1405'!L7</f>
        <v>1004785419055.6178</v>
      </c>
      <c r="G22" s="552">
        <v>0</v>
      </c>
    </row>
    <row r="23" spans="2:10" ht="16.5" thickBot="1">
      <c r="B23" s="956"/>
      <c r="C23" s="955"/>
      <c r="D23" s="945"/>
      <c r="E23" s="560" t="s">
        <v>572</v>
      </c>
      <c r="F23" s="552">
        <f>'c.summary1405'!L8</f>
        <v>403327601366.08893</v>
      </c>
      <c r="G23" s="552">
        <v>0</v>
      </c>
    </row>
    <row r="24" spans="2:10" ht="16.5" thickBot="1">
      <c r="B24" s="956"/>
      <c r="C24" s="955"/>
      <c r="D24" s="945"/>
      <c r="E24" s="573" t="s">
        <v>507</v>
      </c>
      <c r="F24" s="571">
        <f>'c.summary1405'!L9+Extra.1405!C6</f>
        <v>1522954058170.7527</v>
      </c>
      <c r="G24" s="552"/>
    </row>
    <row r="25" spans="2:10" ht="16.5" thickBot="1">
      <c r="B25" s="956"/>
      <c r="C25" s="955"/>
      <c r="D25" s="946"/>
      <c r="E25" s="572" t="s">
        <v>573</v>
      </c>
      <c r="F25" s="552">
        <f>F23+F22+F21+F20+F19+F24</f>
        <v>35185040896209.547</v>
      </c>
      <c r="G25" s="552">
        <v>0</v>
      </c>
    </row>
    <row r="26" spans="2:10" ht="16.5" thickBot="1">
      <c r="B26" s="956"/>
      <c r="C26" s="955"/>
      <c r="D26" s="947" t="s">
        <v>574</v>
      </c>
      <c r="E26" s="948"/>
      <c r="F26" s="552">
        <f>'c.summary1405'!L11</f>
        <v>819208775549.99988</v>
      </c>
      <c r="G26" s="552">
        <v>0</v>
      </c>
    </row>
    <row r="27" spans="2:10" ht="16.5" thickBot="1">
      <c r="B27" s="956"/>
      <c r="C27" s="955"/>
      <c r="D27" s="949" t="s">
        <v>320</v>
      </c>
      <c r="E27" s="950"/>
      <c r="F27" s="552">
        <f>'c.summary1405'!L10</f>
        <v>726468159449.99988</v>
      </c>
      <c r="G27" s="552">
        <v>0</v>
      </c>
    </row>
    <row r="28" spans="2:10" ht="46.5" customHeight="1" thickBot="1">
      <c r="B28" s="956"/>
      <c r="C28" s="955"/>
      <c r="D28" s="953" t="s">
        <v>579</v>
      </c>
      <c r="E28" s="954"/>
      <c r="F28" s="571">
        <f>'Summary_M3 1405'!E21</f>
        <v>1391160112110.1099</v>
      </c>
      <c r="G28" s="552"/>
    </row>
    <row r="29" spans="2:10" ht="18.75" thickBot="1">
      <c r="B29" s="956"/>
      <c r="C29" s="955"/>
      <c r="D29" s="951" t="s">
        <v>575</v>
      </c>
      <c r="E29" s="952"/>
      <c r="F29" s="552">
        <f>F25+F26+F27+F28</f>
        <v>38121877943319.656</v>
      </c>
      <c r="G29" s="552">
        <v>0</v>
      </c>
    </row>
    <row r="30" spans="2:10" ht="21" thickBot="1">
      <c r="B30" s="940" t="s">
        <v>321</v>
      </c>
      <c r="C30" s="941"/>
      <c r="D30" s="936"/>
      <c r="E30" s="937"/>
      <c r="F30" s="561">
        <f>SUM(F29+F18+F4)</f>
        <v>103369658912314.36</v>
      </c>
      <c r="G30" s="561">
        <f>SUM(G29+G18+G4)</f>
        <v>18568756.205403361</v>
      </c>
      <c r="I30" s="586">
        <f>F30+G30*500000</f>
        <v>112654037015016.05</v>
      </c>
    </row>
    <row r="31" spans="2:10">
      <c r="F31" s="562"/>
      <c r="G31" s="562"/>
    </row>
    <row r="32" spans="2:10">
      <c r="F32" s="563"/>
      <c r="G32" s="563"/>
    </row>
    <row r="33" spans="5:7">
      <c r="F33" s="564"/>
      <c r="G33" s="564"/>
    </row>
    <row r="34" spans="5:7">
      <c r="F34" s="565"/>
      <c r="G34" s="565"/>
    </row>
    <row r="35" spans="5:7">
      <c r="F35" s="562"/>
    </row>
    <row r="36" spans="5:7">
      <c r="F36" s="562"/>
    </row>
    <row r="40" spans="5:7">
      <c r="E40" s="562"/>
      <c r="F40" s="562"/>
    </row>
  </sheetData>
  <mergeCells count="24">
    <mergeCell ref="B30:E30"/>
    <mergeCell ref="D15:E15"/>
    <mergeCell ref="D16:E16"/>
    <mergeCell ref="D17:E17"/>
    <mergeCell ref="D19:E19"/>
    <mergeCell ref="D18:E18"/>
    <mergeCell ref="D20:D25"/>
    <mergeCell ref="D26:E26"/>
    <mergeCell ref="D27:E27"/>
    <mergeCell ref="D29:E29"/>
    <mergeCell ref="D28:E28"/>
    <mergeCell ref="C19:C29"/>
    <mergeCell ref="B19:B29"/>
    <mergeCell ref="B5:B18"/>
    <mergeCell ref="D11:E11"/>
    <mergeCell ref="D12:E12"/>
    <mergeCell ref="D13:E13"/>
    <mergeCell ref="D14:E14"/>
    <mergeCell ref="C5:C18"/>
    <mergeCell ref="B2:G2"/>
    <mergeCell ref="D3:E3"/>
    <mergeCell ref="D4:E4"/>
    <mergeCell ref="D5:D9"/>
    <mergeCell ref="D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7</vt:i4>
      </vt:variant>
    </vt:vector>
  </HeadingPairs>
  <TitlesOfParts>
    <vt:vector size="33" baseType="lpstr">
      <vt:lpstr>EPC 1402 (2)</vt:lpstr>
      <vt:lpstr>E.1392</vt:lpstr>
      <vt:lpstr>p.lab.1392</vt:lpstr>
      <vt:lpstr>EL.p.1392</vt:lpstr>
      <vt:lpstr>IN.p&amp;C.1392</vt:lpstr>
      <vt:lpstr>ME.p.1392</vt:lpstr>
      <vt:lpstr>SEFTY.p.1392</vt:lpstr>
      <vt:lpstr>p.summary1392</vt:lpstr>
      <vt:lpstr>CV1392</vt:lpstr>
      <vt:lpstr>c.cefty.1392</vt:lpstr>
      <vt:lpstr>c.summary1392</vt:lpstr>
      <vt:lpstr>E.p.c summary 1392</vt:lpstr>
      <vt:lpstr>Inflation</vt:lpstr>
      <vt:lpstr>E.1405</vt:lpstr>
      <vt:lpstr>IN.P&amp;C 1405</vt:lpstr>
      <vt:lpstr>ME.P.1405</vt:lpstr>
      <vt:lpstr>EL.P.1405</vt:lpstr>
      <vt:lpstr>CV1405</vt:lpstr>
      <vt:lpstr>Sheet1</vt:lpstr>
      <vt:lpstr>Extra.1405</vt:lpstr>
      <vt:lpstr>c.summary1405</vt:lpstr>
      <vt:lpstr>p.summary1405</vt:lpstr>
      <vt:lpstr>Summary_M3 1405</vt:lpstr>
      <vt:lpstr>EPC 1405</vt:lpstr>
      <vt:lpstr>FR1405</vt:lpstr>
      <vt:lpstr>RFCS LEVEL 2</vt:lpstr>
      <vt:lpstr>Inflation!Euro_Inflation_Factor</vt:lpstr>
      <vt:lpstr>Inflation!IRR_Inflation_Factor</vt:lpstr>
      <vt:lpstr>c.cefty.1392!Print_Area</vt:lpstr>
      <vt:lpstr>EL.p.1392!Print_Area</vt:lpstr>
      <vt:lpstr>Extra.1405!Print_Area</vt:lpstr>
      <vt:lpstr>Inflation!Print_Area</vt:lpstr>
      <vt:lpstr>'Summary_M3 1405'!Print_Area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</dc:creator>
  <cp:lastModifiedBy>Mehdi</cp:lastModifiedBy>
  <cp:lastPrinted>2023-08-30T09:06:37Z</cp:lastPrinted>
  <dcterms:created xsi:type="dcterms:W3CDTF">2013-12-19T07:48:43Z</dcterms:created>
  <dcterms:modified xsi:type="dcterms:W3CDTF">2026-09-12T20:57:54Z</dcterms:modified>
</cp:coreProperties>
</file>
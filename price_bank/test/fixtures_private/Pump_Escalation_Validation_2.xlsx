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ماشین_حساب" sheetId="1" state="visible" r:id="rId3"/>
    <sheet name="راهنما" sheetId="2" state="visible" r:id="rId4"/>
    <sheet name="Summary" sheetId="3" state="visible" r:id="rId5"/>
    <sheet name="Indices" sheetId="4" state="visible" r:id="rId6"/>
    <sheet name="Val_EUR_Pumps" sheetId="5" state="visible" r:id="rId7"/>
    <sheet name="Val_IRR_Packages" sheetId="6" state="visible" r:id="rId8"/>
    <sheet name="Drivers" sheetId="7" state="visible" r:id="rId9"/>
    <sheet name="Pump_Bank_Escalated" sheetId="8" state="visible" r:id="rId10"/>
    <sheet name="Model_Issues" sheetId="9" state="visible" r:id="rId11"/>
    <sheet name="Sources" sheetId="10" state="visible" r:id="rId12"/>
    <sheet name="Lists" sheetId="11" state="hidden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9" authorId="0">
      <text>
        <r>
          <rPr>
            <sz val="10"/>
            <rFont val="FreeSans"/>
            <family val="2"/>
          </rPr>
          <t xml:space="preserve">نرخ تسعیر ارز سال ۹۳ از شیت </t>
        </r>
        <r>
          <rPr>
            <sz val="10"/>
            <rFont val="Arial"/>
            <family val="2"/>
          </rPr>
          <t xml:space="preserve">Inflation </t>
        </r>
        <r>
          <rPr>
            <sz val="10"/>
            <rFont val="FreeSans"/>
            <family val="2"/>
          </rPr>
          <t xml:space="preserve">فایل مارون ۳ </t>
        </r>
        <r>
          <rPr>
            <sz val="10"/>
            <rFont val="Arial"/>
            <family val="2"/>
          </rPr>
          <t xml:space="preserve">(G7). </t>
        </r>
        <r>
          <rPr>
            <sz val="10"/>
            <rFont val="FreeSans"/>
            <family val="2"/>
          </rPr>
          <t xml:space="preserve">همین نرخ برای برگرداندن قیمت‌های ریالی ۱۳۹۳ پازنان به یورو استفاده می‌شود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32" authorId="0">
      <text>
        <r>
          <rPr>
            <sz val="10"/>
            <rFont val="FreeSans"/>
            <family val="2"/>
          </rPr>
          <t xml:space="preserve">پمپ آتش‌نشانی: دامنه استعلام‌ها تا ۲۳ برابر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پمپ تنها در برابر پکیج کامل </t>
        </r>
        <r>
          <rPr>
            <sz val="10"/>
            <rFont val="Arial"/>
            <family val="2"/>
          </rPr>
          <t xml:space="preserve">NFPA 20). </t>
        </r>
        <r>
          <rPr>
            <sz val="10"/>
            <rFont val="FreeSans"/>
            <family val="2"/>
          </rPr>
          <t xml:space="preserve">به دلیل نامشخص بودن دامنه کار از آمار حذف شد</t>
        </r>
        <r>
          <rPr>
            <sz val="10"/>
            <rFont val="Arial"/>
            <family val="2"/>
          </rPr>
          <t xml:space="preserve">.</t>
        </r>
      </text>
    </comment>
    <comment ref="L33" authorId="0">
      <text>
        <r>
          <rPr>
            <sz val="10"/>
            <rFont val="FreeSans"/>
            <family val="2"/>
          </rPr>
          <t xml:space="preserve">پمپ آتش‌نشانی: دامنه استعلام‌ها تا ۲۳ برابر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پمپ تنها در برابر پکیج کامل </t>
        </r>
        <r>
          <rPr>
            <sz val="10"/>
            <rFont val="Arial"/>
            <family val="2"/>
          </rPr>
          <t xml:space="preserve">NFPA 20). </t>
        </r>
        <r>
          <rPr>
            <sz val="10"/>
            <rFont val="FreeSans"/>
            <family val="2"/>
          </rPr>
          <t xml:space="preserve">به دلیل نامشخص بودن دامنه کار از آمار حذف شد</t>
        </r>
        <r>
          <rPr>
            <sz val="10"/>
            <rFont val="Arial"/>
            <family val="2"/>
          </rPr>
          <t xml:space="preserve">.</t>
        </r>
      </text>
    </comment>
    <comment ref="L34" authorId="0">
      <text>
        <r>
          <rPr>
            <sz val="10"/>
            <rFont val="FreeSans"/>
            <family val="2"/>
          </rPr>
          <t xml:space="preserve">پمپ آتش‌نشانی: دامنه استعلام‌ها تا ۲۳ برابر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پمپ تنها در برابر پکیج کامل </t>
        </r>
        <r>
          <rPr>
            <sz val="10"/>
            <rFont val="Arial"/>
            <family val="2"/>
          </rPr>
          <t xml:space="preserve">NFPA 20). </t>
        </r>
        <r>
          <rPr>
            <sz val="10"/>
            <rFont val="FreeSans"/>
            <family val="2"/>
          </rPr>
          <t xml:space="preserve">به دلیل نامشخص بودن دامنه کار از آمار حذف شد</t>
        </r>
        <r>
          <rPr>
            <sz val="10"/>
            <rFont val="Arial"/>
            <family val="2"/>
          </rPr>
          <t xml:space="preserve">.</t>
        </r>
      </text>
    </comment>
    <comment ref="L35" authorId="0">
      <text>
        <r>
          <rPr>
            <sz val="10"/>
            <rFont val="FreeSans"/>
            <family val="2"/>
          </rPr>
          <t xml:space="preserve">پمپ آتش‌نشانی: دامنه استعلام‌ها تا ۲۳ برابر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پمپ تنها در برابر پکیج کامل </t>
        </r>
        <r>
          <rPr>
            <sz val="10"/>
            <rFont val="Arial"/>
            <family val="2"/>
          </rPr>
          <t xml:space="preserve">NFPA 20). </t>
        </r>
        <r>
          <rPr>
            <sz val="10"/>
            <rFont val="FreeSans"/>
            <family val="2"/>
          </rPr>
          <t xml:space="preserve">به دلیل نامشخص بودن دامنه کار از آمار حذف شد</t>
        </r>
        <r>
          <rPr>
            <sz val="10"/>
            <rFont val="Arial"/>
            <family val="2"/>
          </rPr>
          <t xml:space="preserve">.</t>
        </r>
      </text>
    </comment>
    <comment ref="X17" authorId="0">
      <text>
        <r>
          <rPr>
            <sz val="10"/>
            <rFont val="FreeSans"/>
            <family val="2"/>
          </rPr>
          <t xml:space="preserve">ضریب هر سطر </t>
        </r>
        <r>
          <rPr>
            <sz val="10"/>
            <rFont val="Arial"/>
            <family val="2"/>
          </rPr>
          <t xml:space="preserve">= AH </t>
        </r>
        <r>
          <rPr>
            <sz val="10"/>
            <rFont val="FreeSans"/>
            <family val="2"/>
          </rPr>
          <t xml:space="preserve">همان </t>
        </r>
        <r>
          <rPr>
            <sz val="10"/>
            <rFont val="Arial"/>
            <family val="2"/>
          </rPr>
          <t xml:space="preserve">Tag </t>
        </r>
        <r>
          <rPr>
            <sz val="10"/>
            <rFont val="FreeSans"/>
            <family val="2"/>
          </rPr>
          <t xml:space="preserve">در سطرهای اعتبارسنجی ۳۳۱ تا ۳۴۹ شیت </t>
        </r>
        <r>
          <rPr>
            <sz val="10"/>
            <rFont val="Arial"/>
            <family val="2"/>
          </rPr>
          <t xml:space="preserve">Equipment </t>
        </r>
        <r>
          <rPr>
            <sz val="10"/>
            <rFont val="FreeSans"/>
            <family val="2"/>
          </rPr>
          <t xml:space="preserve">مدل شما (هدف ۱۴۰۴</t>
        </r>
        <r>
          <rPr>
            <sz val="10"/>
            <rFont val="Arial"/>
            <family val="2"/>
          </rPr>
          <t xml:space="preserve">).</t>
        </r>
      </text>
    </comment>
  </commentList>
</comments>
</file>

<file path=xl/sharedStrings.xml><?xml version="1.0" encoding="utf-8"?>
<sst xmlns="http://schemas.openxmlformats.org/spreadsheetml/2006/main" count="1468" uniqueCount="745">
  <si>
    <t xml:space="preserve">ماشین‌حساب قیمت پمپ — انتقال قیمت قدیم به سال هدف</t>
  </si>
  <si>
    <t xml:space="preserve">فقط خانه‌های زرد را پر کنید. بقیه خودکار محاسبه می‌شود. روش: تبدیل به یورو ← تعدیل با شاخص قیمت پمپ (PPI) ← کف قیمت پمپ API ← تبدیل با نرخ یوروی سال هدف.</t>
  </si>
  <si>
    <t xml:space="preserve">الف) ورودی‌ها</t>
  </si>
  <si>
    <t xml:space="preserve">ورودی</t>
  </si>
  <si>
    <t xml:space="preserve">مقدار</t>
  </si>
  <si>
    <t xml:space="preserve">راهنما</t>
  </si>
  <si>
    <t xml:space="preserve">نوع پمپ</t>
  </si>
  <si>
    <t xml:space="preserve">گریز از مرکز API 610</t>
  </si>
  <si>
    <t xml:space="preserve">از لیست انتخاب کنید. کف قیمت فقط به «گریز از مرکز API 610» با کلاس S یا D اعمال می‌شود.</t>
  </si>
  <si>
    <t xml:space="preserve">کلاس مواد API 610</t>
  </si>
  <si>
    <t xml:space="preserve">D2</t>
  </si>
  <si>
    <t xml:space="preserve">از دیتاشیت (مثلاً S6، D1، I2). اگر نمی‌دانید «نامشخص».</t>
  </si>
  <si>
    <t xml:space="preserve">قیمت واحد پایه</t>
  </si>
  <si>
    <t xml:space="preserve">قیمت یک دستگاه در منبع قدیمی، به همان ارزی که در منبع آمده.</t>
  </si>
  <si>
    <t xml:space="preserve">ارز قیمت پایه</t>
  </si>
  <si>
    <t xml:space="preserve">EUR</t>
  </si>
  <si>
    <t xml:space="preserve">EUR / USD / IRR</t>
  </si>
  <si>
    <t xml:space="preserve">سال پایه (شمسی)</t>
  </si>
  <si>
    <t xml:space="preserve">سال تاریخ قیمت/استعلام منبع (نه سال انتشار گزارش).</t>
  </si>
  <si>
    <t xml:space="preserve">نرخ تسعیر منبع (ریال به ازای یورو) — اختیاری</t>
  </si>
  <si>
    <t xml:space="preserve">فقط برای قیمت ریالی. اگر منبع ریال را از یورو ساخته، همان نرخ را بنویسید (گچساران ۴ = ۴۵۵٬۶۹۲؛ پازنان ۱۴۰۴ = ۶۹۵٬۲۹۹). خالی = نرخ جدول Indices.</t>
  </si>
  <si>
    <t xml:space="preserve">سال هدف (شمسی)</t>
  </si>
  <si>
    <t xml:space="preserve">سالی که قیمت را برای آن می‌خواهید.</t>
  </si>
  <si>
    <t xml:space="preserve">نرخ یورو هدف (ریال) — اختیاری</t>
  </si>
  <si>
    <t xml:space="preserve">خالی = نرخ سال هدف در Indices. برای نرخ روز یا مرکز مبادله اینجا بنویسید.</t>
  </si>
  <si>
    <t xml:space="preserve">تعداد</t>
  </si>
  <si>
    <t xml:space="preserve">تعداد دستگاه (مثلاً A/B = ۲).</t>
  </si>
  <si>
    <t xml:space="preserve">هزینه گمرک/حمل/ترخیص (٪ از قیمت)</t>
  </si>
  <si>
    <t xml:space="preserve">برای کالای وارداتی؛ برای ساخت داخل صفر. مثال: CSV پمپ‌ها ۶٪.</t>
  </si>
  <si>
    <t xml:space="preserve">اعمال کف قیمت</t>
  </si>
  <si>
    <t xml:space="preserve">خودکار</t>
  </si>
  <si>
    <t xml:space="preserve">خودکار = طبق نوع و کلاس؛ یا اجباری بله/خیر.</t>
  </si>
  <si>
    <t xml:space="preserve">ب) مراحل محاسبه (خودکار)</t>
  </si>
  <si>
    <t xml:space="preserve">مرحله</t>
  </si>
  <si>
    <t xml:space="preserve">توضیح</t>
  </si>
  <si>
    <t xml:space="preserve">۱. نرخ تبدیل ارز پایه به یورو</t>
  </si>
  <si>
    <t xml:space="preserve">یورو=۱؛ دلار=نرخ یورو/دلار سال پایه؛ ریال=نرخ تسعیر منبع یا نرخ سال پایه</t>
  </si>
  <si>
    <t xml:space="preserve">۲. قیمت پایه به یورو</t>
  </si>
  <si>
    <t xml:space="preserve">لنگر یورویی قیمت</t>
  </si>
  <si>
    <t xml:space="preserve">۳. شاخص قیمت پمپ در سال پایه</t>
  </si>
  <si>
    <t xml:space="preserve">Eurostat C28.13 (۲۰۲۱=۱۰۰)</t>
  </si>
  <si>
    <t xml:space="preserve">۴. شاخص قیمت پمپ در سال هدف</t>
  </si>
  <si>
    <t xml:space="preserve">برای ۱۴۰۵ به بعد پیش‌بینی است</t>
  </si>
  <si>
    <t xml:space="preserve">۵. ضریب تعدیل یورویی</t>
  </si>
  <si>
    <t xml:space="preserve">رشد قیمت پمپ به یورو بین دو سال</t>
  </si>
  <si>
    <t xml:space="preserve">۶. قیمت یورویی تعدیل‌شده</t>
  </si>
  <si>
    <t xml:space="preserve">۷. مشمول کف قیمت؟</t>
  </si>
  <si>
    <t xml:space="preserve">پمپ کوچک API بازار امروز ارزان‌تر از این حد ندارد</t>
  </si>
  <si>
    <t xml:space="preserve">۸. کف قیمت در سال هدف (یورو)</t>
  </si>
  <si>
    <t xml:space="preserve">۲۵٬۰۰۰ یورو در سطح ۱۴۰۴ × رشد شاخص</t>
  </si>
  <si>
    <t xml:space="preserve">۹. قیمت یورویی نهایی (واحد)</t>
  </si>
  <si>
    <t xml:space="preserve">۱۰. نرخ یورو سال هدف (ریال)</t>
  </si>
  <si>
    <t xml:space="preserve">دستی یا از Indices</t>
  </si>
  <si>
    <t xml:space="preserve">۱۱. قیمت ریالی واحد (بدون گمرک)</t>
  </si>
  <si>
    <t xml:space="preserve">۱۲. گمرک/حمل/ترخیص (ریال، واحد)</t>
  </si>
  <si>
    <t xml:space="preserve">ج) نتیجه</t>
  </si>
  <si>
    <t xml:space="preserve">قیمت واحد (ریال)</t>
  </si>
  <si>
    <t xml:space="preserve">قیمت کل (ریال)</t>
  </si>
  <si>
    <t xml:space="preserve">قیمت کل (تومان)</t>
  </si>
  <si>
    <t xml:space="preserve">قیمت کل (یورو)</t>
  </si>
  <si>
    <t xml:space="preserve">قیمت کل (دلار)</t>
  </si>
  <si>
    <t xml:space="preserve">هشدار:</t>
  </si>
  <si>
    <t xml:space="preserve">د) محاسبه چندقلمی (سال هدف، نرخ یورو هدف و درصد گمرک از بخش الف خوانده می‌شوند)</t>
  </si>
  <si>
    <t xml:space="preserve">Tag/شرح</t>
  </si>
  <si>
    <t xml:space="preserve">کلاس</t>
  </si>
  <si>
    <t xml:space="preserve">ارز</t>
  </si>
  <si>
    <t xml:space="preserve">سال پایه</t>
  </si>
  <si>
    <t xml:space="preserve">نرخ تسعیر منبع (اختیاری)</t>
  </si>
  <si>
    <t xml:space="preserve">کف قیمت</t>
  </si>
  <si>
    <t xml:space="preserve">یورو پایه</t>
  </si>
  <si>
    <t xml:space="preserve">ضریب PPI</t>
  </si>
  <si>
    <t xml:space="preserve">یورو نهایی (واحد)</t>
  </si>
  <si>
    <t xml:space="preserve">ریال واحد</t>
  </si>
  <si>
    <t xml:space="preserve">ریال کل</t>
  </si>
  <si>
    <t xml:space="preserve">KPL P-111 A/B/C</t>
  </si>
  <si>
    <t xml:space="preserve">D1</t>
  </si>
  <si>
    <t xml:space="preserve">Gachsaran P-103</t>
  </si>
  <si>
    <t xml:space="preserve">S6</t>
  </si>
  <si>
    <t xml:space="preserve">IRR</t>
  </si>
  <si>
    <t xml:space="preserve">Pazanan P-210 A/B</t>
  </si>
  <si>
    <t xml:space="preserve">پرتابل/کوچک</t>
  </si>
  <si>
    <t xml:space="preserve">نامشخص</t>
  </si>
  <si>
    <t xml:space="preserve">جمع</t>
  </si>
  <si>
    <t xml:space="preserve">ریال:</t>
  </si>
  <si>
    <t xml:space="preserve">سه سطر اول نمونه‌اند؛ آن‌ها را پاک یا جایگزین کنید.</t>
  </si>
  <si>
    <t xml:space="preserve">راهنمای فایل: هر شیت چه می‌کند و هر نرخ به چه کار می‌آید</t>
  </si>
  <si>
    <t xml:space="preserve">ترتیب استفاده</t>
  </si>
  <si>
    <t xml:space="preserve">شیت‌ها</t>
  </si>
  <si>
    <t xml:space="preserve">ماشین_حساب</t>
  </si>
  <si>
    <t xml:space="preserve">محاسبه قیمت یک پمپ (با نمایش گام‌به‌گام) و جدول ۲۰ قلمی. ورودی‌ها زرد، نتیجه سبز.</t>
  </si>
  <si>
    <t xml:space="preserve">Summary</t>
  </si>
  <si>
    <t xml:space="preserve">جدول مقایسه ۷ روش تعدیل روی پمپ‌های یورویی و ۴ روش روی پکیج‌های ریالی، روش پیشنهادی، محدودیت‌ها و جمع بانک پمپ ۱۴۰۵. همه اعداد فرمول و متصل به شیت‌های دیگرند.</t>
  </si>
  <si>
    <t xml:space="preserve">Indices</t>
  </si>
  <si>
    <t xml:space="preserve">تنها محل نرخ‌ها و شاخص‌ها. جدول ۱: شاخص قیمت پمپ اروپا و آمریکا (میلادی). جدول ۲: سبد فلزی پمپ. جدول ۳: سری شمسی (شاخص پمپ شمسی، دلار، یورو/دلار، نرخ یورو، تورم ریالی و ارزی). تغییر هر عدد اینجا همه فایل را به‌روز می‌کند.</t>
  </si>
  <si>
    <t xml:space="preserve">Val_EUR_Pumps</t>
  </si>
  <si>
    <t xml:space="preserve">آزمون اصلی: ۱۸ پمپ پازنان ۲ با قیمت ۱۳۹۳ و استعلام واقعی ۱۴۰۴ (آریا سپهر کیهان، پمپیران، کالای پمپ). برای هر روش: پیش‌بینی، نسبت پیش‌بینی/واقعی و خطای مطلق؛ پایین شیت آمار خطا. ستون «در آمار؟» پمپ‌های آتش‌نشانی را کنار می‌گذارد؛ ستون «مشمول کف؟» تعیین می‌کند کف قیمت اعمال شود یا نه.</t>
  </si>
  <si>
    <t xml:space="preserve">Val_IRR_Packages</t>
  </si>
  <si>
    <t xml:space="preserve">آزمون مسیر ریالی: ۱۱ پکیج تزریق پازنان (قیمت ریالی ۱۳۹۳). مقایسه CPI، ضریب پازنان، مدل فعلی شما و روش پیشنهادی با استعلام ریالی واقعی و میانگین همه استعلام‌ها. پایین شیت: نرخ دلاری که روش پیشنهادی را دقیقاً منطبق می‌کند (آزمون حساسیت).</t>
  </si>
  <si>
    <t xml:space="preserve">Drivers</t>
  </si>
  <si>
    <t xml:space="preserve">تفکیک اثر عوامل ۱۳۹۳ تا ۱۴۰۳: نرخ یورو، PPI پمپ، CPI، فلزات؛ و جدول/نمودار سالانه «شاخص ریالی پمپ» در برابر CPI.</t>
  </si>
  <si>
    <t xml:space="preserve">Pump_Bank_Escalated</t>
  </si>
  <si>
    <t xml:space="preserve">۱۱۱ ردیف پمپ مدل شما (KPL، پازنان، گچساران، CSV) با روش پیشنهادی به سال هدف (D3) + ستون مقایسه با خروجی مدل فعلی. سطرهای اشتباه‌طبقه‌بندی‌شده (جرثقیل، فیلتر، IGF، مخزن) حذف شده‌اند.</t>
  </si>
  <si>
    <t xml:space="preserve">Model_Issues</t>
  </si>
  <si>
    <t xml:space="preserve">۱۰ ایراد یافت‌شده در مدل فعلی با محل، اثر و اصلاح.</t>
  </si>
  <si>
    <t xml:space="preserve">Sources</t>
  </si>
  <si>
    <t xml:space="preserve">لینک منابع شاخص‌ها و نرخ‌ها و فایل‌های مرجع.</t>
  </si>
  <si>
    <t xml:space="preserve">نرخ‌ها و ضرایب: چه هستند و چرا</t>
  </si>
  <si>
    <t xml:space="preserve">شاخص PPI پمپ اروپا (Eurostat C28.13)</t>
  </si>
  <si>
    <t xml:space="preserve">شاخص رسمی قیمت تولیدکننده پمپ و کمپرسور در منطقه یورو. موتور اصلی تعدیل است چون استعلام‌ها (حتی سازنده داخلی) به یورو داده می‌شوند. ۱۳۹۳→۱۴۰۴ ≈ ۱٫۳۵ برابر. اثر فولاد، نیکل، مس، دستمزد و انرژی سازنده داخلش هست.</t>
  </si>
  <si>
    <t xml:space="preserve">سهم سال شمسی (۰٫۷۹)</t>
  </si>
  <si>
    <t xml:space="preserve">تبدیل شاخص میلادی به شمسی: سال شمسی Y حدود ۹٫۵ ماه در سال میلادی Y+621 است. شاخص شمسی = ۰٫۷۹×میلادی(Y+621) + ۰٫۲۱×میلادی(Y+622).</t>
  </si>
  <si>
    <t xml:space="preserve">رشد پیش‌بینی (۲٪) و روش «فلزی»</t>
  </si>
  <si>
    <t xml:space="preserve">برای سال‌هایی که شاخص رسمی هنوز منتشر نشده (۲۰۲۶ به بعد). «روند» = ۲٪ ثابت؛ «فلزی» = ترکیب ۷۰٪ روند + ۳۰٪ تغییر سبد فلزی. فلزات فقط همین‌جا وارد می‌شوند تا دوباره‌شماری نشود.</t>
  </si>
  <si>
    <t xml:space="preserve">سبد فلزی پمپ (فولاد ۶۰٪، مس ۲۵٪، نیکل ۱۲٪، مولیبدن ۳٪)</t>
  </si>
  <si>
    <t xml:space="preserve">برای nowcast و تحلیل حساسیت. نشان می‌دهد اثر مستقیم فلزات در ۱۰ سال فقط حدود ۵٪ قیمت بوده است.</t>
  </si>
  <si>
    <t xml:space="preserve">PPI پمپ آمریکا (BLS)</t>
  </si>
  <si>
    <t xml:space="preserve">فقط برای مقایسه (روش M5). چون قیمت‌ها به یورو است، شاخص اروپا مبناست.</t>
  </si>
  <si>
    <t xml:space="preserve">دلار آزاد و یورو/دلار (Indices ستون D و E)</t>
  </si>
  <si>
    <t xml:space="preserve">برای تبدیل قیمت ریالی و دلاری به یورو در سال پایه و برگرداندن یورو به ریال در سال هدف. از Params مدل شما آمده و تخمینی است؛ ۱۴۰۵ = ۲٬۵۰۰٬۰۰۰ (عدد خودتان).</t>
  </si>
  <si>
    <t xml:space="preserve">نرخ یورو جایگزین ۱۳۹۳ = ۴۰٬۵۳۱</t>
  </si>
  <si>
    <t xml:space="preserve">از شیت Inflation مارون ۳. همان نرخی است که قیمت‌های ریالی آن دوره با آن ساخته شده‌اند، پس برای برگرداندن آن‌ها به یورو درست‌ترین است.</t>
  </si>
  <si>
    <t xml:space="preserve">نرخ تسعیر منبع</t>
  </si>
  <si>
    <t xml:space="preserve">قاعده طلایی: ریال را با همان نرخی به یورو برگردانید که منبع با آن ساخته (گچساران ۴: ۴۲۰٬۰۰۰×۱٫۰۸۵ = ۴۵۵٬۶۹۲؛ پازنان ۱۴۰۴: ۶۵۸٬۵۳۳×۱٫۰۵۶ = ۶۹۵٬۲۹۹). اگر نه، خطای نرخ ارز وارد قیمت می‌شود.</t>
  </si>
  <si>
    <t xml:space="preserve">تورم ریالی (CPI) و تورم ارزی مارون ۳</t>
  </si>
  <si>
    <t xml:space="preserve">فقط برای مقایسه و روش‌های قدیمی (M1، R1). برای پمپ CPI استفاده نمی‌شود چون در آزمون نصف قیمت واقعی را داد. تورم ریالی ۱۴۰۵ (۲۰٪) در منبع غیرواقعی است.</t>
  </si>
  <si>
    <t xml:space="preserve">ضرایب پازنان (۱٫۵۵ یورویی، ۱۶٫۲۶ ریالی)</t>
  </si>
  <si>
    <t xml:space="preserve">ضرایبی که مشاور پازنان برای اقلام بدون استعلام به کار برده (از فایل لینک‌شده Basic INFO). ۱۶٫۲۶ همان CPI است. فقط برای مقایسه (M2، R2).</t>
  </si>
  <si>
    <t xml:space="preserve">کف قیمت ۲۵٬۰۰۰ یورو (سطح ۱۴۰۴)</t>
  </si>
  <si>
    <t xml:space="preserve">پمپ گریز از مرکز API 610 با کلاس S یا D امروز ارزان‌تر از این حد عرضه نمی‌شود (پمپیران برای پمپ‌های کوچک ۳۰٬۰۰۰ داده). با شاخص به سال هدف می‌رود. پمپ چدنی I2، جابه‌جایی مثبت، آتش‌نشانی و پکیج کف ندارند. نتیجه بین ۲۲٬۵۰۰ تا ۳۰٬۰۰۰ تقریباً ثابت است.</t>
  </si>
  <si>
    <t xml:space="preserve">نرخ دلار اسفند ۱۴۰۳ = ۹۳۰٬۰۰۰ و یورو/دلار ۱٫۰۴</t>
  </si>
  <si>
    <t xml:space="preserve">فقط در آزمون ریالی، برای تاریخ استعلام‌های پازنان. تقریبی است؛ آزمون حساسیت در Val_IRR_Packages.</t>
  </si>
  <si>
    <t xml:space="preserve">معیارهای خطا</t>
  </si>
  <si>
    <t xml:space="preserve">سوگیری میانه</t>
  </si>
  <si>
    <t xml:space="preserve">میانه (پیش‌بینی÷واقعی)−۱. منفی = کم‌برآورد سیستماتیک.</t>
  </si>
  <si>
    <t xml:space="preserve">MdAPE / MAPE</t>
  </si>
  <si>
    <t xml:space="preserve">میانه / میانگین قدر مطلق خطای تک‌قلم. MdAPE حساسیت کمتری به اقلام عجیب دارد.</t>
  </si>
  <si>
    <t xml:space="preserve">جمع پیش‌بینی/واقعی</t>
  </si>
  <si>
    <t xml:space="preserve">دقت روی جمع پروژه (وزنی با تعداد و مبلغ). مهم‌ترین معیار برای بودجه.</t>
  </si>
  <si>
    <t xml:space="preserve">رنگ‌ها</t>
  </si>
  <si>
    <t xml:space="preserve">آبی = ورودی؛ زرد = فرض کلیدی/ورودی کاربر؛ سیاه = فرمول؛ سبز = پیوند از شیت دیگر یا نتیجه؛ صورتی = مقدار پیش‌بینی‌شده.</t>
  </si>
  <si>
    <t xml:space="preserve">روش تعدیل قیمت پمپ‌های نمک‌زدایی — نتیجه صحت‌سنجی</t>
  </si>
  <si>
    <t xml:space="preserve">داده آزمون: همان Tagهای پازنان ۲ با قیمت ۱۳۹۳ و استعلام واقعی ۱۴۰۴ (۱۴ پمپ یورویی + ۱۱ پکیج ریالی). اعداد این صفحه همه فرمول‌اند و با تغییر ورودی‌ها به‌روز می‌شوند.</t>
  </si>
  <si>
    <t xml:space="preserve">الف) پمپ‌ها — قیمت یورویی (۱۴ پمپ، بدون آتش‌نشانی)</t>
  </si>
  <si>
    <t xml:space="preserve">کد</t>
  </si>
  <si>
    <t xml:space="preserve">روش</t>
  </si>
  <si>
    <t xml:space="preserve">ضریب ۱۳۹۳→۱۴۰۴</t>
  </si>
  <si>
    <t xml:space="preserve">MdAPE</t>
  </si>
  <si>
    <t xml:space="preserve">MAPE</t>
  </si>
  <si>
    <t xml:space="preserve">خطای ≤۲۵٪ (از ۱۴)</t>
  </si>
  <si>
    <t xml:space="preserve">M0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</si>
  <si>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</si>
  <si>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</si>
  <si>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</si>
  <si>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</si>
  <si>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</si>
  <si>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</si>
  <si>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ب) پکیج‌های تزریق — قیمت ریالی (۱۱ قلم)</t>
  </si>
  <si>
    <t xml:space="preserve">میانه پیش/استعلام ریالی</t>
  </si>
  <si>
    <t xml:space="preserve">جمع پیش/استعلام ریالی</t>
  </si>
  <si>
    <t xml:space="preserve">میانه پیش/میانگین همه استعلام‌ها</t>
  </si>
  <si>
    <t xml:space="preserve">جمع پیش/میانگین همه</t>
  </si>
  <si>
    <t xml:space="preserve">R1</t>
  </si>
  <si>
    <t xml:space="preserve">تورم ریالی (CPI مارون ۳)</t>
  </si>
  <si>
    <t xml:space="preserve">R2</t>
  </si>
  <si>
    <t xml:space="preserve">ضریب ریالی پازنان (۱۶٫۲۶)</t>
  </si>
  <si>
    <t xml:space="preserve">R3</t>
  </si>
  <si>
    <t xml:space="preserve">مدل فلزی فعلی شما</t>
  </si>
  <si>
    <t xml:space="preserve">R4</t>
  </si>
  <si>
    <t xml:space="preserve">پیشنهادی: یورو × PPI × نرخ ارز</t>
  </si>
  <si>
    <t xml:space="preserve">ج) روش پیشنهادی برای پمپ‌ها</t>
  </si>
  <si>
    <t xml:space="preserve">۱. لنگر یورو: قیمت پایه را با «نرخ تسعیر همان منبع» در تاریخ همان منبع به یورو برگردانید (قیمت ریالی پازنان ۹۳ ÷ ۴۰٬۵۳۱؛ گچساران ÷ ۴۵۵٬۶۹۳).</t>
  </si>
  <si>
    <t xml:space="preserve">۲. تعدیل در یورو با شاخص PPI پمپ و کمپرسور منطقه یورو (Eurostat C28.13)؛ ۱۳۹۳→۱۴۰۴ ≈ ۱٫۳۵ (حدود ۳٪ در سال).</t>
  </si>
  <si>
    <t xml:space="preserve">۳. کف قیمت برای پمپ گریز از مرکز API 610 با کلاس مواد S یا D: حداقل ۲۵٬۰۰۰ یورو در سطح ۱۴۰۴ (با همان شاخص تعدیل شود). پمپ‌های I2 چدنی، جابه‌جایی مثبت و آتش‌نشانی کف ندارند.</t>
  </si>
  <si>
    <t xml:space="preserve">۴. تبدیل به ریال با نرخ یوروی تاریخ هدف، از همان نوع نرخ (آزاد یا مرکز مبادله) که در کل پروژه ثابت است؛ هزینه ترخیص/حمل جدا.</t>
  </si>
  <si>
    <t xml:space="preserve">۵. تورم ریالی (CPI) برای پمپ و پکیج پمپ استفاده نشود؛ فلزات فقط برای پیش‌بینی سال‌های بدون PPI (۲۰۲۶ به بعد) و تحلیل حساسیت.</t>
  </si>
  <si>
    <t xml:space="preserve">فرمول: ریال(هدف) = MAX[ قیمت پایه ÷ نرخ تسعیر منبع × PPI(هدف)/PPI(پایه) ، کف × PPI(هدف)/PPI(۱۴۰۴) ] × نرخ یورو(هدف)</t>
  </si>
  <si>
    <t xml:space="preserve">د) محدودیت‌ها</t>
  </si>
  <si>
    <t xml:space="preserve">• فقط یک زوج داده واقعی (پازنان ۲) با همان Tag در دو زمان موجود است؛ ۱۴ پمپ و ۱۱ پکیج. کف قیمت روی همین داده تنظیم شده و باید با استعلام‌های بعدی بازبینی شود.</t>
  </si>
  <si>
    <t xml:space="preserve">• پراکندگی استعلام دو فروشنده برای یک پمپ (میانه ~۱٫۳ برابر، بیشینه ۴ برابر) سقف دقت تک‌قلم را تعیین می‌کند؛ دقت روی جمع پروژه (±۵٪) بسیار بهتر از تک‌قلم (±۲۰٪) است.</t>
  </si>
  <si>
    <t xml:space="preserve">• نرخ‌های ارز سالانه Indices تخمینی‌اند (از Params مدل شما). برای آزمون ریالی نرخ اسفند ۱۴۰۳ (۹۳۰٬۰۰۰ ریال/دلار) تقریبی است؛ حساسیت در شیت Val_IRR_Packages.</t>
  </si>
  <si>
    <t xml:space="preserve">• PPI منطقه یورو برای ۲۰۲۶ و ۲۰۲۷ هنوز منتشر نشده و با رشد ۲٪ (یا روش فلزی) پیش‌بینی شده است.</t>
  </si>
  <si>
    <t xml:space="preserve">ه) جمع بانک پمپ‌ها در سال هدف (شیت Pump_Bank_Escalated)</t>
  </si>
  <si>
    <t xml:space="preserve">روش پیشنهادی (ریال)</t>
  </si>
  <si>
    <t xml:space="preserve">مدل فعلی شما (ریال، همان اقلام)</t>
  </si>
  <si>
    <t xml:space="preserve">اختلاف</t>
  </si>
  <si>
    <t xml:space="preserve">راهنما: سلول‌های آبی ورودی‌اند و زرد فرض‌های کلیدی. برای تغییر سال هدف به Pump_Bank_Escalated!D3 و برای نرخ ارز به Indices بروید.</t>
  </si>
  <si>
    <t xml:space="preserve">شاخص‌ها و نرخ‌ها (ورودی‌های مدل تعدیل پمپ)</t>
  </si>
  <si>
    <t xml:space="preserve">متن آبی = ورودی قابل ویرایش؛ زرد = فرض کلیدی؛ سیاه = فرمول. منابع در شیت Sources.</t>
  </si>
  <si>
    <t xml:space="preserve">سهم سال شمسی از سال میلادی هم‌شماره (Y+621)</t>
  </si>
  <si>
    <t xml:space="preserve">فروردین تا دی = ~۹٫۵ ماه از ۱۲ ماه در سال میلادی Y+621</t>
  </si>
  <si>
    <t xml:space="preserve">رشد پیش‌بینی شاخص پمپ (روند) برای سال‌های بدون داده</t>
  </si>
  <si>
    <t xml:space="preserve">میانگین رشد سالانه EA C2813 در ۲۰۱۵ تا ۲۰۲۱ حدود ۱٫۴٪ و ۲۰۲۴ تا ۲۰۲۵ حدود ۱٪ بوده؛ ۲٪ فرض محافظه‌کارانه است</t>
  </si>
  <si>
    <t xml:space="preserve">روش پیش‌بینی ۲۰۲۶ (روند / فلزی)</t>
  </si>
  <si>
    <t xml:space="preserve">روند</t>
  </si>
  <si>
    <t xml:space="preserve">«فلزی»: رشد ۲۰۲۶ = (۱−سهم فلز)×رشد روند + سهم فلز×تغییر سبد فلزی پمپ (۱۴۰۴→۱۴۰۵، جدول پایین)</t>
  </si>
  <si>
    <t xml:space="preserve">سهم فلزات در قیمت پمپ (برای nowcast)</t>
  </si>
  <si>
    <t xml:space="preserve">جدول ۱: شاخص قیمت تولیدکننده پمپ (میلادی)</t>
  </si>
  <si>
    <t xml:space="preserve">سال میلادی</t>
  </si>
  <si>
    <t xml:space="preserve">EA20 PPI C28.13 پمپ و کمپرسور (2021=100)</t>
  </si>
  <si>
    <t xml:space="preserve">رشد سالانه</t>
  </si>
  <si>
    <t xml:space="preserve">وضعیت</t>
  </si>
  <si>
    <t xml:space="preserve">US PPI پمپ (NAICS 333914، ژانویه، Dec1983=100)</t>
  </si>
  <si>
    <t xml:space="preserve">Eurostat sts_inppd_a (imputed)</t>
  </si>
  <si>
    <t xml:space="preserve">Eurostat sts_inppd_a</t>
  </si>
  <si>
    <t xml:space="preserve">پیش‌بینی (داده رسمی هنوز منتشر نشده)</t>
  </si>
  <si>
    <t xml:space="preserve">پیش‌بینی</t>
  </si>
  <si>
    <t xml:space="preserve">جدول ۲: سبد فلزی پمپ (قیمت‌ها از شیت MetalPrices مدل شما، دلار بر تن؛ بخشی تخمینی)</t>
  </si>
  <si>
    <t xml:space="preserve">فلز</t>
  </si>
  <si>
    <t xml:space="preserve">وزن در سبد پمپ</t>
  </si>
  <si>
    <t xml:space="preserve">۱۳۹۳</t>
  </si>
  <si>
    <t xml:space="preserve">۱۴۰۳</t>
  </si>
  <si>
    <t xml:space="preserve">۱۴۰۴</t>
  </si>
  <si>
    <t xml:space="preserve">۱۴۰۵</t>
  </si>
  <si>
    <t xml:space="preserve">نسبت ۱۴۰۴/۱۳۹۳</t>
  </si>
  <si>
    <t xml:space="preserve">نسبت ۱۴۰۵/۱۴۰۴</t>
  </si>
  <si>
    <t xml:space="preserve">فولاد (HRC/Plate)</t>
  </si>
  <si>
    <t xml:space="preserve">نیکل</t>
  </si>
  <si>
    <t xml:space="preserve">مولیبدن</t>
  </si>
  <si>
    <t xml:space="preserve">مس (سیم‌پیچ موتور)</t>
  </si>
  <si>
    <t xml:space="preserve">جمع وزن</t>
  </si>
  <si>
    <t xml:space="preserve">تغییر سبد فلزی (دلاری) ۱۳۹۳→۱۴۰۴</t>
  </si>
  <si>
    <t xml:space="preserve">تغییر سبد فلزی (دلاری) ۱۴۰۴→۱۴۰۵ (برای nowcast ۲۰۲۶)</t>
  </si>
  <si>
    <t xml:space="preserve">وزن‌ها برآورد مهندسی است (پوسته/پروانه/شفت + سیم‌پیچ مسی الکتروموتور). اعداد فلزات از MetalPrices مدل شما کپی شده و برای ۱۴۰۵ تخمینی است.</t>
  </si>
  <si>
    <t xml:space="preserve">جدول ۳: سری سالانه شمسی (شاخص پمپ، نرخ ارز، تورم)</t>
  </si>
  <si>
    <t xml:space="preserve">سال شمسی</t>
  </si>
  <si>
    <t xml:space="preserve">شاخص پمپ EA (شمسی)</t>
  </si>
  <si>
    <t xml:space="preserve">دلار آزاد (ریال، میانگین تقریبی)</t>
  </si>
  <si>
    <t xml:space="preserve">یورو/دلار</t>
  </si>
  <si>
    <t xml:space="preserve">نرخ یورو جایگزین (ریال)</t>
  </si>
  <si>
    <t xml:space="preserve">نرخ مؤثر یورو (ریال)</t>
  </si>
  <si>
    <t xml:space="preserve">تورم ریالی سالانه</t>
  </si>
  <si>
    <t xml:space="preserve">شاخص تجمعی ریالی (۱۳۸۵=۱)</t>
  </si>
  <si>
    <t xml:space="preserve">تورم ارزی سالانه (مارون ۳)</t>
  </si>
  <si>
    <t xml:space="preserve">شاخص تجمعی ارزی</t>
  </si>
  <si>
    <t xml:space="preserve">شاخص ریالیِ پمپ = یورو×PPI (۱۳۸۵=۱)</t>
  </si>
  <si>
    <t xml:space="preserve">وضعیت داده</t>
  </si>
  <si>
    <t xml:space="preserve">نرخ دلار از خود شما (Params مدل)</t>
  </si>
  <si>
    <t xml:space="preserve">نرخ دلار و یورو/دلار از Params مدل شما (تخمینی) — با سری رسمی/بازار جایگزین شود</t>
  </si>
  <si>
    <t xml:space="preserve">نرخ دلار و یورو/دلار از Params مدل شما (تخمینی) — با سری رسمی/بازار جایگزین شود؛ تورم‌ها از شیت Inflation مارون ۳</t>
  </si>
  <si>
    <t xml:space="preserve">نرخ دلار از خود شما (Params مدل)؛ تورم‌ها از شیت Inflation مارون ۳</t>
  </si>
  <si>
    <t xml:space="preserve">هشدار: تورم ریالی ۱۴۰۵ در فایل مارون ۳ برابر ۲۰٪ است که با واقعیت (تورم نقطه‌ای بالای ۵۰٪) نمی‌خواند؛ برای پمپ‌ها این ستون در روش پیشنهادی استفاده نمی‌شود ولی در روش CPI اثر دارد.</t>
  </si>
  <si>
    <t xml:space="preserve">نرخ دلار بازار آزاد ۱۴۰۵: یورونیوز ۲ سپتامبر ۲۰۲۶ دلار را ۲٬۲۰۰٬۰۰۰ و یورو را حدود ۲٬۵۵۰٬۰۰۰ ریال گزارش کرده است؛ عدد ۲٬۵۰۰٬۰۰۰ دلار (از شما) را نگه داشتم.</t>
  </si>
  <si>
    <t xml:space="preserve">اعتبارسنجی ۱: پمپ‌های پازنان ۲ — قیمت یورویی ۱۳۹۳ (بهمن، Rev.R02 فوریه ۲۰۱۵) در برابر استعلام‌های واقعی ۱۴۰۴ (فوریه تا مه ۲۰۲۵)</t>
  </si>
  <si>
    <t xml:space="preserve">همان Tag و همان مشخصات؛ «واقعی» = میانگین استعلام‌های فروشندگان (همه به یورو). سطرهایی که قیمت ۱۴۰۴ آن‌ها مشتق از ضریب است (P-163, P-210, P-211) حذف شده‌اند.</t>
  </si>
  <si>
    <t xml:space="preserve">ضرایب روش‌ها (۱۳۹۳ → ۲۰۲۵)</t>
  </si>
  <si>
    <t xml:space="preserve">ضریب</t>
  </si>
  <si>
    <t xml:space="preserve">منبع</t>
  </si>
  <si>
    <t xml:space="preserve">بدون تعدیل (یورو ثابت)</t>
  </si>
  <si>
    <t xml:space="preserve">مرجع</t>
  </si>
  <si>
    <t xml:space="preserve">تورم ارزی مارون ۳ (۱۳۹۴ تا ۱۴۰۳)</t>
  </si>
  <si>
    <t xml:space="preserve">شیت Inflation مارون ۳</t>
  </si>
  <si>
    <t xml:space="preserve">ضریب یورویی پازنان (Basic INFO!C138)</t>
  </si>
  <si>
    <t xml:space="preserve">فایل لینک‌شده PZN-Summary-140401 Rev.03</t>
  </si>
  <si>
    <t xml:space="preserve">مدل فلزی فعلی شما (ضریب هر سطر)</t>
  </si>
  <si>
    <t xml:space="preserve">هر سطر</t>
  </si>
  <si>
    <t xml:space="preserve">خروجی ستون AH شیت Equipment مدل (پس از محاسبه مجدد)</t>
  </si>
  <si>
    <t xml:space="preserve">PPI پمپ منطقه یورو (Eurostat C28.13)</t>
  </si>
  <si>
    <t xml:space="preserve">Eurostat</t>
  </si>
  <si>
    <t xml:space="preserve">PPI پمپ آمریکا تبدیل‌شده به یورو</t>
  </si>
  <si>
    <t xml:space="preserve">BLS/FRED</t>
  </si>
  <si>
    <t xml:space="preserve">پیشنهادی: PPI پمپ یورو + کف قیمت پمپ API (S/D)</t>
  </si>
  <si>
    <t xml:space="preserve">M4 + کف</t>
  </si>
  <si>
    <t xml:space="preserve">یورو/دلار بهمن ۱۳۹۳ (فوریه ۲۰۱۵)</t>
  </si>
  <si>
    <t xml:space="preserve">یورو/دلار فوریه تا مه ۲۰۲۵ (میانگین تقریبی)</t>
  </si>
  <si>
    <t xml:space="preserve">کف قیمت پمپ گریز از مرکز API 610 کلاس S/D (یورو، سطح ۱۴۰۴)</t>
  </si>
  <si>
    <t xml:space="preserve">فقط پمپ‌های گریز از مرکز با کلاس مواد S یا D (نه I2 چدنی، نه جابه‌جایی مثبت، نه آتش‌نشانی). نتیجه بین ۲۲٬۵۰۰ تا ۳۰٬۰۰۰ تقریباً ثابت است (پمپیران برای پمپ‌های کوچک API عدد ثابت ۳۰٬۰۰۰ داده)؛ با داده جدید بازبینی شود</t>
  </si>
  <si>
    <t xml:space="preserve">Tag</t>
  </si>
  <si>
    <t xml:space="preserve">سرویس</t>
  </si>
  <si>
    <t xml:space="preserve">نوع</t>
  </si>
  <si>
    <t xml:space="preserve">قیمت ۱۳۹۳ (یورو)</t>
  </si>
  <si>
    <t xml:space="preserve">آریا سپهر کیهان</t>
  </si>
  <si>
    <t xml:space="preserve">پمپیران</t>
  </si>
  <si>
    <t xml:space="preserve">کالای پمپ</t>
  </si>
  <si>
    <t xml:space="preserve">میانگین استعلام (واقعی)</t>
  </si>
  <si>
    <t xml:space="preserve">بیشینه/کمینه استعلام</t>
  </si>
  <si>
    <t xml:space="preserve">در آمار؟</t>
  </si>
  <si>
    <t xml:space="preserve">مشمول کف؟</t>
  </si>
  <si>
    <t xml:space="preserve">نسبت واقعی/قدیم</t>
  </si>
  <si>
    <t xml:space="preserve">M0 پیش‌بینی</t>
  </si>
  <si>
    <t xml:space="preserve">M0 پیش/واقعی</t>
  </si>
  <si>
    <t xml:space="preserve">M0 |خطا|</t>
  </si>
  <si>
    <t xml:space="preserve">M1 پیش‌بینی</t>
  </si>
  <si>
    <t xml:space="preserve">M1 پیش/واقعی</t>
  </si>
  <si>
    <t xml:space="preserve">M1 |خطا|</t>
  </si>
  <si>
    <t xml:space="preserve">M2 پیش‌بینی</t>
  </si>
  <si>
    <t xml:space="preserve">M2 پیش/واقعی</t>
  </si>
  <si>
    <t xml:space="preserve">M2 |خطا|</t>
  </si>
  <si>
    <t xml:space="preserve">M3 پیش‌بینی</t>
  </si>
  <si>
    <t xml:space="preserve">M3 پیش/واقعی</t>
  </si>
  <si>
    <t xml:space="preserve">M3 |خطا|</t>
  </si>
  <si>
    <t xml:space="preserve">M4 پیش‌بینی</t>
  </si>
  <si>
    <t xml:space="preserve">M4 پیش/واقعی</t>
  </si>
  <si>
    <t xml:space="preserve">M4 |خطا|</t>
  </si>
  <si>
    <t xml:space="preserve">M5 پیش‌بینی</t>
  </si>
  <si>
    <t xml:space="preserve">M5 پیش/واقعی</t>
  </si>
  <si>
    <t xml:space="preserve">M5 |خطا|</t>
  </si>
  <si>
    <t xml:space="preserve">M6 پیش‌بینی</t>
  </si>
  <si>
    <t xml:space="preserve">M6 پیش/واقعی</t>
  </si>
  <si>
    <t xml:space="preserve">M6 |خطا|</t>
  </si>
  <si>
    <t xml:space="preserve">پراکندگی (کمکی)</t>
  </si>
  <si>
    <t xml:space="preserve">P-111 A/B</t>
  </si>
  <si>
    <t xml:space="preserve">Off Spec. Crude Pumps</t>
  </si>
  <si>
    <t xml:space="preserve">Centrifugal (VS6)</t>
  </si>
  <si>
    <t xml:space="preserve">Y</t>
  </si>
  <si>
    <t xml:space="preserve">P-122 A/B</t>
  </si>
  <si>
    <t xml:space="preserve">Deaerated Water Pumps</t>
  </si>
  <si>
    <t xml:space="preserve">Centrifugal (Horizontal)</t>
  </si>
  <si>
    <t xml:space="preserve">I2</t>
  </si>
  <si>
    <t xml:space="preserve">N</t>
  </si>
  <si>
    <t xml:space="preserve">P-124</t>
  </si>
  <si>
    <t xml:space="preserve">Dilution Water Pump</t>
  </si>
  <si>
    <t xml:space="preserve">Centrifugal (OH2)</t>
  </si>
  <si>
    <t xml:space="preserve">P-125 A/B</t>
  </si>
  <si>
    <t xml:space="preserve">Dilution Water Pumps</t>
  </si>
  <si>
    <t xml:space="preserve">P-136 A/B</t>
  </si>
  <si>
    <t xml:space="preserve">Disposal Water InjectionPumps</t>
  </si>
  <si>
    <t xml:space="preserve">Centrifugal (BB3)</t>
  </si>
  <si>
    <t xml:space="preserve">P-137 A/B</t>
  </si>
  <si>
    <t xml:space="preserve">Dirty Oil Pumps</t>
  </si>
  <si>
    <t xml:space="preserve">P.D.-Rotary (Ext. Gear)</t>
  </si>
  <si>
    <t xml:space="preserve">P-138 A/B</t>
  </si>
  <si>
    <t xml:space="preserve">Evaporation Pond Water Return Pumps</t>
  </si>
  <si>
    <t xml:space="preserve">P-139 A/B/C</t>
  </si>
  <si>
    <t xml:space="preserve">P-151 A/B</t>
  </si>
  <si>
    <t xml:space="preserve">Flare K.O. Drum Pumps</t>
  </si>
  <si>
    <t xml:space="preserve">P-161 A/B</t>
  </si>
  <si>
    <t xml:space="preserve">Closed Drain Drum Pumps</t>
  </si>
  <si>
    <t xml:space="preserve">P-162</t>
  </si>
  <si>
    <t xml:space="preserve">C. D. Drum / Flare K.O. Drum Sump Pump</t>
  </si>
  <si>
    <t xml:space="preserve">Centrifugal (VS4)</t>
  </si>
  <si>
    <t xml:space="preserve">P-164 A/B</t>
  </si>
  <si>
    <t xml:space="preserve">O.W.S. Water Pumps</t>
  </si>
  <si>
    <t xml:space="preserve">P-165 A/B</t>
  </si>
  <si>
    <t xml:space="preserve">Oily Water Basin Pumps</t>
  </si>
  <si>
    <t xml:space="preserve">P-171</t>
  </si>
  <si>
    <t xml:space="preserve">Fuel Oil Pump</t>
  </si>
  <si>
    <t xml:space="preserve">S1</t>
  </si>
  <si>
    <t xml:space="preserve">P-191</t>
  </si>
  <si>
    <t xml:space="preserve">Fire Water Loading Pump</t>
  </si>
  <si>
    <t xml:space="preserve">P-192</t>
  </si>
  <si>
    <t xml:space="preserve">Fire Water Pump-Elect. Motor Driven</t>
  </si>
  <si>
    <t xml:space="preserve">Centrifugal (Horizontal,</t>
  </si>
  <si>
    <t xml:space="preserve">P-193</t>
  </si>
  <si>
    <t xml:space="preserve">Fire Water Pump-Diesel Engine Driven</t>
  </si>
  <si>
    <t xml:space="preserve">P-194 A/B</t>
  </si>
  <si>
    <t xml:space="preserve">Fire Water Jockey Pumps</t>
  </si>
  <si>
    <t xml:space="preserve">Centrifugal</t>
  </si>
  <si>
    <t xml:space="preserve">آمار خطا (فقط سطرهای «در آمار = Y»)</t>
  </si>
  <si>
    <t xml:space="preserve">میانه پیش/واقعی −۱ (سوگیری)</t>
  </si>
  <si>
    <t xml:space="preserve">میانه |خطا| (MdAPE)</t>
  </si>
  <si>
    <t xml:space="preserve">میانگین |خطا| (MAPE)</t>
  </si>
  <si>
    <t xml:space="preserve">تعداد با خطای ≤۲۵٪</t>
  </si>
  <si>
    <t xml:space="preserve">جمع پیش‌بینی/جمع واقعی (وزنی با تعداد)</t>
  </si>
  <si>
    <t xml:space="preserve">کف نویز داده (پراکندگی استعلام‌ها)</t>
  </si>
  <si>
    <t xml:space="preserve">میانه نسبت بیشینه/کمینه استعلام‌ها برای یک Tag (پمپ‌های در آمار با ≥۲ استعلام)</t>
  </si>
  <si>
    <t xml:space="preserve">تفسیر: وقتی دو فروشنده برای یک پمپ به‌طور میانه ~۳۳٪ (و گاهی تا ۴ برابر) اختلاف قیمت می‌دهند، هیچ روش تعدیلی نمی‌تواند خطای تک‌قلم را زیر ~۱۵٪ ببرد؛ معیار اصلی باید سوگیری و دقت جمع باشد.</t>
  </si>
  <si>
    <t xml:space="preserve">اثر اندازه: پمپ‌های کوچک (قیمت ۱۳۹۳ ≤ ۱۵٬۰۰۰ یورو) ۱٫۵ تا ۳ برابر شده‌اند ولی پمپ‌های بزرگ BB3 فقط ۱٫۲ تا ۱٫۴ برابر؛ یعنی برآوردهای قدیمی پمپ‌های کوچک API کم بوده و بازار امروز یک کف قیمت دارد.</t>
  </si>
  <si>
    <t xml:space="preserve">اعتبارسنجی ۲: پکیج‌های تزریق مواد شیمیایی پازنان ۲ — قیمت ریالی ۱۳۹۳ در برابر استعلام ۱۴۰۴</t>
  </si>
  <si>
    <t xml:space="preserve">این سطرها آزمون مسیر «ریالی» است: آیا قیمت ریالی قدیم را باید با تورم ریالی (CPI) بالا برد یا با نرخ ارز؟ «واقعی الف» = تنها استعلام کاملاً ریالی (کندر صنعت پارتیان، اسفند ۱۴۰۳)؛ «واقعی ب» = میانگین همه استعلام‌ها (ریالی، دلاری، یورویی) که پازنان با نرخ ۶۵۸٬۵۳۳ ریال/دلار تبدیل کرده است.</t>
  </si>
  <si>
    <t xml:space="preserve">ورودی‌ها</t>
  </si>
  <si>
    <t xml:space="preserve">نرخ یورو پایه (بهمن ۱۳۹۳، فایل مارون ۳)</t>
  </si>
  <si>
    <t xml:space="preserve">دلار آزاد در تاریخ استعلام (اسفند ۱۴۰۳، تقریبی)</t>
  </si>
  <si>
    <t xml:space="preserve">تقریبی؛ ۲ اردیبهشت ۱۴۰۴ حدود ۷۹۰٬۰۰۰ و اوایل ۲۰۲۵ حدود ۸۱۷٬۵۰۰ بوده — با نرخ روز استعلام جایگزین شود</t>
  </si>
  <si>
    <t xml:space="preserve">یورو/دلار در تاریخ استعلام</t>
  </si>
  <si>
    <t xml:space="preserve">فوریه ۲۰۲۵</t>
  </si>
  <si>
    <t xml:space="preserve">نرخ یورو هدف (ریال)</t>
  </si>
  <si>
    <t xml:space="preserve">فرمول</t>
  </si>
  <si>
    <t xml:space="preserve">شاخص پمپ EA (۱۳۹۳→۲۰۲۵)</t>
  </si>
  <si>
    <t xml:space="preserve">ضریب تورم ریالی ۱۳۹۴ تا ۱۴۰۳ (مارون ۳)</t>
  </si>
  <si>
    <t xml:space="preserve">ضریب ریالی پازنان (Basic INFO!E127)</t>
  </si>
  <si>
    <t xml:space="preserve">فایل لینک‌شده PZN-Summary؛ عملاً همان CPI</t>
  </si>
  <si>
    <t xml:space="preserve">نرخ تسعیر پازنان (ریال/یورو)</t>
  </si>
  <si>
    <t xml:space="preserve">Basic INFO!C101 × C103 (نرخ مرکز مبادله)</t>
  </si>
  <si>
    <t xml:space="preserve">قیمت ۱۳۹۳ (ریال)</t>
  </si>
  <si>
    <t xml:space="preserve">معادل یورویی ۱۳۹۳</t>
  </si>
  <si>
    <t xml:space="preserve">واقعی الف: استعلام ریالی</t>
  </si>
  <si>
    <t xml:space="preserve">واقعی ب: میانگین همه (پازنان)</t>
  </si>
  <si>
    <t xml:space="preserve">نسبت واقعی الف/قدیم</t>
  </si>
  <si>
    <t xml:space="preserve">نسبت واقعی ب/قدیم</t>
  </si>
  <si>
    <t xml:space="preserve">R1 تورم ریالی (CPI)</t>
  </si>
  <si>
    <t xml:space="preserve">R2 ضریب ریالی پازنان</t>
  </si>
  <si>
    <t xml:space="preserve">R3 مدل فلزی فعلی</t>
  </si>
  <si>
    <t xml:space="preserve">R4 پیشنهادی: یورو×PPI×نرخ ارز</t>
  </si>
  <si>
    <t xml:space="preserve">R1/الف</t>
  </si>
  <si>
    <t xml:space="preserve">R2/الف</t>
  </si>
  <si>
    <t xml:space="preserve">R3/الف</t>
  </si>
  <si>
    <t xml:space="preserve">R4/الف</t>
  </si>
  <si>
    <t xml:space="preserve">R1/ب</t>
  </si>
  <si>
    <t xml:space="preserve">R2/ب</t>
  </si>
  <si>
    <t xml:space="preserve">R3/ب</t>
  </si>
  <si>
    <t xml:space="preserve">R4/ب</t>
  </si>
  <si>
    <t xml:space="preserve">PK-180</t>
  </si>
  <si>
    <t xml:space="preserve">Anti Scale Injection Package</t>
  </si>
  <si>
    <t xml:space="preserve">PK-181</t>
  </si>
  <si>
    <t xml:space="preserve">Demulsifier Injection Package</t>
  </si>
  <si>
    <t xml:space="preserve">PK-182</t>
  </si>
  <si>
    <t xml:space="preserve">Reverse Demulsifier Injection Package</t>
  </si>
  <si>
    <t xml:space="preserve">PK-183</t>
  </si>
  <si>
    <t xml:space="preserve">Biocide Injection Package</t>
  </si>
  <si>
    <t xml:space="preserve">PK-184</t>
  </si>
  <si>
    <t xml:space="preserve">Oxygen Scavenger Injection Package</t>
  </si>
  <si>
    <t xml:space="preserve">PK-185</t>
  </si>
  <si>
    <t xml:space="preserve">PK-186</t>
  </si>
  <si>
    <t xml:space="preserve">Corrosion Inhibitor Injection Package</t>
  </si>
  <si>
    <t xml:space="preserve">PK-187</t>
  </si>
  <si>
    <t xml:space="preserve">PK-188</t>
  </si>
  <si>
    <t xml:space="preserve">PK-189</t>
  </si>
  <si>
    <t xml:space="preserve">PK-212</t>
  </si>
  <si>
    <t xml:space="preserve">میانه نسبت‌ها</t>
  </si>
  <si>
    <t xml:space="preserve">جمع پیش‌بینی / جمع واقعی</t>
  </si>
  <si>
    <t xml:space="preserve">آزمون حساسیت: نرخ دلار لازم برای اینکه روش R4 دقیقاً میانه «واقعی الف» را بدهد</t>
  </si>
  <si>
    <t xml:space="preserve">ریال/دلار</t>
  </si>
  <si>
    <t xml:space="preserve">نتیجه: مسیر تورم ریالی (R1، R2) قیمت را حدود نصف واقعیت برآورد می‌کند؛ چون از ۱۳۹۳ تا ۱۴۰۳ دلار ~۲۸ برابر ولی CPI ~۱۶ برابر شده و قیمت پمپ و پکیج (حتی سازنده داخلی) به ارز گره خورده است.</t>
  </si>
  <si>
    <t xml:space="preserve">نکته: هر سه فروشنده (یکی ریالی، یکی دلاری، یکی یورویی) سازنده داخلی‌اند؛ یعنی «ساخت داخل» به معنای «ریالی» نیست.</t>
  </si>
  <si>
    <t xml:space="preserve">تفکیک اثر عوامل: تورم ارزی، تورم ریالی، نرخ ارز و فلزات (۱۳۹۳ → ۱۴۰۳/۱۴۰۴)</t>
  </si>
  <si>
    <t xml:space="preserve">عامل</t>
  </si>
  <si>
    <t xml:space="preserve">ضریب ۱۳۹۳→هدف</t>
  </si>
  <si>
    <t xml:space="preserve">نرخ یورو (ریال) — بهمن ۱۳۹۳ تا اسفند ۱۴۰۳</t>
  </si>
  <si>
    <t xml:space="preserve">کاهش ارزش ریال؛ بزرگ‌ترین عامل</t>
  </si>
  <si>
    <t xml:space="preserve">شاخص قیمت پمپ به یورو (EA PPI C28.13)</t>
  </si>
  <si>
    <t xml:space="preserve">تورم ارزیِ خاصِ صنعت پمپ؛ اثر فلزات، دستمزد و انرژی سازنده در آن نهفته است</t>
  </si>
  <si>
    <t xml:space="preserve">حاصل‌ضرب: «شاخص ریالیِ پمپ»</t>
  </si>
  <si>
    <t xml:space="preserve">پیش‌بینی روش پیشنهادی برای قیمت ریالی</t>
  </si>
  <si>
    <t xml:space="preserve">تورم ریالی تجمعی (CPI، مارون ۳)</t>
  </si>
  <si>
    <t xml:space="preserve">مسیر CPI</t>
  </si>
  <si>
    <t xml:space="preserve">مشاهده‌شده: میانه استعلام ریالی/قیمت قدیم</t>
  </si>
  <si>
    <t xml:space="preserve">پکیج‌های تزریق، واقعی الف</t>
  </si>
  <si>
    <t xml:space="preserve">مشاهده‌شده: پمپ‌ها، میانه نسبت یورویی واقعی/قدیم</t>
  </si>
  <si>
    <t xml:space="preserve">در یورو؛ شامل اثر کف قیمت پمپ‌های کوچک</t>
  </si>
  <si>
    <t xml:space="preserve">مشاهده‌شده: پمپ‌ها، جمع واقعی/جمع قدیم (بدون آتش‌نشانی)</t>
  </si>
  <si>
    <t xml:space="preserve">در یورو، وزنی با مبلغ</t>
  </si>
  <si>
    <t xml:space="preserve">سبد فلزی پمپ به دلار (۱۳۹۳→۱۴۰۴)</t>
  </si>
  <si>
    <t xml:space="preserve">فولاد ثابت، نیکل −۱۰٪، مولیبدن ×۲٫۲، مس +۴۵٪</t>
  </si>
  <si>
    <t xml:space="preserve">سبد فلزی پمپ به یورو</t>
  </si>
  <si>
    <t xml:space="preserve">با تبدیل یورو/دلار</t>
  </si>
  <si>
    <t xml:space="preserve">سهم مستقیم فلز در رشد قیمت (فرض سهم فلز)</t>
  </si>
  <si>
    <t xml:space="preserve">سهم فلز × تغییر سبد فلزی؛ در برابر کل رشد ~۳۵٪</t>
  </si>
  <si>
    <t xml:space="preserve">برداشت:</t>
  </si>
  <si>
    <t xml:space="preserve">۱) قیمت ریالی پمپ ≈ قیمت یورویی × نرخ یورو. ضریب «یورو × PPI» (حدود ۳۰ تا ۳۲) با مشاهده (۳۰ تا ۳۵) می‌خواند؛ CPI (حدود ۱۶) نصف واقعیت است.</t>
  </si>
  <si>
    <t xml:space="preserve">۲) در خود یورو، رشد قیمت پمپ طی ۱۰ سال حدود ۳۵٪ (۳٪ در سال) بوده که دو سوم آن در ۲۰۲۲ و ۲۰۲۳ رخ داده است.</t>
  </si>
  <si>
    <t xml:space="preserve">۳) اثر مستقیم فلزات کوچک است (چند درصد) و خودش داخل PPI لحاظ شده؛ اضافه‌کردن جداگانه شاخص فلزی روی PPI دوباره‌شماری است.</t>
  </si>
  <si>
    <t xml:space="preserve">۴) فلزات فقط برای «پیش‌بینی» سال‌هایی که هنوز PPI رسمی ندارند (۲۰۲۶ به بعد) و برای تحلیل حساسیت (شوک نیکل/مس برای پمپ‌های دوپلکس) کاربرد دارند.</t>
  </si>
  <si>
    <t xml:space="preserve">مقایسه سالانه: شاخص ریالیِ پمپ (یورو×PPI) در برابر شاخص تورم ریالی (۱۳۹۳ = ۱)</t>
  </si>
  <si>
    <t xml:space="preserve">شاخص پمپ به یورو</t>
  </si>
  <si>
    <t xml:space="preserve">نرخ یورو</t>
  </si>
  <si>
    <t xml:space="preserve">شاخص ریالی پمپ</t>
  </si>
  <si>
    <t xml:space="preserve">شاخص CPI</t>
  </si>
  <si>
    <t xml:space="preserve">نسبت پمپ/CPI</t>
  </si>
  <si>
    <t xml:space="preserve">توجه: نرخ یورو این جدول از ستون «نرخ مؤثر یورو» Indices است (میانگین سالانه تقریبی، و برای ۱۳۹۳ نرخ مارون ۳)؛ با سری رسمی جایگزین کنید.</t>
  </si>
  <si>
    <t xml:space="preserve">بانک قیمت پمپ‌ها به سال هدف با روش پیشنهادی (لنگر یورو + PPI پمپ + کف قیمت + نرخ ارز هدف)</t>
  </si>
  <si>
    <t xml:space="preserve">سال هدف</t>
  </si>
  <si>
    <t xml:space="preserve">روش: یورو پایه = قیمت ÷ نرخ تسعیرِ همان منبع ← × شاخص پمپ(هدف)/شاخص پمپ(پایه) ← اگر مشمول کف: MAX(…، کف×شاخص) ← × نرخ یورو هدف</t>
  </si>
  <si>
    <t xml:space="preserve">نرخ یورو هدف (ریال) — پیش‌فرض از Indices</t>
  </si>
  <si>
    <t xml:space="preserve">هشدار: نرخ تسعیر منبع را همانی بگذارید که منبع با آن ریال را ساخته (گچساران ۴: ۴۲۰٬۰۰۰×۱٫۰۸۵؛ پازنان: ۶۵۸٬۵۳۳×۱٫۰۵۶). ستون «مدل فعلی» برای مقایسه از خروجی مدل شما کپی شده (ثابت).</t>
  </si>
  <si>
    <t xml:space="preserve">نرخ یورو هدف دستی (اختیاری، مثلاً نرخ مرکز مبادله یا روز)</t>
  </si>
  <si>
    <t xml:space="preserve">نرخ یورو مؤثر هدف</t>
  </si>
  <si>
    <t xml:space="preserve">کف قیمت پمپ API (یورو، سطح ۱۴۰۴)</t>
  </si>
  <si>
    <t xml:space="preserve">شاخص پمپ سال هدف / ۱۴۰۴</t>
  </si>
  <si>
    <t xml:space="preserve">نوع (اصلاح‌شده)</t>
  </si>
  <si>
    <t xml:space="preserve">ارز پایه</t>
  </si>
  <si>
    <t xml:space="preserve">نرخ تسعیر منبع به یورو</t>
  </si>
  <si>
    <t xml:space="preserve">ضریب PPI پمپ</t>
  </si>
  <si>
    <t xml:space="preserve">یورو تعدیل‌شده</t>
  </si>
  <si>
    <t xml:space="preserve">ریال واحد (سال هدف)</t>
  </si>
  <si>
    <t xml:space="preserve">مدل فعلی: ریال واحد ۱۴۰۵</t>
  </si>
  <si>
    <t xml:space="preserve">اختلاف با مدل فعلی</t>
  </si>
  <si>
    <t xml:space="preserve">یادداشت</t>
  </si>
  <si>
    <t xml:space="preserve">KPL R03 (1394)</t>
  </si>
  <si>
    <t xml:space="preserve">P-111 A/B/C</t>
  </si>
  <si>
    <t xml:space="preserve">Salty Crude Transfer Pumps</t>
  </si>
  <si>
    <t xml:space="preserve">API 610 دوپلکس/D</t>
  </si>
  <si>
    <t xml:space="preserve">P-114 A/B/C</t>
  </si>
  <si>
    <t xml:space="preserve">Salty Crude Booster Pumps</t>
  </si>
  <si>
    <t xml:space="preserve">P-135 A/B</t>
  </si>
  <si>
    <t xml:space="preserve">جابه‌جایی مثبت</t>
  </si>
  <si>
    <t xml:space="preserve">Free Water Transfer Pumps</t>
  </si>
  <si>
    <t xml:space="preserve">P-139 A/B</t>
  </si>
  <si>
    <t xml:space="preserve">API 610 CS/S</t>
  </si>
  <si>
    <t xml:space="preserve">P-152</t>
  </si>
  <si>
    <t xml:space="preserve">P-171 A/B</t>
  </si>
  <si>
    <t xml:space="preserve">P-231 A/B</t>
  </si>
  <si>
    <t xml:space="preserve">O.W.S. Oil Pumps</t>
  </si>
  <si>
    <t xml:space="preserve">P-232 A/B</t>
  </si>
  <si>
    <t xml:space="preserve">P-234 A/B</t>
  </si>
  <si>
    <t xml:space="preserve">P-236</t>
  </si>
  <si>
    <t xml:space="preserve">Evaporation Pond Portable Pump</t>
  </si>
  <si>
    <t xml:space="preserve">کوچک/پرتابل</t>
  </si>
  <si>
    <t xml:space="preserve">P-121 A/B/C</t>
  </si>
  <si>
    <t xml:space="preserve">P-124 A/B/C</t>
  </si>
  <si>
    <t xml:space="preserve">P-145 A/B</t>
  </si>
  <si>
    <t xml:space="preserve">P-146 A/B</t>
  </si>
  <si>
    <t xml:space="preserve">P-147 A/B</t>
  </si>
  <si>
    <t xml:space="preserve">P-149 A/B</t>
  </si>
  <si>
    <t xml:space="preserve">P-181 A/B</t>
  </si>
  <si>
    <t xml:space="preserve">P-241 A/B</t>
  </si>
  <si>
    <t xml:space="preserve">P-242 A/B</t>
  </si>
  <si>
    <t xml:space="preserve">P-244 A/B</t>
  </si>
  <si>
    <t xml:space="preserve">P-246</t>
  </si>
  <si>
    <t xml:space="preserve">P-153 A/B</t>
  </si>
  <si>
    <t xml:space="preserve">گریز از مرکز I2/S1</t>
  </si>
  <si>
    <t xml:space="preserve">P-158</t>
  </si>
  <si>
    <t xml:space="preserve">Potable Water Loading Pump</t>
  </si>
  <si>
    <t xml:space="preserve">P-172</t>
  </si>
  <si>
    <t xml:space="preserve">Flare K.O. Drums Sump Pump</t>
  </si>
  <si>
    <t xml:space="preserve">P-201</t>
  </si>
  <si>
    <t xml:space="preserve">P-235</t>
  </si>
  <si>
    <t xml:space="preserve">Closed Drain Drums Sump Pump</t>
  </si>
  <si>
    <t xml:space="preserve">P-270</t>
  </si>
  <si>
    <t xml:space="preserve">آتش‌نشانی</t>
  </si>
  <si>
    <t xml:space="preserve">آتش‌نشانی: دامنه کار مشخص شود</t>
  </si>
  <si>
    <t xml:space="preserve">P-271</t>
  </si>
  <si>
    <t xml:space="preserve">P-272 A/B</t>
  </si>
  <si>
    <t xml:space="preserve">P-273</t>
  </si>
  <si>
    <t xml:space="preserve">P-220 A/B/C/D/E</t>
  </si>
  <si>
    <t xml:space="preserve">Chemical Loading Pumps</t>
  </si>
  <si>
    <t xml:space="preserve">P-157 A/B</t>
  </si>
  <si>
    <t xml:space="preserve">Water Liquid Return Pumps</t>
  </si>
  <si>
    <t xml:space="preserve">P-116</t>
  </si>
  <si>
    <t xml:space="preserve">Water Glycol Loading Pump</t>
  </si>
  <si>
    <t xml:space="preserve">Pazanan 2 استعلام ۱۴۰۴</t>
  </si>
  <si>
    <t xml:space="preserve">Off Spec. Crude Pumps Type: Centrifugal (VS6) Rated Flow (m3</t>
  </si>
  <si>
    <t xml:space="preserve">Deaerated Water Pumps Type: Centrifugal (Horizontal) Rated F</t>
  </si>
  <si>
    <t xml:space="preserve">Dilution Water Pump Type: Centrifugal (OH2) Rated Flow (m3/h</t>
  </si>
  <si>
    <t xml:space="preserve">Dilution Water Pumps Type: Centrifugal (OH2) Rated Flow (m3/</t>
  </si>
  <si>
    <t xml:space="preserve">Disposal Water InjectionPumps Type: Centrifugal (BB3) Rated </t>
  </si>
  <si>
    <t xml:space="preserve">Dirty Oil Pumps Type: P.D.-Rotary (Ext. Gear) Rated Flow (m3</t>
  </si>
  <si>
    <t xml:space="preserve">Evaporation Pond Water Return Pumps Type: Centrifugal (OH2) </t>
  </si>
  <si>
    <t xml:space="preserve">Flare K.O. Drum Pumps Type: Centrifugal (OH2) Rated Flow (m3</t>
  </si>
  <si>
    <t xml:space="preserve">Closed Drain Drum Pumps Type: Centrifugal (OH2) Rated Flow (</t>
  </si>
  <si>
    <t xml:space="preserve">C. D. Drum / Flare K.O. Drum Sump Pump Type: Centrifugal (VS</t>
  </si>
  <si>
    <t xml:space="preserve">Pazanan 2 (پایه ۱۳۹۳)</t>
  </si>
  <si>
    <t xml:space="preserve">P-163 A/B</t>
  </si>
  <si>
    <t xml:space="preserve">O.W.S. Oil Pumps Type: P.D.-Rotary (Progressing Cavity) Rate</t>
  </si>
  <si>
    <t xml:space="preserve">بدون استعلام؛ پایه ۱۳۹۳ استفاده شد</t>
  </si>
  <si>
    <t xml:space="preserve">O.W.S. Water Pumps Type: Centrifugal (OH2) Rated Flow (m3/hr</t>
  </si>
  <si>
    <t xml:space="preserve">Oily Water Basin Pumps Type: Centrifugal (OH2) Rated Flow (m</t>
  </si>
  <si>
    <t xml:space="preserve">Fuel Oil Pump Type: Centrifugal (Horizontal) Rated Flow (m3/</t>
  </si>
  <si>
    <t xml:space="preserve">Fire Water Loading Pump Type: Centrifugal (Horizontal) Rated</t>
  </si>
  <si>
    <t xml:space="preserve">آتش‌نشانی: پراکندگی شدید استعلام</t>
  </si>
  <si>
    <t xml:space="preserve">Fire Water Pump-Elect. Motor Driven Type: Centrifugal (Horiz</t>
  </si>
  <si>
    <t xml:space="preserve">Fire Water Pump-Diesel Engine Driven Type: Centrifugal (Hori</t>
  </si>
  <si>
    <t xml:space="preserve">Fire Water Jockey Pumps Type: Centrifugal (Horizontal, Overh</t>
  </si>
  <si>
    <t xml:space="preserve">Pazanan 2 (پایه ۱۳۹۳ ریالی)</t>
  </si>
  <si>
    <t xml:space="preserve">P-210 A/B</t>
  </si>
  <si>
    <t xml:space="preserve">Chemical Loading Pumps Type: Portable Barrel Pump Rated Flow</t>
  </si>
  <si>
    <t xml:space="preserve">قیمت ۱۴۰۴ پازنان مشتق از CPI بود؛ پایه اصلی ۱۳۹۳ استفاده شد</t>
  </si>
  <si>
    <t xml:space="preserve">P-211</t>
  </si>
  <si>
    <t xml:space="preserve">Anti Scale Injection Package Max. Injection Rate (Lit/hr): 3</t>
  </si>
  <si>
    <t xml:space="preserve">پکیج تزریق مواد (CIP)</t>
  </si>
  <si>
    <t xml:space="preserve">در مدل فعلی اشتباهاً PUMP_* ثبت شده؛ قالب درست CIP_SS316</t>
  </si>
  <si>
    <t xml:space="preserve">Demulsifier Injection Package Max. Injection Rate (Lit/hr): </t>
  </si>
  <si>
    <t xml:space="preserve">Reverse Demulsifier Injection Package Max. Injection Rate (L</t>
  </si>
  <si>
    <t xml:space="preserve">Biocide Injection Package Max. Injection Rate (Lit/hr): 66 M</t>
  </si>
  <si>
    <t xml:space="preserve">Oxygen Scavenger Injection Package Max. Injection Rate (Lit/</t>
  </si>
  <si>
    <t xml:space="preserve">Anti Scale Injection Package Max. Injection Rate (Lit/hr): 2</t>
  </si>
  <si>
    <t xml:space="preserve">Corrosion Inhibitor Injection Package Max. Injection Rate (L</t>
  </si>
  <si>
    <t xml:space="preserve">Anti Scale Injection Package Max. Injection Rate (Lit/hr): 4</t>
  </si>
  <si>
    <t xml:space="preserve">Demulsifier Injection Package (Production Unit) Max. Injecti</t>
  </si>
  <si>
    <t xml:space="preserve">Gachsaran 4 (1402)</t>
  </si>
  <si>
    <t xml:space="preserve">P-001-A/B</t>
  </si>
  <si>
    <t xml:space="preserve">MAIN TRANSFER PUMPS</t>
  </si>
  <si>
    <t xml:space="preserve">500m3/hr, 15.2 bar, 216.3 kw</t>
  </si>
  <si>
    <t xml:space="preserve">P-002-A/B</t>
  </si>
  <si>
    <t xml:space="preserve">AUXILLIARY TRANSFER PUMPS</t>
  </si>
  <si>
    <t xml:space="preserve">250m3/hr, 15.2 bar, 108.1 kw</t>
  </si>
  <si>
    <t xml:space="preserve">P-003-A/B</t>
  </si>
  <si>
    <t xml:space="preserve">OFF-SPEC PUMPS</t>
  </si>
  <si>
    <t xml:space="preserve">100 m3/hr , 15.5 bar,44.2 kw</t>
  </si>
  <si>
    <t xml:space="preserve">P-005-A/B</t>
  </si>
  <si>
    <t xml:space="preserve">DEGASSING WATER PUMPS</t>
  </si>
  <si>
    <t xml:space="preserve">30m3/hr, 3bar, 2.7 kw</t>
  </si>
  <si>
    <t xml:space="preserve">P-103</t>
  </si>
  <si>
    <t xml:space="preserve">DILUTION WATER PUMPS</t>
  </si>
  <si>
    <t xml:space="preserve">40m3/hr , 10.4 bar, 12 kw</t>
  </si>
  <si>
    <t xml:space="preserve">P-106-A1/A2</t>
  </si>
  <si>
    <t xml:space="preserve">20 m3/hr, 10.4 bar, 6 kw</t>
  </si>
  <si>
    <t xml:space="preserve">P-102-A/B</t>
  </si>
  <si>
    <t xml:space="preserve">DEAERATED WATER PUMPS</t>
  </si>
  <si>
    <t xml:space="preserve">20m3/hr, 2.4 bar, 1.35 kw</t>
  </si>
  <si>
    <t xml:space="preserve">P-105</t>
  </si>
  <si>
    <t xml:space="preserve">40m3/hr, 2.4 bar, 2.7 kw</t>
  </si>
  <si>
    <t xml:space="preserve">P-104</t>
  </si>
  <si>
    <t xml:space="preserve">POTABLE WATER FILLING PUMP</t>
  </si>
  <si>
    <t xml:space="preserve">20m3/hr, 2.5 bar, 1.4 kw</t>
  </si>
  <si>
    <t xml:space="preserve">P-201-A/B/C</t>
  </si>
  <si>
    <t xml:space="preserve">WATER INJECTION MAIN PUMPS</t>
  </si>
  <si>
    <t xml:space="preserve">73m3/hr (each),36.3 bar, 73.6 kw</t>
  </si>
  <si>
    <t xml:space="preserve">P-206-A/B/C</t>
  </si>
  <si>
    <t xml:space="preserve">WATER INJECTION BOOSTER PUMPS</t>
  </si>
  <si>
    <t xml:space="preserve">36.5m3/hr (each),36.3 bar, 36.5 kw</t>
  </si>
  <si>
    <t xml:space="preserve">P-501-A/B/C</t>
  </si>
  <si>
    <t xml:space="preserve">CHEMICAL INJECTION PORTABLE PUMPS</t>
  </si>
  <si>
    <t xml:space="preserve">.8m³/h, 2bar, 0.45 kw</t>
  </si>
  <si>
    <t xml:space="preserve">P-601-A/B</t>
  </si>
  <si>
    <t xml:space="preserve">FLARE K.O DRUM LIQUID PUMPS</t>
  </si>
  <si>
    <t xml:space="preserve">15m3/hr, 0.8 bar, 0.33 kw</t>
  </si>
  <si>
    <t xml:space="preserve">P-701-A/B</t>
  </si>
  <si>
    <t xml:space="preserve">HC CLOSED DRAIN TRANSFER PUMPS</t>
  </si>
  <si>
    <t xml:space="preserve">27.5m3/hr, 4.3 bar, 3.3 kw</t>
  </si>
  <si>
    <t xml:space="preserve">P-702A/B</t>
  </si>
  <si>
    <t xml:space="preserve">HC CLOSED DRAIN DRUM SUMP PUMP</t>
  </si>
  <si>
    <t xml:space="preserve">5.5m3/hr, 7 bar. 0.11 kw</t>
  </si>
  <si>
    <t xml:space="preserve">P-703-A/B</t>
  </si>
  <si>
    <t xml:space="preserve">CLEAN WATER PUMPS</t>
  </si>
  <si>
    <t xml:space="preserve">11m3/hr, 1.8 bar, 0.54 kw</t>
  </si>
  <si>
    <t xml:space="preserve">P-704-A/B</t>
  </si>
  <si>
    <t xml:space="preserve">RECOVERED WASTE OIL PUMPS</t>
  </si>
  <si>
    <t xml:space="preserve">11 m3/hr, 2.7 bar, 0.8 kw</t>
  </si>
  <si>
    <t xml:space="preserve">P-750</t>
  </si>
  <si>
    <t xml:space="preserve">OILY WATER SEPARATOR PUMP</t>
  </si>
  <si>
    <t xml:space="preserve">1m3/hr, 0.84 bar, 0.02kw</t>
  </si>
  <si>
    <t xml:space="preserve">P-705-A/B</t>
  </si>
  <si>
    <t xml:space="preserve">DIRTY OIL PUMPS</t>
  </si>
  <si>
    <t xml:space="preserve">5m3/hr, 2bar, 0.3 kw</t>
  </si>
  <si>
    <t xml:space="preserve">P-706-A/B</t>
  </si>
  <si>
    <t xml:space="preserve">RECOVERED WASTE WATER PUMPS</t>
  </si>
  <si>
    <t xml:space="preserve">33m3/hr, 1.5 bar, 1.35 kw</t>
  </si>
  <si>
    <t xml:space="preserve">P-801</t>
  </si>
  <si>
    <t xml:space="preserve">DIESEL OIL PUMP</t>
  </si>
  <si>
    <t xml:space="preserve">10m3/hr, 0.6 bar, 0.16 kw</t>
  </si>
  <si>
    <t xml:space="preserve">P-901A/B</t>
  </si>
  <si>
    <t xml:space="preserve">FIRE WATER MAIN ELECTRICAL PUMP</t>
  </si>
  <si>
    <t xml:space="preserve">480m3/hr, 10 barg,133kw</t>
  </si>
  <si>
    <t xml:space="preserve">P902</t>
  </si>
  <si>
    <t xml:space="preserve">FIRE WATER MAIN DESEL PUMP</t>
  </si>
  <si>
    <t xml:space="preserve">P-903-A/B</t>
  </si>
  <si>
    <t xml:space="preserve">FIRE WATER JOCKEY PUMPS</t>
  </si>
  <si>
    <t xml:space="preserve">15m3/hr, 6 barg, 2.5 kw</t>
  </si>
  <si>
    <t xml:space="preserve">P108A/B</t>
  </si>
  <si>
    <t xml:space="preserve">UNIT SUPPLY WATER PUMP</t>
  </si>
  <si>
    <t xml:space="preserve">P-904</t>
  </si>
  <si>
    <t xml:space="preserve">FIRE WATER LOADING PUMP</t>
  </si>
  <si>
    <t xml:space="preserve">30m3/hr, 3 bar, 2.5 kw</t>
  </si>
  <si>
    <t xml:space="preserve">Pump CSV 1405 ($)</t>
  </si>
  <si>
    <t xml:space="preserve">#1</t>
  </si>
  <si>
    <t xml:space="preserve">2nd Stage Separators Oil Pumps</t>
  </si>
  <si>
    <t xml:space="preserve">USD</t>
  </si>
  <si>
    <t xml:space="preserve">قیمت ۱۴۰۵ است؛ فقط تبدیل ارز. هزینه گمرک/حمل جدا (۶٪)</t>
  </si>
  <si>
    <t xml:space="preserve">#2</t>
  </si>
  <si>
    <t xml:space="preserve">3rd Stage Separators Oil Pumps</t>
  </si>
  <si>
    <t xml:space="preserve">#3</t>
  </si>
  <si>
    <t xml:space="preserve">Stabilized Oil Pump</t>
  </si>
  <si>
    <t xml:space="preserve">#4</t>
  </si>
  <si>
    <t xml:space="preserve">Product Oil Pump</t>
  </si>
  <si>
    <t xml:space="preserve">#5</t>
  </si>
  <si>
    <t xml:space="preserve">Off Spec Crude Pump</t>
  </si>
  <si>
    <t xml:space="preserve">#6</t>
  </si>
  <si>
    <t xml:space="preserve">Second Stage Desalter Water Criculated Pump</t>
  </si>
  <si>
    <t xml:space="preserve">#7</t>
  </si>
  <si>
    <t xml:space="preserve">Degassing Water Pump</t>
  </si>
  <si>
    <t xml:space="preserve">#8</t>
  </si>
  <si>
    <t xml:space="preserve">Disposal Water Pump</t>
  </si>
  <si>
    <t xml:space="preserve">#9</t>
  </si>
  <si>
    <t xml:space="preserve">Fresh Water Pump</t>
  </si>
  <si>
    <t xml:space="preserve">#10</t>
  </si>
  <si>
    <t xml:space="preserve">Closed Drain Pump</t>
  </si>
  <si>
    <t xml:space="preserve">#11</t>
  </si>
  <si>
    <t xml:space="preserve">Diesel Unlodaing pump</t>
  </si>
  <si>
    <t xml:space="preserve">#12</t>
  </si>
  <si>
    <t xml:space="preserve">Diesel Transfer pump</t>
  </si>
  <si>
    <t xml:space="preserve">#13</t>
  </si>
  <si>
    <t xml:space="preserve">Sludge Discharge Water Jet Pump</t>
  </si>
  <si>
    <t xml:space="preserve">#14</t>
  </si>
  <si>
    <t xml:space="preserve">Flare KO Drum Pumps</t>
  </si>
  <si>
    <t xml:space="preserve">جمع (ریال)</t>
  </si>
  <si>
    <t xml:space="preserve">جمع به یورو</t>
  </si>
  <si>
    <t xml:space="preserve">ایرادهای یافت‌شده در فایل Desalting_Equipment_Escalation_Model.xlsx (بخش پمپ)</t>
  </si>
  <si>
    <t xml:space="preserve">#</t>
  </si>
  <si>
    <t xml:space="preserve">شدت</t>
  </si>
  <si>
    <t xml:space="preserve">محل</t>
  </si>
  <si>
    <t xml:space="preserve">ایراد</t>
  </si>
  <si>
    <t xml:space="preserve">اثر</t>
  </si>
  <si>
    <t xml:space="preserve">اصلاح پیشنهادی</t>
  </si>
  <si>
    <t xml:space="preserve">بالا</t>
  </si>
  <si>
    <t xml:space="preserve">Equipment سطرهای ریالی + Params ستون F/H</t>
  </si>
  <si>
    <t xml:space="preserve">مسیر ریالی (ساخت داخل) سهم غیرفلزی را با تورم ریالی (CPI) تعدیل می‌کند.</t>
  </si>
  <si>
    <t xml:space="preserve">در آزمون پکیج‌های پازنان، CPI قیمت را ~۵۰٪ کمتر از استعلام ریالی واقعی می‌دهد.</t>
  </si>
  <si>
    <t xml:space="preserve">برای پمپ و پکیج پمپ: ریال پایه ← یورو با نرخ تسعیر همان منبع ← PPI پمپ ← نرخ یورو هدف.</t>
  </si>
  <si>
    <t xml:space="preserve">Equipment سطرهای گچساران ۴ (۱۸۹ به بعد)</t>
  </si>
  <si>
    <t xml:space="preserve">قیمت‌های گچساران در منبع «یورو × ۴۲۰٬۰۰۰ × ۱٫۰۸۵» ساخته شده‌اند ولی در مدل به عنوان ریال ۱۴۰۲ با نرخ دلار ۵۲۰٬۰۰۰ برگشت داده می‌شوند.</t>
  </si>
  <si>
    <t xml:space="preserve">لنگر ارزی ۲۴٪ جابه‌جا می‌شود و بعد CPI هم رویش اعمال می‌شود.</t>
  </si>
  <si>
    <t xml:space="preserve">ستون «نرخ تسعیر منبع» اضافه شود؛ گچساران = ۴۵۵٬۶۹۲ ریال/یورو.</t>
  </si>
  <si>
    <t xml:space="preserve">Equipment!AP سطرهای ۳۴۲، ۳۵۰، ۳۵۱، ۳۶۶، ۳۷۰</t>
  </si>
  <si>
    <t xml:space="preserve">قیمت «واقعی ۱۴۰۴» این سطرها استعلام نیست؛ پازنان آن‌ها را با ضریب ۱٫۵۵۲ (یورو) یا ۱۶٫۲۶ (ریال) از ۱۳۹۳ ساخته است.</t>
  </si>
  <si>
    <t xml:space="preserve">اعتبارسنجی دوری (circular) و گمراه‌کننده.</t>
  </si>
  <si>
    <t xml:space="preserve">از آمار اعتبارسنجی حذف شوند (در این فایل حذف شده‌اند).</t>
  </si>
  <si>
    <t xml:space="preserve">Equipment قالب مواد</t>
  </si>
  <si>
    <t xml:space="preserve">جرثقیل‌ها (CN-131, CN-161, CN-191, CR007..CR011, CN-1xx KPL) با قالب PUMP_* ثبت شده‌اند؛ پکیج‌های تزریق PK-180..PK-212 با PUMP_API_CS/PUMP_SMALL؛ IGF (PK-131) با PUMP_ROTARY؛ فیلتر F-121 و مخزن TK-154 با PUMP_SMALL.</t>
  </si>
  <si>
    <t xml:space="preserve">جمع گروه پمپ در Summary و آمار اعتبارسنجی پمپ آلوده می‌شود (نسبت ۶٫۱ برای CN-161).</t>
  </si>
  <si>
    <t xml:space="preserve">قالب درست: CRANE، CIP_SS316، PKG_FILTER_DX، TANK_SS.</t>
  </si>
  <si>
    <t xml:space="preserve">متوسط</t>
  </si>
  <si>
    <t xml:space="preserve">Equipment سطرهای ۲۶۳ تا ۲۷۶ و ۳۰۷ تا ۳۲۰</t>
  </si>
  <si>
    <t xml:space="preserve">«نمونه قیمتی» و «CSV پمپ ۱۴۰۵» همان ۱۴ پمپ‌اند (۱۰ قلم با قیمت یکسان، ۴ قلم اصلاح‌شده) و هر دو «اصلی» شمرده می‌شوند. این پمپ‌ها مربوط به واحد جداسازی/تثبیت‌اند نه نمک‌زدایی مشابه.</t>
  </si>
  <si>
    <t xml:space="preserve">دوباره‌شماری در Summary.</t>
  </si>
  <si>
    <t xml:space="preserve">نسخه قدیمی‌تر (نمونه قیمتی) غیرفعال شود؛ برچسب نوع واحد اضافه شود.</t>
  </si>
  <si>
    <t xml:space="preserve">Templates + Alloys</t>
  </si>
  <si>
    <t xml:space="preserve">ضریب فلزی-وزنی برای پمپ‌ها دقت را بهتر نکرده: در آزمون پازنان سوگیری میانه حدود −۲۰٪. PPI سازنده پمپ خودش اثر فلزات را دارد.</t>
  </si>
  <si>
    <t xml:space="preserve">افزودن فلز روی شاخص ارزی = دوباره‌شماری؛ کنار گذاشتن PPI = کم‌برآوردی.</t>
  </si>
  <si>
    <t xml:space="preserve">فلزات فقط برای nowcast سال‌های بدون PPI و تحلیل حساسیت.</t>
  </si>
  <si>
    <t xml:space="preserve">Params ستون C</t>
  </si>
  <si>
    <t xml:space="preserve">نرخ دلار سال‌های ۱۳۸۶ تا ۱۴۰۴ تخمینی است و میانگین سالانه است، در حالی که در ۱۴۰۴ دلار از ~۸۲۰ هزار به ~۱٫۴ میلیون ریال رسید.</t>
  </si>
  <si>
    <t xml:space="preserve">خطای نرخ ارز از خطای شاخص بزرگ‌تر است.</t>
  </si>
  <si>
    <t xml:space="preserve">به جای سال، تاریخ (ماه) قیمت و نرخ همان ماه ثبت شود؛ نوع نرخ (آزاد/مرکز مبادله) ثابت بماند.</t>
  </si>
  <si>
    <t xml:space="preserve">Params!F32</t>
  </si>
  <si>
    <t xml:space="preserve">تورم ریالی ۱۴۰۵ = ۲۰٪ (از مارون ۳)؛ با واقعیت سازگار نیست.</t>
  </si>
  <si>
    <t xml:space="preserve">هر قلمی که از مسیر CPI برود کم‌برآورد می‌شود.</t>
  </si>
  <si>
    <t xml:space="preserve">اصلاح عدد؛ در روش پیشنهادی پمپ بی‌اثر است.</t>
  </si>
  <si>
    <t xml:space="preserve">پایین</t>
  </si>
  <si>
    <t xml:space="preserve">اعتبارسنجی پمپ‌های آتش‌نشانی</t>
  </si>
  <si>
    <t xml:space="preserve">استعلام P-192 از ۳۰ هزار تا ۶۹۹ هزار یورو؛ دامنه کار (پمپ تنها یا پکیج NFPA 20 با موتور دیزل و کنترلر) یکسان نیست.</t>
  </si>
  <si>
    <t xml:space="preserve">هر روش تعدیلی روی این اقلام بی‌معناست.</t>
  </si>
  <si>
    <t xml:space="preserve">دامنه کار استاندارد تعریف و فقط استعلام‌های هم‌دامنه مقایسه شوند.</t>
  </si>
  <si>
    <t xml:space="preserve">Params ستون D</t>
  </si>
  <si>
    <t xml:space="preserve">یورو/دلار ۱۳۹۳ = ۱٫۳۳ میانگین ۲۰۱۴ است؛ قیمت‌های پازنان مربوط به فوریه ۲۰۱۵ (۱٫۱۳) است.</t>
  </si>
  <si>
    <t xml:space="preserve">خطای ~۱۵٪ در تبدیل دلار↔یورو برای همان تاریخ.</t>
  </si>
  <si>
    <t xml:space="preserve">تاریخ ماهانه.</t>
  </si>
  <si>
    <t xml:space="preserve">منابع</t>
  </si>
  <si>
    <t xml:space="preserve">Eurostat — sts_inppd_a, NACE C2813 (Manufacture of other pumps and compressors), Domestic PPI, EA20, Index 2021=100</t>
  </si>
  <si>
    <t xml:space="preserve">https://ec.europa.eu/eurostat/api/dissemination/statistics/1.0/data/sts_inppd_a?format=JSON&amp;lang=EN&amp;geo=EA20&amp;nace_r2=C2813&amp;unit=I21</t>
  </si>
  <si>
    <t xml:space="preserve">FRED/BLS — PCU333914333914, Measuring, Dispensing, and Other Pumping Equipment Mfg (Dec 1983=100)</t>
  </si>
  <si>
    <t xml:space="preserve">https://fred.stlouisfed.org/data/PCU333914333914</t>
  </si>
  <si>
    <t xml:space="preserve">ONS — EWKO, PPI output domestic C2813 Other pumps and compressors (UK, 2015=100) — برای مقایسه</t>
  </si>
  <si>
    <t xml:space="preserve">https://www.ons.gov.uk/economy/inflationandpriceindices/timeseries/ewko/ppi</t>
  </si>
  <si>
    <t xml:space="preserve">Wikipedia — Iranian rial (نرخ بازار آزاد ۲۰۱۴ تا ۲۰۲۶)</t>
  </si>
  <si>
    <t xml:space="preserve">https://en.wikipedia.org/wiki/Iranian_rial</t>
  </si>
  <si>
    <t xml:space="preserve">Euronews فارسی، ۲ سپتامبر ۲۰۲۶ — دلار آزاد ۲۲۰ هزار تومان، یورو ~۲۵۵ هزار تومان</t>
  </si>
  <si>
    <t xml:space="preserve">https://parsi.euronews.com/business/2026/09/02/iran-currency-rial-crisis</t>
  </si>
  <si>
    <t xml:space="preserve">فایل مرجع: PC-ME 14040105_Pazanan2_Reconstruction.xlsx — شیت‌های PUMPS و C.I.P. (قیمت ۱۳۹۳ و استعلام‌های ۱۴۰۴) + مقادیر کش‌شده Basic INFO</t>
  </si>
  <si>
    <t xml:space="preserve">فایل مرجع: برآورد پروژه نمکزدایی مارون ۳ (14050310) — شیت Inflation (تورم ریالی/ارزی، نرخ یورو ۹۳)</t>
  </si>
  <si>
    <t xml:space="preserve">فایل مرجع: PEP-Rev.140205 Gachsaran 4 — شیت P.ME و basic data (۴۲۰٬۰۰۰ ریال/دلار، ۱٫۰۸۵ یورو/دلار)</t>
  </si>
  <si>
    <t xml:space="preserve">فایل مرجع: 91215-KPL-ME-RE-476 R03 — شیت‌های PUMPS</t>
  </si>
  <si>
    <t xml:space="preserve">فایل مرجع: 18061405_Pump_only_CSV.csv و نمونه قیمتی نمک زدایی.xlsx</t>
  </si>
  <si>
    <t xml:space="preserve">فایل بررسی‌شده: Desalting_Equipment_Escalation_Model.xlsx (بازمحاسبه با LibreOffice برای استخراج ضرایب ستون AH)</t>
  </si>
  <si>
    <r>
      <rPr>
        <sz val="11"/>
        <color theme="1"/>
        <rFont val="FreeSans"/>
        <family val="2"/>
      </rPr>
      <t xml:space="preserve">گریز از مرکز </t>
    </r>
    <r>
      <rPr>
        <sz val="11"/>
        <color theme="1"/>
        <rFont val="Calibri"/>
        <family val="2"/>
        <charset val="1"/>
      </rPr>
      <t xml:space="preserve">API 610</t>
    </r>
  </si>
  <si>
    <r>
      <rPr>
        <sz val="11"/>
        <color theme="1"/>
        <rFont val="FreeSans"/>
        <family val="2"/>
      </rPr>
      <t xml:space="preserve">گریز از مرکز غیر </t>
    </r>
    <r>
      <rPr>
        <sz val="11"/>
        <color theme="1"/>
        <rFont val="Calibri"/>
        <family val="2"/>
        <charset val="1"/>
      </rPr>
      <t xml:space="preserve">API (</t>
    </r>
    <r>
      <rPr>
        <sz val="11"/>
        <color theme="1"/>
        <rFont val="FreeSans"/>
        <family val="2"/>
      </rPr>
      <t xml:space="preserve">چدنی</t>
    </r>
    <r>
      <rPr>
        <sz val="11"/>
        <color theme="1"/>
        <rFont val="Calibri"/>
        <family val="2"/>
        <charset val="1"/>
      </rPr>
      <t xml:space="preserve">/ISO)</t>
    </r>
  </si>
  <si>
    <t xml:space="preserve">S5</t>
  </si>
  <si>
    <t xml:space="preserve">بله</t>
  </si>
  <si>
    <r>
      <rPr>
        <sz val="11"/>
        <color theme="1"/>
        <rFont val="FreeSans"/>
        <family val="2"/>
      </rPr>
      <t xml:space="preserve">جابه‌جایی مثبت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دنده‌ای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پیچی</t>
    </r>
    <r>
      <rPr>
        <sz val="11"/>
        <color theme="1"/>
        <rFont val="Calibri"/>
        <family val="2"/>
        <charset val="1"/>
      </rPr>
      <t xml:space="preserve">)</t>
    </r>
  </si>
  <si>
    <t xml:space="preserve">خیر</t>
  </si>
  <si>
    <r>
      <rPr>
        <sz val="11"/>
        <color theme="1"/>
        <rFont val="FreeSans"/>
        <family val="2"/>
      </rPr>
      <t xml:space="preserve">پرتابل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کوچک</t>
    </r>
  </si>
  <si>
    <t xml:space="preserve">S8</t>
  </si>
  <si>
    <t xml:space="preserve">پکیج تزریق مواد</t>
  </si>
  <si>
    <t xml:space="preserve">C6</t>
  </si>
  <si>
    <t xml:space="preserve">A8</t>
  </si>
  <si>
    <t xml:space="preserve">I1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</si>
</sst>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"/>
    <numFmt numFmtId="167" formatCode="0.0%;\(0.0%\);\-"/>
    <numFmt numFmtId="168" formatCode="#,##0.000"/>
    <numFmt numFmtId="169" formatCode="0.00"/>
    <numFmt numFmtId="170" formatCode="0.000"/>
    <numFmt numFmtId="171" formatCode="0.00\x"/>
    <numFmt numFmtId="172" formatCode="0.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0061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color rgb="FFC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color rgb="FF008000"/>
      <name val="Arial"/>
      <family val="0"/>
      <charset val="1"/>
    </font>
    <font>
      <sz val="9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8"/>
      <color rgb="FF0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FreeSans"/>
      <family val="2"/>
    </font>
    <font>
      <u val="single"/>
      <sz val="10"/>
      <color rgb="FF0563C1"/>
      <name val="Arial"/>
      <family val="0"/>
      <charset val="1"/>
    </font>
    <font>
      <sz val="11"/>
      <color theme="1"/>
      <name val="FreeSans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E2EFD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61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شاخص ریالی پمپ در برابر CPI (۱۳۹۳=۱، مقیاس لگاریتمی)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Drivers!D23</c:f>
              <c:strCache>
                <c:ptCount val="1"/>
                <c:pt idx="0">
                  <c:v>شاخص ریالی پمپ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Drivers!$A$24:$A$36</c:f>
              <c:strCache>
                <c:ptCount val="13"/>
                <c:pt idx="0">
                  <c:v>1393</c:v>
                </c:pt>
                <c:pt idx="1">
                  <c:v>1394</c:v>
                </c:pt>
                <c:pt idx="2">
                  <c:v>1395</c:v>
                </c:pt>
                <c:pt idx="3">
                  <c:v>1396</c:v>
                </c:pt>
                <c:pt idx="4">
                  <c:v>1397</c:v>
                </c:pt>
                <c:pt idx="5">
                  <c:v>1398</c:v>
                </c:pt>
                <c:pt idx="6">
                  <c:v>1399</c:v>
                </c:pt>
                <c:pt idx="7">
                  <c:v>1400</c:v>
                </c:pt>
                <c:pt idx="8">
                  <c:v>1401</c:v>
                </c:pt>
                <c:pt idx="9">
                  <c:v>1402</c:v>
                </c:pt>
                <c:pt idx="10">
                  <c:v>1403</c:v>
                </c:pt>
                <c:pt idx="11">
                  <c:v>1404</c:v>
                </c:pt>
                <c:pt idx="12">
                  <c:v>1405</c:v>
                </c:pt>
              </c:strCache>
            </c:strRef>
          </c:cat>
          <c:val>
            <c:numRef>
              <c:f>Drivers!$D$24:$D$36</c:f>
              <c:numCache>
                <c:formatCode>0.00</c:formatCode>
                <c:ptCount val="13"/>
                <c:pt idx="0">
                  <c:v>1</c:v>
                </c:pt>
                <c:pt idx="1">
                  <c:v>0.924480935159471</c:v>
                </c:pt>
                <c:pt idx="2">
                  <c:v>1.01561978123554</c:v>
                </c:pt>
                <c:pt idx="3">
                  <c:v>1.17390234802665</c:v>
                </c:pt>
                <c:pt idx="4">
                  <c:v>2.57302785809876</c:v>
                </c:pt>
                <c:pt idx="5">
                  <c:v>3.51009871347849</c:v>
                </c:pt>
                <c:pt idx="6">
                  <c:v>7.2614312114498</c:v>
                </c:pt>
                <c:pt idx="7">
                  <c:v>8.77336739139846</c:v>
                </c:pt>
                <c:pt idx="8">
                  <c:v>11.0430645143861</c:v>
                </c:pt>
                <c:pt idx="9">
                  <c:v>18.0887961199689</c:v>
                </c:pt>
                <c:pt idx="10">
                  <c:v>22.7673871019042</c:v>
                </c:pt>
                <c:pt idx="11">
                  <c:v>37.667871355563</c:v>
                </c:pt>
                <c:pt idx="12">
                  <c:v>97.7531263276003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Drivers!E23</c:f>
              <c:strCache>
                <c:ptCount val="1"/>
                <c:pt idx="0">
                  <c:v>شاخص CPI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Drivers!$A$24:$A$36</c:f>
              <c:strCache>
                <c:ptCount val="13"/>
                <c:pt idx="0">
                  <c:v>1393</c:v>
                </c:pt>
                <c:pt idx="1">
                  <c:v>1394</c:v>
                </c:pt>
                <c:pt idx="2">
                  <c:v>1395</c:v>
                </c:pt>
                <c:pt idx="3">
                  <c:v>1396</c:v>
                </c:pt>
                <c:pt idx="4">
                  <c:v>1397</c:v>
                </c:pt>
                <c:pt idx="5">
                  <c:v>1398</c:v>
                </c:pt>
                <c:pt idx="6">
                  <c:v>1399</c:v>
                </c:pt>
                <c:pt idx="7">
                  <c:v>1400</c:v>
                </c:pt>
                <c:pt idx="8">
                  <c:v>1401</c:v>
                </c:pt>
                <c:pt idx="9">
                  <c:v>1402</c:v>
                </c:pt>
                <c:pt idx="10">
                  <c:v>1403</c:v>
                </c:pt>
                <c:pt idx="11">
                  <c:v>1404</c:v>
                </c:pt>
                <c:pt idx="12">
                  <c:v>1405</c:v>
                </c:pt>
              </c:strCache>
            </c:strRef>
          </c:cat>
          <c:val>
            <c:numRef>
              <c:f>Drivers!$E$24:$E$36</c:f>
              <c:numCache>
                <c:formatCode>0.00</c:formatCode>
                <c:ptCount val="13"/>
                <c:pt idx="0">
                  <c:v>1</c:v>
                </c:pt>
                <c:pt idx="1">
                  <c:v>1.119</c:v>
                </c:pt>
                <c:pt idx="2">
                  <c:v>1.21971</c:v>
                </c:pt>
                <c:pt idx="3">
                  <c:v>1.33680216</c:v>
                </c:pt>
                <c:pt idx="4">
                  <c:v>1.75388443392</c:v>
                </c:pt>
                <c:pt idx="5">
                  <c:v>2.47648482069504</c:v>
                </c:pt>
                <c:pt idx="6">
                  <c:v>3.64043268642171</c:v>
                </c:pt>
                <c:pt idx="7">
                  <c:v>5.32231258754854</c:v>
                </c:pt>
                <c:pt idx="8">
                  <c:v>7.79718794075861</c:v>
                </c:pt>
                <c:pt idx="9">
                  <c:v>11.6957819111379</c:v>
                </c:pt>
                <c:pt idx="10">
                  <c:v>16.3740946755931</c:v>
                </c:pt>
                <c:pt idx="11">
                  <c:v>26.1985514809489</c:v>
                </c:pt>
                <c:pt idx="12">
                  <c:v>31.4382617771387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482151"/>
        <c:axId val="81341736"/>
      </c:lineChart>
      <c:catAx>
        <c:axId val="3548215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341736"/>
        <c:crosses val="autoZero"/>
        <c:auto val="1"/>
        <c:lblAlgn val="ctr"/>
        <c:lblOffset val="100"/>
        <c:noMultiLvlLbl val="0"/>
      </c:catAx>
      <c:valAx>
        <c:axId val="8134173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برابر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821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-364680</xdr:colOff>
      <xdr:row>20</xdr:row>
      <xdr:rowOff>163080</xdr:rowOff>
    </xdr:from>
    <xdr:to>
      <xdr:col>17</xdr:col>
      <xdr:colOff>0</xdr:colOff>
      <xdr:row>36</xdr:row>
      <xdr:rowOff>11880</xdr:rowOff>
    </xdr:to>
    <xdr:graphicFrame>
      <xdr:nvGraphicFramePr>
        <xdr:cNvPr id="0" name="Chart 1"/>
        <xdr:cNvGraphicFramePr/>
      </xdr:nvGraphicFramePr>
      <xdr:xfrm>
        <a:off x="-18932760" y="43434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ec.europa.eu/eurostat/api/dissemination/statistics/1.0/data/sts_inppd_a?format=JSON&amp;lang=EN&amp;geo=EA20&amp;nace_r2=C2813&amp;unit=I21" TargetMode="External"/><Relationship Id="rId2" Type="http://schemas.openxmlformats.org/officeDocument/2006/relationships/hyperlink" Target="https://fred.stlouisfed.org/data/PCU333914333914" TargetMode="External"/><Relationship Id="rId3" Type="http://schemas.openxmlformats.org/officeDocument/2006/relationships/hyperlink" Target="https://www.ons.gov.uk/economy/inflationandpriceindices/timeseries/ewko/ppi" TargetMode="External"/><Relationship Id="rId4" Type="http://schemas.openxmlformats.org/officeDocument/2006/relationships/hyperlink" Target="https://en.wikipedia.org/wiki/Iranian_rial" TargetMode="External"/><Relationship Id="rId5" Type="http://schemas.openxmlformats.org/officeDocument/2006/relationships/hyperlink" Target="https://parsi.euronews.com/business/2026/09/02/iran-currency-rial-crisi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O67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7" min="6" style="0" width="9"/>
    <col collapsed="false" customWidth="true" hidden="false" outlineLevel="0" max="8" min="8" style="0" width="16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3"/>
    <col collapsed="false" customWidth="true" hidden="false" outlineLevel="0" max="14" min="14" style="0" width="17"/>
    <col collapsed="false" customWidth="true" hidden="false" outlineLevel="0" max="15" min="15" style="0" width="19"/>
  </cols>
  <sheetData>
    <row r="1" customFormat="false" ht="17.35" hidden="false" customHeight="false" outlineLevel="0" collapsed="false">
      <c r="B1" s="1" t="s">
        <v>0</v>
      </c>
    </row>
    <row r="2" customFormat="false" ht="31.5" hidden="false" customHeight="true" outlineLevel="0" collapsed="false">
      <c r="B2" s="2" t="s">
        <v>1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3" t="s">
        <v>2</v>
      </c>
    </row>
    <row r="5" customFormat="false" ht="42" hidden="false" customHeight="true" outlineLevel="0" collapsed="false">
      <c r="B5" s="4" t="s">
        <v>3</v>
      </c>
      <c r="C5" s="4"/>
      <c r="D5" s="4" t="s">
        <v>4</v>
      </c>
      <c r="E5" s="4"/>
      <c r="F5" s="4" t="s">
        <v>5</v>
      </c>
    </row>
    <row r="6" customFormat="false" ht="30" hidden="false" customHeight="true" outlineLevel="0" collapsed="false">
      <c r="B6" s="5" t="s">
        <v>6</v>
      </c>
      <c r="C6" s="5"/>
      <c r="D6" s="6" t="s">
        <v>7</v>
      </c>
      <c r="E6" s="6"/>
      <c r="F6" s="7" t="s">
        <v>8</v>
      </c>
      <c r="G6" s="7"/>
      <c r="H6" s="7"/>
    </row>
    <row r="7" customFormat="false" ht="30" hidden="false" customHeight="true" outlineLevel="0" collapsed="false">
      <c r="B7" s="5" t="s">
        <v>9</v>
      </c>
      <c r="C7" s="5"/>
      <c r="D7" s="6" t="s">
        <v>10</v>
      </c>
      <c r="E7" s="6"/>
      <c r="F7" s="7" t="s">
        <v>11</v>
      </c>
      <c r="G7" s="7"/>
      <c r="H7" s="7"/>
    </row>
    <row r="8" customFormat="false" ht="30" hidden="false" customHeight="true" outlineLevel="0" collapsed="false">
      <c r="B8" s="5" t="s">
        <v>12</v>
      </c>
      <c r="C8" s="5"/>
      <c r="D8" s="8" t="n">
        <v>260000</v>
      </c>
      <c r="E8" s="8"/>
      <c r="F8" s="7" t="s">
        <v>13</v>
      </c>
      <c r="G8" s="7"/>
      <c r="H8" s="7"/>
    </row>
    <row r="9" customFormat="false" ht="30" hidden="false" customHeight="true" outlineLevel="0" collapsed="false">
      <c r="B9" s="5" t="s">
        <v>14</v>
      </c>
      <c r="C9" s="5"/>
      <c r="D9" s="6" t="s">
        <v>15</v>
      </c>
      <c r="E9" s="6"/>
      <c r="F9" s="7" t="s">
        <v>16</v>
      </c>
      <c r="G9" s="7"/>
      <c r="H9" s="7"/>
    </row>
    <row r="10" customFormat="false" ht="30" hidden="false" customHeight="true" outlineLevel="0" collapsed="false">
      <c r="B10" s="5" t="s">
        <v>17</v>
      </c>
      <c r="C10" s="5"/>
      <c r="D10" s="9" t="n">
        <v>1393</v>
      </c>
      <c r="E10" s="9"/>
      <c r="F10" s="7" t="s">
        <v>18</v>
      </c>
      <c r="G10" s="7"/>
      <c r="H10" s="7"/>
    </row>
    <row r="11" customFormat="false" ht="30" hidden="false" customHeight="true" outlineLevel="0" collapsed="false">
      <c r="B11" s="5" t="s">
        <v>19</v>
      </c>
      <c r="C11" s="5"/>
      <c r="D11" s="8"/>
      <c r="E11" s="8"/>
      <c r="F11" s="7" t="s">
        <v>20</v>
      </c>
      <c r="G11" s="7"/>
      <c r="H11" s="7"/>
    </row>
    <row r="12" customFormat="false" ht="30" hidden="false" customHeight="true" outlineLevel="0" collapsed="false">
      <c r="B12" s="5" t="s">
        <v>21</v>
      </c>
      <c r="C12" s="5"/>
      <c r="D12" s="9" t="n">
        <v>1405</v>
      </c>
      <c r="E12" s="9"/>
      <c r="F12" s="7" t="s">
        <v>22</v>
      </c>
      <c r="G12" s="7"/>
      <c r="H12" s="7"/>
    </row>
    <row r="13" customFormat="false" ht="30" hidden="false" customHeight="true" outlineLevel="0" collapsed="false">
      <c r="B13" s="5" t="s">
        <v>23</v>
      </c>
      <c r="C13" s="5"/>
      <c r="D13" s="8"/>
      <c r="E13" s="8"/>
      <c r="F13" s="7" t="s">
        <v>24</v>
      </c>
      <c r="G13" s="7"/>
      <c r="H13" s="7"/>
    </row>
    <row r="14" customFormat="false" ht="30" hidden="false" customHeight="true" outlineLevel="0" collapsed="false">
      <c r="B14" s="5" t="s">
        <v>25</v>
      </c>
      <c r="C14" s="5"/>
      <c r="D14" s="9" t="n">
        <v>2</v>
      </c>
      <c r="E14" s="9"/>
      <c r="F14" s="7" t="s">
        <v>26</v>
      </c>
      <c r="G14" s="7"/>
      <c r="H14" s="7"/>
    </row>
    <row r="15" customFormat="false" ht="30" hidden="false" customHeight="true" outlineLevel="0" collapsed="false">
      <c r="B15" s="5" t="s">
        <v>27</v>
      </c>
      <c r="C15" s="5"/>
      <c r="D15" s="10" t="n">
        <v>0</v>
      </c>
      <c r="E15" s="10"/>
      <c r="F15" s="7" t="s">
        <v>28</v>
      </c>
      <c r="G15" s="7"/>
      <c r="H15" s="7"/>
    </row>
    <row r="16" customFormat="false" ht="30" hidden="false" customHeight="true" outlineLevel="0" collapsed="false">
      <c r="B16" s="5" t="s">
        <v>29</v>
      </c>
      <c r="C16" s="5"/>
      <c r="D16" s="6" t="s">
        <v>30</v>
      </c>
      <c r="E16" s="6"/>
      <c r="F16" s="7" t="s">
        <v>31</v>
      </c>
      <c r="G16" s="7"/>
      <c r="H16" s="7"/>
    </row>
    <row r="18" customFormat="false" ht="15" hidden="false" customHeight="false" outlineLevel="0" collapsed="false">
      <c r="B18" s="3" t="s">
        <v>32</v>
      </c>
    </row>
    <row r="19" customFormat="false" ht="42" hidden="false" customHeight="true" outlineLevel="0" collapsed="false">
      <c r="B19" s="4" t="s">
        <v>33</v>
      </c>
      <c r="C19" s="4"/>
      <c r="D19" s="4" t="s">
        <v>4</v>
      </c>
      <c r="E19" s="4"/>
      <c r="F19" s="4" t="s">
        <v>34</v>
      </c>
    </row>
    <row r="20" customFormat="false" ht="15" hidden="false" customHeight="false" outlineLevel="0" collapsed="false">
      <c r="B20" s="11" t="s">
        <v>35</v>
      </c>
      <c r="C20" s="11"/>
      <c r="D20" s="12" t="n">
        <f aca="false">IF(D9="EUR",1,IF(D9="USD",INDEX(Indices!$E$51:$E$71,MATCH(D10,Indices!$A$51:$A$71,0)),IF(D11&lt;&gt;"",D11,INDEX(Indices!$G$51:$G$71,MATCH(D10,Indices!$A$51:$A$71,0)))))</f>
        <v>1</v>
      </c>
      <c r="E20" s="12"/>
      <c r="F20" s="13" t="s">
        <v>36</v>
      </c>
      <c r="G20" s="13"/>
      <c r="H20" s="13"/>
    </row>
    <row r="21" customFormat="false" ht="15" hidden="false" customHeight="false" outlineLevel="0" collapsed="false">
      <c r="B21" s="11" t="s">
        <v>37</v>
      </c>
      <c r="C21" s="11"/>
      <c r="D21" s="14" t="n">
        <f aca="false">D8/D20</f>
        <v>260000</v>
      </c>
      <c r="E21" s="14"/>
      <c r="F21" s="13" t="s">
        <v>38</v>
      </c>
      <c r="G21" s="13"/>
      <c r="H21" s="13"/>
    </row>
    <row r="22" customFormat="false" ht="15" hidden="false" customHeight="false" outlineLevel="0" collapsed="false">
      <c r="B22" s="11" t="s">
        <v>39</v>
      </c>
      <c r="C22" s="11"/>
      <c r="D22" s="15" t="n">
        <f aca="false">INDEX(Indices!$C$51:$C$71,MATCH(D10,Indices!$A$51:$A$71,0))</f>
        <v>91.347</v>
      </c>
      <c r="E22" s="15"/>
      <c r="F22" s="13" t="s">
        <v>40</v>
      </c>
      <c r="G22" s="13"/>
      <c r="H22" s="13"/>
    </row>
    <row r="23" customFormat="false" ht="15" hidden="false" customHeight="false" outlineLevel="0" collapsed="false">
      <c r="B23" s="11" t="s">
        <v>41</v>
      </c>
      <c r="C23" s="11"/>
      <c r="D23" s="15" t="n">
        <f aca="false">INDEX(Indices!$C$51:$C$71,MATCH(D12,Indices!$A$51:$A$71,0))</f>
        <v>125.8845036</v>
      </c>
      <c r="E23" s="15"/>
      <c r="F23" s="13" t="s">
        <v>42</v>
      </c>
      <c r="G23" s="13"/>
      <c r="H23" s="13"/>
    </row>
    <row r="24" customFormat="false" ht="15" hidden="false" customHeight="false" outlineLevel="0" collapsed="false">
      <c r="B24" s="11" t="s">
        <v>43</v>
      </c>
      <c r="C24" s="11"/>
      <c r="D24" s="16" t="n">
        <f aca="false">D23/D22</f>
        <v>1.37809127393346</v>
      </c>
      <c r="E24" s="16"/>
      <c r="F24" s="13" t="s">
        <v>44</v>
      </c>
      <c r="G24" s="13"/>
      <c r="H24" s="13"/>
    </row>
    <row r="25" customFormat="false" ht="15" hidden="false" customHeight="false" outlineLevel="0" collapsed="false">
      <c r="B25" s="11" t="s">
        <v>45</v>
      </c>
      <c r="C25" s="11"/>
      <c r="D25" s="14" t="n">
        <f aca="false">D21*D24</f>
        <v>358303.7312227</v>
      </c>
      <c r="E25" s="14"/>
      <c r="F25" s="13"/>
      <c r="G25" s="13"/>
      <c r="H25" s="13"/>
    </row>
    <row r="26" customFormat="false" ht="15" hidden="false" customHeight="false" outlineLevel="0" collapsed="false">
      <c r="B26" s="11" t="s">
        <v>46</v>
      </c>
      <c r="C26" s="11"/>
      <c r="D26" s="17" t="str">
        <f aca="false">IF(D16="بله","بله",IF(D16="خیر","خیر",IF(AND(D6="گریز از مرکز API 610",OR(LEFT(D7,1)="S",LEFT(D7,1)="D")),"بله","خیر")))</f>
        <v>بله</v>
      </c>
      <c r="E26" s="17"/>
      <c r="F26" s="13" t="s">
        <v>47</v>
      </c>
      <c r="G26" s="13"/>
      <c r="H26" s="13"/>
    </row>
    <row r="27" customFormat="false" ht="15" hidden="false" customHeight="false" outlineLevel="0" collapsed="false">
      <c r="B27" s="11" t="s">
        <v>48</v>
      </c>
      <c r="C27" s="11"/>
      <c r="D27" s="14" t="n">
        <f aca="false">Val_EUR_Pumps!$E$16*D23/INDEX(Indices!$C$51:$C$71,MATCH(1404,Indices!$A$51:$A$71,0))</f>
        <v>25500</v>
      </c>
      <c r="E27" s="14"/>
      <c r="F27" s="13" t="s">
        <v>49</v>
      </c>
      <c r="G27" s="13"/>
      <c r="H27" s="13"/>
    </row>
    <row r="28" customFormat="false" ht="15" hidden="false" customHeight="false" outlineLevel="0" collapsed="false">
      <c r="B28" s="11" t="s">
        <v>50</v>
      </c>
      <c r="C28" s="11"/>
      <c r="D28" s="14" t="n">
        <f aca="false">IF(D26="بله",MAX(D25,D27),D25)</f>
        <v>358303.7312227</v>
      </c>
      <c r="E28" s="14"/>
      <c r="F28" s="13"/>
      <c r="G28" s="13"/>
      <c r="H28" s="13"/>
    </row>
    <row r="29" customFormat="false" ht="15" hidden="false" customHeight="false" outlineLevel="0" collapsed="false">
      <c r="B29" s="11" t="s">
        <v>51</v>
      </c>
      <c r="C29" s="11"/>
      <c r="D29" s="14" t="n">
        <f aca="false">IF(D13&lt;&gt;"",D13,INDEX(Indices!$G$51:$G$71,MATCH(D12,Indices!$A$51:$A$71,0)))</f>
        <v>2875000</v>
      </c>
      <c r="E29" s="14"/>
      <c r="F29" s="13" t="s">
        <v>52</v>
      </c>
      <c r="G29" s="13"/>
      <c r="H29" s="13"/>
    </row>
    <row r="30" customFormat="false" ht="15" hidden="false" customHeight="false" outlineLevel="0" collapsed="false">
      <c r="B30" s="11" t="s">
        <v>53</v>
      </c>
      <c r="C30" s="11"/>
      <c r="D30" s="14" t="n">
        <f aca="false">D28*D29</f>
        <v>1030123227265.26</v>
      </c>
      <c r="E30" s="14"/>
      <c r="F30" s="13"/>
      <c r="G30" s="13"/>
      <c r="H30" s="13"/>
    </row>
    <row r="31" customFormat="false" ht="15" hidden="false" customHeight="false" outlineLevel="0" collapsed="false">
      <c r="B31" s="11" t="s">
        <v>54</v>
      </c>
      <c r="C31" s="11"/>
      <c r="D31" s="14" t="n">
        <f aca="false">D30*D15</f>
        <v>0</v>
      </c>
      <c r="E31" s="14"/>
      <c r="F31" s="13"/>
      <c r="G31" s="13"/>
      <c r="H31" s="13"/>
    </row>
    <row r="33" customFormat="false" ht="15" hidden="false" customHeight="false" outlineLevel="0" collapsed="false">
      <c r="B33" s="3" t="s">
        <v>55</v>
      </c>
    </row>
    <row r="34" customFormat="false" ht="21.75" hidden="false" customHeight="true" outlineLevel="0" collapsed="false">
      <c r="B34" s="5" t="s">
        <v>56</v>
      </c>
      <c r="C34" s="5"/>
      <c r="D34" s="18" t="n">
        <f aca="false">D30+D31</f>
        <v>1030123227265.26</v>
      </c>
      <c r="E34" s="18"/>
    </row>
    <row r="35" customFormat="false" ht="21.75" hidden="false" customHeight="true" outlineLevel="0" collapsed="false">
      <c r="B35" s="5" t="s">
        <v>57</v>
      </c>
      <c r="C35" s="5"/>
      <c r="D35" s="18" t="n">
        <f aca="false">D34*D14</f>
        <v>2060246454530.53</v>
      </c>
      <c r="E35" s="18"/>
    </row>
    <row r="36" customFormat="false" ht="21.75" hidden="false" customHeight="true" outlineLevel="0" collapsed="false">
      <c r="B36" s="5" t="s">
        <v>58</v>
      </c>
      <c r="C36" s="5"/>
      <c r="D36" s="18" t="n">
        <f aca="false">D35/10</f>
        <v>206024645453.053</v>
      </c>
      <c r="E36" s="18"/>
    </row>
    <row r="37" customFormat="false" ht="21.75" hidden="false" customHeight="true" outlineLevel="0" collapsed="false">
      <c r="B37" s="5" t="s">
        <v>59</v>
      </c>
      <c r="C37" s="5"/>
      <c r="D37" s="18" t="n">
        <f aca="false">D28*(1+D15)*D14</f>
        <v>716607.4624454</v>
      </c>
      <c r="E37" s="18"/>
    </row>
    <row r="38" customFormat="false" ht="21.75" hidden="false" customHeight="true" outlineLevel="0" collapsed="false">
      <c r="B38" s="5" t="s">
        <v>60</v>
      </c>
      <c r="C38" s="5"/>
      <c r="D38" s="18" t="n">
        <f aca="false">D37*INDEX(Indices!$E$51:$E$71,MATCH(D12,Indices!$A$51:$A$71,0))</f>
        <v>824098.58181221</v>
      </c>
      <c r="E38" s="18"/>
    </row>
    <row r="40" customFormat="false" ht="30" hidden="false" customHeight="true" outlineLevel="0" collapsed="false">
      <c r="B40" s="19" t="s">
        <v>61</v>
      </c>
      <c r="D40" s="20" t="str">
        <f aca="false">IF(D10&gt;D12,"سال پایه بعد از سال هدف است. ","")&amp;IF(D6="آتش‌نشانی","پمپ آتش‌نشانی: دامنه کار (پمپ تنها یا پکیج NFPA 20) را مشخص کنید؛ پراکندگی استعلام‌ها بسیار زیاد است. ","")&amp;IF(D6="پکیج تزریق مواد","پکیج تزریق: روش روی ۱۱ پکیج پازنان آزموده شده (خطای حدود ±۱۰٪). ","")&amp;IF(D12&gt;=1405,"شاخص پمپ برای ۱۴۰۵ پیش‌بینی است (رشد در Indices!C4). ","")&amp;IF(AND(D9="IRR",D11=""),"قیمت ریالی بدون نرخ تسعیر منبع: نرخ تقریبی Indices استفاده شد. ","")</f>
        <v>شاخص پمپ برای ۱۴۰۵ پیش‌بینی است (رشد در Indices!C4). </v>
      </c>
      <c r="E40" s="20"/>
      <c r="F40" s="20"/>
      <c r="G40" s="20"/>
      <c r="H40" s="20"/>
    </row>
    <row r="41" customFormat="false" ht="15" hidden="false" customHeight="false" outlineLevel="0" collapsed="false">
      <c r="D41" s="20"/>
      <c r="E41" s="20"/>
      <c r="F41" s="20"/>
      <c r="G41" s="20"/>
      <c r="H41" s="20"/>
    </row>
    <row r="43" customFormat="false" ht="15" hidden="false" customHeight="false" outlineLevel="0" collapsed="false">
      <c r="B43" s="3" t="s">
        <v>62</v>
      </c>
    </row>
    <row r="44" customFormat="false" ht="42" hidden="false" customHeight="true" outlineLevel="0" collapsed="false">
      <c r="B44" s="4" t="s">
        <v>63</v>
      </c>
      <c r="C44" s="4" t="s">
        <v>6</v>
      </c>
      <c r="D44" s="4" t="s">
        <v>64</v>
      </c>
      <c r="E44" s="4" t="s">
        <v>12</v>
      </c>
      <c r="F44" s="4" t="s">
        <v>65</v>
      </c>
      <c r="G44" s="4" t="s">
        <v>66</v>
      </c>
      <c r="H44" s="4" t="s">
        <v>67</v>
      </c>
      <c r="I44" s="4" t="s">
        <v>25</v>
      </c>
      <c r="J44" s="4" t="s">
        <v>68</v>
      </c>
      <c r="K44" s="4" t="s">
        <v>69</v>
      </c>
      <c r="L44" s="4" t="s">
        <v>70</v>
      </c>
      <c r="M44" s="4" t="s">
        <v>71</v>
      </c>
      <c r="N44" s="4" t="s">
        <v>72</v>
      </c>
      <c r="O44" s="4" t="s">
        <v>73</v>
      </c>
    </row>
    <row r="45" customFormat="false" ht="15" hidden="false" customHeight="false" outlineLevel="0" collapsed="false">
      <c r="B45" s="6" t="s">
        <v>74</v>
      </c>
      <c r="C45" s="6" t="s">
        <v>7</v>
      </c>
      <c r="D45" s="6" t="s">
        <v>75</v>
      </c>
      <c r="E45" s="8" t="n">
        <v>55000</v>
      </c>
      <c r="F45" s="6" t="s">
        <v>15</v>
      </c>
      <c r="G45" s="9" t="n">
        <v>1394</v>
      </c>
      <c r="H45" s="8"/>
      <c r="I45" s="9" t="n">
        <v>3</v>
      </c>
      <c r="J45" s="6" t="s">
        <v>30</v>
      </c>
      <c r="K45" s="21" t="n">
        <f aca="false">IF(E45="","",E45/IF(F45="EUR",1,IF(F45="USD",INDEX(Indices!$E$51:$E$71,MATCH(G45,Indices!$A$51:$A$71,0)),IF(H45&lt;&gt;"",H45,INDEX(Indices!$G$51:$G$71,MATCH(G45,Indices!$A$51:$A$71,0))))))</f>
        <v>55000</v>
      </c>
      <c r="L45" s="22" t="n">
        <f aca="false">IF(E45="","",INDEX(Indices!$C$51:$C$71,MATCH($D$12,Indices!$A$51:$A$71,0))/INDEX(Indices!$C$51:$C$71,MATCH(G45,Indices!$A$51:$A$71,0)))</f>
        <v>1.36761115082512</v>
      </c>
      <c r="M45" s="21" t="n">
        <f aca="false">IF(E45="","",IF(OR(J45="بله",AND(J45&lt;&gt;"خیر",C45="گریز از مرکز API 610",OR(LEFT(D45,1)="S",LEFT(D45,1)="D"))),MAX(K45*L45,$D$27),K45*L45))</f>
        <v>75218.6132953817</v>
      </c>
      <c r="N45" s="21" t="n">
        <f aca="false">IF(E45="","",M45*$D$29*(1+$D$15))</f>
        <v>216253513224.222</v>
      </c>
      <c r="O45" s="21" t="n">
        <f aca="false">IF(E45="","",N45*I45)</f>
        <v>648760539672.667</v>
      </c>
    </row>
    <row r="46" customFormat="false" ht="15" hidden="false" customHeight="false" outlineLevel="0" collapsed="false">
      <c r="B46" s="6" t="s">
        <v>76</v>
      </c>
      <c r="C46" s="6" t="s">
        <v>7</v>
      </c>
      <c r="D46" s="6" t="s">
        <v>77</v>
      </c>
      <c r="E46" s="8" t="n">
        <v>13215061212</v>
      </c>
      <c r="F46" s="6" t="s">
        <v>78</v>
      </c>
      <c r="G46" s="9" t="n">
        <v>1402</v>
      </c>
      <c r="H46" s="8" t="n">
        <v>455692</v>
      </c>
      <c r="I46" s="9" t="n">
        <v>1</v>
      </c>
      <c r="J46" s="6" t="s">
        <v>30</v>
      </c>
      <c r="K46" s="21" t="n">
        <f aca="false">IF(E46="","",E46/IF(F46="EUR",1,IF(F46="USD",INDEX(Indices!$E$51:$E$71,MATCH(G46,Indices!$A$51:$A$71,0)),IF(H46&lt;&gt;"",H46,INDEX(Indices!$G$51:$G$71,MATCH(G46,Indices!$A$51:$A$71,0))))))</f>
        <v>28999.9851039737</v>
      </c>
      <c r="L46" s="22" t="n">
        <f aca="false">IF(E46="","",INDEX(Indices!$C$51:$C$71,MATCH($D$12,Indices!$A$51:$A$71,0))/INDEX(Indices!$C$51:$C$71,MATCH(G46,Indices!$A$51:$A$71,0)))</f>
        <v>1.05562639810148</v>
      </c>
      <c r="M46" s="21" t="n">
        <f aca="false">IF(E46="","",IF(OR(J46="بله",AND(J46&lt;&gt;"خیر",C46="گریز از مرکز API 610",OR(LEFT(D46,1)="S",LEFT(D46,1)="D"))),MAX(K46*L46,$D$27),K46*L46))</f>
        <v>30613.1498203045</v>
      </c>
      <c r="N46" s="21" t="n">
        <f aca="false">IF(E46="","",M46*$D$29*(1+$D$15))</f>
        <v>88012805733.3754</v>
      </c>
      <c r="O46" s="21" t="n">
        <f aca="false">IF(E46="","",N46*I46)</f>
        <v>88012805733.3754</v>
      </c>
    </row>
    <row r="47" customFormat="false" ht="15" hidden="false" customHeight="false" outlineLevel="0" collapsed="false">
      <c r="B47" s="6" t="s">
        <v>79</v>
      </c>
      <c r="C47" s="6" t="s">
        <v>80</v>
      </c>
      <c r="D47" s="6" t="s">
        <v>81</v>
      </c>
      <c r="E47" s="8" t="n">
        <v>100000000</v>
      </c>
      <c r="F47" s="6" t="s">
        <v>78</v>
      </c>
      <c r="G47" s="9" t="n">
        <v>1393</v>
      </c>
      <c r="H47" s="8"/>
      <c r="I47" s="9" t="n">
        <v>2</v>
      </c>
      <c r="J47" s="6" t="s">
        <v>30</v>
      </c>
      <c r="K47" s="21" t="n">
        <f aca="false">IF(E47="","",E47/IF(F47="EUR",1,IF(F47="USD",INDEX(Indices!$E$51:$E$71,MATCH(G47,Indices!$A$51:$A$71,0)),IF(H47&lt;&gt;"",H47,INDEX(Indices!$G$51:$G$71,MATCH(G47,Indices!$A$51:$A$71,0))))))</f>
        <v>2467.25946687457</v>
      </c>
      <c r="L47" s="22" t="n">
        <f aca="false">IF(E47="","",INDEX(Indices!$C$51:$C$71,MATCH($D$12,Indices!$A$51:$A$71,0))/INDEX(Indices!$C$51:$C$71,MATCH(G47,Indices!$A$51:$A$71,0)))</f>
        <v>1.37809127393346</v>
      </c>
      <c r="M47" s="21" t="n">
        <f aca="false">IF(E47="","",IF(OR(J47="بله",AND(J47&lt;&gt;"خیر",C47="گریز از مرکز API 610",OR(LEFT(D47,1)="S",LEFT(D47,1)="D"))),MAX(K47*L47,$D$27),K47*L47))</f>
        <v>3400.10874182958</v>
      </c>
      <c r="N47" s="21" t="n">
        <f aca="false">IF(E47="","",M47*$D$29*(1+$D$15))</f>
        <v>9775312632.76004</v>
      </c>
      <c r="O47" s="21" t="n">
        <f aca="false">IF(E47="","",N47*I47)</f>
        <v>19550625265.5201</v>
      </c>
    </row>
    <row r="48" customFormat="false" ht="15" hidden="false" customHeight="false" outlineLevel="0" collapsed="false">
      <c r="B48" s="6"/>
      <c r="C48" s="6"/>
      <c r="D48" s="6"/>
      <c r="E48" s="8"/>
      <c r="F48" s="6"/>
      <c r="G48" s="9"/>
      <c r="H48" s="8"/>
      <c r="I48" s="9"/>
      <c r="J48" s="6" t="s">
        <v>30</v>
      </c>
      <c r="K48" s="21" t="str">
        <f aca="false">IF(E48="","",E48/IF(F48="EUR",1,IF(F48="USD",INDEX(Indices!$E$51:$E$71,MATCH(G48,Indices!$A$51:$A$71,0)),IF(H48&lt;&gt;"",H48,INDEX(Indices!$G$51:$G$71,MATCH(G48,Indices!$A$51:$A$71,0))))))</f>
        <v/>
      </c>
      <c r="L48" s="22" t="str">
        <f aca="false">IF(E48="","",INDEX(Indices!$C$51:$C$71,MATCH($D$12,Indices!$A$51:$A$71,0))/INDEX(Indices!$C$51:$C$71,MATCH(G48,Indices!$A$51:$A$71,0)))</f>
        <v/>
      </c>
      <c r="M48" s="21" t="str">
        <f aca="false">IF(E48="","",IF(OR(J48="بله",AND(J48&lt;&gt;"خیر",C48="گریز از مرکز API 610",OR(LEFT(D48,1)="S",LEFT(D48,1)="D"))),MAX(K48*L48,$D$27),K48*L48))</f>
        <v/>
      </c>
      <c r="N48" s="21" t="str">
        <f aca="false">IF(E48="","",M48*$D$29*(1+$D$15))</f>
        <v/>
      </c>
      <c r="O48" s="21" t="str">
        <f aca="false">IF(E48="","",N48*I48)</f>
        <v/>
      </c>
    </row>
    <row r="49" customFormat="false" ht="15" hidden="false" customHeight="false" outlineLevel="0" collapsed="false">
      <c r="B49" s="6"/>
      <c r="C49" s="6"/>
      <c r="D49" s="6"/>
      <c r="E49" s="8"/>
      <c r="F49" s="6"/>
      <c r="G49" s="9"/>
      <c r="H49" s="8"/>
      <c r="I49" s="9"/>
      <c r="J49" s="6" t="s">
        <v>30</v>
      </c>
      <c r="K49" s="21" t="str">
        <f aca="false">IF(E49="","",E49/IF(F49="EUR",1,IF(F49="USD",INDEX(Indices!$E$51:$E$71,MATCH(G49,Indices!$A$51:$A$71,0)),IF(H49&lt;&gt;"",H49,INDEX(Indices!$G$51:$G$71,MATCH(G49,Indices!$A$51:$A$71,0))))))</f>
        <v/>
      </c>
      <c r="L49" s="22" t="str">
        <f aca="false">IF(E49="","",INDEX(Indices!$C$51:$C$71,MATCH($D$12,Indices!$A$51:$A$71,0))/INDEX(Indices!$C$51:$C$71,MATCH(G49,Indices!$A$51:$A$71,0)))</f>
        <v/>
      </c>
      <c r="M49" s="21" t="str">
        <f aca="false">IF(E49="","",IF(OR(J49="بله",AND(J49&lt;&gt;"خیر",C49="گریز از مرکز API 610",OR(LEFT(D49,1)="S",LEFT(D49,1)="D"))),MAX(K49*L49,$D$27),K49*L49))</f>
        <v/>
      </c>
      <c r="N49" s="21" t="str">
        <f aca="false">IF(E49="","",M49*$D$29*(1+$D$15))</f>
        <v/>
      </c>
      <c r="O49" s="21" t="str">
        <f aca="false">IF(E49="","",N49*I49)</f>
        <v/>
      </c>
    </row>
    <row r="50" customFormat="false" ht="15" hidden="false" customHeight="false" outlineLevel="0" collapsed="false">
      <c r="B50" s="6"/>
      <c r="C50" s="6"/>
      <c r="D50" s="6"/>
      <c r="E50" s="8"/>
      <c r="F50" s="6"/>
      <c r="G50" s="9"/>
      <c r="H50" s="8"/>
      <c r="I50" s="9"/>
      <c r="J50" s="6" t="s">
        <v>30</v>
      </c>
      <c r="K50" s="21" t="str">
        <f aca="false">IF(E50="","",E50/IF(F50="EUR",1,IF(F50="USD",INDEX(Indices!$E$51:$E$71,MATCH(G50,Indices!$A$51:$A$71,0)),IF(H50&lt;&gt;"",H50,INDEX(Indices!$G$51:$G$71,MATCH(G50,Indices!$A$51:$A$71,0))))))</f>
        <v/>
      </c>
      <c r="L50" s="22" t="str">
        <f aca="false">IF(E50="","",INDEX(Indices!$C$51:$C$71,MATCH($D$12,Indices!$A$51:$A$71,0))/INDEX(Indices!$C$51:$C$71,MATCH(G50,Indices!$A$51:$A$71,0)))</f>
        <v/>
      </c>
      <c r="M50" s="21" t="str">
        <f aca="false">IF(E50="","",IF(OR(J50="بله",AND(J50&lt;&gt;"خیر",C50="گریز از مرکز API 610",OR(LEFT(D50,1)="S",LEFT(D50,1)="D"))),MAX(K50*L50,$D$27),K50*L50))</f>
        <v/>
      </c>
      <c r="N50" s="21" t="str">
        <f aca="false">IF(E50="","",M50*$D$29*(1+$D$15))</f>
        <v/>
      </c>
      <c r="O50" s="21" t="str">
        <f aca="false">IF(E50="","",N50*I50)</f>
        <v/>
      </c>
    </row>
    <row r="51" customFormat="false" ht="15" hidden="false" customHeight="false" outlineLevel="0" collapsed="false">
      <c r="B51" s="6"/>
      <c r="C51" s="6"/>
      <c r="D51" s="6"/>
      <c r="E51" s="8"/>
      <c r="F51" s="6"/>
      <c r="G51" s="9"/>
      <c r="H51" s="8"/>
      <c r="I51" s="9"/>
      <c r="J51" s="6" t="s">
        <v>30</v>
      </c>
      <c r="K51" s="21" t="str">
        <f aca="false">IF(E51="","",E51/IF(F51="EUR",1,IF(F51="USD",INDEX(Indices!$E$51:$E$71,MATCH(G51,Indices!$A$51:$A$71,0)),IF(H51&lt;&gt;"",H51,INDEX(Indices!$G$51:$G$71,MATCH(G51,Indices!$A$51:$A$71,0))))))</f>
        <v/>
      </c>
      <c r="L51" s="22" t="str">
        <f aca="false">IF(E51="","",INDEX(Indices!$C$51:$C$71,MATCH($D$12,Indices!$A$51:$A$71,0))/INDEX(Indices!$C$51:$C$71,MATCH(G51,Indices!$A$51:$A$71,0)))</f>
        <v/>
      </c>
      <c r="M51" s="21" t="str">
        <f aca="false">IF(E51="","",IF(OR(J51="بله",AND(J51&lt;&gt;"خیر",C51="گریز از مرکز API 610",OR(LEFT(D51,1)="S",LEFT(D51,1)="D"))),MAX(K51*L51,$D$27),K51*L51))</f>
        <v/>
      </c>
      <c r="N51" s="21" t="str">
        <f aca="false">IF(E51="","",M51*$D$29*(1+$D$15))</f>
        <v/>
      </c>
      <c r="O51" s="21" t="str">
        <f aca="false">IF(E51="","",N51*I51)</f>
        <v/>
      </c>
    </row>
    <row r="52" customFormat="false" ht="15" hidden="false" customHeight="false" outlineLevel="0" collapsed="false">
      <c r="B52" s="6"/>
      <c r="C52" s="6"/>
      <c r="D52" s="6"/>
      <c r="E52" s="8"/>
      <c r="F52" s="6"/>
      <c r="G52" s="9"/>
      <c r="H52" s="8"/>
      <c r="I52" s="9"/>
      <c r="J52" s="6" t="s">
        <v>30</v>
      </c>
      <c r="K52" s="21" t="str">
        <f aca="false">IF(E52="","",E52/IF(F52="EUR",1,IF(F52="USD",INDEX(Indices!$E$51:$E$71,MATCH(G52,Indices!$A$51:$A$71,0)),IF(H52&lt;&gt;"",H52,INDEX(Indices!$G$51:$G$71,MATCH(G52,Indices!$A$51:$A$71,0))))))</f>
        <v/>
      </c>
      <c r="L52" s="22" t="str">
        <f aca="false">IF(E52="","",INDEX(Indices!$C$51:$C$71,MATCH($D$12,Indices!$A$51:$A$71,0))/INDEX(Indices!$C$51:$C$71,MATCH(G52,Indices!$A$51:$A$71,0)))</f>
        <v/>
      </c>
      <c r="M52" s="21" t="str">
        <f aca="false">IF(E52="","",IF(OR(J52="بله",AND(J52&lt;&gt;"خیر",C52="گریز از مرکز API 610",OR(LEFT(D52,1)="S",LEFT(D52,1)="D"))),MAX(K52*L52,$D$27),K52*L52))</f>
        <v/>
      </c>
      <c r="N52" s="21" t="str">
        <f aca="false">IF(E52="","",M52*$D$29*(1+$D$15))</f>
        <v/>
      </c>
      <c r="O52" s="21" t="str">
        <f aca="false">IF(E52="","",N52*I52)</f>
        <v/>
      </c>
    </row>
    <row r="53" customFormat="false" ht="15" hidden="false" customHeight="false" outlineLevel="0" collapsed="false">
      <c r="B53" s="6"/>
      <c r="C53" s="6"/>
      <c r="D53" s="6"/>
      <c r="E53" s="8"/>
      <c r="F53" s="6"/>
      <c r="G53" s="9"/>
      <c r="H53" s="8"/>
      <c r="I53" s="9"/>
      <c r="J53" s="6" t="s">
        <v>30</v>
      </c>
      <c r="K53" s="21" t="str">
        <f aca="false">IF(E53="","",E53/IF(F53="EUR",1,IF(F53="USD",INDEX(Indices!$E$51:$E$71,MATCH(G53,Indices!$A$51:$A$71,0)),IF(H53&lt;&gt;"",H53,INDEX(Indices!$G$51:$G$71,MATCH(G53,Indices!$A$51:$A$71,0))))))</f>
        <v/>
      </c>
      <c r="L53" s="22" t="str">
        <f aca="false">IF(E53="","",INDEX(Indices!$C$51:$C$71,MATCH($D$12,Indices!$A$51:$A$71,0))/INDEX(Indices!$C$51:$C$71,MATCH(G53,Indices!$A$51:$A$71,0)))</f>
        <v/>
      </c>
      <c r="M53" s="21" t="str">
        <f aca="false">IF(E53="","",IF(OR(J53="بله",AND(J53&lt;&gt;"خیر",C53="گریز از مرکز API 610",OR(LEFT(D53,1)="S",LEFT(D53,1)="D"))),MAX(K53*L53,$D$27),K53*L53))</f>
        <v/>
      </c>
      <c r="N53" s="21" t="str">
        <f aca="false">IF(E53="","",M53*$D$29*(1+$D$15))</f>
        <v/>
      </c>
      <c r="O53" s="21" t="str">
        <f aca="false">IF(E53="","",N53*I53)</f>
        <v/>
      </c>
    </row>
    <row r="54" customFormat="false" ht="15" hidden="false" customHeight="false" outlineLevel="0" collapsed="false">
      <c r="B54" s="6"/>
      <c r="C54" s="6"/>
      <c r="D54" s="6"/>
      <c r="E54" s="8"/>
      <c r="F54" s="6"/>
      <c r="G54" s="9"/>
      <c r="H54" s="8"/>
      <c r="I54" s="9"/>
      <c r="J54" s="6" t="s">
        <v>30</v>
      </c>
      <c r="K54" s="21" t="str">
        <f aca="false">IF(E54="","",E54/IF(F54="EUR",1,IF(F54="USD",INDEX(Indices!$E$51:$E$71,MATCH(G54,Indices!$A$51:$A$71,0)),IF(H54&lt;&gt;"",H54,INDEX(Indices!$G$51:$G$71,MATCH(G54,Indices!$A$51:$A$71,0))))))</f>
        <v/>
      </c>
      <c r="L54" s="22" t="str">
        <f aca="false">IF(E54="","",INDEX(Indices!$C$51:$C$71,MATCH($D$12,Indices!$A$51:$A$71,0))/INDEX(Indices!$C$51:$C$71,MATCH(G54,Indices!$A$51:$A$71,0)))</f>
        <v/>
      </c>
      <c r="M54" s="21" t="str">
        <f aca="false">IF(E54="","",IF(OR(J54="بله",AND(J54&lt;&gt;"خیر",C54="گریز از مرکز API 610",OR(LEFT(D54,1)="S",LEFT(D54,1)="D"))),MAX(K54*L54,$D$27),K54*L54))</f>
        <v/>
      </c>
      <c r="N54" s="21" t="str">
        <f aca="false">IF(E54="","",M54*$D$29*(1+$D$15))</f>
        <v/>
      </c>
      <c r="O54" s="21" t="str">
        <f aca="false">IF(E54="","",N54*I54)</f>
        <v/>
      </c>
    </row>
    <row r="55" customFormat="false" ht="15" hidden="false" customHeight="false" outlineLevel="0" collapsed="false">
      <c r="B55" s="6"/>
      <c r="C55" s="6"/>
      <c r="D55" s="6"/>
      <c r="E55" s="8"/>
      <c r="F55" s="6"/>
      <c r="G55" s="9"/>
      <c r="H55" s="8"/>
      <c r="I55" s="9"/>
      <c r="J55" s="6" t="s">
        <v>30</v>
      </c>
      <c r="K55" s="21" t="str">
        <f aca="false">IF(E55="","",E55/IF(F55="EUR",1,IF(F55="USD",INDEX(Indices!$E$51:$E$71,MATCH(G55,Indices!$A$51:$A$71,0)),IF(H55&lt;&gt;"",H55,INDEX(Indices!$G$51:$G$71,MATCH(G55,Indices!$A$51:$A$71,0))))))</f>
        <v/>
      </c>
      <c r="L55" s="22" t="str">
        <f aca="false">IF(E55="","",INDEX(Indices!$C$51:$C$71,MATCH($D$12,Indices!$A$51:$A$71,0))/INDEX(Indices!$C$51:$C$71,MATCH(G55,Indices!$A$51:$A$71,0)))</f>
        <v/>
      </c>
      <c r="M55" s="21" t="str">
        <f aca="false">IF(E55="","",IF(OR(J55="بله",AND(J55&lt;&gt;"خیر",C55="گریز از مرکز API 610",OR(LEFT(D55,1)="S",LEFT(D55,1)="D"))),MAX(K55*L55,$D$27),K55*L55))</f>
        <v/>
      </c>
      <c r="N55" s="21" t="str">
        <f aca="false">IF(E55="","",M55*$D$29*(1+$D$15))</f>
        <v/>
      </c>
      <c r="O55" s="21" t="str">
        <f aca="false">IF(E55="","",N55*I55)</f>
        <v/>
      </c>
    </row>
    <row r="56" customFormat="false" ht="15" hidden="false" customHeight="false" outlineLevel="0" collapsed="false">
      <c r="B56" s="6"/>
      <c r="C56" s="6"/>
      <c r="D56" s="6"/>
      <c r="E56" s="8"/>
      <c r="F56" s="6"/>
      <c r="G56" s="9"/>
      <c r="H56" s="8"/>
      <c r="I56" s="9"/>
      <c r="J56" s="6" t="s">
        <v>30</v>
      </c>
      <c r="K56" s="21" t="str">
        <f aca="false">IF(E56="","",E56/IF(F56="EUR",1,IF(F56="USD",INDEX(Indices!$E$51:$E$71,MATCH(G56,Indices!$A$51:$A$71,0)),IF(H56&lt;&gt;"",H56,INDEX(Indices!$G$51:$G$71,MATCH(G56,Indices!$A$51:$A$71,0))))))</f>
        <v/>
      </c>
      <c r="L56" s="22" t="str">
        <f aca="false">IF(E56="","",INDEX(Indices!$C$51:$C$71,MATCH($D$12,Indices!$A$51:$A$71,0))/INDEX(Indices!$C$51:$C$71,MATCH(G56,Indices!$A$51:$A$71,0)))</f>
        <v/>
      </c>
      <c r="M56" s="21" t="str">
        <f aca="false">IF(E56="","",IF(OR(J56="بله",AND(J56&lt;&gt;"خیر",C56="گریز از مرکز API 610",OR(LEFT(D56,1)="S",LEFT(D56,1)="D"))),MAX(K56*L56,$D$27),K56*L56))</f>
        <v/>
      </c>
      <c r="N56" s="21" t="str">
        <f aca="false">IF(E56="","",M56*$D$29*(1+$D$15))</f>
        <v/>
      </c>
      <c r="O56" s="21" t="str">
        <f aca="false">IF(E56="","",N56*I56)</f>
        <v/>
      </c>
    </row>
    <row r="57" customFormat="false" ht="15" hidden="false" customHeight="false" outlineLevel="0" collapsed="false">
      <c r="B57" s="6"/>
      <c r="C57" s="6"/>
      <c r="D57" s="6"/>
      <c r="E57" s="8"/>
      <c r="F57" s="6"/>
      <c r="G57" s="9"/>
      <c r="H57" s="8"/>
      <c r="I57" s="9"/>
      <c r="J57" s="6" t="s">
        <v>30</v>
      </c>
      <c r="K57" s="21" t="str">
        <f aca="false">IF(E57="","",E57/IF(F57="EUR",1,IF(F57="USD",INDEX(Indices!$E$51:$E$71,MATCH(G57,Indices!$A$51:$A$71,0)),IF(H57&lt;&gt;"",H57,INDEX(Indices!$G$51:$G$71,MATCH(G57,Indices!$A$51:$A$71,0))))))</f>
        <v/>
      </c>
      <c r="L57" s="22" t="str">
        <f aca="false">IF(E57="","",INDEX(Indices!$C$51:$C$71,MATCH($D$12,Indices!$A$51:$A$71,0))/INDEX(Indices!$C$51:$C$71,MATCH(G57,Indices!$A$51:$A$71,0)))</f>
        <v/>
      </c>
      <c r="M57" s="21" t="str">
        <f aca="false">IF(E57="","",IF(OR(J57="بله",AND(J57&lt;&gt;"خیر",C57="گریز از مرکز API 610",OR(LEFT(D57,1)="S",LEFT(D57,1)="D"))),MAX(K57*L57,$D$27),K57*L57))</f>
        <v/>
      </c>
      <c r="N57" s="21" t="str">
        <f aca="false">IF(E57="","",M57*$D$29*(1+$D$15))</f>
        <v/>
      </c>
      <c r="O57" s="21" t="str">
        <f aca="false">IF(E57="","",N57*I57)</f>
        <v/>
      </c>
    </row>
    <row r="58" customFormat="false" ht="15" hidden="false" customHeight="false" outlineLevel="0" collapsed="false">
      <c r="B58" s="6"/>
      <c r="C58" s="6"/>
      <c r="D58" s="6"/>
      <c r="E58" s="8"/>
      <c r="F58" s="6"/>
      <c r="G58" s="9"/>
      <c r="H58" s="8"/>
      <c r="I58" s="9"/>
      <c r="J58" s="6" t="s">
        <v>30</v>
      </c>
      <c r="K58" s="21" t="str">
        <f aca="false">IF(E58="","",E58/IF(F58="EUR",1,IF(F58="USD",INDEX(Indices!$E$51:$E$71,MATCH(G58,Indices!$A$51:$A$71,0)),IF(H58&lt;&gt;"",H58,INDEX(Indices!$G$51:$G$71,MATCH(G58,Indices!$A$51:$A$71,0))))))</f>
        <v/>
      </c>
      <c r="L58" s="22" t="str">
        <f aca="false">IF(E58="","",INDEX(Indices!$C$51:$C$71,MATCH($D$12,Indices!$A$51:$A$71,0))/INDEX(Indices!$C$51:$C$71,MATCH(G58,Indices!$A$51:$A$71,0)))</f>
        <v/>
      </c>
      <c r="M58" s="21" t="str">
        <f aca="false">IF(E58="","",IF(OR(J58="بله",AND(J58&lt;&gt;"خیر",C58="گریز از مرکز API 610",OR(LEFT(D58,1)="S",LEFT(D58,1)="D"))),MAX(K58*L58,$D$27),K58*L58))</f>
        <v/>
      </c>
      <c r="N58" s="21" t="str">
        <f aca="false">IF(E58="","",M58*$D$29*(1+$D$15))</f>
        <v/>
      </c>
      <c r="O58" s="21" t="str">
        <f aca="false">IF(E58="","",N58*I58)</f>
        <v/>
      </c>
    </row>
    <row r="59" customFormat="false" ht="15" hidden="false" customHeight="false" outlineLevel="0" collapsed="false">
      <c r="B59" s="6"/>
      <c r="C59" s="6"/>
      <c r="D59" s="6"/>
      <c r="E59" s="8"/>
      <c r="F59" s="6"/>
      <c r="G59" s="9"/>
      <c r="H59" s="8"/>
      <c r="I59" s="9"/>
      <c r="J59" s="6" t="s">
        <v>30</v>
      </c>
      <c r="K59" s="21" t="str">
        <f aca="false">IF(E59="","",E59/IF(F59="EUR",1,IF(F59="USD",INDEX(Indices!$E$51:$E$71,MATCH(G59,Indices!$A$51:$A$71,0)),IF(H59&lt;&gt;"",H59,INDEX(Indices!$G$51:$G$71,MATCH(G59,Indices!$A$51:$A$71,0))))))</f>
        <v/>
      </c>
      <c r="L59" s="22" t="str">
        <f aca="false">IF(E59="","",INDEX(Indices!$C$51:$C$71,MATCH($D$12,Indices!$A$51:$A$71,0))/INDEX(Indices!$C$51:$C$71,MATCH(G59,Indices!$A$51:$A$71,0)))</f>
        <v/>
      </c>
      <c r="M59" s="21" t="str">
        <f aca="false">IF(E59="","",IF(OR(J59="بله",AND(J59&lt;&gt;"خیر",C59="گریز از مرکز API 610",OR(LEFT(D59,1)="S",LEFT(D59,1)="D"))),MAX(K59*L59,$D$27),K59*L59))</f>
        <v/>
      </c>
      <c r="N59" s="21" t="str">
        <f aca="false">IF(E59="","",M59*$D$29*(1+$D$15))</f>
        <v/>
      </c>
      <c r="O59" s="21" t="str">
        <f aca="false">IF(E59="","",N59*I59)</f>
        <v/>
      </c>
    </row>
    <row r="60" customFormat="false" ht="15" hidden="false" customHeight="false" outlineLevel="0" collapsed="false">
      <c r="B60" s="6"/>
      <c r="C60" s="6"/>
      <c r="D60" s="6"/>
      <c r="E60" s="8"/>
      <c r="F60" s="6"/>
      <c r="G60" s="9"/>
      <c r="H60" s="8"/>
      <c r="I60" s="9"/>
      <c r="J60" s="6" t="s">
        <v>30</v>
      </c>
      <c r="K60" s="21" t="str">
        <f aca="false">IF(E60="","",E60/IF(F60="EUR",1,IF(F60="USD",INDEX(Indices!$E$51:$E$71,MATCH(G60,Indices!$A$51:$A$71,0)),IF(H60&lt;&gt;"",H60,INDEX(Indices!$G$51:$G$71,MATCH(G60,Indices!$A$51:$A$71,0))))))</f>
        <v/>
      </c>
      <c r="L60" s="22" t="str">
        <f aca="false">IF(E60="","",INDEX(Indices!$C$51:$C$71,MATCH($D$12,Indices!$A$51:$A$71,0))/INDEX(Indices!$C$51:$C$71,MATCH(G60,Indices!$A$51:$A$71,0)))</f>
        <v/>
      </c>
      <c r="M60" s="21" t="str">
        <f aca="false">IF(E60="","",IF(OR(J60="بله",AND(J60&lt;&gt;"خیر",C60="گریز از مرکز API 610",OR(LEFT(D60,1)="S",LEFT(D60,1)="D"))),MAX(K60*L60,$D$27),K60*L60))</f>
        <v/>
      </c>
      <c r="N60" s="21" t="str">
        <f aca="false">IF(E60="","",M60*$D$29*(1+$D$15))</f>
        <v/>
      </c>
      <c r="O60" s="21" t="str">
        <f aca="false">IF(E60="","",N60*I60)</f>
        <v/>
      </c>
    </row>
    <row r="61" customFormat="false" ht="15" hidden="false" customHeight="false" outlineLevel="0" collapsed="false">
      <c r="B61" s="6"/>
      <c r="C61" s="6"/>
      <c r="D61" s="6"/>
      <c r="E61" s="8"/>
      <c r="F61" s="6"/>
      <c r="G61" s="9"/>
      <c r="H61" s="8"/>
      <c r="I61" s="9"/>
      <c r="J61" s="6" t="s">
        <v>30</v>
      </c>
      <c r="K61" s="21" t="str">
        <f aca="false">IF(E61="","",E61/IF(F61="EUR",1,IF(F61="USD",INDEX(Indices!$E$51:$E$71,MATCH(G61,Indices!$A$51:$A$71,0)),IF(H61&lt;&gt;"",H61,INDEX(Indices!$G$51:$G$71,MATCH(G61,Indices!$A$51:$A$71,0))))))</f>
        <v/>
      </c>
      <c r="L61" s="22" t="str">
        <f aca="false">IF(E61="","",INDEX(Indices!$C$51:$C$71,MATCH($D$12,Indices!$A$51:$A$71,0))/INDEX(Indices!$C$51:$C$71,MATCH(G61,Indices!$A$51:$A$71,0)))</f>
        <v/>
      </c>
      <c r="M61" s="21" t="str">
        <f aca="false">IF(E61="","",IF(OR(J61="بله",AND(J61&lt;&gt;"خیر",C61="گریز از مرکز API 610",OR(LEFT(D61,1)="S",LEFT(D61,1)="D"))),MAX(K61*L61,$D$27),K61*L61))</f>
        <v/>
      </c>
      <c r="N61" s="21" t="str">
        <f aca="false">IF(E61="","",M61*$D$29*(1+$D$15))</f>
        <v/>
      </c>
      <c r="O61" s="21" t="str">
        <f aca="false">IF(E61="","",N61*I61)</f>
        <v/>
      </c>
    </row>
    <row r="62" customFormat="false" ht="15" hidden="false" customHeight="false" outlineLevel="0" collapsed="false">
      <c r="B62" s="6"/>
      <c r="C62" s="6"/>
      <c r="D62" s="6"/>
      <c r="E62" s="8"/>
      <c r="F62" s="6"/>
      <c r="G62" s="9"/>
      <c r="H62" s="8"/>
      <c r="I62" s="9"/>
      <c r="J62" s="6" t="s">
        <v>30</v>
      </c>
      <c r="K62" s="21" t="str">
        <f aca="false">IF(E62="","",E62/IF(F62="EUR",1,IF(F62="USD",INDEX(Indices!$E$51:$E$71,MATCH(G62,Indices!$A$51:$A$71,0)),IF(H62&lt;&gt;"",H62,INDEX(Indices!$G$51:$G$71,MATCH(G62,Indices!$A$51:$A$71,0))))))</f>
        <v/>
      </c>
      <c r="L62" s="22" t="str">
        <f aca="false">IF(E62="","",INDEX(Indices!$C$51:$C$71,MATCH($D$12,Indices!$A$51:$A$71,0))/INDEX(Indices!$C$51:$C$71,MATCH(G62,Indices!$A$51:$A$71,0)))</f>
        <v/>
      </c>
      <c r="M62" s="21" t="str">
        <f aca="false">IF(E62="","",IF(OR(J62="بله",AND(J62&lt;&gt;"خیر",C62="گریز از مرکز API 610",OR(LEFT(D62,1)="S",LEFT(D62,1)="D"))),MAX(K62*L62,$D$27),K62*L62))</f>
        <v/>
      </c>
      <c r="N62" s="21" t="str">
        <f aca="false">IF(E62="","",M62*$D$29*(1+$D$15))</f>
        <v/>
      </c>
      <c r="O62" s="21" t="str">
        <f aca="false">IF(E62="","",N62*I62)</f>
        <v/>
      </c>
    </row>
    <row r="63" customFormat="false" ht="15" hidden="false" customHeight="false" outlineLevel="0" collapsed="false">
      <c r="B63" s="6"/>
      <c r="C63" s="6"/>
      <c r="D63" s="6"/>
      <c r="E63" s="8"/>
      <c r="F63" s="6"/>
      <c r="G63" s="9"/>
      <c r="H63" s="8"/>
      <c r="I63" s="9"/>
      <c r="J63" s="6" t="s">
        <v>30</v>
      </c>
      <c r="K63" s="21" t="str">
        <f aca="false">IF(E63="","",E63/IF(F63="EUR",1,IF(F63="USD",INDEX(Indices!$E$51:$E$71,MATCH(G63,Indices!$A$51:$A$71,0)),IF(H63&lt;&gt;"",H63,INDEX(Indices!$G$51:$G$71,MATCH(G63,Indices!$A$51:$A$71,0))))))</f>
        <v/>
      </c>
      <c r="L63" s="22" t="str">
        <f aca="false">IF(E63="","",INDEX(Indices!$C$51:$C$71,MATCH($D$12,Indices!$A$51:$A$71,0))/INDEX(Indices!$C$51:$C$71,MATCH(G63,Indices!$A$51:$A$71,0)))</f>
        <v/>
      </c>
      <c r="M63" s="21" t="str">
        <f aca="false">IF(E63="","",IF(OR(J63="بله",AND(J63&lt;&gt;"خیر",C63="گریز از مرکز API 610",OR(LEFT(D63,1)="S",LEFT(D63,1)="D"))),MAX(K63*L63,$D$27),K63*L63))</f>
        <v/>
      </c>
      <c r="N63" s="21" t="str">
        <f aca="false">IF(E63="","",M63*$D$29*(1+$D$15))</f>
        <v/>
      </c>
      <c r="O63" s="21" t="str">
        <f aca="false">IF(E63="","",N63*I63)</f>
        <v/>
      </c>
    </row>
    <row r="64" customFormat="false" ht="15" hidden="false" customHeight="false" outlineLevel="0" collapsed="false">
      <c r="B64" s="6"/>
      <c r="C64" s="6"/>
      <c r="D64" s="6"/>
      <c r="E64" s="8"/>
      <c r="F64" s="6"/>
      <c r="G64" s="9"/>
      <c r="H64" s="8"/>
      <c r="I64" s="9"/>
      <c r="J64" s="6" t="s">
        <v>30</v>
      </c>
      <c r="K64" s="21" t="str">
        <f aca="false">IF(E64="","",E64/IF(F64="EUR",1,IF(F64="USD",INDEX(Indices!$E$51:$E$71,MATCH(G64,Indices!$A$51:$A$71,0)),IF(H64&lt;&gt;"",H64,INDEX(Indices!$G$51:$G$71,MATCH(G64,Indices!$A$51:$A$71,0))))))</f>
        <v/>
      </c>
      <c r="L64" s="22" t="str">
        <f aca="false">IF(E64="","",INDEX(Indices!$C$51:$C$71,MATCH($D$12,Indices!$A$51:$A$71,0))/INDEX(Indices!$C$51:$C$71,MATCH(G64,Indices!$A$51:$A$71,0)))</f>
        <v/>
      </c>
      <c r="M64" s="21" t="str">
        <f aca="false">IF(E64="","",IF(OR(J64="بله",AND(J64&lt;&gt;"خیر",C64="گریز از مرکز API 610",OR(LEFT(D64,1)="S",LEFT(D64,1)="D"))),MAX(K64*L64,$D$27),K64*L64))</f>
        <v/>
      </c>
      <c r="N64" s="21" t="str">
        <f aca="false">IF(E64="","",M64*$D$29*(1+$D$15))</f>
        <v/>
      </c>
      <c r="O64" s="21" t="str">
        <f aca="false">IF(E64="","",N64*I64)</f>
        <v/>
      </c>
    </row>
    <row r="65" customFormat="false" ht="16.15" hidden="false" customHeight="false" outlineLevel="0" collapsed="false">
      <c r="B65" s="3" t="s">
        <v>82</v>
      </c>
      <c r="N65" s="3" t="s">
        <v>83</v>
      </c>
      <c r="O65" s="18" t="n">
        <f aca="false">SUM(O45:O64)</f>
        <v>756323970671.563</v>
      </c>
    </row>
    <row r="67" customFormat="false" ht="15" hidden="false" customHeight="false" outlineLevel="0" collapsed="false">
      <c r="B67" s="23" t="s">
        <v>84</v>
      </c>
    </row>
  </sheetData>
  <mergeCells count="85">
    <mergeCell ref="B2:G2"/>
    <mergeCell ref="B5:C5"/>
    <mergeCell ref="D5:E5"/>
    <mergeCell ref="B6:C6"/>
    <mergeCell ref="D6:E6"/>
    <mergeCell ref="F6:H6"/>
    <mergeCell ref="B7:C7"/>
    <mergeCell ref="D7:E7"/>
    <mergeCell ref="F7:H7"/>
    <mergeCell ref="B8:C8"/>
    <mergeCell ref="D8:E8"/>
    <mergeCell ref="F8:H8"/>
    <mergeCell ref="B9:C9"/>
    <mergeCell ref="D9:E9"/>
    <mergeCell ref="F9:H9"/>
    <mergeCell ref="B10:C10"/>
    <mergeCell ref="D10:E10"/>
    <mergeCell ref="F10:H10"/>
    <mergeCell ref="B11:C11"/>
    <mergeCell ref="D11:E11"/>
    <mergeCell ref="F11:H11"/>
    <mergeCell ref="B12:C12"/>
    <mergeCell ref="D12:E12"/>
    <mergeCell ref="F12:H12"/>
    <mergeCell ref="B13:C13"/>
    <mergeCell ref="D13:E13"/>
    <mergeCell ref="F13:H13"/>
    <mergeCell ref="B14:C14"/>
    <mergeCell ref="D14:E14"/>
    <mergeCell ref="F14:H14"/>
    <mergeCell ref="B15:C15"/>
    <mergeCell ref="D15:E15"/>
    <mergeCell ref="F15:H15"/>
    <mergeCell ref="B16:C16"/>
    <mergeCell ref="D16:E16"/>
    <mergeCell ref="F16:H16"/>
    <mergeCell ref="B19:C19"/>
    <mergeCell ref="D19:E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F23:H23"/>
    <mergeCell ref="B24:C24"/>
    <mergeCell ref="D24:E24"/>
    <mergeCell ref="F24:H24"/>
    <mergeCell ref="B25:C25"/>
    <mergeCell ref="D25:E25"/>
    <mergeCell ref="F25:H25"/>
    <mergeCell ref="B26:C26"/>
    <mergeCell ref="D26:E26"/>
    <mergeCell ref="F26:H26"/>
    <mergeCell ref="B27:C27"/>
    <mergeCell ref="D27:E27"/>
    <mergeCell ref="F27:H27"/>
    <mergeCell ref="B28:C28"/>
    <mergeCell ref="D28:E28"/>
    <mergeCell ref="F28:H28"/>
    <mergeCell ref="B29:C29"/>
    <mergeCell ref="D29:E29"/>
    <mergeCell ref="F29:H29"/>
    <mergeCell ref="B30:C30"/>
    <mergeCell ref="D30:E30"/>
    <mergeCell ref="F30:H30"/>
    <mergeCell ref="B31:C31"/>
    <mergeCell ref="D31:E31"/>
    <mergeCell ref="F31:H31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D40:H41"/>
  </mergeCells>
  <dataValidations count="12">
    <dataValidation allowBlank="true" errorStyle="stop" operator="between" prompt="از لیست انتخاب کنید. کف قیمت فقط به «گریز از مرکز API 610» با کلاس S یا D اعمال می‌شود." showDropDown="false" showErrorMessage="false" showInputMessage="true" sqref="D6" type="list">
      <formula1>Lists!$A$1:$A$6</formula1>
      <formula2>0</formula2>
    </dataValidation>
    <dataValidation allowBlank="true" errorStyle="stop" operator="between" prompt="از دیتاشیت (مثلاً S6، D1، I2). اگر نمی‌دانید «نامشخص»." showDropDown="false" showErrorMessage="false" showInputMessage="true" sqref="D7" type="list">
      <formula1>Lists!$B$1:$B$11</formula1>
      <formula2>0</formula2>
    </dataValidation>
    <dataValidation allowBlank="true" errorStyle="stop" operator="between" prompt="EUR / USD / IRR" showDropDown="false" showErrorMessage="false" showInputMessage="true" sqref="D9" type="list">
      <formula1>Lists!$D$1:$D$3</formula1>
      <formula2>0</formula2>
    </dataValidation>
    <dataValidation allowBlank="true" errorStyle="stop" operator="between" prompt="سال تاریخ قیمت/استعلام منبع (نه سال انتشار گزارش)." showDropDown="false" showErrorMessage="false" showInputMessage="true" sqref="D10" type="list">
      <formula1>Lists!$C$1:$C$21</formula1>
      <formula2>0</formula2>
    </dataValidation>
    <dataValidation allowBlank="true" errorStyle="stop" operator="between" prompt="سالی که قیمت را برای آن می‌خواهید." showDropDown="false" showErrorMessage="false" showInputMessage="true" sqref="D12" type="list">
      <formula1>Lists!$C$1:$C$21</formula1>
      <formula2>0</formula2>
    </dataValidation>
    <dataValidation allowBlank="true" errorStyle="stop" operator="between" prompt="خودکار = طبق نوع و کلاس؛ یا اجباری بله/خیر." showDropDown="false" showErrorMessage="false" showInputMessage="true" sqref="D16" type="list">
      <formula1>Lists!$E$1:$E$3</formula1>
      <formula2>0</formula2>
    </dataValidation>
    <dataValidation allowBlank="true" errorStyle="stop" operator="greaterThanOrEqual" showDropDown="false" showErrorMessage="false" showInputMessage="false" sqref="D8 D11 D13:D15" type="decimal">
      <formula1>0</formula1>
      <formula2>0</formula2>
    </dataValidation>
    <dataValidation allowBlank="true" errorStyle="stop" operator="between" showDropDown="false" showErrorMessage="false" showInputMessage="false" sqref="C45:C64" type="list">
      <formula1>Lists!$A$1:$A$6</formula1>
      <formula2>0</formula2>
    </dataValidation>
    <dataValidation allowBlank="true" errorStyle="stop" operator="between" showDropDown="false" showErrorMessage="false" showInputMessage="false" sqref="D45:D64" type="list">
      <formula1>Lists!$B$1:$B$11</formula1>
      <formula2>0</formula2>
    </dataValidation>
    <dataValidation allowBlank="true" errorStyle="stop" operator="between" showDropDown="false" showErrorMessage="false" showInputMessage="false" sqref="F45:F64" type="list">
      <formula1>Lists!$D$1:$D$3</formula1>
      <formula2>0</formula2>
    </dataValidation>
    <dataValidation allowBlank="true" errorStyle="stop" operator="between" showDropDown="false" showErrorMessage="false" showInputMessage="false" sqref="G45:G64" type="list">
      <formula1>Lists!$C$1:$C$21</formula1>
      <formula2>0</formula2>
    </dataValidation>
    <dataValidation allowBlank="true" errorStyle="stop" operator="between" showDropDown="false" showErrorMessage="false" showInputMessage="false" sqref="J45:J64" type="list">
      <formula1>Lists!$E$1:$E$3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15" hidden="false" customHeight="false" outlineLevel="0" collapsed="false">
      <c r="A1" s="1" t="s">
        <v>85</v>
      </c>
    </row>
    <row r="3" customFormat="false" ht="15" hidden="false" customHeight="false" outlineLevel="0" collapsed="false">
      <c r="A3" s="24" t="s">
        <v>86</v>
      </c>
    </row>
    <row r="4" customFormat="false" ht="30" hidden="false" customHeight="true" outlineLevel="0" collapsed="false">
      <c r="A4" s="25"/>
      <c r="B4" s="25"/>
    </row>
    <row r="5" customFormat="false" ht="15" hidden="false" customHeight="false" outlineLevel="0" collapsed="false">
      <c r="A5" s="24" t="s">
        <v>87</v>
      </c>
    </row>
    <row r="6" customFormat="false" ht="18" hidden="false" customHeight="true" outlineLevel="0" collapsed="false">
      <c r="A6" s="26" t="s">
        <v>88</v>
      </c>
      <c r="B6" s="27" t="s">
        <v>89</v>
      </c>
    </row>
    <row r="7" customFormat="false" ht="30" hidden="false" customHeight="true" outlineLevel="0" collapsed="false">
      <c r="A7" s="26" t="s">
        <v>90</v>
      </c>
      <c r="B7" s="27" t="s">
        <v>91</v>
      </c>
    </row>
    <row r="8" customFormat="false" ht="45" hidden="false" customHeight="true" outlineLevel="0" collapsed="false">
      <c r="A8" s="26" t="s">
        <v>92</v>
      </c>
      <c r="B8" s="27" t="s">
        <v>93</v>
      </c>
    </row>
    <row r="9" customFormat="false" ht="45" hidden="false" customHeight="true" outlineLevel="0" collapsed="false">
      <c r="A9" s="26" t="s">
        <v>94</v>
      </c>
      <c r="B9" s="27" t="s">
        <v>95</v>
      </c>
    </row>
    <row r="10" customFormat="false" ht="45" hidden="false" customHeight="true" outlineLevel="0" collapsed="false">
      <c r="A10" s="26" t="s">
        <v>96</v>
      </c>
      <c r="B10" s="27" t="s">
        <v>97</v>
      </c>
    </row>
    <row r="11" customFormat="false" ht="30" hidden="false" customHeight="true" outlineLevel="0" collapsed="false">
      <c r="A11" s="26" t="s">
        <v>98</v>
      </c>
      <c r="B11" s="27" t="s">
        <v>99</v>
      </c>
    </row>
    <row r="12" customFormat="false" ht="30" hidden="false" customHeight="true" outlineLevel="0" collapsed="false">
      <c r="A12" s="26" t="s">
        <v>100</v>
      </c>
      <c r="B12" s="27" t="s">
        <v>101</v>
      </c>
    </row>
    <row r="13" customFormat="false" ht="18" hidden="false" customHeight="true" outlineLevel="0" collapsed="false">
      <c r="A13" s="26" t="s">
        <v>102</v>
      </c>
      <c r="B13" s="27" t="s">
        <v>103</v>
      </c>
    </row>
    <row r="14" customFormat="false" ht="18" hidden="false" customHeight="true" outlineLevel="0" collapsed="false">
      <c r="A14" s="26" t="s">
        <v>104</v>
      </c>
      <c r="B14" s="27" t="s">
        <v>105</v>
      </c>
    </row>
    <row r="15" customFormat="false" ht="15" hidden="false" customHeight="false" outlineLevel="0" collapsed="false">
      <c r="A15" s="24" t="s">
        <v>106</v>
      </c>
    </row>
    <row r="16" customFormat="false" ht="45" hidden="false" customHeight="true" outlineLevel="0" collapsed="false">
      <c r="A16" s="26" t="s">
        <v>107</v>
      </c>
      <c r="B16" s="27" t="s">
        <v>108</v>
      </c>
    </row>
    <row r="17" customFormat="false" ht="30" hidden="false" customHeight="true" outlineLevel="0" collapsed="false">
      <c r="A17" s="26" t="s">
        <v>109</v>
      </c>
      <c r="B17" s="27" t="s">
        <v>110</v>
      </c>
    </row>
    <row r="18" customFormat="false" ht="30" hidden="false" customHeight="true" outlineLevel="0" collapsed="false">
      <c r="A18" s="26" t="s">
        <v>111</v>
      </c>
      <c r="B18" s="27" t="s">
        <v>112</v>
      </c>
    </row>
    <row r="19" customFormat="false" ht="18" hidden="false" customHeight="true" outlineLevel="0" collapsed="false">
      <c r="A19" s="26" t="s">
        <v>113</v>
      </c>
      <c r="B19" s="27" t="s">
        <v>114</v>
      </c>
    </row>
    <row r="20" customFormat="false" ht="18" hidden="false" customHeight="true" outlineLevel="0" collapsed="false">
      <c r="A20" s="26" t="s">
        <v>115</v>
      </c>
      <c r="B20" s="27" t="s">
        <v>116</v>
      </c>
    </row>
    <row r="21" customFormat="false" ht="30" hidden="false" customHeight="true" outlineLevel="0" collapsed="false">
      <c r="A21" s="26" t="s">
        <v>117</v>
      </c>
      <c r="B21" s="27" t="s">
        <v>118</v>
      </c>
    </row>
    <row r="22" customFormat="false" ht="30" hidden="false" customHeight="true" outlineLevel="0" collapsed="false">
      <c r="A22" s="26" t="s">
        <v>119</v>
      </c>
      <c r="B22" s="27" t="s">
        <v>120</v>
      </c>
    </row>
    <row r="23" customFormat="false" ht="30" hidden="false" customHeight="true" outlineLevel="0" collapsed="false">
      <c r="A23" s="26" t="s">
        <v>121</v>
      </c>
      <c r="B23" s="27" t="s">
        <v>122</v>
      </c>
    </row>
    <row r="24" customFormat="false" ht="30" hidden="false" customHeight="true" outlineLevel="0" collapsed="false">
      <c r="A24" s="26" t="s">
        <v>123</v>
      </c>
      <c r="B24" s="27" t="s">
        <v>124</v>
      </c>
    </row>
    <row r="25" customFormat="false" ht="30" hidden="false" customHeight="true" outlineLevel="0" collapsed="false">
      <c r="A25" s="26" t="s">
        <v>125</v>
      </c>
      <c r="B25" s="27" t="s">
        <v>126</v>
      </c>
    </row>
    <row r="26" customFormat="false" ht="45" hidden="false" customHeight="true" outlineLevel="0" collapsed="false">
      <c r="A26" s="26" t="s">
        <v>127</v>
      </c>
      <c r="B26" s="27" t="s">
        <v>128</v>
      </c>
    </row>
    <row r="27" customFormat="false" ht="30" hidden="false" customHeight="true" outlineLevel="0" collapsed="false">
      <c r="A27" s="26" t="s">
        <v>129</v>
      </c>
      <c r="B27" s="27" t="s">
        <v>130</v>
      </c>
    </row>
    <row r="28" customFormat="false" ht="15" hidden="false" customHeight="false" outlineLevel="0" collapsed="false">
      <c r="A28" s="24" t="s">
        <v>131</v>
      </c>
    </row>
    <row r="29" customFormat="false" ht="18" hidden="false" customHeight="true" outlineLevel="0" collapsed="false">
      <c r="A29" s="26" t="s">
        <v>132</v>
      </c>
      <c r="B29" s="27" t="s">
        <v>133</v>
      </c>
    </row>
    <row r="30" customFormat="false" ht="18" hidden="false" customHeight="true" outlineLevel="0" collapsed="false">
      <c r="A30" s="26" t="s">
        <v>134</v>
      </c>
      <c r="B30" s="27" t="s">
        <v>135</v>
      </c>
    </row>
    <row r="31" customFormat="false" ht="18" hidden="false" customHeight="true" outlineLevel="0" collapsed="false">
      <c r="A31" s="26" t="s">
        <v>136</v>
      </c>
      <c r="B31" s="27" t="s">
        <v>137</v>
      </c>
    </row>
    <row r="32" customFormat="false" ht="30" hidden="false" customHeight="true" outlineLevel="0" collapsed="false">
      <c r="A32" s="26" t="s">
        <v>138</v>
      </c>
      <c r="B32" s="27" t="s">
        <v>139</v>
      </c>
    </row>
  </sheetData>
  <mergeCells count="1"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140</v>
      </c>
    </row>
    <row r="2" customFormat="false" ht="30" hidden="false" customHeight="true" outlineLevel="0" collapsed="false">
      <c r="A2" s="28" t="s">
        <v>141</v>
      </c>
      <c r="B2" s="28"/>
      <c r="C2" s="28"/>
      <c r="D2" s="28"/>
      <c r="E2" s="28"/>
      <c r="F2" s="28"/>
      <c r="G2" s="28"/>
      <c r="H2" s="28"/>
    </row>
    <row r="4" customFormat="false" ht="15" hidden="false" customHeight="false" outlineLevel="0" collapsed="false">
      <c r="A4" s="3" t="s">
        <v>142</v>
      </c>
    </row>
    <row r="5" customFormat="false" ht="42" hidden="false" customHeight="true" outlineLevel="0" collapsed="false">
      <c r="A5" s="4" t="s">
        <v>143</v>
      </c>
      <c r="B5" s="4" t="s">
        <v>144</v>
      </c>
      <c r="C5" s="4" t="s">
        <v>145</v>
      </c>
      <c r="D5" s="4" t="s">
        <v>132</v>
      </c>
      <c r="E5" s="4" t="s">
        <v>146</v>
      </c>
      <c r="F5" s="4" t="s">
        <v>147</v>
      </c>
      <c r="G5" s="4" t="s">
        <v>148</v>
      </c>
      <c r="H5" s="4" t="s">
        <v>136</v>
      </c>
    </row>
    <row r="6" customFormat="false" ht="15" hidden="false" customHeight="false" outlineLevel="0" collapsed="false">
      <c r="A6" s="3" t="s">
        <v>149</v>
      </c>
      <c r="B6" s="29" t="str">
        <f aca="false">Val_EUR_Pumps!B6</f>
        <v>بدون تعدیل (یورو ثابت)</v>
      </c>
      <c r="C6" s="30" t="n">
        <f aca="false">IF(ISNUMBER(Val_EUR_Pumps!E6),Val_EUR_Pumps!E6,"~1.27 (هر سطر)")</f>
        <v>1</v>
      </c>
      <c r="D6" s="31" t="n">
        <f aca="false">Val_EUR_Pumps!D39</f>
        <v>-0.373656439319914</v>
      </c>
      <c r="E6" s="31" t="n">
        <f aca="false">Val_EUR_Pumps!E39</f>
        <v>0.373656439319914</v>
      </c>
      <c r="F6" s="31" t="n">
        <f aca="false">Val_EUR_Pumps!F39</f>
        <v>0.372347343231606</v>
      </c>
      <c r="G6" s="32" t="n">
        <f aca="false">Val_EUR_Pumps!G39</f>
        <v>3</v>
      </c>
      <c r="H6" s="33" t="n">
        <f aca="false">Val_EUR_Pumps!H39</f>
        <v>0.734461927843175</v>
      </c>
    </row>
    <row r="7" customFormat="false" ht="15" hidden="false" customHeight="false" outlineLevel="0" collapsed="false">
      <c r="A7" s="3" t="s">
        <v>150</v>
      </c>
      <c r="B7" s="29" t="str">
        <f aca="false">Val_EUR_Pumps!B7</f>
        <v>تورم ارزی مارون ۳ (۱۳۹۴ تا ۱۴۰۳)</v>
      </c>
      <c r="C7" s="30" t="n">
        <f aca="false">IF(ISNUMBER(Val_EUR_Pumps!E7),Val_EUR_Pumps!E7,"~1.27 (هر سطر)")</f>
        <v>1.38108886484153</v>
      </c>
      <c r="D7" s="31" t="n">
        <f aca="false">Val_EUR_Pumps!D40</f>
        <v>-0.134963882779537</v>
      </c>
      <c r="E7" s="31" t="n">
        <f aca="false">Val_EUR_Pumps!E40</f>
        <v>0.219983033145978</v>
      </c>
      <c r="F7" s="31" t="n">
        <f aca="false">Val_EUR_Pumps!F40</f>
        <v>0.261381105324174</v>
      </c>
      <c r="G7" s="32" t="n">
        <f aca="false">Val_EUR_Pumps!G40</f>
        <v>8</v>
      </c>
      <c r="H7" s="33" t="n">
        <f aca="false">Val_EUR_Pumps!H40</f>
        <v>1.01435719019425</v>
      </c>
    </row>
    <row r="8" customFormat="false" ht="15" hidden="false" customHeight="false" outlineLevel="0" collapsed="false">
      <c r="A8" s="3" t="s">
        <v>151</v>
      </c>
      <c r="B8" s="29" t="str">
        <f aca="false">Val_EUR_Pumps!B8</f>
        <v>ضریب یورویی پازنان (Basic INFO!C138)</v>
      </c>
      <c r="C8" s="30" t="n">
        <f aca="false">IF(ISNUMBER(Val_EUR_Pumps!E8),Val_EUR_Pumps!E8,"~1.27 (هر سطر)")</f>
        <v>1.55207623267439</v>
      </c>
      <c r="D8" s="31" t="n">
        <f aca="false">Val_EUR_Pumps!D41</f>
        <v>-0.0278670459797877</v>
      </c>
      <c r="E8" s="31" t="n">
        <f aca="false">Val_EUR_Pumps!E41</f>
        <v>0.173599887740858</v>
      </c>
      <c r="F8" s="31" t="n">
        <f aca="false">Val_EUR_Pumps!F41</f>
        <v>0.258056318058645</v>
      </c>
      <c r="G8" s="32" t="n">
        <f aca="false">Val_EUR_Pumps!G41</f>
        <v>8</v>
      </c>
      <c r="H8" s="33" t="n">
        <f aca="false">Val_EUR_Pumps!H41</f>
        <v>1.13994090200961</v>
      </c>
    </row>
    <row r="9" customFormat="false" ht="15" hidden="false" customHeight="false" outlineLevel="0" collapsed="false">
      <c r="A9" s="34" t="s">
        <v>152</v>
      </c>
      <c r="B9" s="35" t="str">
        <f aca="false">Val_EUR_Pumps!B9</f>
        <v>مدل فلزی فعلی شما (ضریب هر سطر)</v>
      </c>
      <c r="C9" s="36" t="str">
        <f aca="false">IF(ISNUMBER(Val_EUR_Pumps!E9),Val_EUR_Pumps!E9,"~1.27 (هر سطر)")</f>
        <v>~1.27 (هر سطر)</v>
      </c>
      <c r="D9" s="37" t="n">
        <f aca="false">Val_EUR_Pumps!D42</f>
        <v>-0.204064975400693</v>
      </c>
      <c r="E9" s="37" t="n">
        <f aca="false">Val_EUR_Pumps!E42</f>
        <v>0.282040287064874</v>
      </c>
      <c r="F9" s="37" t="n">
        <f aca="false">Val_EUR_Pumps!F42</f>
        <v>0.285988699343287</v>
      </c>
      <c r="G9" s="38" t="n">
        <f aca="false">Val_EUR_Pumps!G42</f>
        <v>6</v>
      </c>
      <c r="H9" s="39" t="n">
        <f aca="false">Val_EUR_Pumps!H42</f>
        <v>0.93570194150454</v>
      </c>
    </row>
    <row r="10" customFormat="false" ht="15" hidden="false" customHeight="false" outlineLevel="0" collapsed="false">
      <c r="A10" s="3" t="s">
        <v>153</v>
      </c>
      <c r="B10" s="29" t="str">
        <f aca="false">Val_EUR_Pumps!B10</f>
        <v>PPI پمپ منطقه یورو (Eurostat C28.13)</v>
      </c>
      <c r="C10" s="30" t="n">
        <f aca="false">IF(ISNUMBER(Val_EUR_Pumps!E10),Val_EUR_Pumps!E10,"~1.27 (هر سطر)")</f>
        <v>1.34541911611766</v>
      </c>
      <c r="D10" s="31" t="n">
        <f aca="false">Val_EUR_Pumps!D43</f>
        <v>-0.15730540020381</v>
      </c>
      <c r="E10" s="31" t="n">
        <f aca="false">Val_EUR_Pumps!E43</f>
        <v>0.240128738405308</v>
      </c>
      <c r="F10" s="31" t="n">
        <f aca="false">Val_EUR_Pumps!F43</f>
        <v>0.26877251276872</v>
      </c>
      <c r="G10" s="32" t="n">
        <f aca="false">Val_EUR_Pumps!G43</f>
        <v>8</v>
      </c>
      <c r="H10" s="33" t="n">
        <f aca="false">Val_EUR_Pumps!H43</f>
        <v>0.988159117780838</v>
      </c>
    </row>
    <row r="11" customFormat="false" ht="15" hidden="false" customHeight="false" outlineLevel="0" collapsed="false">
      <c r="A11" s="3" t="s">
        <v>154</v>
      </c>
      <c r="B11" s="29" t="str">
        <f aca="false">Val_EUR_Pumps!B11</f>
        <v>PPI پمپ آمریکا تبدیل‌شده به یورو</v>
      </c>
      <c r="C11" s="30" t="n">
        <f aca="false">IF(ISNUMBER(Val_EUR_Pumps!E11),Val_EUR_Pumps!E11,"~1.27 (هر سطر)")</f>
        <v>1.59038228739346</v>
      </c>
      <c r="D11" s="31" t="n">
        <f aca="false">Val_EUR_Pumps!D44</f>
        <v>-0.00387429527143823</v>
      </c>
      <c r="E11" s="31" t="n">
        <f aca="false">Val_EUR_Pumps!E44</f>
        <v>0.175352346797989</v>
      </c>
      <c r="F11" s="31" t="n">
        <f aca="false">Val_EUR_Pumps!F44</f>
        <v>0.264425283211293</v>
      </c>
      <c r="G11" s="32" t="n">
        <f aca="false">Val_EUR_Pumps!G44</f>
        <v>9</v>
      </c>
      <c r="H11" s="33" t="n">
        <f aca="false">Val_EUR_Pumps!H44</f>
        <v>1.16807524080664</v>
      </c>
    </row>
    <row r="12" customFormat="false" ht="15" hidden="false" customHeight="false" outlineLevel="0" collapsed="false">
      <c r="A12" s="40" t="s">
        <v>155</v>
      </c>
      <c r="B12" s="41" t="str">
        <f aca="false">Val_EUR_Pumps!B12</f>
        <v>پیشنهادی: PPI پمپ یورو + کف قیمت پمپ API (S/D)</v>
      </c>
      <c r="C12" s="42" t="n">
        <f aca="false">IF(ISNUMBER(Val_EUR_Pumps!E12),Val_EUR_Pumps!E12,"~1.27 (هر سطر)")</f>
        <v>1.34541911611766</v>
      </c>
      <c r="D12" s="43" t="n">
        <f aca="false">Val_EUR_Pumps!D45</f>
        <v>-0.0702974621968291</v>
      </c>
      <c r="E12" s="43" t="n">
        <f aca="false">Val_EUR_Pumps!E45</f>
        <v>0.130719607647001</v>
      </c>
      <c r="F12" s="43" t="n">
        <f aca="false">Val_EUR_Pumps!F45</f>
        <v>0.20849719626101</v>
      </c>
      <c r="G12" s="44" t="n">
        <f aca="false">Val_EUR_Pumps!G45</f>
        <v>10</v>
      </c>
      <c r="H12" s="45" t="n">
        <f aca="false">Val_EUR_Pumps!H45</f>
        <v>1.00978076083925</v>
      </c>
    </row>
    <row r="14" customFormat="false" ht="15" hidden="false" customHeight="false" outlineLevel="0" collapsed="false">
      <c r="A14" s="3" t="s">
        <v>156</v>
      </c>
    </row>
    <row r="15" customFormat="false" ht="42" hidden="false" customHeight="true" outlineLevel="0" collapsed="false">
      <c r="A15" s="4" t="s">
        <v>143</v>
      </c>
      <c r="B15" s="4" t="s">
        <v>144</v>
      </c>
      <c r="C15" s="4" t="s">
        <v>157</v>
      </c>
      <c r="D15" s="4" t="s">
        <v>158</v>
      </c>
      <c r="E15" s="4" t="s">
        <v>159</v>
      </c>
      <c r="F15" s="4" t="s">
        <v>160</v>
      </c>
    </row>
    <row r="16" customFormat="false" ht="15" hidden="false" customHeight="false" outlineLevel="0" collapsed="false">
      <c r="A16" s="3" t="s">
        <v>161</v>
      </c>
      <c r="B16" s="46" t="s">
        <v>162</v>
      </c>
      <c r="C16" s="47" t="n">
        <f aca="false">Val_IRR_Packages!N28</f>
        <v>0.462172027133676</v>
      </c>
      <c r="D16" s="47" t="n">
        <f aca="false">Val_IRR_Packages!N29</f>
        <v>0.477162925071043</v>
      </c>
      <c r="E16" s="47" t="n">
        <f aca="false">Val_IRR_Packages!R28</f>
        <v>0.550268428326932</v>
      </c>
      <c r="F16" s="47" t="n">
        <f aca="false">Val_IRR_Packages!R29</f>
        <v>0.571862684346944</v>
      </c>
    </row>
    <row r="17" customFormat="false" ht="15" hidden="false" customHeight="false" outlineLevel="0" collapsed="false">
      <c r="A17" s="3" t="s">
        <v>163</v>
      </c>
      <c r="B17" s="46" t="s">
        <v>164</v>
      </c>
      <c r="C17" s="47" t="n">
        <f aca="false">Val_IRR_Packages!O28</f>
        <v>0.458940756823821</v>
      </c>
      <c r="D17" s="47" t="n">
        <f aca="false">Val_IRR_Packages!O29</f>
        <v>0.473826846073991</v>
      </c>
      <c r="E17" s="47" t="n">
        <f aca="false">Val_IRR_Packages!S28</f>
        <v>0.546421233060852</v>
      </c>
      <c r="F17" s="47" t="n">
        <f aca="false">Val_IRR_Packages!S29</f>
        <v>0.567864513093041</v>
      </c>
    </row>
    <row r="18" customFormat="false" ht="15" hidden="false" customHeight="false" outlineLevel="0" collapsed="false">
      <c r="A18" s="3" t="s">
        <v>165</v>
      </c>
      <c r="B18" s="46" t="s">
        <v>166</v>
      </c>
      <c r="C18" s="47" t="n">
        <f aca="false">Val_IRR_Packages!P28</f>
        <v>0.828995459246681</v>
      </c>
      <c r="D18" s="47" t="n">
        <f aca="false">Val_IRR_Packages!P29</f>
        <v>0.855445874619527</v>
      </c>
      <c r="E18" s="47" t="n">
        <f aca="false">Val_IRR_Packages!T28</f>
        <v>0.987013496422393</v>
      </c>
      <c r="F18" s="47" t="n">
        <f aca="false">Val_IRR_Packages!T29</f>
        <v>1.025221257709</v>
      </c>
    </row>
    <row r="19" customFormat="false" ht="15" hidden="false" customHeight="false" outlineLevel="0" collapsed="false">
      <c r="A19" s="40" t="s">
        <v>167</v>
      </c>
      <c r="B19" s="48" t="s">
        <v>168</v>
      </c>
      <c r="C19" s="49" t="n">
        <f aca="false">Val_IRR_Packages!Q28</f>
        <v>0.906222967965403</v>
      </c>
      <c r="D19" s="49" t="n">
        <f aca="false">Val_IRR_Packages!Q29</f>
        <v>0.935616992752061</v>
      </c>
      <c r="E19" s="49" t="n">
        <f aca="false">Val_IRR_Packages!U28</f>
        <v>1.07896163986545</v>
      </c>
      <c r="F19" s="49" t="n">
        <f aca="false">Val_IRR_Packages!U29</f>
        <v>1.12130347284661</v>
      </c>
    </row>
    <row r="21" customFormat="false" ht="15" hidden="false" customHeight="false" outlineLevel="0" collapsed="false">
      <c r="A21" s="3" t="s">
        <v>169</v>
      </c>
    </row>
    <row r="22" customFormat="false" ht="30" hidden="false" customHeight="true" outlineLevel="0" collapsed="false">
      <c r="A22" s="50" t="s">
        <v>170</v>
      </c>
      <c r="B22" s="50"/>
      <c r="C22" s="50"/>
      <c r="D22" s="50"/>
      <c r="E22" s="50"/>
      <c r="F22" s="50"/>
      <c r="G22" s="50"/>
      <c r="H22" s="50"/>
    </row>
    <row r="23" customFormat="false" ht="30" hidden="false" customHeight="true" outlineLevel="0" collapsed="false">
      <c r="A23" s="50" t="s">
        <v>171</v>
      </c>
      <c r="B23" s="50"/>
      <c r="C23" s="50"/>
      <c r="D23" s="50"/>
      <c r="E23" s="50"/>
      <c r="F23" s="50"/>
      <c r="G23" s="50"/>
      <c r="H23" s="50"/>
    </row>
    <row r="24" customFormat="false" ht="30" hidden="false" customHeight="true" outlineLevel="0" collapsed="false">
      <c r="A24" s="50" t="s">
        <v>172</v>
      </c>
      <c r="B24" s="50"/>
      <c r="C24" s="50"/>
      <c r="D24" s="50"/>
      <c r="E24" s="50"/>
      <c r="F24" s="50"/>
      <c r="G24" s="50"/>
      <c r="H24" s="50"/>
    </row>
    <row r="25" customFormat="false" ht="30" hidden="false" customHeight="true" outlineLevel="0" collapsed="false">
      <c r="A25" s="50" t="s">
        <v>173</v>
      </c>
      <c r="B25" s="50"/>
      <c r="C25" s="50"/>
      <c r="D25" s="50"/>
      <c r="E25" s="50"/>
      <c r="F25" s="50"/>
      <c r="G25" s="50"/>
      <c r="H25" s="50"/>
    </row>
    <row r="26" customFormat="false" ht="30" hidden="false" customHeight="true" outlineLevel="0" collapsed="false">
      <c r="A26" s="50" t="s">
        <v>174</v>
      </c>
      <c r="B26" s="50"/>
      <c r="C26" s="50"/>
      <c r="D26" s="50"/>
      <c r="E26" s="50"/>
      <c r="F26" s="50"/>
      <c r="G26" s="50"/>
      <c r="H26" s="50"/>
    </row>
    <row r="27" customFormat="false" ht="30" hidden="false" customHeight="true" outlineLevel="0" collapsed="false">
      <c r="A27" s="51" t="s">
        <v>175</v>
      </c>
      <c r="B27" s="51"/>
      <c r="C27" s="51"/>
      <c r="D27" s="51"/>
      <c r="E27" s="51"/>
      <c r="F27" s="51"/>
      <c r="G27" s="51"/>
      <c r="H27" s="51"/>
    </row>
    <row r="29" customFormat="false" ht="15" hidden="false" customHeight="false" outlineLevel="0" collapsed="false">
      <c r="A29" s="3" t="s">
        <v>176</v>
      </c>
    </row>
    <row r="30" customFormat="false" ht="30" hidden="false" customHeight="true" outlineLevel="0" collapsed="false">
      <c r="A30" s="52" t="s">
        <v>177</v>
      </c>
      <c r="B30" s="52"/>
      <c r="C30" s="52"/>
      <c r="D30" s="52"/>
      <c r="E30" s="52"/>
      <c r="F30" s="52"/>
      <c r="G30" s="52"/>
      <c r="H30" s="52"/>
    </row>
    <row r="31" customFormat="false" ht="30" hidden="false" customHeight="true" outlineLevel="0" collapsed="false">
      <c r="A31" s="52" t="s">
        <v>178</v>
      </c>
      <c r="B31" s="52"/>
      <c r="C31" s="52"/>
      <c r="D31" s="52"/>
      <c r="E31" s="52"/>
      <c r="F31" s="52"/>
      <c r="G31" s="52"/>
      <c r="H31" s="52"/>
    </row>
    <row r="32" customFormat="false" ht="30" hidden="false" customHeight="true" outlineLevel="0" collapsed="false">
      <c r="A32" s="52" t="s">
        <v>179</v>
      </c>
      <c r="B32" s="52"/>
      <c r="C32" s="52"/>
      <c r="D32" s="52"/>
      <c r="E32" s="52"/>
      <c r="F32" s="52"/>
      <c r="G32" s="52"/>
      <c r="H32" s="52"/>
    </row>
    <row r="33" customFormat="false" ht="30" hidden="false" customHeight="true" outlineLevel="0" collapsed="false">
      <c r="A33" s="52" t="s">
        <v>180</v>
      </c>
      <c r="B33" s="52"/>
      <c r="C33" s="52"/>
      <c r="D33" s="52"/>
      <c r="E33" s="52"/>
      <c r="F33" s="52"/>
      <c r="G33" s="52"/>
      <c r="H33" s="52"/>
    </row>
    <row r="35" customFormat="false" ht="15" hidden="false" customHeight="false" outlineLevel="0" collapsed="false">
      <c r="A35" s="3" t="s">
        <v>181</v>
      </c>
    </row>
    <row r="36" customFormat="false" ht="15" hidden="false" customHeight="false" outlineLevel="0" collapsed="false">
      <c r="A36" s="11" t="s">
        <v>182</v>
      </c>
      <c r="B36" s="11"/>
      <c r="C36" s="11"/>
      <c r="D36" s="53" t="n">
        <f aca="false">Pump_Bank_Escalated!P123</f>
        <v>41598964157821.3</v>
      </c>
      <c r="E36" s="53"/>
      <c r="F36" s="53"/>
    </row>
    <row r="37" customFormat="false" ht="15" hidden="false" customHeight="false" outlineLevel="0" collapsed="false">
      <c r="A37" s="11" t="s">
        <v>183</v>
      </c>
      <c r="B37" s="11"/>
      <c r="C37" s="11"/>
      <c r="D37" s="53" t="n">
        <f aca="false">Pump_Bank_Escalated!Q123</f>
        <v>35640784522934.2</v>
      </c>
      <c r="E37" s="53"/>
      <c r="F37" s="53"/>
    </row>
    <row r="38" customFormat="false" ht="15" hidden="false" customHeight="false" outlineLevel="0" collapsed="false">
      <c r="A38" s="11" t="s">
        <v>184</v>
      </c>
      <c r="B38" s="11"/>
      <c r="C38" s="11"/>
      <c r="D38" s="54" t="n">
        <f aca="false">Pump_Bank_Escalated!R123</f>
        <v>0.167173077546962</v>
      </c>
      <c r="E38" s="54"/>
      <c r="F38" s="54"/>
    </row>
    <row r="40" customFormat="false" ht="30" hidden="false" customHeight="true" outlineLevel="0" collapsed="false">
      <c r="A40" s="55" t="s">
        <v>185</v>
      </c>
      <c r="B40" s="55"/>
      <c r="C40" s="55"/>
      <c r="D40" s="55"/>
      <c r="E40" s="55"/>
      <c r="F40" s="55"/>
      <c r="G40" s="55"/>
      <c r="H40" s="55"/>
    </row>
  </sheetData>
  <mergeCells count="18">
    <mergeCell ref="A2:H2"/>
    <mergeCell ref="A22:H22"/>
    <mergeCell ref="A23:H23"/>
    <mergeCell ref="A24:H24"/>
    <mergeCell ref="A25:H25"/>
    <mergeCell ref="A26:H26"/>
    <mergeCell ref="A27:H27"/>
    <mergeCell ref="A30:H30"/>
    <mergeCell ref="A31:H31"/>
    <mergeCell ref="A32:H32"/>
    <mergeCell ref="A33:H33"/>
    <mergeCell ref="A36:C36"/>
    <mergeCell ref="D36:F36"/>
    <mergeCell ref="A37:C37"/>
    <mergeCell ref="D37:F37"/>
    <mergeCell ref="A38:C38"/>
    <mergeCell ref="D38:F38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16"/>
    <col collapsed="false" customWidth="true" hidden="false" outlineLevel="0" max="13" min="13" style="0" width="60"/>
  </cols>
  <sheetData>
    <row r="1" customFormat="false" ht="17.15" hidden="false" customHeight="false" outlineLevel="0" collapsed="false">
      <c r="A1" s="1" t="s">
        <v>186</v>
      </c>
    </row>
    <row r="2" customFormat="false" ht="15" hidden="false" customHeight="false" outlineLevel="0" collapsed="false">
      <c r="A2" s="56" t="s">
        <v>187</v>
      </c>
    </row>
    <row r="3" customFormat="false" ht="15" hidden="false" customHeight="false" outlineLevel="0" collapsed="false">
      <c r="A3" s="46" t="s">
        <v>188</v>
      </c>
      <c r="C3" s="57" t="n">
        <v>0.79</v>
      </c>
      <c r="D3" s="46" t="s">
        <v>189</v>
      </c>
    </row>
    <row r="4" customFormat="false" ht="15" hidden="false" customHeight="false" outlineLevel="0" collapsed="false">
      <c r="A4" s="46" t="s">
        <v>190</v>
      </c>
      <c r="C4" s="58" t="n">
        <v>0.02</v>
      </c>
      <c r="D4" s="46" t="s">
        <v>191</v>
      </c>
    </row>
    <row r="5" customFormat="false" ht="15" hidden="false" customHeight="false" outlineLevel="0" collapsed="false">
      <c r="A5" s="46" t="s">
        <v>192</v>
      </c>
      <c r="C5" s="59" t="s">
        <v>193</v>
      </c>
      <c r="D5" s="46" t="s">
        <v>194</v>
      </c>
    </row>
    <row r="6" customFormat="false" ht="15" hidden="false" customHeight="false" outlineLevel="0" collapsed="false">
      <c r="A6" s="46" t="s">
        <v>195</v>
      </c>
      <c r="C6" s="58" t="n">
        <v>0.3</v>
      </c>
    </row>
    <row r="8" customFormat="false" ht="15" hidden="false" customHeight="false" outlineLevel="0" collapsed="false">
      <c r="A8" s="3" t="s">
        <v>196</v>
      </c>
    </row>
    <row r="9" customFormat="false" ht="42" hidden="false" customHeight="true" outlineLevel="0" collapsed="false">
      <c r="A9" s="4" t="s">
        <v>197</v>
      </c>
      <c r="B9" s="4" t="s">
        <v>198</v>
      </c>
      <c r="C9" s="4" t="s">
        <v>199</v>
      </c>
      <c r="D9" s="4" t="s">
        <v>200</v>
      </c>
      <c r="E9" s="4" t="s">
        <v>201</v>
      </c>
    </row>
    <row r="10" customFormat="false" ht="15" hidden="false" customHeight="false" outlineLevel="0" collapsed="false">
      <c r="A10" s="60" t="n">
        <v>2005</v>
      </c>
      <c r="B10" s="61" t="n">
        <v>74.8</v>
      </c>
      <c r="D10" s="46" t="s">
        <v>202</v>
      </c>
    </row>
    <row r="11" customFormat="false" ht="15" hidden="false" customHeight="false" outlineLevel="0" collapsed="false">
      <c r="A11" s="60" t="n">
        <v>2006</v>
      </c>
      <c r="B11" s="61" t="n">
        <v>76.5</v>
      </c>
      <c r="C11" s="62" t="n">
        <f aca="false">B11/B10-1</f>
        <v>0.0227272727272727</v>
      </c>
      <c r="D11" s="46" t="s">
        <v>202</v>
      </c>
    </row>
    <row r="12" customFormat="false" ht="15" hidden="false" customHeight="false" outlineLevel="0" collapsed="false">
      <c r="A12" s="60" t="n">
        <v>2007</v>
      </c>
      <c r="B12" s="61" t="n">
        <v>79.8</v>
      </c>
      <c r="C12" s="62" t="n">
        <f aca="false">B12/B11-1</f>
        <v>0.0431372549019609</v>
      </c>
      <c r="D12" s="46" t="s">
        <v>202</v>
      </c>
    </row>
    <row r="13" customFormat="false" ht="15" hidden="false" customHeight="false" outlineLevel="0" collapsed="false">
      <c r="A13" s="60" t="n">
        <v>2008</v>
      </c>
      <c r="B13" s="61" t="n">
        <v>81.5</v>
      </c>
      <c r="C13" s="62" t="n">
        <f aca="false">B13/B12-1</f>
        <v>0.0213032581453634</v>
      </c>
      <c r="D13" s="46" t="s">
        <v>202</v>
      </c>
    </row>
    <row r="14" customFormat="false" ht="15" hidden="false" customHeight="false" outlineLevel="0" collapsed="false">
      <c r="A14" s="60" t="n">
        <v>2009</v>
      </c>
      <c r="B14" s="61" t="n">
        <v>83.7</v>
      </c>
      <c r="C14" s="62" t="n">
        <f aca="false">B14/B13-1</f>
        <v>0.0269938650306749</v>
      </c>
      <c r="D14" s="46" t="s">
        <v>202</v>
      </c>
    </row>
    <row r="15" customFormat="false" ht="15" hidden="false" customHeight="false" outlineLevel="0" collapsed="false">
      <c r="A15" s="60" t="n">
        <v>2010</v>
      </c>
      <c r="B15" s="61" t="n">
        <v>84.4</v>
      </c>
      <c r="C15" s="62" t="n">
        <f aca="false">B15/B14-1</f>
        <v>0.00836320191158912</v>
      </c>
      <c r="D15" s="46" t="s">
        <v>202</v>
      </c>
      <c r="E15" s="61" t="n">
        <v>226.2</v>
      </c>
    </row>
    <row r="16" customFormat="false" ht="15" hidden="false" customHeight="false" outlineLevel="0" collapsed="false">
      <c r="A16" s="60" t="n">
        <v>2011</v>
      </c>
      <c r="B16" s="61" t="n">
        <v>86.2</v>
      </c>
      <c r="C16" s="62" t="n">
        <f aca="false">B16/B15-1</f>
        <v>0.0213270142180095</v>
      </c>
      <c r="D16" s="46" t="s">
        <v>202</v>
      </c>
      <c r="E16" s="61" t="n">
        <v>229.2</v>
      </c>
    </row>
    <row r="17" customFormat="false" ht="15" hidden="false" customHeight="false" outlineLevel="0" collapsed="false">
      <c r="A17" s="60" t="n">
        <v>2012</v>
      </c>
      <c r="B17" s="61" t="n">
        <v>88.4</v>
      </c>
      <c r="C17" s="62" t="n">
        <f aca="false">B17/B16-1</f>
        <v>0.0255220417633411</v>
      </c>
      <c r="D17" s="46" t="s">
        <v>202</v>
      </c>
      <c r="E17" s="61" t="n">
        <v>235.4</v>
      </c>
    </row>
    <row r="18" customFormat="false" ht="15" hidden="false" customHeight="false" outlineLevel="0" collapsed="false">
      <c r="A18" s="60" t="n">
        <v>2013</v>
      </c>
      <c r="B18" s="61" t="n">
        <v>89.9</v>
      </c>
      <c r="C18" s="62" t="n">
        <f aca="false">B18/B17-1</f>
        <v>0.0169683257918551</v>
      </c>
      <c r="D18" s="46" t="s">
        <v>202</v>
      </c>
      <c r="E18" s="61" t="n">
        <v>239.5</v>
      </c>
    </row>
    <row r="19" customFormat="false" ht="15" hidden="false" customHeight="false" outlineLevel="0" collapsed="false">
      <c r="A19" s="60" t="n">
        <v>2014</v>
      </c>
      <c r="B19" s="61" t="n">
        <v>91.2</v>
      </c>
      <c r="C19" s="62" t="n">
        <f aca="false">B19/B18-1</f>
        <v>0.0144605116796439</v>
      </c>
      <c r="D19" s="46" t="s">
        <v>202</v>
      </c>
      <c r="E19" s="61" t="n">
        <v>245.1</v>
      </c>
    </row>
    <row r="20" customFormat="false" ht="15" hidden="false" customHeight="false" outlineLevel="0" collapsed="false">
      <c r="A20" s="60" t="n">
        <v>2015</v>
      </c>
      <c r="B20" s="61" t="n">
        <v>91.9</v>
      </c>
      <c r="C20" s="62" t="n">
        <f aca="false">B20/B19-1</f>
        <v>0.00767543859649122</v>
      </c>
      <c r="D20" s="46" t="s">
        <v>202</v>
      </c>
      <c r="E20" s="61" t="n">
        <v>250.7</v>
      </c>
    </row>
    <row r="21" customFormat="false" ht="15" hidden="false" customHeight="false" outlineLevel="0" collapsed="false">
      <c r="A21" s="60" t="n">
        <v>2016</v>
      </c>
      <c r="B21" s="61" t="n">
        <v>92.6</v>
      </c>
      <c r="C21" s="62" t="n">
        <f aca="false">B21/B20-1</f>
        <v>0.00761697497279634</v>
      </c>
      <c r="D21" s="46" t="s">
        <v>202</v>
      </c>
      <c r="E21" s="61" t="n">
        <v>255.9</v>
      </c>
    </row>
    <row r="22" customFormat="false" ht="15" hidden="false" customHeight="false" outlineLevel="0" collapsed="false">
      <c r="A22" s="60" t="n">
        <v>2017</v>
      </c>
      <c r="B22" s="61" t="n">
        <v>93.6</v>
      </c>
      <c r="C22" s="62" t="n">
        <f aca="false">B22/B21-1</f>
        <v>0.0107991360691144</v>
      </c>
      <c r="D22" s="46" t="s">
        <v>202</v>
      </c>
      <c r="E22" s="61" t="n">
        <v>256.9</v>
      </c>
    </row>
    <row r="23" customFormat="false" ht="15" hidden="false" customHeight="false" outlineLevel="0" collapsed="false">
      <c r="A23" s="60" t="n">
        <v>2018</v>
      </c>
      <c r="B23" s="61" t="n">
        <v>94.6</v>
      </c>
      <c r="C23" s="62" t="n">
        <f aca="false">B23/B22-1</f>
        <v>0.0106837606837606</v>
      </c>
      <c r="D23" s="46" t="s">
        <v>203</v>
      </c>
      <c r="E23" s="61" t="n">
        <v>266.4</v>
      </c>
    </row>
    <row r="24" customFormat="false" ht="15" hidden="false" customHeight="false" outlineLevel="0" collapsed="false">
      <c r="A24" s="60" t="n">
        <v>2019</v>
      </c>
      <c r="B24" s="61" t="n">
        <v>96.4</v>
      </c>
      <c r="C24" s="62" t="n">
        <f aca="false">B24/B23-1</f>
        <v>0.0190274841437634</v>
      </c>
      <c r="D24" s="46" t="s">
        <v>203</v>
      </c>
      <c r="E24" s="61" t="n">
        <v>274.9</v>
      </c>
    </row>
    <row r="25" customFormat="false" ht="15" hidden="false" customHeight="false" outlineLevel="0" collapsed="false">
      <c r="A25" s="60" t="n">
        <v>2020</v>
      </c>
      <c r="B25" s="61" t="n">
        <v>97.8</v>
      </c>
      <c r="C25" s="62" t="n">
        <f aca="false">B25/B24-1</f>
        <v>0.0145228215767634</v>
      </c>
      <c r="D25" s="46" t="s">
        <v>203</v>
      </c>
      <c r="E25" s="61" t="n">
        <v>276</v>
      </c>
    </row>
    <row r="26" customFormat="false" ht="15" hidden="false" customHeight="false" outlineLevel="0" collapsed="false">
      <c r="A26" s="60" t="n">
        <v>2021</v>
      </c>
      <c r="B26" s="61" t="n">
        <v>100</v>
      </c>
      <c r="C26" s="62" t="n">
        <f aca="false">B26/B25-1</f>
        <v>0.0224948875255624</v>
      </c>
      <c r="D26" s="46" t="s">
        <v>203</v>
      </c>
      <c r="E26" s="61" t="n">
        <v>279.4</v>
      </c>
    </row>
    <row r="27" customFormat="false" ht="15" hidden="false" customHeight="false" outlineLevel="0" collapsed="false">
      <c r="A27" s="60" t="n">
        <v>2022</v>
      </c>
      <c r="B27" s="61" t="n">
        <v>109.3</v>
      </c>
      <c r="C27" s="62" t="n">
        <f aca="false">B27/B26-1</f>
        <v>0.093</v>
      </c>
      <c r="D27" s="46" t="s">
        <v>203</v>
      </c>
      <c r="E27" s="61" t="n">
        <v>304.842</v>
      </c>
    </row>
    <row r="28" customFormat="false" ht="15" hidden="false" customHeight="false" outlineLevel="0" collapsed="false">
      <c r="A28" s="60" t="n">
        <v>2023</v>
      </c>
      <c r="B28" s="61" t="n">
        <v>118.6</v>
      </c>
      <c r="C28" s="62" t="n">
        <f aca="false">B28/B27-1</f>
        <v>0.0850869167429094</v>
      </c>
      <c r="D28" s="46" t="s">
        <v>203</v>
      </c>
      <c r="E28" s="61" t="n">
        <v>343.291</v>
      </c>
    </row>
    <row r="29" customFormat="false" ht="15" hidden="false" customHeight="false" outlineLevel="0" collapsed="false">
      <c r="A29" s="60" t="n">
        <v>2024</v>
      </c>
      <c r="B29" s="61" t="n">
        <v>121.7</v>
      </c>
      <c r="C29" s="62" t="n">
        <f aca="false">B29/B28-1</f>
        <v>0.0261382799325465</v>
      </c>
      <c r="D29" s="46" t="s">
        <v>203</v>
      </c>
      <c r="E29" s="61" t="n">
        <v>367.3</v>
      </c>
    </row>
    <row r="30" customFormat="false" ht="15" hidden="false" customHeight="false" outlineLevel="0" collapsed="false">
      <c r="A30" s="60" t="n">
        <v>2025</v>
      </c>
      <c r="B30" s="61" t="n">
        <v>122.9</v>
      </c>
      <c r="C30" s="62" t="n">
        <f aca="false">B30/B29-1</f>
        <v>0.00986031224322104</v>
      </c>
      <c r="D30" s="46" t="s">
        <v>203</v>
      </c>
      <c r="E30" s="61" t="n">
        <v>382.901</v>
      </c>
    </row>
    <row r="31" customFormat="false" ht="15" hidden="false" customHeight="false" outlineLevel="0" collapsed="false">
      <c r="A31" s="60" t="n">
        <v>2026</v>
      </c>
      <c r="B31" s="63" t="n">
        <f aca="false">B30*(1+IF($C$5="فلزی",(1-$C$6)*$C$4+$C$6*$H$45,$C$4))</f>
        <v>125.358</v>
      </c>
      <c r="C31" s="62" t="n">
        <f aca="false">B31/B30-1</f>
        <v>0.02</v>
      </c>
      <c r="D31" s="46" t="s">
        <v>204</v>
      </c>
      <c r="E31" s="61" t="n">
        <v>399.843</v>
      </c>
    </row>
    <row r="32" customFormat="false" ht="15" hidden="false" customHeight="false" outlineLevel="0" collapsed="false">
      <c r="A32" s="60" t="n">
        <v>2027</v>
      </c>
      <c r="B32" s="63" t="n">
        <f aca="false">B31*(1+$C$4)</f>
        <v>127.86516</v>
      </c>
      <c r="C32" s="62" t="n">
        <f aca="false">B32/B31-1</f>
        <v>0.02</v>
      </c>
      <c r="D32" s="46" t="s">
        <v>205</v>
      </c>
    </row>
    <row r="36" customFormat="false" ht="15" hidden="false" customHeight="false" outlineLevel="0" collapsed="false">
      <c r="A36" s="3" t="s">
        <v>206</v>
      </c>
    </row>
    <row r="37" customFormat="false" ht="42" hidden="false" customHeight="true" outlineLevel="0" collapsed="false">
      <c r="A37" s="4" t="s">
        <v>207</v>
      </c>
      <c r="B37" s="4" t="s">
        <v>208</v>
      </c>
      <c r="C37" s="4" t="s">
        <v>209</v>
      </c>
      <c r="D37" s="4" t="s">
        <v>210</v>
      </c>
      <c r="E37" s="4" t="s">
        <v>211</v>
      </c>
      <c r="F37" s="4" t="s">
        <v>212</v>
      </c>
      <c r="G37" s="4" t="s">
        <v>213</v>
      </c>
      <c r="H37" s="4" t="s">
        <v>214</v>
      </c>
    </row>
    <row r="38" customFormat="false" ht="15" hidden="false" customHeight="false" outlineLevel="0" collapsed="false">
      <c r="A38" s="46" t="s">
        <v>215</v>
      </c>
      <c r="B38" s="64" t="n">
        <v>0.6</v>
      </c>
      <c r="C38" s="65" t="n">
        <v>560</v>
      </c>
      <c r="D38" s="65" t="n">
        <v>600</v>
      </c>
      <c r="E38" s="65" t="n">
        <v>560</v>
      </c>
      <c r="F38" s="65" t="n">
        <v>600</v>
      </c>
      <c r="G38" s="22" t="n">
        <f aca="false">E38/C38</f>
        <v>1</v>
      </c>
      <c r="H38" s="22" t="n">
        <f aca="false">F38/E38</f>
        <v>1.07142857142857</v>
      </c>
    </row>
    <row r="39" customFormat="false" ht="15" hidden="false" customHeight="false" outlineLevel="0" collapsed="false">
      <c r="A39" s="46" t="s">
        <v>216</v>
      </c>
      <c r="B39" s="64" t="n">
        <v>0.12</v>
      </c>
      <c r="C39" s="65" t="n">
        <v>16893</v>
      </c>
      <c r="D39" s="65" t="n">
        <v>16814</v>
      </c>
      <c r="E39" s="65" t="n">
        <v>15162</v>
      </c>
      <c r="F39" s="65" t="n">
        <v>17800</v>
      </c>
      <c r="G39" s="22" t="n">
        <f aca="false">E39/C39</f>
        <v>0.897531521932161</v>
      </c>
      <c r="H39" s="22" t="n">
        <f aca="false">F39/E39</f>
        <v>1.1739876005804</v>
      </c>
    </row>
    <row r="40" customFormat="false" ht="15" hidden="false" customHeight="false" outlineLevel="0" collapsed="false">
      <c r="A40" s="46" t="s">
        <v>217</v>
      </c>
      <c r="B40" s="64" t="n">
        <v>0.03</v>
      </c>
      <c r="C40" s="65" t="n">
        <v>24000</v>
      </c>
      <c r="D40" s="65" t="n">
        <v>46000</v>
      </c>
      <c r="E40" s="65" t="n">
        <v>52000</v>
      </c>
      <c r="F40" s="65" t="n">
        <v>66000</v>
      </c>
      <c r="G40" s="22" t="n">
        <f aca="false">E40/C40</f>
        <v>2.16666666666667</v>
      </c>
      <c r="H40" s="22" t="n">
        <f aca="false">F40/E40</f>
        <v>1.26923076923077</v>
      </c>
    </row>
    <row r="41" customFormat="false" ht="15" hidden="false" customHeight="false" outlineLevel="0" collapsed="false">
      <c r="A41" s="46" t="s">
        <v>218</v>
      </c>
      <c r="B41" s="64" t="n">
        <v>0.25</v>
      </c>
      <c r="C41" s="65" t="n">
        <v>6863</v>
      </c>
      <c r="D41" s="65" t="n">
        <v>9142</v>
      </c>
      <c r="E41" s="65" t="n">
        <v>9921</v>
      </c>
      <c r="F41" s="65" t="n">
        <v>13200</v>
      </c>
      <c r="G41" s="22" t="n">
        <f aca="false">E41/C41</f>
        <v>1.4455777356841</v>
      </c>
      <c r="H41" s="22" t="n">
        <f aca="false">F41/E41</f>
        <v>1.33051103719383</v>
      </c>
    </row>
    <row r="42" customFormat="false" ht="15" hidden="false" customHeight="false" outlineLevel="0" collapsed="false">
      <c r="A42" s="46" t="s">
        <v>219</v>
      </c>
      <c r="B42" s="62" t="n">
        <f aca="false">SUM(B38:B41)</f>
        <v>1</v>
      </c>
    </row>
    <row r="44" customFormat="false" ht="15" hidden="false" customHeight="false" outlineLevel="0" collapsed="false">
      <c r="A44" s="46" t="s">
        <v>220</v>
      </c>
      <c r="G44" s="62" t="n">
        <f aca="false">SUMPRODUCT(B38:B41,G38:G41)-1</f>
        <v>0.134098216552885</v>
      </c>
    </row>
    <row r="45" customFormat="false" ht="15" hidden="false" customHeight="false" outlineLevel="0" collapsed="false">
      <c r="A45" s="46" t="s">
        <v>221</v>
      </c>
      <c r="H45" s="62" t="n">
        <f aca="false">SUMPRODUCT(B38:B41,H38:H41)-1</f>
        <v>0.154440337302171</v>
      </c>
    </row>
    <row r="46" customFormat="false" ht="15" hidden="false" customHeight="false" outlineLevel="0" collapsed="false">
      <c r="A46" s="23" t="s">
        <v>222</v>
      </c>
    </row>
    <row r="49" customFormat="false" ht="15" hidden="false" customHeight="false" outlineLevel="0" collapsed="false">
      <c r="A49" s="3" t="s">
        <v>223</v>
      </c>
    </row>
    <row r="50" customFormat="false" ht="42" hidden="false" customHeight="true" outlineLevel="0" collapsed="false">
      <c r="A50" s="4" t="s">
        <v>224</v>
      </c>
      <c r="B50" s="4" t="s">
        <v>197</v>
      </c>
      <c r="C50" s="4" t="s">
        <v>225</v>
      </c>
      <c r="D50" s="4" t="s">
        <v>226</v>
      </c>
      <c r="E50" s="4" t="s">
        <v>227</v>
      </c>
      <c r="F50" s="4" t="s">
        <v>228</v>
      </c>
      <c r="G50" s="4" t="s">
        <v>229</v>
      </c>
      <c r="H50" s="4" t="s">
        <v>230</v>
      </c>
      <c r="I50" s="4" t="s">
        <v>231</v>
      </c>
      <c r="J50" s="4" t="s">
        <v>232</v>
      </c>
      <c r="K50" s="4" t="s">
        <v>233</v>
      </c>
      <c r="L50" s="4" t="s">
        <v>234</v>
      </c>
      <c r="M50" s="4" t="s">
        <v>235</v>
      </c>
    </row>
    <row r="51" customFormat="false" ht="15" hidden="false" customHeight="false" outlineLevel="0" collapsed="false">
      <c r="A51" s="60" t="n">
        <v>1385</v>
      </c>
      <c r="B51" s="60" t="n">
        <f aca="false">A51+621</f>
        <v>2006</v>
      </c>
      <c r="C51" s="66" t="n">
        <f aca="false">$C$3*INDEX($B$10:$B$32,MATCH(B51,$A$10:$A$32,0))+(1-$C$3)*INDEX($B$10:$B$32,MATCH(B51+1,$A$10:$A$32,0))</f>
        <v>77.193</v>
      </c>
      <c r="D51" s="65" t="n">
        <v>9148</v>
      </c>
      <c r="E51" s="67" t="n">
        <v>1.26</v>
      </c>
      <c r="G51" s="21" t="n">
        <f aca="false">IF(F51="",D51*E51,F51)</f>
        <v>11526.48</v>
      </c>
      <c r="I51" s="66" t="n">
        <v>1</v>
      </c>
      <c r="K51" s="22" t="n">
        <v>1</v>
      </c>
      <c r="L51" s="66" t="n">
        <f aca="false">(G51*C51)/($G$51*$C$51)</f>
        <v>1</v>
      </c>
      <c r="M51" s="68" t="s">
        <v>236</v>
      </c>
    </row>
    <row r="52" customFormat="false" ht="15" hidden="false" customHeight="false" outlineLevel="0" collapsed="false">
      <c r="A52" s="60" t="n">
        <v>1386</v>
      </c>
      <c r="B52" s="60" t="n">
        <f aca="false">A52+621</f>
        <v>2007</v>
      </c>
      <c r="C52" s="66" t="n">
        <f aca="false">$C$3*INDEX($B$10:$B$32,MATCH(B52,$A$10:$A$32,0))+(1-$C$3)*INDEX($B$10:$B$32,MATCH(B52+1,$A$10:$A$32,0))</f>
        <v>80.157</v>
      </c>
      <c r="D52" s="65" t="n">
        <v>9300</v>
      </c>
      <c r="E52" s="67" t="n">
        <v>1.37</v>
      </c>
      <c r="G52" s="21" t="n">
        <f aca="false">IF(F52="",D52*E52,F52)</f>
        <v>12741</v>
      </c>
      <c r="H52" s="64" t="n">
        <v>0.184</v>
      </c>
      <c r="I52" s="66" t="n">
        <f aca="false">I51*(1+H52)</f>
        <v>1.184</v>
      </c>
      <c r="J52" s="64" t="n">
        <v>0.03</v>
      </c>
      <c r="K52" s="22" t="n">
        <f aca="false">K51*(1+J52)</f>
        <v>1.03</v>
      </c>
      <c r="L52" s="66" t="n">
        <f aca="false">(G52*C52)/($G$51*$C$51)</f>
        <v>1.14781091370756</v>
      </c>
      <c r="M52" s="68" t="s">
        <v>237</v>
      </c>
    </row>
    <row r="53" customFormat="false" ht="15" hidden="false" customHeight="false" outlineLevel="0" collapsed="false">
      <c r="A53" s="60" t="n">
        <v>1387</v>
      </c>
      <c r="B53" s="60" t="n">
        <f aca="false">A53+621</f>
        <v>2008</v>
      </c>
      <c r="C53" s="66" t="n">
        <f aca="false">$C$3*INDEX($B$10:$B$32,MATCH(B53,$A$10:$A$32,0))+(1-$C$3)*INDEX($B$10:$B$32,MATCH(B53+1,$A$10:$A$32,0))</f>
        <v>81.962</v>
      </c>
      <c r="D53" s="65" t="n">
        <v>9800</v>
      </c>
      <c r="E53" s="67" t="n">
        <v>1.47</v>
      </c>
      <c r="G53" s="21" t="n">
        <f aca="false">IF(F53="",D53*E53,F53)</f>
        <v>14406</v>
      </c>
      <c r="H53" s="64" t="n">
        <v>0.254</v>
      </c>
      <c r="I53" s="66" t="n">
        <f aca="false">I52*(1+H53)</f>
        <v>1.484736</v>
      </c>
      <c r="J53" s="64" t="n">
        <v>0.035</v>
      </c>
      <c r="K53" s="22" t="n">
        <f aca="false">K52*(1+J53)</f>
        <v>1.06605</v>
      </c>
      <c r="L53" s="66" t="n">
        <f aca="false">(G53*C53)/($G$51*$C$51)</f>
        <v>1.32703182166775</v>
      </c>
      <c r="M53" s="68" t="s">
        <v>237</v>
      </c>
    </row>
    <row r="54" customFormat="false" ht="15" hidden="false" customHeight="false" outlineLevel="0" collapsed="false">
      <c r="A54" s="60" t="n">
        <v>1388</v>
      </c>
      <c r="B54" s="60" t="n">
        <f aca="false">A54+621</f>
        <v>2009</v>
      </c>
      <c r="C54" s="66" t="n">
        <f aca="false">$C$3*INDEX($B$10:$B$32,MATCH(B54,$A$10:$A$32,0))+(1-$C$3)*INDEX($B$10:$B$32,MATCH(B54+1,$A$10:$A$32,0))</f>
        <v>83.847</v>
      </c>
      <c r="D54" s="65" t="n">
        <v>10300</v>
      </c>
      <c r="E54" s="67" t="n">
        <v>1.39</v>
      </c>
      <c r="G54" s="21" t="n">
        <f aca="false">IF(F54="",D54*E54,F54)</f>
        <v>14317</v>
      </c>
      <c r="H54" s="64" t="n">
        <v>0.108</v>
      </c>
      <c r="I54" s="66" t="n">
        <f aca="false">I53*(1+H54)</f>
        <v>1.645087488</v>
      </c>
      <c r="J54" s="64" t="n">
        <v>0</v>
      </c>
      <c r="K54" s="22" t="n">
        <f aca="false">K53*(1+J54)</f>
        <v>1.06605</v>
      </c>
      <c r="L54" s="66" t="n">
        <f aca="false">(G54*C54)/($G$51*$C$51)</f>
        <v>1.34916458552752</v>
      </c>
      <c r="M54" s="68" t="s">
        <v>237</v>
      </c>
    </row>
    <row r="55" customFormat="false" ht="15" hidden="false" customHeight="false" outlineLevel="0" collapsed="false">
      <c r="A55" s="60" t="n">
        <v>1389</v>
      </c>
      <c r="B55" s="60" t="n">
        <f aca="false">A55+621</f>
        <v>2010</v>
      </c>
      <c r="C55" s="66" t="n">
        <f aca="false">$C$3*INDEX($B$10:$B$32,MATCH(B55,$A$10:$A$32,0))+(1-$C$3)*INDEX($B$10:$B$32,MATCH(B55+1,$A$10:$A$32,0))</f>
        <v>84.778</v>
      </c>
      <c r="D55" s="65" t="n">
        <v>10700</v>
      </c>
      <c r="E55" s="67" t="n">
        <v>1.33</v>
      </c>
      <c r="G55" s="21" t="n">
        <f aca="false">IF(F55="",D55*E55,F55)</f>
        <v>14231</v>
      </c>
      <c r="H55" s="64" t="n">
        <v>0.124</v>
      </c>
      <c r="I55" s="66" t="n">
        <f aca="false">I54*(1+H55)</f>
        <v>1.849078336512</v>
      </c>
      <c r="J55" s="64" t="n">
        <v>0.015</v>
      </c>
      <c r="K55" s="22" t="n">
        <f aca="false">K54*(1+J55)</f>
        <v>1.08204075</v>
      </c>
      <c r="L55" s="66" t="n">
        <f aca="false">(G55*C55)/($G$51*$C$51)</f>
        <v>1.35595090404993</v>
      </c>
      <c r="M55" s="68" t="s">
        <v>237</v>
      </c>
    </row>
    <row r="56" customFormat="false" ht="15" hidden="false" customHeight="false" outlineLevel="0" collapsed="false">
      <c r="A56" s="60" t="n">
        <v>1390</v>
      </c>
      <c r="B56" s="60" t="n">
        <f aca="false">A56+621</f>
        <v>2011</v>
      </c>
      <c r="C56" s="66" t="n">
        <f aca="false">$C$3*INDEX($B$10:$B$32,MATCH(B56,$A$10:$A$32,0))+(1-$C$3)*INDEX($B$10:$B$32,MATCH(B56+1,$A$10:$A$32,0))</f>
        <v>86.662</v>
      </c>
      <c r="D56" s="65" t="n">
        <v>13500</v>
      </c>
      <c r="E56" s="67" t="n">
        <v>1.39</v>
      </c>
      <c r="G56" s="21" t="n">
        <f aca="false">IF(F56="",D56*E56,F56)</f>
        <v>18765</v>
      </c>
      <c r="H56" s="64" t="n">
        <v>0.215</v>
      </c>
      <c r="I56" s="66" t="n">
        <f aca="false">I55*(1+H56)</f>
        <v>2.24663017886208</v>
      </c>
      <c r="J56" s="64" t="n">
        <v>0.03</v>
      </c>
      <c r="K56" s="22" t="n">
        <f aca="false">K55*(1+J56)</f>
        <v>1.1145019725</v>
      </c>
      <c r="L56" s="66" t="n">
        <f aca="false">(G56*C56)/($G$51*$C$51)</f>
        <v>1.8276905052769</v>
      </c>
      <c r="M56" s="68" t="s">
        <v>237</v>
      </c>
    </row>
    <row r="57" customFormat="false" ht="15" hidden="false" customHeight="false" outlineLevel="0" collapsed="false">
      <c r="A57" s="60" t="n">
        <v>1391</v>
      </c>
      <c r="B57" s="60" t="n">
        <f aca="false">A57+621</f>
        <v>2012</v>
      </c>
      <c r="C57" s="66" t="n">
        <f aca="false">$C$3*INDEX($B$10:$B$32,MATCH(B57,$A$10:$A$32,0))+(1-$C$3)*INDEX($B$10:$B$32,MATCH(B57+1,$A$10:$A$32,0))</f>
        <v>88.715</v>
      </c>
      <c r="D57" s="65" t="n">
        <v>24000</v>
      </c>
      <c r="E57" s="67" t="n">
        <v>1.28</v>
      </c>
      <c r="G57" s="21" t="n">
        <f aca="false">IF(F57="",D57*E57,F57)</f>
        <v>30720</v>
      </c>
      <c r="H57" s="64" t="n">
        <v>0.305</v>
      </c>
      <c r="I57" s="66" t="n">
        <f aca="false">I56*(1+H57)</f>
        <v>2.93185238341502</v>
      </c>
      <c r="J57" s="64" t="n">
        <v>0.02</v>
      </c>
      <c r="K57" s="22" t="n">
        <f aca="false">K56*(1+J57)</f>
        <v>1.13679201195</v>
      </c>
      <c r="L57" s="66" t="n">
        <f aca="false">(G57*C57)/($G$51*$C$51)</f>
        <v>3.0629763792641</v>
      </c>
      <c r="M57" s="68" t="s">
        <v>237</v>
      </c>
    </row>
    <row r="58" customFormat="false" ht="15" hidden="false" customHeight="false" outlineLevel="0" collapsed="false">
      <c r="A58" s="60" t="n">
        <v>1392</v>
      </c>
      <c r="B58" s="60" t="n">
        <f aca="false">A58+621</f>
        <v>2013</v>
      </c>
      <c r="C58" s="66" t="n">
        <f aca="false">$C$3*INDEX($B$10:$B$32,MATCH(B58,$A$10:$A$32,0))+(1-$C$3)*INDEX($B$10:$B$32,MATCH(B58+1,$A$10:$A$32,0))</f>
        <v>90.173</v>
      </c>
      <c r="D58" s="65" t="n">
        <v>27500</v>
      </c>
      <c r="E58" s="67" t="n">
        <v>1.33</v>
      </c>
      <c r="G58" s="21" t="n">
        <f aca="false">IF(F58="",D58*E58,F58)</f>
        <v>36575</v>
      </c>
      <c r="H58" s="64" t="n">
        <v>0.37</v>
      </c>
      <c r="I58" s="66" t="n">
        <f aca="false">I57*(1+H58)</f>
        <v>4.01663776527857</v>
      </c>
      <c r="J58" s="64" t="n">
        <v>0.02</v>
      </c>
      <c r="K58" s="22" t="n">
        <f aca="false">K57*(1+J58)</f>
        <v>1.159527852189</v>
      </c>
      <c r="L58" s="66" t="n">
        <f aca="false">(G58*C58)/($G$51*$C$51)</f>
        <v>3.7066897137941</v>
      </c>
      <c r="M58" s="68" t="s">
        <v>238</v>
      </c>
    </row>
    <row r="59" customFormat="false" ht="15" hidden="false" customHeight="false" outlineLevel="0" collapsed="false">
      <c r="A59" s="60" t="n">
        <v>1393</v>
      </c>
      <c r="B59" s="60" t="n">
        <f aca="false">A59+621</f>
        <v>2014</v>
      </c>
      <c r="C59" s="66" t="n">
        <f aca="false">$C$3*INDEX($B$10:$B$32,MATCH(B59,$A$10:$A$32,0))+(1-$C$3)*INDEX($B$10:$B$32,MATCH(B59+1,$A$10:$A$32,0))</f>
        <v>91.347</v>
      </c>
      <c r="D59" s="65" t="n">
        <v>31000</v>
      </c>
      <c r="E59" s="67" t="n">
        <v>1.33</v>
      </c>
      <c r="F59" s="69" t="n">
        <v>40530.8</v>
      </c>
      <c r="G59" s="21" t="n">
        <f aca="false">IF(F59="",D59*E59,F59)</f>
        <v>40530.8</v>
      </c>
      <c r="H59" s="64" t="n">
        <v>0.156</v>
      </c>
      <c r="I59" s="66" t="n">
        <f aca="false">I58*(1+H59)</f>
        <v>4.64323325666203</v>
      </c>
      <c r="J59" s="64" t="n">
        <v>0.02</v>
      </c>
      <c r="K59" s="22" t="n">
        <f aca="false">K58*(1+J59)</f>
        <v>1.18271840923278</v>
      </c>
      <c r="L59" s="66" t="n">
        <f aca="false">(G59*C59)/($G$51*$C$51)</f>
        <v>4.16106829923023</v>
      </c>
      <c r="M59" s="68" t="s">
        <v>238</v>
      </c>
    </row>
    <row r="60" customFormat="false" ht="15" hidden="false" customHeight="false" outlineLevel="0" collapsed="false">
      <c r="A60" s="60" t="n">
        <v>1394</v>
      </c>
      <c r="B60" s="60" t="n">
        <f aca="false">A60+621</f>
        <v>2015</v>
      </c>
      <c r="C60" s="66" t="n">
        <f aca="false">$C$3*INDEX($B$10:$B$32,MATCH(B60,$A$10:$A$32,0))+(1-$C$3)*INDEX($B$10:$B$32,MATCH(B60+1,$A$10:$A$32,0))</f>
        <v>92.047</v>
      </c>
      <c r="D60" s="65" t="n">
        <v>33500</v>
      </c>
      <c r="E60" s="67" t="n">
        <v>1.11</v>
      </c>
      <c r="G60" s="21" t="n">
        <f aca="false">IF(F60="",D60*E60,F60)</f>
        <v>37185</v>
      </c>
      <c r="H60" s="64" t="n">
        <v>0.119</v>
      </c>
      <c r="I60" s="66" t="n">
        <f aca="false">I59*(1+H60)</f>
        <v>5.19577801420481</v>
      </c>
      <c r="J60" s="64" t="n">
        <v>0.02</v>
      </c>
      <c r="K60" s="22" t="n">
        <f aca="false">K59*(1+J60)</f>
        <v>1.20637277741744</v>
      </c>
      <c r="L60" s="66" t="n">
        <f aca="false">(G60*C60)/($G$51*$C$51)</f>
        <v>3.84682831253479</v>
      </c>
      <c r="M60" s="68" t="s">
        <v>238</v>
      </c>
    </row>
    <row r="61" customFormat="false" ht="15" hidden="false" customHeight="false" outlineLevel="0" collapsed="false">
      <c r="A61" s="60" t="n">
        <v>1395</v>
      </c>
      <c r="B61" s="60" t="n">
        <f aca="false">A61+621</f>
        <v>2016</v>
      </c>
      <c r="C61" s="66" t="n">
        <f aca="false">$C$3*INDEX($B$10:$B$32,MATCH(B61,$A$10:$A$32,0))+(1-$C$3)*INDEX($B$10:$B$32,MATCH(B61+1,$A$10:$A$32,0))</f>
        <v>92.81</v>
      </c>
      <c r="D61" s="65" t="n">
        <v>36500</v>
      </c>
      <c r="E61" s="67" t="n">
        <v>1.11</v>
      </c>
      <c r="G61" s="21" t="n">
        <f aca="false">IF(F61="",D61*E61,F61)</f>
        <v>40515</v>
      </c>
      <c r="H61" s="64" t="n">
        <v>0.09</v>
      </c>
      <c r="I61" s="66" t="n">
        <f aca="false">I60*(1+H61)</f>
        <v>5.66339803548324</v>
      </c>
      <c r="J61" s="64" t="n">
        <v>0.02</v>
      </c>
      <c r="K61" s="22" t="n">
        <f aca="false">K60*(1+J61)</f>
        <v>1.23050023296578</v>
      </c>
      <c r="L61" s="66" t="n">
        <f aca="false">(G61*C61)/($G$51*$C$51)</f>
        <v>4.22606327577035</v>
      </c>
      <c r="M61" s="68" t="s">
        <v>238</v>
      </c>
    </row>
    <row r="62" customFormat="false" ht="15" hidden="false" customHeight="false" outlineLevel="0" collapsed="false">
      <c r="A62" s="60" t="n">
        <v>1396</v>
      </c>
      <c r="B62" s="60" t="n">
        <f aca="false">A62+621</f>
        <v>2017</v>
      </c>
      <c r="C62" s="66" t="n">
        <f aca="false">$C$3*INDEX($B$10:$B$32,MATCH(B62,$A$10:$A$32,0))+(1-$C$3)*INDEX($B$10:$B$32,MATCH(B62+1,$A$10:$A$32,0))</f>
        <v>93.81</v>
      </c>
      <c r="D62" s="65" t="n">
        <v>41000</v>
      </c>
      <c r="E62" s="67" t="n">
        <v>1.13</v>
      </c>
      <c r="G62" s="21" t="n">
        <f aca="false">IF(F62="",D62*E62,F62)</f>
        <v>46330</v>
      </c>
      <c r="H62" s="64" t="n">
        <v>0.096</v>
      </c>
      <c r="I62" s="66" t="n">
        <f aca="false">I61*(1+H62)</f>
        <v>6.20708424688963</v>
      </c>
      <c r="J62" s="64" t="n">
        <v>0.02</v>
      </c>
      <c r="K62" s="22" t="n">
        <f aca="false">K61*(1+J62)</f>
        <v>1.2551102376251</v>
      </c>
      <c r="L62" s="66" t="n">
        <f aca="false">(G62*C62)/($G$51*$C$51)</f>
        <v>4.88468784676563</v>
      </c>
      <c r="M62" s="68" t="s">
        <v>238</v>
      </c>
    </row>
    <row r="63" customFormat="false" ht="15" hidden="false" customHeight="false" outlineLevel="0" collapsed="false">
      <c r="A63" s="60" t="n">
        <v>1397</v>
      </c>
      <c r="B63" s="60" t="n">
        <f aca="false">A63+621</f>
        <v>2018</v>
      </c>
      <c r="C63" s="66" t="n">
        <f aca="false">$C$3*INDEX($B$10:$B$32,MATCH(B63,$A$10:$A$32,0))+(1-$C$3)*INDEX($B$10:$B$32,MATCH(B63+1,$A$10:$A$32,0))</f>
        <v>94.978</v>
      </c>
      <c r="D63" s="65" t="n">
        <v>85000</v>
      </c>
      <c r="E63" s="67" t="n">
        <v>1.18</v>
      </c>
      <c r="G63" s="21" t="n">
        <f aca="false">IF(F63="",D63*E63,F63)</f>
        <v>100300</v>
      </c>
      <c r="H63" s="64" t="n">
        <v>0.312</v>
      </c>
      <c r="I63" s="66" t="n">
        <f aca="false">I62*(1+H63)</f>
        <v>8.1436945319192</v>
      </c>
      <c r="J63" s="64" t="n">
        <v>0.02</v>
      </c>
      <c r="K63" s="22" t="n">
        <f aca="false">K62*(1+J63)</f>
        <v>1.2802124423776</v>
      </c>
      <c r="L63" s="66" t="n">
        <f aca="false">(G63*C63)/($G$51*$C$51)</f>
        <v>10.706544653371</v>
      </c>
      <c r="M63" s="68" t="s">
        <v>238</v>
      </c>
    </row>
    <row r="64" customFormat="false" ht="15" hidden="false" customHeight="false" outlineLevel="0" collapsed="false">
      <c r="A64" s="60" t="n">
        <v>1398</v>
      </c>
      <c r="B64" s="60" t="n">
        <f aca="false">A64+621</f>
        <v>2019</v>
      </c>
      <c r="C64" s="66" t="n">
        <f aca="false">$C$3*INDEX($B$10:$B$32,MATCH(B64,$A$10:$A$32,0))+(1-$C$3)*INDEX($B$10:$B$32,MATCH(B64+1,$A$10:$A$32,0))</f>
        <v>96.694</v>
      </c>
      <c r="D64" s="65" t="n">
        <v>120000</v>
      </c>
      <c r="E64" s="67" t="n">
        <v>1.12</v>
      </c>
      <c r="G64" s="21" t="n">
        <f aca="false">IF(F64="",D64*E64,F64)</f>
        <v>134400</v>
      </c>
      <c r="H64" s="64" t="n">
        <v>0.412</v>
      </c>
      <c r="I64" s="66" t="n">
        <f aca="false">I63*(1+H64)</f>
        <v>11.4988966790699</v>
      </c>
      <c r="J64" s="64" t="n">
        <v>0.02</v>
      </c>
      <c r="K64" s="22" t="n">
        <f aca="false">K63*(1+J64)</f>
        <v>1.30581669122515</v>
      </c>
      <c r="L64" s="66" t="n">
        <f aca="false">(G64*C64)/($G$51*$C$51)</f>
        <v>14.6057604838242</v>
      </c>
      <c r="M64" s="68" t="s">
        <v>238</v>
      </c>
    </row>
    <row r="65" customFormat="false" ht="15" hidden="false" customHeight="false" outlineLevel="0" collapsed="false">
      <c r="A65" s="60" t="n">
        <v>1399</v>
      </c>
      <c r="B65" s="60" t="n">
        <f aca="false">A65+621</f>
        <v>2020</v>
      </c>
      <c r="C65" s="66" t="n">
        <f aca="false">$C$3*INDEX($B$10:$B$32,MATCH(B65,$A$10:$A$32,0))+(1-$C$3)*INDEX($B$10:$B$32,MATCH(B65+1,$A$10:$A$32,0))</f>
        <v>98.262</v>
      </c>
      <c r="D65" s="65" t="n">
        <v>240000</v>
      </c>
      <c r="E65" s="67" t="n">
        <v>1.14</v>
      </c>
      <c r="G65" s="21" t="n">
        <f aca="false">IF(F65="",D65*E65,F65)</f>
        <v>273600</v>
      </c>
      <c r="H65" s="64" t="n">
        <v>0.47</v>
      </c>
      <c r="I65" s="66" t="n">
        <f aca="false">I64*(1+H65)</f>
        <v>16.9033781182328</v>
      </c>
      <c r="J65" s="64" t="n">
        <v>0.05</v>
      </c>
      <c r="K65" s="22" t="n">
        <f aca="false">K64*(1+J65)</f>
        <v>1.37110752578641</v>
      </c>
      <c r="L65" s="66" t="n">
        <f aca="false">(G65*C65)/($G$51*$C$51)</f>
        <v>30.2153112210047</v>
      </c>
      <c r="M65" s="68" t="s">
        <v>238</v>
      </c>
    </row>
    <row r="66" customFormat="false" ht="15" hidden="false" customHeight="false" outlineLevel="0" collapsed="false">
      <c r="A66" s="60" t="n">
        <v>1400</v>
      </c>
      <c r="B66" s="60" t="n">
        <f aca="false">A66+621</f>
        <v>2021</v>
      </c>
      <c r="C66" s="66" t="n">
        <f aca="false">$C$3*INDEX($B$10:$B$32,MATCH(B66,$A$10:$A$32,0))+(1-$C$3)*INDEX($B$10:$B$32,MATCH(B66+1,$A$10:$A$32,0))</f>
        <v>101.953</v>
      </c>
      <c r="D66" s="65" t="n">
        <v>270000</v>
      </c>
      <c r="E66" s="67" t="n">
        <v>1.18</v>
      </c>
      <c r="G66" s="21" t="n">
        <f aca="false">IF(F66="",D66*E66,F66)</f>
        <v>318600</v>
      </c>
      <c r="H66" s="64" t="n">
        <v>0.462</v>
      </c>
      <c r="I66" s="66" t="n">
        <f aca="false">I65*(1+H66)</f>
        <v>24.7127388088563</v>
      </c>
      <c r="J66" s="64" t="n">
        <v>0.05</v>
      </c>
      <c r="K66" s="22" t="n">
        <f aca="false">K65*(1+J66)</f>
        <v>1.43966290207573</v>
      </c>
      <c r="L66" s="66" t="n">
        <f aca="false">(G66*C66)/($G$51*$C$51)</f>
        <v>36.5065809298484</v>
      </c>
      <c r="M66" s="68" t="s">
        <v>238</v>
      </c>
    </row>
    <row r="67" customFormat="false" ht="15" hidden="false" customHeight="false" outlineLevel="0" collapsed="false">
      <c r="A67" s="60" t="n">
        <v>1401</v>
      </c>
      <c r="B67" s="60" t="n">
        <f aca="false">A67+621</f>
        <v>2022</v>
      </c>
      <c r="C67" s="66" t="n">
        <f aca="false">$C$3*INDEX($B$10:$B$32,MATCH(B67,$A$10:$A$32,0))+(1-$C$3)*INDEX($B$10:$B$32,MATCH(B67+1,$A$10:$A$32,0))</f>
        <v>111.253</v>
      </c>
      <c r="D67" s="65" t="n">
        <v>350000</v>
      </c>
      <c r="E67" s="67" t="n">
        <v>1.05</v>
      </c>
      <c r="G67" s="21" t="n">
        <f aca="false">IF(F67="",D67*E67,F67)</f>
        <v>367500</v>
      </c>
      <c r="H67" s="64" t="n">
        <v>0.465</v>
      </c>
      <c r="I67" s="66" t="n">
        <f aca="false">I66*(1+H67)</f>
        <v>36.2041623549745</v>
      </c>
      <c r="J67" s="64" t="n">
        <v>0.049</v>
      </c>
      <c r="K67" s="22" t="n">
        <f aca="false">K66*(1+J67)</f>
        <v>1.51020638427744</v>
      </c>
      <c r="L67" s="66" t="n">
        <f aca="false">(G67*C67)/($G$51*$C$51)</f>
        <v>45.9509456771661</v>
      </c>
      <c r="M67" s="68" t="s">
        <v>238</v>
      </c>
    </row>
    <row r="68" customFormat="false" ht="15" hidden="false" customHeight="false" outlineLevel="0" collapsed="false">
      <c r="A68" s="60" t="n">
        <v>1402</v>
      </c>
      <c r="B68" s="60" t="n">
        <f aca="false">A68+621</f>
        <v>2023</v>
      </c>
      <c r="C68" s="66" t="n">
        <f aca="false">$C$3*INDEX($B$10:$B$32,MATCH(B68,$A$10:$A$32,0))+(1-$C$3)*INDEX($B$10:$B$32,MATCH(B68+1,$A$10:$A$32,0))</f>
        <v>119.251</v>
      </c>
      <c r="D68" s="65" t="n">
        <v>520000</v>
      </c>
      <c r="E68" s="67" t="n">
        <v>1.08</v>
      </c>
      <c r="G68" s="21" t="n">
        <f aca="false">IF(F68="",D68*E68,F68)</f>
        <v>561600</v>
      </c>
      <c r="H68" s="64" t="n">
        <v>0.5</v>
      </c>
      <c r="I68" s="66" t="n">
        <f aca="false">I67*(1+H68)</f>
        <v>54.3062435324617</v>
      </c>
      <c r="J68" s="64" t="n">
        <v>0.04</v>
      </c>
      <c r="K68" s="22" t="n">
        <f aca="false">K67*(1+J68)</f>
        <v>1.57061463964854</v>
      </c>
      <c r="L68" s="66" t="n">
        <f aca="false">(G68*C68)/($G$51*$C$51)</f>
        <v>75.2687161060416</v>
      </c>
      <c r="M68" s="68" t="s">
        <v>238</v>
      </c>
    </row>
    <row r="69" customFormat="false" ht="15" hidden="false" customHeight="false" outlineLevel="0" collapsed="false">
      <c r="A69" s="60" t="n">
        <v>1403</v>
      </c>
      <c r="B69" s="60" t="n">
        <f aca="false">A69+621</f>
        <v>2024</v>
      </c>
      <c r="C69" s="66" t="n">
        <f aca="false">$C$3*INDEX($B$10:$B$32,MATCH(B69,$A$10:$A$32,0))+(1-$C$3)*INDEX($B$10:$B$32,MATCH(B69+1,$A$10:$A$32,0))</f>
        <v>121.952</v>
      </c>
      <c r="D69" s="65" t="n">
        <v>640000</v>
      </c>
      <c r="E69" s="67" t="n">
        <v>1.08</v>
      </c>
      <c r="G69" s="21" t="n">
        <f aca="false">IF(F69="",D69*E69,F69)</f>
        <v>691200</v>
      </c>
      <c r="H69" s="64" t="n">
        <v>0.4</v>
      </c>
      <c r="I69" s="66" t="n">
        <f aca="false">I68*(1+H69)</f>
        <v>76.0287409454464</v>
      </c>
      <c r="J69" s="64" t="n">
        <v>0.04</v>
      </c>
      <c r="K69" s="22" t="n">
        <f aca="false">K68*(1+J69)</f>
        <v>1.63343922523448</v>
      </c>
      <c r="L69" s="66" t="n">
        <f aca="false">(G69*C69)/($G$51*$C$51)</f>
        <v>94.7366527260366</v>
      </c>
      <c r="M69" s="68" t="s">
        <v>238</v>
      </c>
    </row>
    <row r="70" customFormat="false" ht="15" hidden="false" customHeight="false" outlineLevel="0" collapsed="false">
      <c r="A70" s="60" t="n">
        <v>1404</v>
      </c>
      <c r="B70" s="60" t="n">
        <f aca="false">A70+621</f>
        <v>2025</v>
      </c>
      <c r="C70" s="66" t="n">
        <f aca="false">$C$3*INDEX($B$10:$B$32,MATCH(B70,$A$10:$A$32,0))+(1-$C$3)*INDEX($B$10:$B$32,MATCH(B70+1,$A$10:$A$32,0))</f>
        <v>123.41618</v>
      </c>
      <c r="D70" s="65" t="n">
        <v>1000000</v>
      </c>
      <c r="E70" s="67" t="n">
        <v>1.13</v>
      </c>
      <c r="G70" s="21" t="n">
        <f aca="false">IF(F70="",D70*E70,F70)</f>
        <v>1130000</v>
      </c>
      <c r="H70" s="64" t="n">
        <v>0.6</v>
      </c>
      <c r="I70" s="66" t="n">
        <f aca="false">I69*(1+H70)</f>
        <v>121.645985512714</v>
      </c>
      <c r="J70" s="64" t="n">
        <v>0.04</v>
      </c>
      <c r="K70" s="22" t="n">
        <f aca="false">K69*(1+J70)</f>
        <v>1.69877679424386</v>
      </c>
      <c r="L70" s="66" t="n">
        <f aca="false">(G70*C70)/($G$51*$C$51)</f>
        <v>156.738585397115</v>
      </c>
      <c r="M70" s="68" t="s">
        <v>238</v>
      </c>
    </row>
    <row r="71" customFormat="false" ht="15" hidden="false" customHeight="false" outlineLevel="0" collapsed="false">
      <c r="A71" s="60" t="n">
        <v>1405</v>
      </c>
      <c r="B71" s="60" t="n">
        <f aca="false">A71+621</f>
        <v>2026</v>
      </c>
      <c r="C71" s="66" t="n">
        <f aca="false">$C$3*INDEX($B$10:$B$32,MATCH(B71,$A$10:$A$32,0))+(1-$C$3)*INDEX($B$10:$B$32,MATCH(B71+1,$A$10:$A$32,0))</f>
        <v>125.8845036</v>
      </c>
      <c r="D71" s="65" t="n">
        <v>2500000</v>
      </c>
      <c r="E71" s="67" t="n">
        <v>1.15</v>
      </c>
      <c r="G71" s="21" t="n">
        <f aca="false">IF(F71="",D71*E71,F71)</f>
        <v>2875000</v>
      </c>
      <c r="H71" s="64" t="n">
        <v>0.2</v>
      </c>
      <c r="I71" s="66" t="n">
        <f aca="false">I70*(1+H71)</f>
        <v>145.975182615257</v>
      </c>
      <c r="J71" s="64" t="n">
        <v>0.01</v>
      </c>
      <c r="K71" s="22" t="n">
        <f aca="false">K70*(1+J71)</f>
        <v>1.7157645621863</v>
      </c>
      <c r="L71" s="66" t="n">
        <f aca="false">(G71*C71)/($G$51*$C$51)</f>
        <v>406.757435112426</v>
      </c>
      <c r="M71" s="68" t="s">
        <v>239</v>
      </c>
    </row>
    <row r="73" customFormat="false" ht="15" hidden="false" customHeight="false" outlineLevel="0" collapsed="false">
      <c r="A73" s="70" t="s">
        <v>240</v>
      </c>
    </row>
    <row r="74" customFormat="false" ht="15" hidden="false" customHeight="false" outlineLevel="0" collapsed="false">
      <c r="A74" s="68" t="s">
        <v>241</v>
      </c>
    </row>
  </sheetData>
  <dataValidations count="1">
    <dataValidation allowBlank="false" errorStyle="stop" operator="between" showDropDown="false" showErrorMessage="false" showInputMessage="false" sqref="C5" type="list">
      <formula1>"روند,فلزی"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5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17" topLeftCell="C18" activePane="bottomRight" state="frozen"/>
      <selection pane="topLeft" activeCell="A1" activeCellId="0" sqref="A1"/>
      <selection pane="topRight" activeCell="C1" activeCellId="0" sqref="C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9" min="6" style="0" width="12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36" min="15" style="0" width="11"/>
  </cols>
  <sheetData>
    <row r="1" customFormat="false" ht="17.15" hidden="false" customHeight="false" outlineLevel="0" collapsed="false">
      <c r="A1" s="1" t="s">
        <v>242</v>
      </c>
    </row>
    <row r="2" customFormat="false" ht="15" hidden="false" customHeight="false" outlineLevel="0" collapsed="false">
      <c r="A2" s="56" t="s">
        <v>243</v>
      </c>
    </row>
    <row r="4" customFormat="false" ht="15" hidden="false" customHeight="false" outlineLevel="0" collapsed="false">
      <c r="A4" s="3" t="s">
        <v>244</v>
      </c>
    </row>
    <row r="5" customFormat="false" ht="42" hidden="false" customHeight="true" outlineLevel="0" collapsed="false">
      <c r="A5" s="4" t="s">
        <v>143</v>
      </c>
      <c r="B5" s="4" t="s">
        <v>144</v>
      </c>
      <c r="C5" s="4"/>
      <c r="D5" s="4"/>
      <c r="E5" s="4" t="s">
        <v>245</v>
      </c>
      <c r="F5" s="4" t="s">
        <v>246</v>
      </c>
    </row>
    <row r="6" customFormat="false" ht="15" hidden="false" customHeight="false" outlineLevel="0" collapsed="false">
      <c r="A6" s="3" t="s">
        <v>149</v>
      </c>
      <c r="B6" s="46" t="s">
        <v>247</v>
      </c>
      <c r="E6" s="22" t="n">
        <f aca="false">1</f>
        <v>1</v>
      </c>
      <c r="F6" s="68" t="s">
        <v>248</v>
      </c>
    </row>
    <row r="7" customFormat="false" ht="15" hidden="false" customHeight="false" outlineLevel="0" collapsed="false">
      <c r="A7" s="3" t="s">
        <v>150</v>
      </c>
      <c r="B7" s="46" t="s">
        <v>249</v>
      </c>
      <c r="E7" s="22" t="n">
        <f aca="false">INDEX(Indices!$K$51:$K$71,MATCH(1403,Indices!$A$51:$A$71,0))/INDEX(Indices!$K$51:$K$71,MATCH(1393,Indices!$A$51:$A$71,0))</f>
        <v>1.38108886484153</v>
      </c>
      <c r="F7" s="68" t="s">
        <v>250</v>
      </c>
    </row>
    <row r="8" customFormat="false" ht="15" hidden="false" customHeight="false" outlineLevel="0" collapsed="false">
      <c r="A8" s="3" t="s">
        <v>151</v>
      </c>
      <c r="B8" s="46" t="s">
        <v>251</v>
      </c>
      <c r="E8" s="71" t="n">
        <v>1.55207623267439</v>
      </c>
      <c r="F8" s="68" t="s">
        <v>252</v>
      </c>
    </row>
    <row r="9" customFormat="false" ht="15" hidden="false" customHeight="false" outlineLevel="0" collapsed="false">
      <c r="A9" s="3" t="s">
        <v>152</v>
      </c>
      <c r="B9" s="46" t="s">
        <v>253</v>
      </c>
      <c r="E9" s="22" t="s">
        <v>254</v>
      </c>
      <c r="F9" s="68" t="s">
        <v>255</v>
      </c>
    </row>
    <row r="10" customFormat="false" ht="15" hidden="false" customHeight="false" outlineLevel="0" collapsed="false">
      <c r="A10" s="3" t="s">
        <v>153</v>
      </c>
      <c r="B10" s="46" t="s">
        <v>256</v>
      </c>
      <c r="E10" s="22" t="n">
        <f aca="false">INDEX(Indices!$B$10:$B$32,MATCH(2025,Indices!$A$10:$A$32,0))/INDEX(Indices!$C$51:$C$71,MATCH(1393,Indices!$A$51:$A$71,0))</f>
        <v>1.34541911611766</v>
      </c>
      <c r="F10" s="68" t="s">
        <v>257</v>
      </c>
    </row>
    <row r="11" customFormat="false" ht="15" hidden="false" customHeight="false" outlineLevel="0" collapsed="false">
      <c r="A11" s="3" t="s">
        <v>154</v>
      </c>
      <c r="B11" s="46" t="s">
        <v>258</v>
      </c>
      <c r="E11" s="22" t="n">
        <f aca="false">(INDEX(Indices!$E$10:$E$32,MATCH(2025,Indices!$A$10:$A$32,0))/INDEX(Indices!$E$10:$E$32,MATCH(2015,Indices!$A$10:$A$32,0)))*E14/E15</f>
        <v>1.59038228739346</v>
      </c>
      <c r="F11" s="68" t="s">
        <v>259</v>
      </c>
    </row>
    <row r="12" customFormat="false" ht="15" hidden="false" customHeight="false" outlineLevel="0" collapsed="false">
      <c r="A12" s="3" t="s">
        <v>155</v>
      </c>
      <c r="B12" s="46" t="s">
        <v>260</v>
      </c>
      <c r="E12" s="22" t="n">
        <f aca="false">E10</f>
        <v>1.34541911611766</v>
      </c>
      <c r="F12" s="68" t="s">
        <v>261</v>
      </c>
    </row>
    <row r="14" customFormat="false" ht="15" hidden="false" customHeight="false" outlineLevel="0" collapsed="false">
      <c r="B14" s="46" t="s">
        <v>262</v>
      </c>
      <c r="E14" s="71" t="n">
        <v>1.135</v>
      </c>
    </row>
    <row r="15" customFormat="false" ht="15" hidden="false" customHeight="false" outlineLevel="0" collapsed="false">
      <c r="B15" s="46" t="s">
        <v>263</v>
      </c>
      <c r="E15" s="71" t="n">
        <v>1.09</v>
      </c>
    </row>
    <row r="16" customFormat="false" ht="15" hidden="false" customHeight="false" outlineLevel="0" collapsed="false">
      <c r="B16" s="46" t="s">
        <v>264</v>
      </c>
      <c r="E16" s="69" t="n">
        <v>25000</v>
      </c>
      <c r="F16" s="68" t="s">
        <v>265</v>
      </c>
    </row>
    <row r="17" customFormat="false" ht="42" hidden="false" customHeight="true" outlineLevel="0" collapsed="false">
      <c r="A17" s="4" t="s">
        <v>266</v>
      </c>
      <c r="B17" s="4" t="s">
        <v>267</v>
      </c>
      <c r="C17" s="4" t="s">
        <v>268</v>
      </c>
      <c r="D17" s="4" t="s">
        <v>9</v>
      </c>
      <c r="E17" s="4" t="s">
        <v>25</v>
      </c>
      <c r="F17" s="4" t="s">
        <v>269</v>
      </c>
      <c r="G17" s="4" t="s">
        <v>270</v>
      </c>
      <c r="H17" s="4" t="s">
        <v>271</v>
      </c>
      <c r="I17" s="4" t="s">
        <v>272</v>
      </c>
      <c r="J17" s="4" t="s">
        <v>273</v>
      </c>
      <c r="K17" s="4" t="s">
        <v>274</v>
      </c>
      <c r="L17" s="4" t="s">
        <v>275</v>
      </c>
      <c r="M17" s="4" t="s">
        <v>276</v>
      </c>
      <c r="N17" s="4" t="s">
        <v>277</v>
      </c>
      <c r="O17" s="4" t="s">
        <v>278</v>
      </c>
      <c r="P17" s="4" t="s">
        <v>279</v>
      </c>
      <c r="Q17" s="4" t="s">
        <v>280</v>
      </c>
      <c r="R17" s="4" t="s">
        <v>281</v>
      </c>
      <c r="S17" s="4" t="s">
        <v>282</v>
      </c>
      <c r="T17" s="4" t="s">
        <v>283</v>
      </c>
      <c r="U17" s="4" t="s">
        <v>284</v>
      </c>
      <c r="V17" s="4" t="s">
        <v>285</v>
      </c>
      <c r="W17" s="4" t="s">
        <v>286</v>
      </c>
      <c r="X17" s="4" t="s">
        <v>287</v>
      </c>
      <c r="Y17" s="4" t="s">
        <v>288</v>
      </c>
      <c r="Z17" s="4" t="s">
        <v>289</v>
      </c>
      <c r="AA17" s="4" t="s">
        <v>290</v>
      </c>
      <c r="AB17" s="4" t="s">
        <v>291</v>
      </c>
      <c r="AC17" s="4" t="s">
        <v>292</v>
      </c>
      <c r="AD17" s="4" t="s">
        <v>293</v>
      </c>
      <c r="AE17" s="4" t="s">
        <v>294</v>
      </c>
      <c r="AF17" s="4" t="s">
        <v>295</v>
      </c>
      <c r="AG17" s="4" t="s">
        <v>296</v>
      </c>
      <c r="AH17" s="4" t="s">
        <v>297</v>
      </c>
      <c r="AI17" s="4" t="s">
        <v>298</v>
      </c>
      <c r="AJ17" s="72" t="s">
        <v>299</v>
      </c>
    </row>
    <row r="18" customFormat="false" ht="15" hidden="false" customHeight="false" outlineLevel="0" collapsed="false">
      <c r="A18" s="46" t="s">
        <v>300</v>
      </c>
      <c r="B18" s="46" t="s">
        <v>301</v>
      </c>
      <c r="C18" s="46" t="s">
        <v>302</v>
      </c>
      <c r="D18" s="46" t="s">
        <v>75</v>
      </c>
      <c r="E18" s="73" t="n">
        <v>2</v>
      </c>
      <c r="F18" s="65" t="n">
        <v>75000</v>
      </c>
      <c r="G18" s="65" t="n">
        <v>43000</v>
      </c>
      <c r="H18" s="65" t="n">
        <v>180000</v>
      </c>
      <c r="J18" s="21" t="n">
        <f aca="false">AVERAGE(G18:I18)</f>
        <v>111500</v>
      </c>
      <c r="K18" s="74" t="n">
        <f aca="false">MAX(G18:I18)/MIN(G18:I18)</f>
        <v>4.18604651162791</v>
      </c>
      <c r="L18" s="59" t="s">
        <v>303</v>
      </c>
      <c r="M18" s="75" t="s">
        <v>303</v>
      </c>
      <c r="N18" s="74" t="n">
        <f aca="false">J18/F18</f>
        <v>1.48666666666667</v>
      </c>
      <c r="O18" s="21" t="n">
        <f aca="false">F18*$E$6</f>
        <v>75000</v>
      </c>
      <c r="P18" s="66" t="n">
        <f aca="false">IF($L18="Y",O18/$J18,"")</f>
        <v>0.672645739910314</v>
      </c>
      <c r="Q18" s="62" t="n">
        <f aca="false">IF($L18="Y",ABS(P18-1),"")</f>
        <v>0.327354260089686</v>
      </c>
      <c r="R18" s="21" t="n">
        <f aca="false">F18*$E$7</f>
        <v>103581.664863115</v>
      </c>
      <c r="S18" s="66" t="n">
        <f aca="false">IF($L18="Y",R18/$J18,"")</f>
        <v>0.928983541373228</v>
      </c>
      <c r="T18" s="62" t="n">
        <f aca="false">IF($L18="Y",ABS(S18-1),"")</f>
        <v>0.071016458626772</v>
      </c>
      <c r="U18" s="21" t="n">
        <f aca="false">F18*$E$8</f>
        <v>116405.717450579</v>
      </c>
      <c r="V18" s="66" t="n">
        <f aca="false">IF($L18="Y",U18/$J18,"")</f>
        <v>1.04399746592448</v>
      </c>
      <c r="W18" s="62" t="n">
        <f aca="false">IF($L18="Y",ABS(V18-1),"")</f>
        <v>0.0439974659244788</v>
      </c>
      <c r="X18" s="21" t="n">
        <f aca="false">F18*1.27425462793664</f>
        <v>95569.097095248</v>
      </c>
      <c r="Y18" s="66" t="n">
        <f aca="false">IF($L18="Y",X18/$J18,"")</f>
        <v>0.857121947042583</v>
      </c>
      <c r="Z18" s="62" t="n">
        <f aca="false">IF($L18="Y",ABS(Y18-1),"")</f>
        <v>0.142878052957417</v>
      </c>
      <c r="AA18" s="21" t="n">
        <f aca="false">F18*$E$10</f>
        <v>100906.433708825</v>
      </c>
      <c r="AB18" s="66" t="n">
        <f aca="false">IF($L18="Y",AA18/$J18,"")</f>
        <v>0.904990436850445</v>
      </c>
      <c r="AC18" s="62" t="n">
        <f aca="false">IF($L18="Y",ABS(AB18-1),"")</f>
        <v>0.0950095631495552</v>
      </c>
      <c r="AD18" s="21" t="n">
        <f aca="false">F18*$E$11</f>
        <v>119278.67155451</v>
      </c>
      <c r="AE18" s="66" t="n">
        <f aca="false">IF($L18="Y",AD18/$J18,"")</f>
        <v>1.06976387044403</v>
      </c>
      <c r="AF18" s="62" t="n">
        <f aca="false">IF($L18="Y",ABS(AE18-1),"")</f>
        <v>0.0697638704440338</v>
      </c>
      <c r="AG18" s="21" t="n">
        <f aca="false">IF(M18="Y",MAX(F18*$E$12,$E$16),F18*$E$12)</f>
        <v>100906.433708825</v>
      </c>
      <c r="AH18" s="66" t="n">
        <f aca="false">IF($L18="Y",AG18/$J18,"")</f>
        <v>0.904990436850445</v>
      </c>
      <c r="AI18" s="62" t="n">
        <f aca="false">IF($L18="Y",ABS(AH18-1),"")</f>
        <v>0.0950095631495552</v>
      </c>
      <c r="AJ18" s="74" t="n">
        <f aca="false">IF(AND(L18="Y",COUNT(G18:I18)&gt;=2),K18,"")</f>
        <v>4.18604651162791</v>
      </c>
    </row>
    <row r="19" customFormat="false" ht="15" hidden="false" customHeight="false" outlineLevel="0" collapsed="false">
      <c r="A19" s="46" t="s">
        <v>304</v>
      </c>
      <c r="B19" s="46" t="s">
        <v>305</v>
      </c>
      <c r="C19" s="46" t="s">
        <v>306</v>
      </c>
      <c r="D19" s="46" t="s">
        <v>307</v>
      </c>
      <c r="E19" s="73" t="n">
        <v>2</v>
      </c>
      <c r="F19" s="65" t="n">
        <v>10000</v>
      </c>
      <c r="G19" s="65" t="n">
        <v>14100</v>
      </c>
      <c r="H19" s="65" t="n">
        <v>16000</v>
      </c>
      <c r="J19" s="21" t="n">
        <f aca="false">AVERAGE(G19:I19)</f>
        <v>15050</v>
      </c>
      <c r="K19" s="74" t="n">
        <f aca="false">MAX(G19:I19)/MIN(G19:I19)</f>
        <v>1.13475177304965</v>
      </c>
      <c r="L19" s="59" t="s">
        <v>303</v>
      </c>
      <c r="M19" s="75" t="s">
        <v>308</v>
      </c>
      <c r="N19" s="74" t="n">
        <f aca="false">J19/F19</f>
        <v>1.505</v>
      </c>
      <c r="O19" s="21" t="n">
        <f aca="false">F19*$E$6</f>
        <v>10000</v>
      </c>
      <c r="P19" s="66" t="n">
        <f aca="false">IF($L19="Y",O19/$J19,"")</f>
        <v>0.664451827242525</v>
      </c>
      <c r="Q19" s="62" t="n">
        <f aca="false">IF($L19="Y",ABS(P19-1),"")</f>
        <v>0.335548172757475</v>
      </c>
      <c r="R19" s="21" t="n">
        <f aca="false">F19*$E$7</f>
        <v>13810.8886484153</v>
      </c>
      <c r="S19" s="66" t="n">
        <f aca="false">IF($L19="Y",R19/$J19,"")</f>
        <v>0.917667019828261</v>
      </c>
      <c r="T19" s="62" t="n">
        <f aca="false">IF($L19="Y",ABS(S19-1),"")</f>
        <v>0.0823329801717393</v>
      </c>
      <c r="U19" s="21" t="n">
        <f aca="false">F19*$E$8</f>
        <v>15520.7623267439</v>
      </c>
      <c r="V19" s="66" t="n">
        <f aca="false">IF($L19="Y",U19/$J19,"")</f>
        <v>1.03127988882019</v>
      </c>
      <c r="W19" s="62" t="n">
        <f aca="false">IF($L19="Y",ABS(V19-1),"")</f>
        <v>0.0312798888201939</v>
      </c>
      <c r="X19" s="21" t="n">
        <f aca="false">F19*1.2649857956038</f>
        <v>12649.857956038</v>
      </c>
      <c r="Y19" s="66" t="n">
        <f aca="false">IF($L19="Y",X19/$J19,"")</f>
        <v>0.840522123324784</v>
      </c>
      <c r="Z19" s="62" t="n">
        <f aca="false">IF($L19="Y",ABS(Y19-1),"")</f>
        <v>0.159477876675216</v>
      </c>
      <c r="AA19" s="21" t="n">
        <f aca="false">F19*$E$10</f>
        <v>13454.1911611766</v>
      </c>
      <c r="AB19" s="66" t="n">
        <f aca="false">IF($L19="Y",AA19/$J19,"")</f>
        <v>0.893966190111403</v>
      </c>
      <c r="AC19" s="62" t="n">
        <f aca="false">IF($L19="Y",ABS(AB19-1),"")</f>
        <v>0.106033809888597</v>
      </c>
      <c r="AD19" s="21" t="n">
        <f aca="false">F19*$E$11</f>
        <v>15903.8228739346</v>
      </c>
      <c r="AE19" s="66" t="n">
        <f aca="false">IF($L19="Y",AD19/$J19,"")</f>
        <v>1.05673241687273</v>
      </c>
      <c r="AF19" s="62" t="n">
        <f aca="false">IF($L19="Y",ABS(AE19-1),"")</f>
        <v>0.0567324168727332</v>
      </c>
      <c r="AG19" s="21" t="n">
        <f aca="false">IF(M19="Y",MAX(F19*$E$12,$E$16),F19*$E$12)</f>
        <v>13454.1911611766</v>
      </c>
      <c r="AH19" s="66" t="n">
        <f aca="false">IF($L19="Y",AG19/$J19,"")</f>
        <v>0.893966190111403</v>
      </c>
      <c r="AI19" s="62" t="n">
        <f aca="false">IF($L19="Y",ABS(AH19-1),"")</f>
        <v>0.106033809888597</v>
      </c>
      <c r="AJ19" s="74" t="n">
        <f aca="false">IF(AND(L19="Y",COUNT(G19:I19)&gt;=2),K19,"")</f>
        <v>1.13475177304965</v>
      </c>
    </row>
    <row r="20" customFormat="false" ht="15" hidden="false" customHeight="false" outlineLevel="0" collapsed="false">
      <c r="A20" s="46" t="s">
        <v>309</v>
      </c>
      <c r="B20" s="46" t="s">
        <v>310</v>
      </c>
      <c r="C20" s="46" t="s">
        <v>311</v>
      </c>
      <c r="D20" s="46" t="s">
        <v>307</v>
      </c>
      <c r="E20" s="73" t="n">
        <v>1</v>
      </c>
      <c r="F20" s="65" t="n">
        <v>15000</v>
      </c>
      <c r="G20" s="65" t="n">
        <v>28500</v>
      </c>
      <c r="H20" s="65" t="n">
        <v>16000</v>
      </c>
      <c r="J20" s="21" t="n">
        <f aca="false">AVERAGE(G20:I20)</f>
        <v>22250</v>
      </c>
      <c r="K20" s="74" t="n">
        <f aca="false">MAX(G20:I20)/MIN(G20:I20)</f>
        <v>1.78125</v>
      </c>
      <c r="L20" s="59" t="s">
        <v>303</v>
      </c>
      <c r="M20" s="75" t="s">
        <v>308</v>
      </c>
      <c r="N20" s="74" t="n">
        <f aca="false">J20/F20</f>
        <v>1.48333333333333</v>
      </c>
      <c r="O20" s="21" t="n">
        <f aca="false">F20*$E$6</f>
        <v>15000</v>
      </c>
      <c r="P20" s="66" t="n">
        <f aca="false">IF($L20="Y",O20/$J20,"")</f>
        <v>0.674157303370787</v>
      </c>
      <c r="Q20" s="62" t="n">
        <f aca="false">IF($L20="Y",ABS(P20-1),"")</f>
        <v>0.325842696629214</v>
      </c>
      <c r="R20" s="21" t="n">
        <f aca="false">F20*$E$7</f>
        <v>20716.332972623</v>
      </c>
      <c r="S20" s="66" t="n">
        <f aca="false">IF($L20="Y",R20/$J20,"")</f>
        <v>0.931071144836988</v>
      </c>
      <c r="T20" s="62" t="n">
        <f aca="false">IF($L20="Y",ABS(S20-1),"")</f>
        <v>0.0689288551630118</v>
      </c>
      <c r="U20" s="21" t="n">
        <f aca="false">F20*$E$8</f>
        <v>23281.1434901159</v>
      </c>
      <c r="V20" s="66" t="n">
        <f aca="false">IF($L20="Y",U20/$J20,"")</f>
        <v>1.04634352764566</v>
      </c>
      <c r="W20" s="62" t="n">
        <f aca="false">IF($L20="Y",ABS(V20-1),"")</f>
        <v>0.0463435276456574</v>
      </c>
      <c r="X20" s="21" t="n">
        <f aca="false">F20*1.2649857956038</f>
        <v>18974.786934057</v>
      </c>
      <c r="Y20" s="66" t="n">
        <f aca="false">IF($L20="Y",X20/$J20,"")</f>
        <v>0.852799412766607</v>
      </c>
      <c r="Z20" s="62" t="n">
        <f aca="false">IF($L20="Y",ABS(Y20-1),"")</f>
        <v>0.147200587233393</v>
      </c>
      <c r="AA20" s="21" t="n">
        <f aca="false">F20*$E$10</f>
        <v>20181.2867417649</v>
      </c>
      <c r="AB20" s="66" t="n">
        <f aca="false">IF($L20="Y",AA20/$J20,"")</f>
        <v>0.90702412322539</v>
      </c>
      <c r="AC20" s="62" t="n">
        <f aca="false">IF($L20="Y",ABS(AB20-1),"")</f>
        <v>0.0929758767746104</v>
      </c>
      <c r="AD20" s="21" t="n">
        <f aca="false">F20*$E$11</f>
        <v>23855.734310902</v>
      </c>
      <c r="AE20" s="66" t="n">
        <f aca="false">IF($L20="Y",AD20/$J20,"")</f>
        <v>1.07216783419784</v>
      </c>
      <c r="AF20" s="62" t="n">
        <f aca="false">IF($L20="Y",ABS(AE20-1),"")</f>
        <v>0.0721678341978407</v>
      </c>
      <c r="AG20" s="21" t="n">
        <f aca="false">IF(M20="Y",MAX(F20*$E$12,$E$16),F20*$E$12)</f>
        <v>20181.2867417649</v>
      </c>
      <c r="AH20" s="66" t="n">
        <f aca="false">IF($L20="Y",AG20/$J20,"")</f>
        <v>0.90702412322539</v>
      </c>
      <c r="AI20" s="62" t="n">
        <f aca="false">IF($L20="Y",ABS(AH20-1),"")</f>
        <v>0.0929758767746104</v>
      </c>
      <c r="AJ20" s="74" t="n">
        <f aca="false">IF(AND(L20="Y",COUNT(G20:I20)&gt;=2),K20,"")</f>
        <v>1.78125</v>
      </c>
    </row>
    <row r="21" customFormat="false" ht="15" hidden="false" customHeight="false" outlineLevel="0" collapsed="false">
      <c r="A21" s="46" t="s">
        <v>312</v>
      </c>
      <c r="B21" s="46" t="s">
        <v>313</v>
      </c>
      <c r="C21" s="46" t="s">
        <v>311</v>
      </c>
      <c r="D21" s="46" t="s">
        <v>307</v>
      </c>
      <c r="E21" s="73" t="n">
        <v>2</v>
      </c>
      <c r="F21" s="65" t="n">
        <v>12000</v>
      </c>
      <c r="G21" s="65" t="n">
        <v>27000</v>
      </c>
      <c r="H21" s="65" t="n">
        <v>16000</v>
      </c>
      <c r="J21" s="21" t="n">
        <f aca="false">AVERAGE(G21:I21)</f>
        <v>21500</v>
      </c>
      <c r="K21" s="74" t="n">
        <f aca="false">MAX(G21:I21)/MIN(G21:I21)</f>
        <v>1.6875</v>
      </c>
      <c r="L21" s="59" t="s">
        <v>303</v>
      </c>
      <c r="M21" s="75" t="s">
        <v>308</v>
      </c>
      <c r="N21" s="74" t="n">
        <f aca="false">J21/F21</f>
        <v>1.79166666666667</v>
      </c>
      <c r="O21" s="21" t="n">
        <f aca="false">F21*$E$6</f>
        <v>12000</v>
      </c>
      <c r="P21" s="66" t="n">
        <f aca="false">IF($L21="Y",O21/$J21,"")</f>
        <v>0.558139534883721</v>
      </c>
      <c r="Q21" s="62" t="n">
        <f aca="false">IF($L21="Y",ABS(P21-1),"")</f>
        <v>0.441860465116279</v>
      </c>
      <c r="R21" s="21" t="n">
        <f aca="false">F21*$E$7</f>
        <v>16573.0663780984</v>
      </c>
      <c r="S21" s="66" t="n">
        <f aca="false">IF($L21="Y",R21/$J21,"")</f>
        <v>0.770840296655739</v>
      </c>
      <c r="T21" s="62" t="n">
        <f aca="false">IF($L21="Y",ABS(S21-1),"")</f>
        <v>0.229159703344261</v>
      </c>
      <c r="U21" s="21" t="n">
        <f aca="false">F21*$E$8</f>
        <v>18624.9147920927</v>
      </c>
      <c r="V21" s="66" t="n">
        <f aca="false">IF($L21="Y",U21/$J21,"")</f>
        <v>0.866275106608963</v>
      </c>
      <c r="W21" s="62" t="n">
        <f aca="false">IF($L21="Y",ABS(V21-1),"")</f>
        <v>0.133724893391037</v>
      </c>
      <c r="X21" s="21" t="n">
        <f aca="false">F21*1.2649857956038</f>
        <v>15179.8295472456</v>
      </c>
      <c r="Y21" s="66" t="n">
        <f aca="false">IF($L21="Y",X21/$J21,"")</f>
        <v>0.706038583592819</v>
      </c>
      <c r="Z21" s="62" t="n">
        <f aca="false">IF($L21="Y",ABS(Y21-1),"")</f>
        <v>0.293961416407181</v>
      </c>
      <c r="AA21" s="21" t="n">
        <f aca="false">F21*$E$10</f>
        <v>16145.0293934119</v>
      </c>
      <c r="AB21" s="66" t="n">
        <f aca="false">IF($L21="Y",AA21/$J21,"")</f>
        <v>0.750931599693578</v>
      </c>
      <c r="AC21" s="62" t="n">
        <f aca="false">IF($L21="Y",ABS(AB21-1),"")</f>
        <v>0.249068400306422</v>
      </c>
      <c r="AD21" s="21" t="n">
        <f aca="false">F21*$E$11</f>
        <v>19084.5874487216</v>
      </c>
      <c r="AE21" s="66" t="n">
        <f aca="false">IF($L21="Y",AD21/$J21,"")</f>
        <v>0.887655230173096</v>
      </c>
      <c r="AF21" s="62" t="n">
        <f aca="false">IF($L21="Y",ABS(AE21-1),"")</f>
        <v>0.112344769826904</v>
      </c>
      <c r="AG21" s="21" t="n">
        <f aca="false">IF(M21="Y",MAX(F21*$E$12,$E$16),F21*$E$12)</f>
        <v>16145.0293934119</v>
      </c>
      <c r="AH21" s="66" t="n">
        <f aca="false">IF($L21="Y",AG21/$J21,"")</f>
        <v>0.750931599693578</v>
      </c>
      <c r="AI21" s="62" t="n">
        <f aca="false">IF($L21="Y",ABS(AH21-1),"")</f>
        <v>0.249068400306422</v>
      </c>
      <c r="AJ21" s="74" t="n">
        <f aca="false">IF(AND(L21="Y",COUNT(G21:I21)&gt;=2),K21,"")</f>
        <v>1.6875</v>
      </c>
    </row>
    <row r="22" customFormat="false" ht="15" hidden="false" customHeight="false" outlineLevel="0" collapsed="false">
      <c r="A22" s="46" t="s">
        <v>314</v>
      </c>
      <c r="B22" s="46" t="s">
        <v>315</v>
      </c>
      <c r="C22" s="46" t="s">
        <v>316</v>
      </c>
      <c r="D22" s="46" t="s">
        <v>10</v>
      </c>
      <c r="E22" s="73" t="n">
        <v>2</v>
      </c>
      <c r="F22" s="65" t="n">
        <v>260000</v>
      </c>
      <c r="G22" s="65" t="n">
        <v>335000</v>
      </c>
      <c r="H22" s="65" t="n">
        <v>300000</v>
      </c>
      <c r="J22" s="21" t="n">
        <f aca="false">AVERAGE(G22:I22)</f>
        <v>317500</v>
      </c>
      <c r="K22" s="74" t="n">
        <f aca="false">MAX(G22:I22)/MIN(G22:I22)</f>
        <v>1.11666666666667</v>
      </c>
      <c r="L22" s="59" t="s">
        <v>303</v>
      </c>
      <c r="M22" s="75" t="s">
        <v>303</v>
      </c>
      <c r="N22" s="74" t="n">
        <f aca="false">J22/F22</f>
        <v>1.22115384615385</v>
      </c>
      <c r="O22" s="21" t="n">
        <f aca="false">F22*$E$6</f>
        <v>260000</v>
      </c>
      <c r="P22" s="66" t="n">
        <f aca="false">IF($L22="Y",O22/$J22,"")</f>
        <v>0.818897637795276</v>
      </c>
      <c r="Q22" s="62" t="n">
        <f aca="false">IF($L22="Y",ABS(P22-1),"")</f>
        <v>0.181102362204724</v>
      </c>
      <c r="R22" s="21" t="n">
        <f aca="false">F22*$E$7</f>
        <v>359083.104858798</v>
      </c>
      <c r="S22" s="66" t="n">
        <f aca="false">IF($L22="Y",R22/$J22,"")</f>
        <v>1.13097040900409</v>
      </c>
      <c r="T22" s="62" t="n">
        <f aca="false">IF($L22="Y",ABS(S22-1),"")</f>
        <v>0.13097040900409</v>
      </c>
      <c r="U22" s="21" t="n">
        <f aca="false">F22*$E$8</f>
        <v>403539.820495342</v>
      </c>
      <c r="V22" s="66" t="n">
        <f aca="false">IF($L22="Y",U22/$J22,"")</f>
        <v>1.27099156061525</v>
      </c>
      <c r="W22" s="62" t="n">
        <f aca="false">IF($L22="Y",ABS(V22-1),"")</f>
        <v>0.27099156061525</v>
      </c>
      <c r="X22" s="21" t="n">
        <f aca="false">F22*1.27425462793664</f>
        <v>331306.203263526</v>
      </c>
      <c r="Y22" s="66" t="n">
        <f aca="false">IF($L22="Y",X22/$J22,"")</f>
        <v>1.04348410476701</v>
      </c>
      <c r="Z22" s="62" t="n">
        <f aca="false">IF($L22="Y",ABS(Y22-1),"")</f>
        <v>0.0434841047670125</v>
      </c>
      <c r="AA22" s="21" t="n">
        <f aca="false">F22*$E$10</f>
        <v>349808.970190592</v>
      </c>
      <c r="AB22" s="66" t="n">
        <f aca="false">IF($L22="Y",AA22/$J22,"")</f>
        <v>1.10176053603336</v>
      </c>
      <c r="AC22" s="62" t="n">
        <f aca="false">IF($L22="Y",ABS(AB22-1),"")</f>
        <v>0.10176053603336</v>
      </c>
      <c r="AD22" s="21" t="n">
        <f aca="false">F22*$E$11</f>
        <v>413499.3947223</v>
      </c>
      <c r="AE22" s="66" t="n">
        <f aca="false">IF($L22="Y",AD22/$J22,"")</f>
        <v>1.30236029833795</v>
      </c>
      <c r="AF22" s="62" t="n">
        <f aca="false">IF($L22="Y",ABS(AE22-1),"")</f>
        <v>0.302360298337954</v>
      </c>
      <c r="AG22" s="21" t="n">
        <f aca="false">IF(M22="Y",MAX(F22*$E$12,$E$16),F22*$E$12)</f>
        <v>349808.970190592</v>
      </c>
      <c r="AH22" s="66" t="n">
        <f aca="false">IF($L22="Y",AG22/$J22,"")</f>
        <v>1.10176053603336</v>
      </c>
      <c r="AI22" s="62" t="n">
        <f aca="false">IF($L22="Y",ABS(AH22-1),"")</f>
        <v>0.10176053603336</v>
      </c>
      <c r="AJ22" s="74" t="n">
        <f aca="false">IF(AND(L22="Y",COUNT(G22:I22)&gt;=2),K22,"")</f>
        <v>1.11666666666667</v>
      </c>
    </row>
    <row r="23" customFormat="false" ht="15" hidden="false" customHeight="false" outlineLevel="0" collapsed="false">
      <c r="A23" s="46" t="s">
        <v>317</v>
      </c>
      <c r="B23" s="46" t="s">
        <v>318</v>
      </c>
      <c r="C23" s="46" t="s">
        <v>319</v>
      </c>
      <c r="D23" s="46" t="s">
        <v>75</v>
      </c>
      <c r="E23" s="73" t="n">
        <v>2</v>
      </c>
      <c r="F23" s="65" t="n">
        <v>10000</v>
      </c>
      <c r="G23" s="65" t="n">
        <v>30000</v>
      </c>
      <c r="J23" s="21" t="n">
        <f aca="false">AVERAGE(G23:I23)</f>
        <v>30000</v>
      </c>
      <c r="K23" s="74" t="n">
        <f aca="false">MAX(G23:I23)/MIN(G23:I23)</f>
        <v>1</v>
      </c>
      <c r="L23" s="59" t="s">
        <v>303</v>
      </c>
      <c r="M23" s="75" t="s">
        <v>308</v>
      </c>
      <c r="N23" s="74" t="n">
        <f aca="false">J23/F23</f>
        <v>3</v>
      </c>
      <c r="O23" s="21" t="n">
        <f aca="false">F23*$E$6</f>
        <v>10000</v>
      </c>
      <c r="P23" s="66" t="n">
        <f aca="false">IF($L23="Y",O23/$J23,"")</f>
        <v>0.333333333333333</v>
      </c>
      <c r="Q23" s="62" t="n">
        <f aca="false">IF($L23="Y",ABS(P23-1),"")</f>
        <v>0.666666666666667</v>
      </c>
      <c r="R23" s="21" t="n">
        <f aca="false">F23*$E$7</f>
        <v>13810.8886484153</v>
      </c>
      <c r="S23" s="66" t="n">
        <f aca="false">IF($L23="Y",R23/$J23,"")</f>
        <v>0.460362954947178</v>
      </c>
      <c r="T23" s="62" t="n">
        <f aca="false">IF($L23="Y",ABS(S23-1),"")</f>
        <v>0.539637045052823</v>
      </c>
      <c r="U23" s="21" t="n">
        <f aca="false">F23*$E$8</f>
        <v>15520.7623267439</v>
      </c>
      <c r="V23" s="66" t="n">
        <f aca="false">IF($L23="Y",U23/$J23,"")</f>
        <v>0.517358744224797</v>
      </c>
      <c r="W23" s="62" t="n">
        <f aca="false">IF($L23="Y",ABS(V23-1),"")</f>
        <v>0.482641255775203</v>
      </c>
      <c r="X23" s="21" t="n">
        <f aca="false">F23*1.27499556885319</f>
        <v>12749.9556885319</v>
      </c>
      <c r="Y23" s="66" t="n">
        <f aca="false">IF($L23="Y",X23/$J23,"")</f>
        <v>0.424998522951063</v>
      </c>
      <c r="Z23" s="62" t="n">
        <f aca="false">IF($L23="Y",ABS(Y23-1),"")</f>
        <v>0.575001477048937</v>
      </c>
      <c r="AA23" s="21" t="n">
        <f aca="false">F23*$E$10</f>
        <v>13454.1911611766</v>
      </c>
      <c r="AB23" s="66" t="n">
        <f aca="false">IF($L23="Y",AA23/$J23,"")</f>
        <v>0.448473038705887</v>
      </c>
      <c r="AC23" s="62" t="n">
        <f aca="false">IF($L23="Y",ABS(AB23-1),"")</f>
        <v>0.551526961294113</v>
      </c>
      <c r="AD23" s="21" t="n">
        <f aca="false">F23*$E$11</f>
        <v>15903.8228739346</v>
      </c>
      <c r="AE23" s="66" t="n">
        <f aca="false">IF($L23="Y",AD23/$J23,"")</f>
        <v>0.530127429131155</v>
      </c>
      <c r="AF23" s="62" t="n">
        <f aca="false">IF($L23="Y",ABS(AE23-1),"")</f>
        <v>0.469872570868846</v>
      </c>
      <c r="AG23" s="21" t="n">
        <f aca="false">IF(M23="Y",MAX(F23*$E$12,$E$16),F23*$E$12)</f>
        <v>13454.1911611766</v>
      </c>
      <c r="AH23" s="66" t="n">
        <f aca="false">IF($L23="Y",AG23/$J23,"")</f>
        <v>0.448473038705887</v>
      </c>
      <c r="AI23" s="62" t="n">
        <f aca="false">IF($L23="Y",ABS(AH23-1),"")</f>
        <v>0.551526961294113</v>
      </c>
      <c r="AJ23" s="74" t="str">
        <f aca="false">IF(AND(L23="Y",COUNT(G23:I23)&gt;=2),K23,"")</f>
        <v/>
      </c>
    </row>
    <row r="24" customFormat="false" ht="15" hidden="false" customHeight="false" outlineLevel="0" collapsed="false">
      <c r="A24" s="46" t="s">
        <v>320</v>
      </c>
      <c r="B24" s="46" t="s">
        <v>321</v>
      </c>
      <c r="C24" s="46" t="s">
        <v>311</v>
      </c>
      <c r="D24" s="46" t="s">
        <v>10</v>
      </c>
      <c r="E24" s="73" t="n">
        <v>2</v>
      </c>
      <c r="F24" s="65" t="n">
        <v>35000</v>
      </c>
      <c r="G24" s="65" t="n">
        <v>28000</v>
      </c>
      <c r="H24" s="65" t="n">
        <v>30000</v>
      </c>
      <c r="J24" s="21" t="n">
        <f aca="false">AVERAGE(G24:I24)</f>
        <v>29000</v>
      </c>
      <c r="K24" s="74" t="n">
        <f aca="false">MAX(G24:I24)/MIN(G24:I24)</f>
        <v>1.07142857142857</v>
      </c>
      <c r="L24" s="59" t="s">
        <v>303</v>
      </c>
      <c r="M24" s="75" t="s">
        <v>303</v>
      </c>
      <c r="N24" s="74" t="n">
        <f aca="false">J24/F24</f>
        <v>0.828571428571429</v>
      </c>
      <c r="O24" s="21" t="n">
        <f aca="false">F24*$E$6</f>
        <v>35000</v>
      </c>
      <c r="P24" s="66" t="n">
        <f aca="false">IF($L24="Y",O24/$J24,"")</f>
        <v>1.20689655172414</v>
      </c>
      <c r="Q24" s="62" t="n">
        <f aca="false">IF($L24="Y",ABS(P24-1),"")</f>
        <v>0.206896551724138</v>
      </c>
      <c r="R24" s="21" t="n">
        <f aca="false">F24*$E$7</f>
        <v>48338.1102694536</v>
      </c>
      <c r="S24" s="66" t="n">
        <f aca="false">IF($L24="Y",R24/$J24,"")</f>
        <v>1.66683138860185</v>
      </c>
      <c r="T24" s="62" t="n">
        <f aca="false">IF($L24="Y",ABS(S24-1),"")</f>
        <v>0.66683138860185</v>
      </c>
      <c r="U24" s="21" t="n">
        <f aca="false">F24*$E$8</f>
        <v>54322.6681436037</v>
      </c>
      <c r="V24" s="66" t="n">
        <f aca="false">IF($L24="Y",U24/$J24,"")</f>
        <v>1.87319545322771</v>
      </c>
      <c r="W24" s="62" t="n">
        <f aca="false">IF($L24="Y",ABS(V24-1),"")</f>
        <v>0.873195453227714</v>
      </c>
      <c r="X24" s="21" t="n">
        <f aca="false">F24*1.27425462793664</f>
        <v>44598.9119777824</v>
      </c>
      <c r="Y24" s="66" t="n">
        <f aca="false">IF($L24="Y",X24/$J24,"")</f>
        <v>1.53789351647526</v>
      </c>
      <c r="Z24" s="62" t="n">
        <f aca="false">IF($L24="Y",ABS(Y24-1),"")</f>
        <v>0.537893516475255</v>
      </c>
      <c r="AA24" s="21" t="n">
        <f aca="false">F24*$E$10</f>
        <v>47089.6690641181</v>
      </c>
      <c r="AB24" s="66" t="n">
        <f aca="false">IF($L24="Y",AA24/$J24,"")</f>
        <v>1.62378169186614</v>
      </c>
      <c r="AC24" s="62" t="n">
        <f aca="false">IF($L24="Y",ABS(AB24-1),"")</f>
        <v>0.623781691866143</v>
      </c>
      <c r="AD24" s="21" t="n">
        <f aca="false">F24*$E$11</f>
        <v>55663.3800587712</v>
      </c>
      <c r="AE24" s="66" t="n">
        <f aca="false">IF($L24="Y",AD24/$J24,"")</f>
        <v>1.91942689857832</v>
      </c>
      <c r="AF24" s="62" t="n">
        <f aca="false">IF($L24="Y",ABS(AE24-1),"")</f>
        <v>0.919426898578318</v>
      </c>
      <c r="AG24" s="21" t="n">
        <f aca="false">IF(M24="Y",MAX(F24*$E$12,$E$16),F24*$E$12)</f>
        <v>47089.6690641181</v>
      </c>
      <c r="AH24" s="66" t="n">
        <f aca="false">IF($L24="Y",AG24/$J24,"")</f>
        <v>1.62378169186614</v>
      </c>
      <c r="AI24" s="62" t="n">
        <f aca="false">IF($L24="Y",ABS(AH24-1),"")</f>
        <v>0.623781691866143</v>
      </c>
      <c r="AJ24" s="74" t="n">
        <f aca="false">IF(AND(L24="Y",COUNT(G24:I24)&gt;=2),K24,"")</f>
        <v>1.07142857142857</v>
      </c>
    </row>
    <row r="25" customFormat="false" ht="15" hidden="false" customHeight="false" outlineLevel="0" collapsed="false">
      <c r="A25" s="46" t="s">
        <v>322</v>
      </c>
      <c r="B25" s="46" t="s">
        <v>315</v>
      </c>
      <c r="C25" s="46" t="s">
        <v>316</v>
      </c>
      <c r="D25" s="46" t="s">
        <v>10</v>
      </c>
      <c r="E25" s="73" t="n">
        <v>3</v>
      </c>
      <c r="F25" s="65" t="n">
        <v>180000</v>
      </c>
      <c r="G25" s="65" t="n">
        <v>225000</v>
      </c>
      <c r="H25" s="65" t="n">
        <v>270000</v>
      </c>
      <c r="J25" s="21" t="n">
        <f aca="false">AVERAGE(G25:I25)</f>
        <v>247500</v>
      </c>
      <c r="K25" s="74" t="n">
        <f aca="false">MAX(G25:I25)/MIN(G25:I25)</f>
        <v>1.2</v>
      </c>
      <c r="L25" s="59" t="s">
        <v>303</v>
      </c>
      <c r="M25" s="75" t="s">
        <v>303</v>
      </c>
      <c r="N25" s="74" t="n">
        <f aca="false">J25/F25</f>
        <v>1.375</v>
      </c>
      <c r="O25" s="21" t="n">
        <f aca="false">F25*$E$6</f>
        <v>180000</v>
      </c>
      <c r="P25" s="66" t="n">
        <f aca="false">IF($L25="Y",O25/$J25,"")</f>
        <v>0.727272727272727</v>
      </c>
      <c r="Q25" s="62" t="n">
        <f aca="false">IF($L25="Y",ABS(P25-1),"")</f>
        <v>0.272727272727273</v>
      </c>
      <c r="R25" s="21" t="n">
        <f aca="false">F25*$E$7</f>
        <v>248595.995671476</v>
      </c>
      <c r="S25" s="66" t="n">
        <f aca="false">IF($L25="Y",R25/$J25,"")</f>
        <v>1.0044282653393</v>
      </c>
      <c r="T25" s="62" t="n">
        <f aca="false">IF($L25="Y",ABS(S25-1),"")</f>
        <v>0.00442826533929641</v>
      </c>
      <c r="U25" s="21" t="n">
        <f aca="false">F25*$E$8</f>
        <v>279373.721881391</v>
      </c>
      <c r="V25" s="66" t="n">
        <f aca="false">IF($L25="Y",U25/$J25,"")</f>
        <v>1.12878271467229</v>
      </c>
      <c r="W25" s="62" t="n">
        <f aca="false">IF($L25="Y",ABS(V25-1),"")</f>
        <v>0.128782714672285</v>
      </c>
      <c r="X25" s="21" t="n">
        <f aca="false">F25*1.27425462793664</f>
        <v>229365.833028595</v>
      </c>
      <c r="Y25" s="66" t="n">
        <f aca="false">IF($L25="Y",X25/$J25,"")</f>
        <v>0.926730638499375</v>
      </c>
      <c r="Z25" s="62" t="n">
        <f aca="false">IF($L25="Y",ABS(Y25-1),"")</f>
        <v>0.0732693615006255</v>
      </c>
      <c r="AA25" s="21" t="n">
        <f aca="false">F25*$E$10</f>
        <v>242175.440901179</v>
      </c>
      <c r="AB25" s="66" t="n">
        <f aca="false">IF($L25="Y",AA25/$J25,"")</f>
        <v>0.978486629903754</v>
      </c>
      <c r="AC25" s="62" t="n">
        <f aca="false">IF($L25="Y",ABS(AB25-1),"")</f>
        <v>0.0215133700962464</v>
      </c>
      <c r="AD25" s="21" t="n">
        <f aca="false">F25*$E$11</f>
        <v>286268.811730823</v>
      </c>
      <c r="AE25" s="66" t="n">
        <f aca="false">IF($L25="Y",AD25/$J25,"")</f>
        <v>1.15664166355888</v>
      </c>
      <c r="AF25" s="62" t="n">
        <f aca="false">IF($L25="Y",ABS(AE25-1),"")</f>
        <v>0.156641663558883</v>
      </c>
      <c r="AG25" s="21" t="n">
        <f aca="false">IF(M25="Y",MAX(F25*$E$12,$E$16),F25*$E$12)</f>
        <v>242175.440901179</v>
      </c>
      <c r="AH25" s="66" t="n">
        <f aca="false">IF($L25="Y",AG25/$J25,"")</f>
        <v>0.978486629903754</v>
      </c>
      <c r="AI25" s="62" t="n">
        <f aca="false">IF($L25="Y",ABS(AH25-1),"")</f>
        <v>0.0215133700962464</v>
      </c>
      <c r="AJ25" s="74" t="n">
        <f aca="false">IF(AND(L25="Y",COUNT(G25:I25)&gt;=2),K25,"")</f>
        <v>1.2</v>
      </c>
    </row>
    <row r="26" customFormat="false" ht="15" hidden="false" customHeight="false" outlineLevel="0" collapsed="false">
      <c r="A26" s="46" t="s">
        <v>323</v>
      </c>
      <c r="B26" s="46" t="s">
        <v>324</v>
      </c>
      <c r="C26" s="46" t="s">
        <v>311</v>
      </c>
      <c r="D26" s="46" t="s">
        <v>77</v>
      </c>
      <c r="E26" s="73" t="n">
        <v>2</v>
      </c>
      <c r="F26" s="65" t="n">
        <v>15000</v>
      </c>
      <c r="G26" s="65" t="n">
        <v>21000</v>
      </c>
      <c r="H26" s="65" t="n">
        <v>30000</v>
      </c>
      <c r="J26" s="21" t="n">
        <f aca="false">AVERAGE(G26:I26)</f>
        <v>25500</v>
      </c>
      <c r="K26" s="74" t="n">
        <f aca="false">MAX(G26:I26)/MIN(G26:I26)</f>
        <v>1.42857142857143</v>
      </c>
      <c r="L26" s="59" t="s">
        <v>303</v>
      </c>
      <c r="M26" s="75" t="s">
        <v>303</v>
      </c>
      <c r="N26" s="74" t="n">
        <f aca="false">J26/F26</f>
        <v>1.7</v>
      </c>
      <c r="O26" s="21" t="n">
        <f aca="false">F26*$E$6</f>
        <v>15000</v>
      </c>
      <c r="P26" s="66" t="n">
        <f aca="false">IF($L26="Y",O26/$J26,"")</f>
        <v>0.588235294117647</v>
      </c>
      <c r="Q26" s="62" t="n">
        <f aca="false">IF($L26="Y",ABS(P26-1),"")</f>
        <v>0.411764705882353</v>
      </c>
      <c r="R26" s="21" t="n">
        <f aca="false">F26*$E$7</f>
        <v>20716.332972623</v>
      </c>
      <c r="S26" s="66" t="n">
        <f aca="false">IF($L26="Y",R26/$J26,"")</f>
        <v>0.812405214612666</v>
      </c>
      <c r="T26" s="62" t="n">
        <f aca="false">IF($L26="Y",ABS(S26-1),"")</f>
        <v>0.187594785387334</v>
      </c>
      <c r="U26" s="21" t="n">
        <f aca="false">F26*$E$8</f>
        <v>23281.1434901159</v>
      </c>
      <c r="V26" s="66" t="n">
        <f aca="false">IF($L26="Y",U26/$J26,"")</f>
        <v>0.912986019220231</v>
      </c>
      <c r="W26" s="62" t="n">
        <f aca="false">IF($L26="Y",ABS(V26-1),"")</f>
        <v>0.0870139807797694</v>
      </c>
      <c r="X26" s="21" t="n">
        <f aca="false">F26*1.27729147398551</f>
        <v>19159.3721097827</v>
      </c>
      <c r="Y26" s="66" t="n">
        <f aca="false">IF($L26="Y",X26/$J26,"")</f>
        <v>0.751347925873829</v>
      </c>
      <c r="Z26" s="62" t="n">
        <f aca="false">IF($L26="Y",ABS(Y26-1),"")</f>
        <v>0.248652074126171</v>
      </c>
      <c r="AA26" s="21" t="n">
        <f aca="false">F26*$E$10</f>
        <v>20181.2867417649</v>
      </c>
      <c r="AB26" s="66" t="n">
        <f aca="false">IF($L26="Y",AA26/$J26,"")</f>
        <v>0.791423009480977</v>
      </c>
      <c r="AC26" s="62" t="n">
        <f aca="false">IF($L26="Y",ABS(AB26-1),"")</f>
        <v>0.208576990519023</v>
      </c>
      <c r="AD26" s="21" t="n">
        <f aca="false">F26*$E$11</f>
        <v>23855.734310902</v>
      </c>
      <c r="AE26" s="66" t="n">
        <f aca="false">IF($L26="Y",AD26/$J26,"")</f>
        <v>0.93551899258439</v>
      </c>
      <c r="AF26" s="62" t="n">
        <f aca="false">IF($L26="Y",ABS(AE26-1),"")</f>
        <v>0.0644810074156097</v>
      </c>
      <c r="AG26" s="21" t="n">
        <f aca="false">IF(M26="Y",MAX(F26*$E$12,$E$16),F26*$E$12)</f>
        <v>25000</v>
      </c>
      <c r="AH26" s="66" t="n">
        <f aca="false">IF($L26="Y",AG26/$J26,"")</f>
        <v>0.980392156862745</v>
      </c>
      <c r="AI26" s="62" t="n">
        <f aca="false">IF($L26="Y",ABS(AH26-1),"")</f>
        <v>0.0196078431372549</v>
      </c>
      <c r="AJ26" s="74" t="n">
        <f aca="false">IF(AND(L26="Y",COUNT(G26:I26)&gt;=2),K26,"")</f>
        <v>1.42857142857143</v>
      </c>
    </row>
    <row r="27" customFormat="false" ht="15" hidden="false" customHeight="false" outlineLevel="0" collapsed="false">
      <c r="A27" s="46" t="s">
        <v>325</v>
      </c>
      <c r="B27" s="46" t="s">
        <v>326</v>
      </c>
      <c r="C27" s="46" t="s">
        <v>311</v>
      </c>
      <c r="D27" s="46" t="s">
        <v>10</v>
      </c>
      <c r="E27" s="73" t="n">
        <v>2</v>
      </c>
      <c r="F27" s="65" t="n">
        <v>32000</v>
      </c>
      <c r="G27" s="65" t="n">
        <v>32000</v>
      </c>
      <c r="H27" s="65" t="n">
        <v>30000</v>
      </c>
      <c r="J27" s="21" t="n">
        <f aca="false">AVERAGE(G27:I27)</f>
        <v>31000</v>
      </c>
      <c r="K27" s="74" t="n">
        <f aca="false">MAX(G27:I27)/MIN(G27:I27)</f>
        <v>1.06666666666667</v>
      </c>
      <c r="L27" s="59" t="s">
        <v>303</v>
      </c>
      <c r="M27" s="75" t="s">
        <v>303</v>
      </c>
      <c r="N27" s="74" t="n">
        <f aca="false">J27/F27</f>
        <v>0.96875</v>
      </c>
      <c r="O27" s="21" t="n">
        <f aca="false">F27*$E$6</f>
        <v>32000</v>
      </c>
      <c r="P27" s="66" t="n">
        <f aca="false">IF($L27="Y",O27/$J27,"")</f>
        <v>1.03225806451613</v>
      </c>
      <c r="Q27" s="62" t="n">
        <f aca="false">IF($L27="Y",ABS(P27-1),"")</f>
        <v>0.032258064516129</v>
      </c>
      <c r="R27" s="21" t="n">
        <f aca="false">F27*$E$7</f>
        <v>44194.843674929</v>
      </c>
      <c r="S27" s="66" t="n">
        <f aca="false">IF($L27="Y",R27/$J27,"")</f>
        <v>1.4256401185461</v>
      </c>
      <c r="T27" s="62" t="n">
        <f aca="false">IF($L27="Y",ABS(S27-1),"")</f>
        <v>0.425640118546098</v>
      </c>
      <c r="U27" s="21" t="n">
        <f aca="false">F27*$E$8</f>
        <v>49666.4394455805</v>
      </c>
      <c r="V27" s="66" t="n">
        <f aca="false">IF($L27="Y",U27/$J27,"")</f>
        <v>1.60214320792195</v>
      </c>
      <c r="W27" s="62" t="n">
        <f aca="false">IF($L27="Y",ABS(V27-1),"")</f>
        <v>0.602143207921953</v>
      </c>
      <c r="X27" s="21" t="n">
        <f aca="false">F27*1.27425462793664</f>
        <v>40776.1480939725</v>
      </c>
      <c r="Y27" s="66" t="n">
        <f aca="false">IF($L27="Y",X27/$J27,"")</f>
        <v>1.3153596159346</v>
      </c>
      <c r="Z27" s="62" t="n">
        <f aca="false">IF($L27="Y",ABS(Y27-1),"")</f>
        <v>0.315359615934596</v>
      </c>
      <c r="AA27" s="21" t="n">
        <f aca="false">F27*$E$10</f>
        <v>43053.4117157652</v>
      </c>
      <c r="AB27" s="66" t="n">
        <f aca="false">IF($L27="Y",AA27/$J27,"")</f>
        <v>1.38881973276662</v>
      </c>
      <c r="AC27" s="62" t="n">
        <f aca="false">IF($L27="Y",ABS(AB27-1),"")</f>
        <v>0.388819732766618</v>
      </c>
      <c r="AD27" s="21" t="n">
        <f aca="false">F27*$E$11</f>
        <v>50892.2331965908</v>
      </c>
      <c r="AE27" s="66" t="n">
        <f aca="false">IF($L27="Y",AD27/$J27,"")</f>
        <v>1.64168494182551</v>
      </c>
      <c r="AF27" s="62" t="n">
        <f aca="false">IF($L27="Y",ABS(AE27-1),"")</f>
        <v>0.641684941825511</v>
      </c>
      <c r="AG27" s="21" t="n">
        <f aca="false">IF(M27="Y",MAX(F27*$E$12,$E$16),F27*$E$12)</f>
        <v>43053.4117157652</v>
      </c>
      <c r="AH27" s="66" t="n">
        <f aca="false">IF($L27="Y",AG27/$J27,"")</f>
        <v>1.38881973276662</v>
      </c>
      <c r="AI27" s="62" t="n">
        <f aca="false">IF($L27="Y",ABS(AH27-1),"")</f>
        <v>0.388819732766618</v>
      </c>
      <c r="AJ27" s="74" t="n">
        <f aca="false">IF(AND(L27="Y",COUNT(G27:I27)&gt;=2),K27,"")</f>
        <v>1.06666666666667</v>
      </c>
    </row>
    <row r="28" customFormat="false" ht="15" hidden="false" customHeight="false" outlineLevel="0" collapsed="false">
      <c r="A28" s="46" t="s">
        <v>327</v>
      </c>
      <c r="B28" s="46" t="s">
        <v>328</v>
      </c>
      <c r="C28" s="46" t="s">
        <v>329</v>
      </c>
      <c r="D28" s="46" t="s">
        <v>77</v>
      </c>
      <c r="E28" s="73" t="n">
        <v>1</v>
      </c>
      <c r="F28" s="65" t="n">
        <v>15000</v>
      </c>
      <c r="G28" s="65" t="n">
        <v>24000</v>
      </c>
      <c r="H28" s="65" t="n">
        <v>45000</v>
      </c>
      <c r="J28" s="21" t="n">
        <f aca="false">AVERAGE(G28:I28)</f>
        <v>34500</v>
      </c>
      <c r="K28" s="74" t="n">
        <f aca="false">MAX(G28:I28)/MIN(G28:I28)</f>
        <v>1.875</v>
      </c>
      <c r="L28" s="59" t="s">
        <v>303</v>
      </c>
      <c r="M28" s="75" t="s">
        <v>303</v>
      </c>
      <c r="N28" s="74" t="n">
        <f aca="false">J28/F28</f>
        <v>2.3</v>
      </c>
      <c r="O28" s="21" t="n">
        <f aca="false">F28*$E$6</f>
        <v>15000</v>
      </c>
      <c r="P28" s="66" t="n">
        <f aca="false">IF($L28="Y",O28/$J28,"")</f>
        <v>0.434782608695652</v>
      </c>
      <c r="Q28" s="62" t="n">
        <f aca="false">IF($L28="Y",ABS(P28-1),"")</f>
        <v>0.565217391304348</v>
      </c>
      <c r="R28" s="21" t="n">
        <f aca="false">F28*$E$7</f>
        <v>20716.332972623</v>
      </c>
      <c r="S28" s="66" t="n">
        <f aca="false">IF($L28="Y",R28/$J28,"")</f>
        <v>0.600473419496318</v>
      </c>
      <c r="T28" s="62" t="n">
        <f aca="false">IF($L28="Y",ABS(S28-1),"")</f>
        <v>0.399526580503682</v>
      </c>
      <c r="U28" s="21" t="n">
        <f aca="false">F28*$E$8</f>
        <v>23281.1434901159</v>
      </c>
      <c r="V28" s="66" t="n">
        <f aca="false">IF($L28="Y",U28/$J28,"")</f>
        <v>0.674815753336692</v>
      </c>
      <c r="W28" s="62" t="n">
        <f aca="false">IF($L28="Y",ABS(V28-1),"")</f>
        <v>0.325184246663308</v>
      </c>
      <c r="X28" s="21" t="n">
        <f aca="false">F28*1.27729147398551</f>
        <v>19159.3721097827</v>
      </c>
      <c r="Y28" s="66" t="n">
        <f aca="false">IF($L28="Y",X28/$J28,"")</f>
        <v>0.555344119124135</v>
      </c>
      <c r="Z28" s="62" t="n">
        <f aca="false">IF($L28="Y",ABS(Y28-1),"")</f>
        <v>0.444655880875865</v>
      </c>
      <c r="AA28" s="21" t="n">
        <f aca="false">F28*$E$10</f>
        <v>20181.2867417649</v>
      </c>
      <c r="AB28" s="66" t="n">
        <f aca="false">IF($L28="Y",AA28/$J28,"")</f>
        <v>0.584964833094635</v>
      </c>
      <c r="AC28" s="62" t="n">
        <f aca="false">IF($L28="Y",ABS(AB28-1),"")</f>
        <v>0.415035166905365</v>
      </c>
      <c r="AD28" s="21" t="n">
        <f aca="false">F28*$E$11</f>
        <v>23855.734310902</v>
      </c>
      <c r="AE28" s="66" t="n">
        <f aca="false">IF($L28="Y",AD28/$J28,"")</f>
        <v>0.691470559736289</v>
      </c>
      <c r="AF28" s="62" t="n">
        <f aca="false">IF($L28="Y",ABS(AE28-1),"")</f>
        <v>0.308529440263712</v>
      </c>
      <c r="AG28" s="21" t="n">
        <f aca="false">IF(M28="Y",MAX(F28*$E$12,$E$16),F28*$E$12)</f>
        <v>25000</v>
      </c>
      <c r="AH28" s="66" t="n">
        <f aca="false">IF($L28="Y",AG28/$J28,"")</f>
        <v>0.72463768115942</v>
      </c>
      <c r="AI28" s="62" t="n">
        <f aca="false">IF($L28="Y",ABS(AH28-1),"")</f>
        <v>0.27536231884058</v>
      </c>
      <c r="AJ28" s="74" t="n">
        <f aca="false">IF(AND(L28="Y",COUNT(G28:I28)&gt;=2),K28,"")</f>
        <v>1.875</v>
      </c>
    </row>
    <row r="29" customFormat="false" ht="15" hidden="false" customHeight="false" outlineLevel="0" collapsed="false">
      <c r="A29" s="46" t="s">
        <v>330</v>
      </c>
      <c r="B29" s="46" t="s">
        <v>331</v>
      </c>
      <c r="C29" s="46" t="s">
        <v>311</v>
      </c>
      <c r="D29" s="46" t="s">
        <v>10</v>
      </c>
      <c r="E29" s="73" t="n">
        <v>2</v>
      </c>
      <c r="F29" s="65" t="n">
        <v>15000</v>
      </c>
      <c r="G29" s="65" t="n">
        <v>29200</v>
      </c>
      <c r="H29" s="65" t="n">
        <v>30000</v>
      </c>
      <c r="J29" s="21" t="n">
        <f aca="false">AVERAGE(G29:I29)</f>
        <v>29600</v>
      </c>
      <c r="K29" s="74" t="n">
        <f aca="false">MAX(G29:I29)/MIN(G29:I29)</f>
        <v>1.02739726027397</v>
      </c>
      <c r="L29" s="59" t="s">
        <v>303</v>
      </c>
      <c r="M29" s="75" t="s">
        <v>303</v>
      </c>
      <c r="N29" s="74" t="n">
        <f aca="false">J29/F29</f>
        <v>1.97333333333333</v>
      </c>
      <c r="O29" s="21" t="n">
        <f aca="false">F29*$E$6</f>
        <v>15000</v>
      </c>
      <c r="P29" s="66" t="n">
        <f aca="false">IF($L29="Y",O29/$J29,"")</f>
        <v>0.506756756756757</v>
      </c>
      <c r="Q29" s="62" t="n">
        <f aca="false">IF($L29="Y",ABS(P29-1),"")</f>
        <v>0.493243243243243</v>
      </c>
      <c r="R29" s="21" t="n">
        <f aca="false">F29*$E$7</f>
        <v>20716.332972623</v>
      </c>
      <c r="S29" s="66" t="n">
        <f aca="false">IF($L29="Y",R29/$J29,"")</f>
        <v>0.699876113939966</v>
      </c>
      <c r="T29" s="62" t="n">
        <f aca="false">IF($L29="Y",ABS(S29-1),"")</f>
        <v>0.300123886060034</v>
      </c>
      <c r="U29" s="21" t="n">
        <f aca="false">F29*$E$8</f>
        <v>23281.1434901159</v>
      </c>
      <c r="V29" s="66" t="n">
        <f aca="false">IF($L29="Y",U29/$J29,"")</f>
        <v>0.78652511790932</v>
      </c>
      <c r="W29" s="62" t="n">
        <f aca="false">IF($L29="Y",ABS(V29-1),"")</f>
        <v>0.21347488209068</v>
      </c>
      <c r="X29" s="21" t="n">
        <f aca="false">F29*1.27425462793664</f>
        <v>19113.8194190496</v>
      </c>
      <c r="Y29" s="66" t="n">
        <f aca="false">IF($L29="Y",X29/$J29,"")</f>
        <v>0.645737142535459</v>
      </c>
      <c r="Z29" s="62" t="n">
        <f aca="false">IF($L29="Y",ABS(Y29-1),"")</f>
        <v>0.354262857464541</v>
      </c>
      <c r="AA29" s="21" t="n">
        <f aca="false">F29*$E$10</f>
        <v>20181.2867417649</v>
      </c>
      <c r="AB29" s="66" t="n">
        <f aca="false">IF($L29="Y",AA29/$J29,"")</f>
        <v>0.681800227762328</v>
      </c>
      <c r="AC29" s="62" t="n">
        <f aca="false">IF($L29="Y",ABS(AB29-1),"")</f>
        <v>0.318199772237672</v>
      </c>
      <c r="AD29" s="21" t="n">
        <f aca="false">F29*$E$11</f>
        <v>23855.734310902</v>
      </c>
      <c r="AE29" s="66" t="n">
        <f aca="false">IF($L29="Y",AD29/$J29,"")</f>
        <v>0.805936969962904</v>
      </c>
      <c r="AF29" s="62" t="n">
        <f aca="false">IF($L29="Y",ABS(AE29-1),"")</f>
        <v>0.194063030037096</v>
      </c>
      <c r="AG29" s="21" t="n">
        <f aca="false">IF(M29="Y",MAX(F29*$E$12,$E$16),F29*$E$12)</f>
        <v>25000</v>
      </c>
      <c r="AH29" s="66" t="n">
        <f aca="false">IF($L29="Y",AG29/$J29,"")</f>
        <v>0.844594594594595</v>
      </c>
      <c r="AI29" s="62" t="n">
        <f aca="false">IF($L29="Y",ABS(AH29-1),"")</f>
        <v>0.155405405405405</v>
      </c>
      <c r="AJ29" s="74" t="n">
        <f aca="false">IF(AND(L29="Y",COUNT(G29:I29)&gt;=2),K29,"")</f>
        <v>1.02739726027397</v>
      </c>
    </row>
    <row r="30" customFormat="false" ht="15" hidden="false" customHeight="false" outlineLevel="0" collapsed="false">
      <c r="A30" s="46" t="s">
        <v>332</v>
      </c>
      <c r="B30" s="46" t="s">
        <v>333</v>
      </c>
      <c r="C30" s="46" t="s">
        <v>311</v>
      </c>
      <c r="D30" s="46" t="s">
        <v>77</v>
      </c>
      <c r="E30" s="73" t="n">
        <v>2</v>
      </c>
      <c r="F30" s="65" t="n">
        <v>15000</v>
      </c>
      <c r="G30" s="65" t="n">
        <v>22500</v>
      </c>
      <c r="H30" s="65" t="n">
        <v>30000</v>
      </c>
      <c r="J30" s="21" t="n">
        <f aca="false">AVERAGE(G30:I30)</f>
        <v>26250</v>
      </c>
      <c r="K30" s="74" t="n">
        <f aca="false">MAX(G30:I30)/MIN(G30:I30)</f>
        <v>1.33333333333333</v>
      </c>
      <c r="L30" s="59" t="s">
        <v>303</v>
      </c>
      <c r="M30" s="75" t="s">
        <v>303</v>
      </c>
      <c r="N30" s="74" t="n">
        <f aca="false">J30/F30</f>
        <v>1.75</v>
      </c>
      <c r="O30" s="21" t="n">
        <f aca="false">F30*$E$6</f>
        <v>15000</v>
      </c>
      <c r="P30" s="66" t="n">
        <f aca="false">IF($L30="Y",O30/$J30,"")</f>
        <v>0.571428571428571</v>
      </c>
      <c r="Q30" s="62" t="n">
        <f aca="false">IF($L30="Y",ABS(P30-1),"")</f>
        <v>0.428571428571429</v>
      </c>
      <c r="R30" s="21" t="n">
        <f aca="false">F30*$E$7</f>
        <v>20716.332972623</v>
      </c>
      <c r="S30" s="66" t="n">
        <f aca="false">IF($L30="Y",R30/$J30,"")</f>
        <v>0.789193637052304</v>
      </c>
      <c r="T30" s="62" t="n">
        <f aca="false">IF($L30="Y",ABS(S30-1),"")</f>
        <v>0.210806362947696</v>
      </c>
      <c r="U30" s="21" t="n">
        <f aca="false">F30*$E$8</f>
        <v>23281.1434901159</v>
      </c>
      <c r="V30" s="66" t="n">
        <f aca="false">IF($L30="Y",U30/$J30,"")</f>
        <v>0.886900704385367</v>
      </c>
      <c r="W30" s="62" t="n">
        <f aca="false">IF($L30="Y",ABS(V30-1),"")</f>
        <v>0.113099295614633</v>
      </c>
      <c r="X30" s="21" t="n">
        <f aca="false">F30*1.27729147398551</f>
        <v>19159.3721097827</v>
      </c>
      <c r="Y30" s="66" t="n">
        <f aca="false">IF($L30="Y",X30/$J30,"")</f>
        <v>0.729880842277434</v>
      </c>
      <c r="Z30" s="62" t="n">
        <f aca="false">IF($L30="Y",ABS(Y30-1),"")</f>
        <v>0.270119157722566</v>
      </c>
      <c r="AA30" s="21" t="n">
        <f aca="false">F30*$E$10</f>
        <v>20181.2867417649</v>
      </c>
      <c r="AB30" s="66" t="n">
        <f aca="false">IF($L30="Y",AA30/$J30,"")</f>
        <v>0.768810923495806</v>
      </c>
      <c r="AC30" s="62" t="n">
        <f aca="false">IF($L30="Y",ABS(AB30-1),"")</f>
        <v>0.231189076504194</v>
      </c>
      <c r="AD30" s="21" t="n">
        <f aca="false">F30*$E$11</f>
        <v>23855.734310902</v>
      </c>
      <c r="AE30" s="66" t="n">
        <f aca="false">IF($L30="Y",AD30/$J30,"")</f>
        <v>0.908789878510551</v>
      </c>
      <c r="AF30" s="62" t="n">
        <f aca="false">IF($L30="Y",ABS(AE30-1),"")</f>
        <v>0.0912101214894494</v>
      </c>
      <c r="AG30" s="21" t="n">
        <f aca="false">IF(M30="Y",MAX(F30*$E$12,$E$16),F30*$E$12)</f>
        <v>25000</v>
      </c>
      <c r="AH30" s="66" t="n">
        <f aca="false">IF($L30="Y",AG30/$J30,"")</f>
        <v>0.952380952380952</v>
      </c>
      <c r="AI30" s="62" t="n">
        <f aca="false">IF($L30="Y",ABS(AH30-1),"")</f>
        <v>0.0476190476190477</v>
      </c>
      <c r="AJ30" s="74" t="n">
        <f aca="false">IF(AND(L30="Y",COUNT(G30:I30)&gt;=2),K30,"")</f>
        <v>1.33333333333333</v>
      </c>
    </row>
    <row r="31" customFormat="false" ht="15" hidden="false" customHeight="false" outlineLevel="0" collapsed="false">
      <c r="A31" s="46" t="s">
        <v>334</v>
      </c>
      <c r="B31" s="46" t="s">
        <v>335</v>
      </c>
      <c r="C31" s="46" t="s">
        <v>306</v>
      </c>
      <c r="D31" s="46" t="s">
        <v>336</v>
      </c>
      <c r="E31" s="73" t="n">
        <v>1</v>
      </c>
      <c r="F31" s="65" t="n">
        <v>10000</v>
      </c>
      <c r="G31" s="65" t="n">
        <v>12000</v>
      </c>
      <c r="H31" s="65" t="n">
        <v>30000</v>
      </c>
      <c r="J31" s="21" t="n">
        <f aca="false">AVERAGE(G31:I31)</f>
        <v>21000</v>
      </c>
      <c r="K31" s="74" t="n">
        <f aca="false">MAX(G31:I31)/MIN(G31:I31)</f>
        <v>2.5</v>
      </c>
      <c r="L31" s="59" t="s">
        <v>303</v>
      </c>
      <c r="M31" s="75" t="s">
        <v>303</v>
      </c>
      <c r="N31" s="74" t="n">
        <f aca="false">J31/F31</f>
        <v>2.1</v>
      </c>
      <c r="O31" s="21" t="n">
        <f aca="false">F31*$E$6</f>
        <v>10000</v>
      </c>
      <c r="P31" s="66" t="n">
        <f aca="false">IF($L31="Y",O31/$J31,"")</f>
        <v>0.476190476190476</v>
      </c>
      <c r="Q31" s="62" t="n">
        <f aca="false">IF($L31="Y",ABS(P31-1),"")</f>
        <v>0.523809523809524</v>
      </c>
      <c r="R31" s="21" t="n">
        <f aca="false">F31*$E$7</f>
        <v>13810.8886484153</v>
      </c>
      <c r="S31" s="66" t="n">
        <f aca="false">IF($L31="Y",R31/$J31,"")</f>
        <v>0.657661364210254</v>
      </c>
      <c r="T31" s="62" t="n">
        <f aca="false">IF($L31="Y",ABS(S31-1),"")</f>
        <v>0.342338635789746</v>
      </c>
      <c r="U31" s="21" t="n">
        <f aca="false">F31*$E$8</f>
        <v>15520.7623267439</v>
      </c>
      <c r="V31" s="66" t="n">
        <f aca="false">IF($L31="Y",U31/$J31,"")</f>
        <v>0.739083920321139</v>
      </c>
      <c r="W31" s="62" t="n">
        <f aca="false">IF($L31="Y",ABS(V31-1),"")</f>
        <v>0.260916079678861</v>
      </c>
      <c r="X31" s="21" t="n">
        <f aca="false">F31*1.2649857956038</f>
        <v>12649.857956038</v>
      </c>
      <c r="Y31" s="66" t="n">
        <f aca="false">IF($L31="Y",X31/$J31,"")</f>
        <v>0.602374188382762</v>
      </c>
      <c r="Z31" s="62" t="n">
        <f aca="false">IF($L31="Y",ABS(Y31-1),"")</f>
        <v>0.397625811617238</v>
      </c>
      <c r="AA31" s="21" t="n">
        <f aca="false">F31*$E$10</f>
        <v>13454.1911611766</v>
      </c>
      <c r="AB31" s="66" t="n">
        <f aca="false">IF($L31="Y",AA31/$J31,"")</f>
        <v>0.640675769579839</v>
      </c>
      <c r="AC31" s="62" t="n">
        <f aca="false">IF($L31="Y",ABS(AB31-1),"")</f>
        <v>0.359324230420161</v>
      </c>
      <c r="AD31" s="21" t="n">
        <f aca="false">F31*$E$11</f>
        <v>15903.8228739346</v>
      </c>
      <c r="AE31" s="66" t="n">
        <f aca="false">IF($L31="Y",AD31/$J31,"")</f>
        <v>0.757324898758792</v>
      </c>
      <c r="AF31" s="62" t="n">
        <f aca="false">IF($L31="Y",ABS(AE31-1),"")</f>
        <v>0.242675101241208</v>
      </c>
      <c r="AG31" s="21" t="n">
        <f aca="false">IF(M31="Y",MAX(F31*$E$12,$E$16),F31*$E$12)</f>
        <v>25000</v>
      </c>
      <c r="AH31" s="66" t="n">
        <f aca="false">IF($L31="Y",AG31/$J31,"")</f>
        <v>1.19047619047619</v>
      </c>
      <c r="AI31" s="62" t="n">
        <f aca="false">IF($L31="Y",ABS(AH31-1),"")</f>
        <v>0.19047619047619</v>
      </c>
      <c r="AJ31" s="74" t="n">
        <f aca="false">IF(AND(L31="Y",COUNT(G31:I31)&gt;=2),K31,"")</f>
        <v>2.5</v>
      </c>
    </row>
    <row r="32" customFormat="false" ht="15" hidden="false" customHeight="false" outlineLevel="0" collapsed="false">
      <c r="A32" s="46" t="s">
        <v>337</v>
      </c>
      <c r="B32" s="46" t="s">
        <v>338</v>
      </c>
      <c r="C32" s="46" t="s">
        <v>306</v>
      </c>
      <c r="D32" s="46" t="s">
        <v>307</v>
      </c>
      <c r="E32" s="73" t="n">
        <v>1</v>
      </c>
      <c r="F32" s="65" t="n">
        <v>6500</v>
      </c>
      <c r="G32" s="65" t="n">
        <v>19000</v>
      </c>
      <c r="H32" s="65" t="n">
        <v>13000</v>
      </c>
      <c r="J32" s="21" t="n">
        <f aca="false">AVERAGE(G32:I32)</f>
        <v>16000</v>
      </c>
      <c r="K32" s="74" t="n">
        <f aca="false">MAX(G32:I32)/MIN(G32:I32)</f>
        <v>1.46153846153846</v>
      </c>
      <c r="L32" s="59" t="s">
        <v>308</v>
      </c>
      <c r="M32" s="75" t="s">
        <v>308</v>
      </c>
      <c r="N32" s="74" t="n">
        <f aca="false">J32/F32</f>
        <v>2.46153846153846</v>
      </c>
      <c r="O32" s="21" t="n">
        <f aca="false">F32*$E$6</f>
        <v>6500</v>
      </c>
      <c r="P32" s="66" t="str">
        <f aca="false">IF($L32="Y",O32/$J32,"")</f>
        <v/>
      </c>
      <c r="Q32" s="62" t="str">
        <f aca="false">IF($L32="Y",ABS(P32-1),"")</f>
        <v/>
      </c>
      <c r="R32" s="21" t="n">
        <f aca="false">F32*$E$7</f>
        <v>8977.07762146996</v>
      </c>
      <c r="S32" s="66" t="str">
        <f aca="false">IF($L32="Y",R32/$J32,"")</f>
        <v/>
      </c>
      <c r="T32" s="62" t="str">
        <f aca="false">IF($L32="Y",ABS(S32-1),"")</f>
        <v/>
      </c>
      <c r="U32" s="21" t="n">
        <f aca="false">F32*$E$8</f>
        <v>10088.4955123835</v>
      </c>
      <c r="V32" s="66" t="str">
        <f aca="false">IF($L32="Y",U32/$J32,"")</f>
        <v/>
      </c>
      <c r="W32" s="62" t="str">
        <f aca="false">IF($L32="Y",ABS(V32-1),"")</f>
        <v/>
      </c>
      <c r="X32" s="21" t="n">
        <f aca="false">F32*1.28661751025058</f>
        <v>8363.01381662877</v>
      </c>
      <c r="Y32" s="66" t="str">
        <f aca="false">IF($L32="Y",X32/$J32,"")</f>
        <v/>
      </c>
      <c r="Z32" s="62" t="str">
        <f aca="false">IF($L32="Y",ABS(Y32-1),"")</f>
        <v/>
      </c>
      <c r="AA32" s="21" t="n">
        <f aca="false">F32*$E$10</f>
        <v>8745.2242547648</v>
      </c>
      <c r="AB32" s="66" t="str">
        <f aca="false">IF($L32="Y",AA32/$J32,"")</f>
        <v/>
      </c>
      <c r="AC32" s="62" t="str">
        <f aca="false">IF($L32="Y",ABS(AB32-1),"")</f>
        <v/>
      </c>
      <c r="AD32" s="21" t="n">
        <f aca="false">F32*$E$11</f>
        <v>10337.4848680575</v>
      </c>
      <c r="AE32" s="66" t="str">
        <f aca="false">IF($L32="Y",AD32/$J32,"")</f>
        <v/>
      </c>
      <c r="AF32" s="62" t="str">
        <f aca="false">IF($L32="Y",ABS(AE32-1),"")</f>
        <v/>
      </c>
      <c r="AG32" s="21" t="n">
        <f aca="false">IF(M32="Y",MAX(F32*$E$12,$E$16),F32*$E$12)</f>
        <v>8745.2242547648</v>
      </c>
      <c r="AH32" s="66" t="str">
        <f aca="false">IF($L32="Y",AG32/$J32,"")</f>
        <v/>
      </c>
      <c r="AI32" s="62" t="str">
        <f aca="false">IF($L32="Y",ABS(AH32-1),"")</f>
        <v/>
      </c>
      <c r="AJ32" s="74" t="str">
        <f aca="false">IF(AND(L32="Y",COUNT(G32:I32)&gt;=2),K32,"")</f>
        <v/>
      </c>
    </row>
    <row r="33" customFormat="false" ht="15" hidden="false" customHeight="false" outlineLevel="0" collapsed="false">
      <c r="A33" s="46" t="s">
        <v>339</v>
      </c>
      <c r="B33" s="46" t="s">
        <v>340</v>
      </c>
      <c r="C33" s="46" t="s">
        <v>341</v>
      </c>
      <c r="D33" s="46" t="s">
        <v>307</v>
      </c>
      <c r="E33" s="73" t="n">
        <v>1</v>
      </c>
      <c r="F33" s="65" t="n">
        <v>80000</v>
      </c>
      <c r="G33" s="65" t="n">
        <v>200000</v>
      </c>
      <c r="H33" s="65" t="n">
        <v>30000</v>
      </c>
      <c r="I33" s="65" t="n">
        <v>698980.33</v>
      </c>
      <c r="J33" s="21" t="n">
        <f aca="false">AVERAGE(G33:I33)</f>
        <v>309660.11</v>
      </c>
      <c r="K33" s="74" t="n">
        <f aca="false">MAX(G33:I33)/MIN(G33:I33)</f>
        <v>23.2993443333333</v>
      </c>
      <c r="L33" s="59" t="s">
        <v>308</v>
      </c>
      <c r="M33" s="75" t="s">
        <v>308</v>
      </c>
      <c r="N33" s="74" t="n">
        <f aca="false">J33/F33</f>
        <v>3.870751375</v>
      </c>
      <c r="O33" s="21" t="n">
        <f aca="false">F33*$E$6</f>
        <v>80000</v>
      </c>
      <c r="P33" s="66" t="str">
        <f aca="false">IF($L33="Y",O33/$J33,"")</f>
        <v/>
      </c>
      <c r="Q33" s="62" t="str">
        <f aca="false">IF($L33="Y",ABS(P33-1),"")</f>
        <v/>
      </c>
      <c r="R33" s="21" t="n">
        <f aca="false">F33*$E$7</f>
        <v>110487.109187323</v>
      </c>
      <c r="S33" s="66" t="str">
        <f aca="false">IF($L33="Y",R33/$J33,"")</f>
        <v/>
      </c>
      <c r="T33" s="62" t="str">
        <f aca="false">IF($L33="Y",ABS(S33-1),"")</f>
        <v/>
      </c>
      <c r="U33" s="21" t="n">
        <f aca="false">F33*$E$8</f>
        <v>124166.098613951</v>
      </c>
      <c r="V33" s="66" t="str">
        <f aca="false">IF($L33="Y",U33/$J33,"")</f>
        <v/>
      </c>
      <c r="W33" s="62" t="str">
        <f aca="false">IF($L33="Y",ABS(V33-1),"")</f>
        <v/>
      </c>
      <c r="X33" s="21" t="n">
        <f aca="false">F33*1.28661751025058</f>
        <v>102929.400820046</v>
      </c>
      <c r="Y33" s="66" t="str">
        <f aca="false">IF($L33="Y",X33/$J33,"")</f>
        <v/>
      </c>
      <c r="Z33" s="62" t="str">
        <f aca="false">IF($L33="Y",ABS(Y33-1),"")</f>
        <v/>
      </c>
      <c r="AA33" s="21" t="n">
        <f aca="false">F33*$E$10</f>
        <v>107633.529289413</v>
      </c>
      <c r="AB33" s="66" t="str">
        <f aca="false">IF($L33="Y",AA33/$J33,"")</f>
        <v/>
      </c>
      <c r="AC33" s="62" t="str">
        <f aca="false">IF($L33="Y",ABS(AB33-1),"")</f>
        <v/>
      </c>
      <c r="AD33" s="21" t="n">
        <f aca="false">F33*$E$11</f>
        <v>127230.582991477</v>
      </c>
      <c r="AE33" s="66" t="str">
        <f aca="false">IF($L33="Y",AD33/$J33,"")</f>
        <v/>
      </c>
      <c r="AF33" s="62" t="str">
        <f aca="false">IF($L33="Y",ABS(AE33-1),"")</f>
        <v/>
      </c>
      <c r="AG33" s="21" t="n">
        <f aca="false">IF(M33="Y",MAX(F33*$E$12,$E$16),F33*$E$12)</f>
        <v>107633.529289413</v>
      </c>
      <c r="AH33" s="66" t="str">
        <f aca="false">IF($L33="Y",AG33/$J33,"")</f>
        <v/>
      </c>
      <c r="AI33" s="62" t="str">
        <f aca="false">IF($L33="Y",ABS(AH33-1),"")</f>
        <v/>
      </c>
      <c r="AJ33" s="74" t="str">
        <f aca="false">IF(AND(L33="Y",COUNT(G33:I33)&gt;=2),K33,"")</f>
        <v/>
      </c>
    </row>
    <row r="34" customFormat="false" ht="15" hidden="false" customHeight="false" outlineLevel="0" collapsed="false">
      <c r="A34" s="46" t="s">
        <v>342</v>
      </c>
      <c r="B34" s="46" t="s">
        <v>343</v>
      </c>
      <c r="C34" s="46" t="s">
        <v>341</v>
      </c>
      <c r="D34" s="46" t="s">
        <v>307</v>
      </c>
      <c r="E34" s="73" t="n">
        <v>1</v>
      </c>
      <c r="F34" s="65" t="n">
        <v>100000</v>
      </c>
      <c r="G34" s="65" t="n">
        <v>225000</v>
      </c>
      <c r="H34" s="65" t="n">
        <v>120000</v>
      </c>
      <c r="I34" s="65" t="n">
        <v>263921.27</v>
      </c>
      <c r="J34" s="21" t="n">
        <f aca="false">AVERAGE(G34:I34)</f>
        <v>202973.756666667</v>
      </c>
      <c r="K34" s="74" t="n">
        <f aca="false">MAX(G34:I34)/MIN(G34:I34)</f>
        <v>2.19934391666667</v>
      </c>
      <c r="L34" s="59" t="s">
        <v>308</v>
      </c>
      <c r="M34" s="75" t="s">
        <v>308</v>
      </c>
      <c r="N34" s="74" t="n">
        <f aca="false">J34/F34</f>
        <v>2.02973756666667</v>
      </c>
      <c r="O34" s="21" t="n">
        <f aca="false">F34*$E$6</f>
        <v>100000</v>
      </c>
      <c r="P34" s="66" t="str">
        <f aca="false">IF($L34="Y",O34/$J34,"")</f>
        <v/>
      </c>
      <c r="Q34" s="62" t="str">
        <f aca="false">IF($L34="Y",ABS(P34-1),"")</f>
        <v/>
      </c>
      <c r="R34" s="21" t="n">
        <f aca="false">F34*$E$7</f>
        <v>138108.886484153</v>
      </c>
      <c r="S34" s="66" t="str">
        <f aca="false">IF($L34="Y",R34/$J34,"")</f>
        <v/>
      </c>
      <c r="T34" s="62" t="str">
        <f aca="false">IF($L34="Y",ABS(S34-1),"")</f>
        <v/>
      </c>
      <c r="U34" s="21" t="n">
        <f aca="false">F34*$E$8</f>
        <v>155207.623267439</v>
      </c>
      <c r="V34" s="66" t="str">
        <f aca="false">IF($L34="Y",U34/$J34,"")</f>
        <v/>
      </c>
      <c r="W34" s="62" t="str">
        <f aca="false">IF($L34="Y",ABS(V34-1),"")</f>
        <v/>
      </c>
      <c r="X34" s="21" t="n">
        <f aca="false">F34*1.28661751025058</f>
        <v>128661.751025058</v>
      </c>
      <c r="Y34" s="66" t="str">
        <f aca="false">IF($L34="Y",X34/$J34,"")</f>
        <v/>
      </c>
      <c r="Z34" s="62" t="str">
        <f aca="false">IF($L34="Y",ABS(Y34-1),"")</f>
        <v/>
      </c>
      <c r="AA34" s="21" t="n">
        <f aca="false">F34*$E$10</f>
        <v>134541.911611766</v>
      </c>
      <c r="AB34" s="66" t="str">
        <f aca="false">IF($L34="Y",AA34/$J34,"")</f>
        <v/>
      </c>
      <c r="AC34" s="62" t="str">
        <f aca="false">IF($L34="Y",ABS(AB34-1),"")</f>
        <v/>
      </c>
      <c r="AD34" s="21" t="n">
        <f aca="false">F34*$E$11</f>
        <v>159038.228739346</v>
      </c>
      <c r="AE34" s="66" t="str">
        <f aca="false">IF($L34="Y",AD34/$J34,"")</f>
        <v/>
      </c>
      <c r="AF34" s="62" t="str">
        <f aca="false">IF($L34="Y",ABS(AE34-1),"")</f>
        <v/>
      </c>
      <c r="AG34" s="21" t="n">
        <f aca="false">IF(M34="Y",MAX(F34*$E$12,$E$16),F34*$E$12)</f>
        <v>134541.911611766</v>
      </c>
      <c r="AH34" s="66" t="str">
        <f aca="false">IF($L34="Y",AG34/$J34,"")</f>
        <v/>
      </c>
      <c r="AI34" s="62" t="str">
        <f aca="false">IF($L34="Y",ABS(AH34-1),"")</f>
        <v/>
      </c>
      <c r="AJ34" s="74" t="str">
        <f aca="false">IF(AND(L34="Y",COUNT(G34:I34)&gt;=2),K34,"")</f>
        <v/>
      </c>
    </row>
    <row r="35" customFormat="false" ht="15" hidden="false" customHeight="false" outlineLevel="0" collapsed="false">
      <c r="A35" s="46" t="s">
        <v>344</v>
      </c>
      <c r="B35" s="46" t="s">
        <v>345</v>
      </c>
      <c r="C35" s="46" t="s">
        <v>346</v>
      </c>
      <c r="D35" s="46" t="s">
        <v>307</v>
      </c>
      <c r="E35" s="73" t="n">
        <v>2</v>
      </c>
      <c r="F35" s="65" t="n">
        <v>15000</v>
      </c>
      <c r="G35" s="65" t="n">
        <v>19000</v>
      </c>
      <c r="H35" s="65" t="n">
        <v>21000</v>
      </c>
      <c r="I35" s="65" t="n">
        <v>40424.2</v>
      </c>
      <c r="J35" s="21" t="n">
        <f aca="false">AVERAGE(G35:I35)</f>
        <v>26808.0666666667</v>
      </c>
      <c r="K35" s="74" t="n">
        <f aca="false">MAX(G35:I35)/MIN(G35:I35)</f>
        <v>2.12758947368421</v>
      </c>
      <c r="L35" s="59" t="s">
        <v>308</v>
      </c>
      <c r="M35" s="75" t="s">
        <v>308</v>
      </c>
      <c r="N35" s="74" t="n">
        <f aca="false">J35/F35</f>
        <v>1.78720444444444</v>
      </c>
      <c r="O35" s="21" t="n">
        <f aca="false">F35*$E$6</f>
        <v>15000</v>
      </c>
      <c r="P35" s="66" t="str">
        <f aca="false">IF($L35="Y",O35/$J35,"")</f>
        <v/>
      </c>
      <c r="Q35" s="62" t="str">
        <f aca="false">IF($L35="Y",ABS(P35-1),"")</f>
        <v/>
      </c>
      <c r="R35" s="21" t="n">
        <f aca="false">F35*$E$7</f>
        <v>20716.332972623</v>
      </c>
      <c r="S35" s="66" t="str">
        <f aca="false">IF($L35="Y",R35/$J35,"")</f>
        <v/>
      </c>
      <c r="T35" s="62" t="str">
        <f aca="false">IF($L35="Y",ABS(S35-1),"")</f>
        <v/>
      </c>
      <c r="U35" s="21" t="n">
        <f aca="false">F35*$E$8</f>
        <v>23281.1434901159</v>
      </c>
      <c r="V35" s="66" t="str">
        <f aca="false">IF($L35="Y",U35/$J35,"")</f>
        <v/>
      </c>
      <c r="W35" s="62" t="str">
        <f aca="false">IF($L35="Y",ABS(V35-1),"")</f>
        <v/>
      </c>
      <c r="X35" s="21" t="n">
        <f aca="false">F35*1.28661751025058</f>
        <v>19299.2626537587</v>
      </c>
      <c r="Y35" s="66" t="str">
        <f aca="false">IF($L35="Y",X35/$J35,"")</f>
        <v/>
      </c>
      <c r="Z35" s="62" t="str">
        <f aca="false">IF($L35="Y",ABS(Y35-1),"")</f>
        <v/>
      </c>
      <c r="AA35" s="21" t="n">
        <f aca="false">F35*$E$10</f>
        <v>20181.2867417649</v>
      </c>
      <c r="AB35" s="66" t="str">
        <f aca="false">IF($L35="Y",AA35/$J35,"")</f>
        <v/>
      </c>
      <c r="AC35" s="62" t="str">
        <f aca="false">IF($L35="Y",ABS(AB35-1),"")</f>
        <v/>
      </c>
      <c r="AD35" s="21" t="n">
        <f aca="false">F35*$E$11</f>
        <v>23855.734310902</v>
      </c>
      <c r="AE35" s="66" t="str">
        <f aca="false">IF($L35="Y",AD35/$J35,"")</f>
        <v/>
      </c>
      <c r="AF35" s="62" t="str">
        <f aca="false">IF($L35="Y",ABS(AE35-1),"")</f>
        <v/>
      </c>
      <c r="AG35" s="21" t="n">
        <f aca="false">IF(M35="Y",MAX(F35*$E$12,$E$16),F35*$E$12)</f>
        <v>20181.2867417649</v>
      </c>
      <c r="AH35" s="66" t="str">
        <f aca="false">IF($L35="Y",AG35/$J35,"")</f>
        <v/>
      </c>
      <c r="AI35" s="62" t="str">
        <f aca="false">IF($L35="Y",ABS(AH35-1),"")</f>
        <v/>
      </c>
      <c r="AJ35" s="74" t="str">
        <f aca="false">IF(AND(L35="Y",COUNT(G35:I35)&gt;=2),K35,"")</f>
        <v/>
      </c>
    </row>
    <row r="37" customFormat="false" ht="15" hidden="false" customHeight="false" outlineLevel="0" collapsed="false">
      <c r="A37" s="3" t="s">
        <v>347</v>
      </c>
    </row>
    <row r="38" customFormat="false" ht="42" hidden="false" customHeight="true" outlineLevel="0" collapsed="false">
      <c r="A38" s="4" t="s">
        <v>143</v>
      </c>
      <c r="B38" s="4" t="s">
        <v>144</v>
      </c>
      <c r="C38" s="4" t="s">
        <v>25</v>
      </c>
      <c r="D38" s="4" t="s">
        <v>348</v>
      </c>
      <c r="E38" s="4" t="s">
        <v>349</v>
      </c>
      <c r="F38" s="4" t="s">
        <v>350</v>
      </c>
      <c r="G38" s="4" t="s">
        <v>351</v>
      </c>
      <c r="H38" s="4" t="s">
        <v>352</v>
      </c>
    </row>
    <row r="39" customFormat="false" ht="15" hidden="false" customHeight="false" outlineLevel="0" collapsed="false">
      <c r="A39" s="3" t="s">
        <v>149</v>
      </c>
      <c r="B39" s="29" t="str">
        <f aca="false">B6</f>
        <v>بدون تعدیل (یورو ثابت)</v>
      </c>
      <c r="C39" s="60" t="n">
        <f aca="false">COUNT(P18:P35)</f>
        <v>14</v>
      </c>
      <c r="D39" s="62" t="n">
        <f aca="false">MEDIAN(P18:P35)-1</f>
        <v>-0.373656439319914</v>
      </c>
      <c r="E39" s="62" t="n">
        <f aca="false">MEDIAN(Q18:Q35)</f>
        <v>0.373656439319914</v>
      </c>
      <c r="F39" s="62" t="n">
        <f aca="false">AVERAGE(Q18:Q35)</f>
        <v>0.372347343231606</v>
      </c>
      <c r="G39" s="60" t="n">
        <f aca="false">COUNTIF(Q18:Q35,"&lt;=0.25")</f>
        <v>3</v>
      </c>
      <c r="H39" s="74" t="n">
        <f aca="false">SUMPRODUCT(($L$18:$L$35="Y")*$E$18:$E$35*O18:O35)/SUMPRODUCT(($L$18:$L$35="Y")*$E$18:$E$35*$J$18:$J$35)</f>
        <v>0.734461927843175</v>
      </c>
    </row>
    <row r="40" customFormat="false" ht="15" hidden="false" customHeight="false" outlineLevel="0" collapsed="false">
      <c r="A40" s="3" t="s">
        <v>150</v>
      </c>
      <c r="B40" s="29" t="str">
        <f aca="false">B7</f>
        <v>تورم ارزی مارون ۳ (۱۳۹۴ تا ۱۴۰۳)</v>
      </c>
      <c r="C40" s="60" t="n">
        <f aca="false">COUNT(S18:S35)</f>
        <v>14</v>
      </c>
      <c r="D40" s="62" t="n">
        <f aca="false">MEDIAN(S18:S35)-1</f>
        <v>-0.134963882779537</v>
      </c>
      <c r="E40" s="62" t="n">
        <f aca="false">MEDIAN(T18:T35)</f>
        <v>0.219983033145978</v>
      </c>
      <c r="F40" s="62" t="n">
        <f aca="false">AVERAGE(T18:T35)</f>
        <v>0.261381105324174</v>
      </c>
      <c r="G40" s="60" t="n">
        <f aca="false">COUNTIF(T18:T35,"&lt;=0.25")</f>
        <v>8</v>
      </c>
      <c r="H40" s="74" t="n">
        <f aca="false">SUMPRODUCT(($L$18:$L$35="Y")*$E$18:$E$35*R18:R35)/SUMPRODUCT(($L$18:$L$35="Y")*$E$18:$E$35*$J$18:$J$35)</f>
        <v>1.01435719019425</v>
      </c>
    </row>
    <row r="41" customFormat="false" ht="15" hidden="false" customHeight="false" outlineLevel="0" collapsed="false">
      <c r="A41" s="3" t="s">
        <v>151</v>
      </c>
      <c r="B41" s="29" t="str">
        <f aca="false">B8</f>
        <v>ضریب یورویی پازنان (Basic INFO!C138)</v>
      </c>
      <c r="C41" s="60" t="n">
        <f aca="false">COUNT(V18:V35)</f>
        <v>14</v>
      </c>
      <c r="D41" s="62" t="n">
        <f aca="false">MEDIAN(V18:V35)-1</f>
        <v>-0.0278670459797877</v>
      </c>
      <c r="E41" s="62" t="n">
        <f aca="false">MEDIAN(W18:W35)</f>
        <v>0.173599887740858</v>
      </c>
      <c r="F41" s="62" t="n">
        <f aca="false">AVERAGE(W18:W35)</f>
        <v>0.258056318058645</v>
      </c>
      <c r="G41" s="60" t="n">
        <f aca="false">COUNTIF(W18:W35,"&lt;=0.25")</f>
        <v>8</v>
      </c>
      <c r="H41" s="74" t="n">
        <f aca="false">SUMPRODUCT(($L$18:$L$35="Y")*$E$18:$E$35*U18:U35)/SUMPRODUCT(($L$18:$L$35="Y")*$E$18:$E$35*$J$18:$J$35)</f>
        <v>1.13994090200961</v>
      </c>
    </row>
    <row r="42" customFormat="false" ht="15" hidden="false" customHeight="false" outlineLevel="0" collapsed="false">
      <c r="A42" s="3" t="s">
        <v>152</v>
      </c>
      <c r="B42" s="29" t="str">
        <f aca="false">B9</f>
        <v>مدل فلزی فعلی شما (ضریب هر سطر)</v>
      </c>
      <c r="C42" s="60" t="n">
        <f aca="false">COUNT(Y18:Y35)</f>
        <v>14</v>
      </c>
      <c r="D42" s="62" t="n">
        <f aca="false">MEDIAN(Y18:Y35)-1</f>
        <v>-0.204064975400693</v>
      </c>
      <c r="E42" s="62" t="n">
        <f aca="false">MEDIAN(Z18:Z35)</f>
        <v>0.282040287064874</v>
      </c>
      <c r="F42" s="62" t="n">
        <f aca="false">AVERAGE(Z18:Z35)</f>
        <v>0.285988699343287</v>
      </c>
      <c r="G42" s="60" t="n">
        <f aca="false">COUNTIF(Z18:Z35,"&lt;=0.25")</f>
        <v>6</v>
      </c>
      <c r="H42" s="74" t="n">
        <f aca="false">SUMPRODUCT(($L$18:$L$35="Y")*$E$18:$E$35*X18:X35)/SUMPRODUCT(($L$18:$L$35="Y")*$E$18:$E$35*$J$18:$J$35)</f>
        <v>0.93570194150454</v>
      </c>
    </row>
    <row r="43" customFormat="false" ht="15" hidden="false" customHeight="false" outlineLevel="0" collapsed="false">
      <c r="A43" s="3" t="s">
        <v>153</v>
      </c>
      <c r="B43" s="29" t="str">
        <f aca="false">B10</f>
        <v>PPI پمپ منطقه یورو (Eurostat C28.13)</v>
      </c>
      <c r="C43" s="60" t="n">
        <f aca="false">COUNT(AB18:AB35)</f>
        <v>14</v>
      </c>
      <c r="D43" s="62" t="n">
        <f aca="false">MEDIAN(AB18:AB35)-1</f>
        <v>-0.15730540020381</v>
      </c>
      <c r="E43" s="62" t="n">
        <f aca="false">MEDIAN(AC18:AC35)</f>
        <v>0.240128738405308</v>
      </c>
      <c r="F43" s="62" t="n">
        <f aca="false">AVERAGE(AC18:AC35)</f>
        <v>0.26877251276872</v>
      </c>
      <c r="G43" s="60" t="n">
        <f aca="false">COUNTIF(AC18:AC35,"&lt;=0.25")</f>
        <v>8</v>
      </c>
      <c r="H43" s="74" t="n">
        <f aca="false">SUMPRODUCT(($L$18:$L$35="Y")*$E$18:$E$35*AA18:AA35)/SUMPRODUCT(($L$18:$L$35="Y")*$E$18:$E$35*$J$18:$J$35)</f>
        <v>0.988159117780838</v>
      </c>
    </row>
    <row r="44" customFormat="false" ht="15" hidden="false" customHeight="false" outlineLevel="0" collapsed="false">
      <c r="A44" s="3" t="s">
        <v>154</v>
      </c>
      <c r="B44" s="29" t="str">
        <f aca="false">B11</f>
        <v>PPI پمپ آمریکا تبدیل‌شده به یورو</v>
      </c>
      <c r="C44" s="60" t="n">
        <f aca="false">COUNT(AE18:AE35)</f>
        <v>14</v>
      </c>
      <c r="D44" s="62" t="n">
        <f aca="false">MEDIAN(AE18:AE35)-1</f>
        <v>-0.00387429527143823</v>
      </c>
      <c r="E44" s="62" t="n">
        <f aca="false">MEDIAN(AF18:AF35)</f>
        <v>0.175352346797989</v>
      </c>
      <c r="F44" s="62" t="n">
        <f aca="false">AVERAGE(AF18:AF35)</f>
        <v>0.264425283211293</v>
      </c>
      <c r="G44" s="60" t="n">
        <f aca="false">COUNTIF(AF18:AF35,"&lt;=0.25")</f>
        <v>9</v>
      </c>
      <c r="H44" s="74" t="n">
        <f aca="false">SUMPRODUCT(($L$18:$L$35="Y")*$E$18:$E$35*AD18:AD35)/SUMPRODUCT(($L$18:$L$35="Y")*$E$18:$E$35*$J$18:$J$35)</f>
        <v>1.16807524080664</v>
      </c>
    </row>
    <row r="45" customFormat="false" ht="15" hidden="false" customHeight="false" outlineLevel="0" collapsed="false">
      <c r="A45" s="40" t="s">
        <v>155</v>
      </c>
      <c r="B45" s="41" t="str">
        <f aca="false">B12</f>
        <v>پیشنهادی: PPI پمپ یورو + کف قیمت پمپ API (S/D)</v>
      </c>
      <c r="C45" s="76" t="n">
        <f aca="false">COUNT(AH18:AH35)</f>
        <v>14</v>
      </c>
      <c r="D45" s="77" t="n">
        <f aca="false">MEDIAN(AH18:AH35)-1</f>
        <v>-0.0702974621968291</v>
      </c>
      <c r="E45" s="77" t="n">
        <f aca="false">MEDIAN(AI18:AI35)</f>
        <v>0.130719607647001</v>
      </c>
      <c r="F45" s="77" t="n">
        <f aca="false">AVERAGE(AI18:AI35)</f>
        <v>0.20849719626101</v>
      </c>
      <c r="G45" s="76" t="n">
        <f aca="false">COUNTIF(AI18:AI35,"&lt;=0.25")</f>
        <v>10</v>
      </c>
      <c r="H45" s="78" t="n">
        <f aca="false">SUMPRODUCT(($L$18:$L$35="Y")*$E$18:$E$35*AG18:AG35)/SUMPRODUCT(($L$18:$L$35="Y")*$E$18:$E$35*$J$18:$J$35)</f>
        <v>1.00978076083925</v>
      </c>
    </row>
    <row r="47" customFormat="false" ht="15" hidden="false" customHeight="false" outlineLevel="0" collapsed="false">
      <c r="A47" s="3" t="s">
        <v>353</v>
      </c>
    </row>
    <row r="48" customFormat="false" ht="15" hidden="false" customHeight="false" outlineLevel="0" collapsed="false">
      <c r="A48" s="46" t="s">
        <v>354</v>
      </c>
      <c r="H48" s="74" t="n">
        <f aca="false">MEDIAN(AJ18:AJ35)</f>
        <v>1.33333333333333</v>
      </c>
    </row>
    <row r="49" customFormat="false" ht="15" hidden="false" customHeight="false" outlineLevel="0" collapsed="false">
      <c r="A49" s="23" t="s">
        <v>355</v>
      </c>
    </row>
    <row r="50" customFormat="false" ht="15" hidden="false" customHeight="false" outlineLevel="0" collapsed="false">
      <c r="A50" s="23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3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9" min="8" style="0" width="10"/>
    <col collapsed="false" customWidth="true" hidden="false" outlineLevel="0" max="12" min="10" style="0" width="15"/>
    <col collapsed="false" customWidth="true" hidden="false" outlineLevel="0" max="13" min="13" style="0" width="16"/>
    <col collapsed="false" customWidth="true" hidden="false" outlineLevel="0" max="21" min="14" style="0" width="8"/>
  </cols>
  <sheetData>
    <row r="1" customFormat="false" ht="17.15" hidden="false" customHeight="false" outlineLevel="0" collapsed="false">
      <c r="A1" s="1" t="s">
        <v>357</v>
      </c>
    </row>
    <row r="2" customFormat="false" ht="45" hidden="false" customHeight="true" outlineLevel="0" collapsed="false">
      <c r="A2" s="2" t="s">
        <v>358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359</v>
      </c>
    </row>
    <row r="5" customFormat="false" ht="15" hidden="false" customHeight="false" outlineLevel="0" collapsed="false">
      <c r="A5" s="46" t="s">
        <v>360</v>
      </c>
      <c r="E5" s="21" t="n">
        <f aca="false">INDEX(Indices!$G$51:$G$71,MATCH(1393,Indices!$A$51:$A$71,0))</f>
        <v>40530.8</v>
      </c>
      <c r="F5" s="68" t="s">
        <v>92</v>
      </c>
    </row>
    <row r="6" customFormat="false" ht="15" hidden="false" customHeight="false" outlineLevel="0" collapsed="false">
      <c r="A6" s="46" t="s">
        <v>361</v>
      </c>
      <c r="E6" s="69" t="n">
        <v>930000</v>
      </c>
      <c r="F6" s="68" t="s">
        <v>362</v>
      </c>
    </row>
    <row r="7" customFormat="false" ht="15" hidden="false" customHeight="false" outlineLevel="0" collapsed="false">
      <c r="A7" s="46" t="s">
        <v>363</v>
      </c>
      <c r="E7" s="71" t="n">
        <v>1.04</v>
      </c>
      <c r="F7" s="68" t="s">
        <v>364</v>
      </c>
    </row>
    <row r="8" customFormat="false" ht="15" hidden="false" customHeight="false" outlineLevel="0" collapsed="false">
      <c r="A8" s="46" t="s">
        <v>365</v>
      </c>
      <c r="E8" s="21" t="n">
        <f aca="false">E6*E7</f>
        <v>967200</v>
      </c>
      <c r="F8" s="68" t="s">
        <v>366</v>
      </c>
    </row>
    <row r="9" customFormat="false" ht="15" hidden="false" customHeight="false" outlineLevel="0" collapsed="false">
      <c r="A9" s="46" t="s">
        <v>367</v>
      </c>
      <c r="E9" s="22" t="n">
        <f aca="false">Val_EUR_Pumps!E10</f>
        <v>1.34541911611766</v>
      </c>
      <c r="F9" s="68" t="s">
        <v>94</v>
      </c>
    </row>
    <row r="10" customFormat="false" ht="15" hidden="false" customHeight="false" outlineLevel="0" collapsed="false">
      <c r="A10" s="46" t="s">
        <v>368</v>
      </c>
      <c r="E10" s="66" t="n">
        <f aca="false">INDEX(Indices!$I$51:$I$71,MATCH(1403,Indices!$A$51:$A$71,0))/INDEX(Indices!$I$51:$I$71,MATCH(1393,Indices!$A$51:$A$71,0))</f>
        <v>16.3740946755931</v>
      </c>
      <c r="F10" s="68" t="s">
        <v>92</v>
      </c>
    </row>
    <row r="11" customFormat="false" ht="15" hidden="false" customHeight="false" outlineLevel="0" collapsed="false">
      <c r="A11" s="46" t="s">
        <v>369</v>
      </c>
      <c r="E11" s="67" t="n">
        <v>16.2596153846154</v>
      </c>
      <c r="F11" s="68" t="s">
        <v>370</v>
      </c>
    </row>
    <row r="12" customFormat="false" ht="15" hidden="false" customHeight="false" outlineLevel="0" collapsed="false">
      <c r="A12" s="46" t="s">
        <v>371</v>
      </c>
      <c r="E12" s="21" t="n">
        <f aca="false">658533*1.05582863728925</f>
        <v>695298</v>
      </c>
      <c r="F12" s="68" t="s">
        <v>372</v>
      </c>
    </row>
    <row r="15" customFormat="false" ht="42" hidden="false" customHeight="true" outlineLevel="0" collapsed="false">
      <c r="A15" s="4" t="s">
        <v>266</v>
      </c>
      <c r="B15" s="4" t="s">
        <v>267</v>
      </c>
      <c r="C15" s="4" t="s">
        <v>25</v>
      </c>
      <c r="D15" s="4" t="s">
        <v>373</v>
      </c>
      <c r="E15" s="4" t="s">
        <v>374</v>
      </c>
      <c r="F15" s="4" t="s">
        <v>375</v>
      </c>
      <c r="G15" s="4" t="s">
        <v>376</v>
      </c>
      <c r="H15" s="4" t="s">
        <v>377</v>
      </c>
      <c r="I15" s="4" t="s">
        <v>378</v>
      </c>
      <c r="J15" s="4" t="s">
        <v>379</v>
      </c>
      <c r="K15" s="4" t="s">
        <v>380</v>
      </c>
      <c r="L15" s="4" t="s">
        <v>381</v>
      </c>
      <c r="M15" s="4" t="s">
        <v>382</v>
      </c>
      <c r="N15" s="4" t="s">
        <v>383</v>
      </c>
      <c r="O15" s="4" t="s">
        <v>384</v>
      </c>
      <c r="P15" s="4" t="s">
        <v>385</v>
      </c>
      <c r="Q15" s="4" t="s">
        <v>386</v>
      </c>
      <c r="R15" s="4" t="s">
        <v>387</v>
      </c>
      <c r="S15" s="4" t="s">
        <v>388</v>
      </c>
      <c r="T15" s="4" t="s">
        <v>389</v>
      </c>
      <c r="U15" s="4" t="s">
        <v>390</v>
      </c>
    </row>
    <row r="16" customFormat="false" ht="15" hidden="false" customHeight="false" outlineLevel="0" collapsed="false">
      <c r="A16" s="46" t="s">
        <v>391</v>
      </c>
      <c r="B16" s="46" t="s">
        <v>392</v>
      </c>
      <c r="C16" s="73" t="n">
        <v>1</v>
      </c>
      <c r="D16" s="65" t="n">
        <v>1750000000</v>
      </c>
      <c r="E16" s="21" t="n">
        <f aca="false">D16/$E$5</f>
        <v>43177.0406703051</v>
      </c>
      <c r="F16" s="65" t="n">
        <v>62000000000</v>
      </c>
      <c r="G16" s="65" t="n">
        <v>49878867366.6667</v>
      </c>
      <c r="H16" s="74" t="n">
        <f aca="false">F16/D16</f>
        <v>35.4285714285714</v>
      </c>
      <c r="I16" s="74" t="n">
        <f aca="false">G16/D16</f>
        <v>28.5022099238095</v>
      </c>
      <c r="J16" s="21" t="n">
        <f aca="false">D16*$E$10</f>
        <v>28654665682.2879</v>
      </c>
      <c r="K16" s="21" t="n">
        <f aca="false">D16*$E$11</f>
        <v>28454326923.0769</v>
      </c>
      <c r="L16" s="21" t="n">
        <f aca="false">D16*29.3701248418824</f>
        <v>51397718473.2942</v>
      </c>
      <c r="M16" s="21" t="n">
        <f aca="false">E16*$E$9*$E$8</f>
        <v>56185824013.855</v>
      </c>
      <c r="N16" s="66" t="n">
        <f aca="false">J16/$F16</f>
        <v>0.462172027133676</v>
      </c>
      <c r="O16" s="66" t="n">
        <f aca="false">K16/$F16</f>
        <v>0.458940756823821</v>
      </c>
      <c r="P16" s="66" t="n">
        <f aca="false">L16/$F16</f>
        <v>0.828995459246681</v>
      </c>
      <c r="Q16" s="66" t="n">
        <f aca="false">M16/$F16</f>
        <v>0.906222967965403</v>
      </c>
      <c r="R16" s="66" t="n">
        <f aca="false">J16/$G16</f>
        <v>0.574485091484603</v>
      </c>
      <c r="S16" s="66" t="n">
        <f aca="false">K16/$G16</f>
        <v>0.570468585701939</v>
      </c>
      <c r="T16" s="66" t="n">
        <f aca="false">L16/$G16</f>
        <v>1.03045079382942</v>
      </c>
      <c r="U16" s="66" t="n">
        <f aca="false">M16/$G16</f>
        <v>1.1264454663901</v>
      </c>
    </row>
    <row r="17" customFormat="false" ht="15" hidden="false" customHeight="false" outlineLevel="0" collapsed="false">
      <c r="A17" s="46" t="s">
        <v>393</v>
      </c>
      <c r="B17" s="46" t="s">
        <v>394</v>
      </c>
      <c r="C17" s="73" t="n">
        <v>1</v>
      </c>
      <c r="D17" s="65" t="n">
        <v>3000000000</v>
      </c>
      <c r="E17" s="21" t="n">
        <f aca="false">D17/$E$5</f>
        <v>74017.7840062372</v>
      </c>
      <c r="F17" s="65" t="n">
        <v>86500000000</v>
      </c>
      <c r="G17" s="65" t="n">
        <v>73692914633.3333</v>
      </c>
      <c r="H17" s="74" t="n">
        <f aca="false">F17/D17</f>
        <v>28.8333333333333</v>
      </c>
      <c r="I17" s="74" t="n">
        <f aca="false">G17/D17</f>
        <v>24.5643048777778</v>
      </c>
      <c r="J17" s="21" t="n">
        <f aca="false">D17*$E$10</f>
        <v>49122284026.7792</v>
      </c>
      <c r="K17" s="21" t="n">
        <f aca="false">D17*$E$11</f>
        <v>48778846153.8461</v>
      </c>
      <c r="L17" s="21" t="n">
        <f aca="false">D17*29.3701248418824</f>
        <v>88110374525.6472</v>
      </c>
      <c r="M17" s="21" t="n">
        <f aca="false">E17*$E$9*$E$8</f>
        <v>96318555452.3228</v>
      </c>
      <c r="N17" s="66" t="n">
        <f aca="false">J17/$F17</f>
        <v>0.567887676610165</v>
      </c>
      <c r="O17" s="66" t="n">
        <f aca="false">K17/$F17</f>
        <v>0.563917296576256</v>
      </c>
      <c r="P17" s="66" t="n">
        <f aca="false">L17/$F17</f>
        <v>1.01861704653927</v>
      </c>
      <c r="Q17" s="66" t="n">
        <f aca="false">M17/$F17</f>
        <v>1.11350931158755</v>
      </c>
      <c r="R17" s="66" t="n">
        <f aca="false">J17/$G17</f>
        <v>0.666580827630339</v>
      </c>
      <c r="S17" s="66" t="n">
        <f aca="false">K17/$G17</f>
        <v>0.661920435588011</v>
      </c>
      <c r="T17" s="66" t="n">
        <f aca="false">L17/$G17</f>
        <v>1.19564241642564</v>
      </c>
      <c r="U17" s="66" t="n">
        <f aca="false">M17/$G17</f>
        <v>1.30702600014622</v>
      </c>
    </row>
    <row r="18" customFormat="false" ht="15" hidden="false" customHeight="false" outlineLevel="0" collapsed="false">
      <c r="A18" s="46" t="s">
        <v>395</v>
      </c>
      <c r="B18" s="46" t="s">
        <v>396</v>
      </c>
      <c r="C18" s="73" t="n">
        <v>1</v>
      </c>
      <c r="D18" s="65" t="n">
        <v>1750000000</v>
      </c>
      <c r="E18" s="21" t="n">
        <f aca="false">D18/$E$5</f>
        <v>43177.0406703051</v>
      </c>
      <c r="F18" s="65" t="n">
        <v>62000000000</v>
      </c>
      <c r="G18" s="65" t="n">
        <v>50976422366.6667</v>
      </c>
      <c r="H18" s="74" t="n">
        <f aca="false">F18/D18</f>
        <v>35.4285714285714</v>
      </c>
      <c r="I18" s="74" t="n">
        <f aca="false">G18/D18</f>
        <v>29.1293842095238</v>
      </c>
      <c r="J18" s="21" t="n">
        <f aca="false">D18*$E$10</f>
        <v>28654665682.2879</v>
      </c>
      <c r="K18" s="21" t="n">
        <f aca="false">D18*$E$11</f>
        <v>28454326923.0769</v>
      </c>
      <c r="L18" s="21" t="n">
        <f aca="false">D18*29.3701248418824</f>
        <v>51397718473.2942</v>
      </c>
      <c r="M18" s="21" t="n">
        <f aca="false">E18*$E$9*$E$8</f>
        <v>56185824013.855</v>
      </c>
      <c r="N18" s="66" t="n">
        <f aca="false">J18/$F18</f>
        <v>0.462172027133676</v>
      </c>
      <c r="O18" s="66" t="n">
        <f aca="false">K18/$F18</f>
        <v>0.458940756823821</v>
      </c>
      <c r="P18" s="66" t="n">
        <f aca="false">L18/$F18</f>
        <v>0.828995459246681</v>
      </c>
      <c r="Q18" s="66" t="n">
        <f aca="false">M18/$F18</f>
        <v>0.906222967965403</v>
      </c>
      <c r="R18" s="66" t="n">
        <f aca="false">J18/$G18</f>
        <v>0.562116059777179</v>
      </c>
      <c r="S18" s="66" t="n">
        <f aca="false">K18/$G18</f>
        <v>0.558186031934699</v>
      </c>
      <c r="T18" s="66" t="n">
        <f aca="false">L18/$G18</f>
        <v>1.00826452871873</v>
      </c>
      <c r="U18" s="66" t="n">
        <f aca="false">M18/$G18</f>
        <v>1.1021923745397</v>
      </c>
    </row>
    <row r="19" customFormat="false" ht="15" hidden="false" customHeight="false" outlineLevel="0" collapsed="false">
      <c r="A19" s="46" t="s">
        <v>397</v>
      </c>
      <c r="B19" s="46" t="s">
        <v>398</v>
      </c>
      <c r="C19" s="73" t="n">
        <v>1</v>
      </c>
      <c r="D19" s="65" t="n">
        <v>1900000000</v>
      </c>
      <c r="E19" s="21" t="n">
        <f aca="false">D19/$E$5</f>
        <v>46877.9298706169</v>
      </c>
      <c r="F19" s="65" t="n">
        <v>62000000000</v>
      </c>
      <c r="G19" s="65" t="n">
        <v>52073977366.6667</v>
      </c>
      <c r="H19" s="74" t="n">
        <f aca="false">F19/D19</f>
        <v>32.6315789473684</v>
      </c>
      <c r="I19" s="74" t="n">
        <f aca="false">G19/D19</f>
        <v>27.4073565087719</v>
      </c>
      <c r="J19" s="21" t="n">
        <f aca="false">D19*$E$10</f>
        <v>31110779883.6269</v>
      </c>
      <c r="K19" s="21" t="n">
        <f aca="false">D19*$E$11</f>
        <v>30893269230.7692</v>
      </c>
      <c r="L19" s="21" t="n">
        <f aca="false">D19*29.3701248418824</f>
        <v>55803237199.5766</v>
      </c>
      <c r="M19" s="21" t="n">
        <f aca="false">E19*$E$9*$E$8</f>
        <v>61001751786.4711</v>
      </c>
      <c r="N19" s="66" t="n">
        <f aca="false">J19/$F19</f>
        <v>0.501786772316562</v>
      </c>
      <c r="O19" s="66" t="n">
        <f aca="false">K19/$F19</f>
        <v>0.498278535980149</v>
      </c>
      <c r="P19" s="66" t="n">
        <f aca="false">L19/$F19</f>
        <v>0.900052212896396</v>
      </c>
      <c r="Q19" s="66" t="n">
        <f aca="false">M19/$F19</f>
        <v>0.983899222362437</v>
      </c>
      <c r="R19" s="66" t="n">
        <f aca="false">J19/$G19</f>
        <v>0.597434293612098</v>
      </c>
      <c r="S19" s="66" t="n">
        <f aca="false">K19/$G19</f>
        <v>0.593257338751783</v>
      </c>
      <c r="T19" s="66" t="n">
        <f aca="false">L19/$G19</f>
        <v>1.0716146532586</v>
      </c>
      <c r="U19" s="66" t="n">
        <f aca="false">M19/$G19</f>
        <v>1.17144406613963</v>
      </c>
    </row>
    <row r="20" customFormat="false" ht="15" hidden="false" customHeight="false" outlineLevel="0" collapsed="false">
      <c r="A20" s="46" t="s">
        <v>399</v>
      </c>
      <c r="B20" s="46" t="s">
        <v>400</v>
      </c>
      <c r="C20" s="73" t="n">
        <v>1</v>
      </c>
      <c r="D20" s="65" t="n">
        <v>1350000000</v>
      </c>
      <c r="E20" s="21" t="n">
        <f aca="false">D20/$E$5</f>
        <v>33308.0028028068</v>
      </c>
      <c r="F20" s="65" t="n">
        <v>50500000000</v>
      </c>
      <c r="G20" s="65" t="n">
        <v>40488071333.3333</v>
      </c>
      <c r="H20" s="74" t="n">
        <f aca="false">F20/D20</f>
        <v>37.4074074074074</v>
      </c>
      <c r="I20" s="74" t="n">
        <f aca="false">G20/D20</f>
        <v>29.9911639506173</v>
      </c>
      <c r="J20" s="21" t="n">
        <f aca="false">D20*$E$10</f>
        <v>22105027812.0507</v>
      </c>
      <c r="K20" s="21" t="n">
        <f aca="false">D20*$E$11</f>
        <v>21950480769.2308</v>
      </c>
      <c r="L20" s="21" t="n">
        <f aca="false">D20*29.2979785279696</f>
        <v>39552271012.759</v>
      </c>
      <c r="M20" s="21" t="n">
        <f aca="false">E20*$E$9*$E$8</f>
        <v>43343349953.5453</v>
      </c>
      <c r="N20" s="66" t="n">
        <f aca="false">J20/$F20</f>
        <v>0.437723323010904</v>
      </c>
      <c r="O20" s="66" t="n">
        <f aca="false">K20/$F20</f>
        <v>0.434662985529322</v>
      </c>
      <c r="P20" s="66" t="n">
        <f aca="false">L20/$F20</f>
        <v>0.783213287381366</v>
      </c>
      <c r="Q20" s="66" t="n">
        <f aca="false">M20/$F20</f>
        <v>0.858284157495946</v>
      </c>
      <c r="R20" s="66" t="n">
        <f aca="false">J20/$G20</f>
        <v>0.545963961337221</v>
      </c>
      <c r="S20" s="66" t="n">
        <f aca="false">K20/$G20</f>
        <v>0.542146860701641</v>
      </c>
      <c r="T20" s="66" t="n">
        <f aca="false">L20/$G20</f>
        <v>0.976887011661533</v>
      </c>
      <c r="U20" s="66" t="n">
        <f aca="false">M20/$G20</f>
        <v>1.07052147771389</v>
      </c>
    </row>
    <row r="21" customFormat="false" ht="15" hidden="false" customHeight="false" outlineLevel="0" collapsed="false">
      <c r="A21" s="46" t="s">
        <v>401</v>
      </c>
      <c r="B21" s="46" t="s">
        <v>392</v>
      </c>
      <c r="C21" s="73" t="n">
        <v>1</v>
      </c>
      <c r="D21" s="65" t="n">
        <v>1750000000</v>
      </c>
      <c r="E21" s="21" t="n">
        <f aca="false">D21/$E$5</f>
        <v>43177.0406703051</v>
      </c>
      <c r="F21" s="65" t="n">
        <v>62000000000</v>
      </c>
      <c r="G21" s="65" t="n">
        <v>52073977366.6667</v>
      </c>
      <c r="H21" s="74" t="n">
        <f aca="false">F21/D21</f>
        <v>35.4285714285714</v>
      </c>
      <c r="I21" s="74" t="n">
        <f aca="false">G21/D21</f>
        <v>29.7565584952381</v>
      </c>
      <c r="J21" s="21" t="n">
        <f aca="false">D21*$E$10</f>
        <v>28654665682.2879</v>
      </c>
      <c r="K21" s="21" t="n">
        <f aca="false">D21*$E$11</f>
        <v>28454326923.0769</v>
      </c>
      <c r="L21" s="21" t="n">
        <f aca="false">D21*29.3701248418824</f>
        <v>51397718473.2942</v>
      </c>
      <c r="M21" s="21" t="n">
        <f aca="false">E21*$E$9*$E$8</f>
        <v>56185824013.855</v>
      </c>
      <c r="N21" s="66" t="n">
        <f aca="false">J21/$F21</f>
        <v>0.462172027133676</v>
      </c>
      <c r="O21" s="66" t="n">
        <f aca="false">K21/$F21</f>
        <v>0.458940756823821</v>
      </c>
      <c r="P21" s="66" t="n">
        <f aca="false">L21/$F21</f>
        <v>0.828995459246681</v>
      </c>
      <c r="Q21" s="66" t="n">
        <f aca="false">M21/$F21</f>
        <v>0.906222967965403</v>
      </c>
      <c r="R21" s="66" t="n">
        <f aca="false">J21/$G21</f>
        <v>0.550268428326932</v>
      </c>
      <c r="S21" s="66" t="n">
        <f aca="false">K21/$G21</f>
        <v>0.546421233060852</v>
      </c>
      <c r="T21" s="66" t="n">
        <f aca="false">L21/$G21</f>
        <v>0.987013496422393</v>
      </c>
      <c r="U21" s="66" t="n">
        <f aca="false">M21/$G21</f>
        <v>1.07896163986545</v>
      </c>
    </row>
    <row r="22" customFormat="false" ht="15" hidden="false" customHeight="false" outlineLevel="0" collapsed="false">
      <c r="A22" s="46" t="s">
        <v>402</v>
      </c>
      <c r="B22" s="46" t="s">
        <v>403</v>
      </c>
      <c r="C22" s="73" t="n">
        <v>1</v>
      </c>
      <c r="D22" s="65" t="n">
        <v>1750000000</v>
      </c>
      <c r="E22" s="21" t="n">
        <f aca="false">D22/$E$5</f>
        <v>43177.0406703051</v>
      </c>
      <c r="F22" s="65" t="n">
        <v>62000000000</v>
      </c>
      <c r="G22" s="65" t="n">
        <v>52073977366.6667</v>
      </c>
      <c r="H22" s="74" t="n">
        <f aca="false">F22/D22</f>
        <v>35.4285714285714</v>
      </c>
      <c r="I22" s="74" t="n">
        <f aca="false">G22/D22</f>
        <v>29.7565584952381</v>
      </c>
      <c r="J22" s="21" t="n">
        <f aca="false">D22*$E$10</f>
        <v>28654665682.2879</v>
      </c>
      <c r="K22" s="21" t="n">
        <f aca="false">D22*$E$11</f>
        <v>28454326923.0769</v>
      </c>
      <c r="L22" s="21" t="n">
        <f aca="false">D22*29.3701248418824</f>
        <v>51397718473.2942</v>
      </c>
      <c r="M22" s="21" t="n">
        <f aca="false">E22*$E$9*$E$8</f>
        <v>56185824013.855</v>
      </c>
      <c r="N22" s="66" t="n">
        <f aca="false">J22/$F22</f>
        <v>0.462172027133676</v>
      </c>
      <c r="O22" s="66" t="n">
        <f aca="false">K22/$F22</f>
        <v>0.458940756823821</v>
      </c>
      <c r="P22" s="66" t="n">
        <f aca="false">L22/$F22</f>
        <v>0.828995459246681</v>
      </c>
      <c r="Q22" s="66" t="n">
        <f aca="false">M22/$F22</f>
        <v>0.906222967965403</v>
      </c>
      <c r="R22" s="66" t="n">
        <f aca="false">J22/$G22</f>
        <v>0.550268428326932</v>
      </c>
      <c r="S22" s="66" t="n">
        <f aca="false">K22/$G22</f>
        <v>0.546421233060852</v>
      </c>
      <c r="T22" s="66" t="n">
        <f aca="false">L22/$G22</f>
        <v>0.987013496422393</v>
      </c>
      <c r="U22" s="66" t="n">
        <f aca="false">M22/$G22</f>
        <v>1.07896163986545</v>
      </c>
    </row>
    <row r="23" customFormat="false" ht="15" hidden="false" customHeight="false" outlineLevel="0" collapsed="false">
      <c r="A23" s="46" t="s">
        <v>404</v>
      </c>
      <c r="B23" s="46" t="s">
        <v>392</v>
      </c>
      <c r="C23" s="73" t="n">
        <v>1</v>
      </c>
      <c r="D23" s="65" t="n">
        <v>1750000000</v>
      </c>
      <c r="E23" s="21" t="n">
        <f aca="false">D23/$E$5</f>
        <v>43177.0406703051</v>
      </c>
      <c r="F23" s="65" t="n">
        <v>62000000000</v>
      </c>
      <c r="G23" s="65" t="n">
        <v>52073977366.6667</v>
      </c>
      <c r="H23" s="74" t="n">
        <f aca="false">F23/D23</f>
        <v>35.4285714285714</v>
      </c>
      <c r="I23" s="74" t="n">
        <f aca="false">G23/D23</f>
        <v>29.7565584952381</v>
      </c>
      <c r="J23" s="21" t="n">
        <f aca="false">D23*$E$10</f>
        <v>28654665682.2879</v>
      </c>
      <c r="K23" s="21" t="n">
        <f aca="false">D23*$E$11</f>
        <v>28454326923.0769</v>
      </c>
      <c r="L23" s="21" t="n">
        <f aca="false">D23*29.3701248418824</f>
        <v>51397718473.2942</v>
      </c>
      <c r="M23" s="21" t="n">
        <f aca="false">E23*$E$9*$E$8</f>
        <v>56185824013.855</v>
      </c>
      <c r="N23" s="66" t="n">
        <f aca="false">J23/$F23</f>
        <v>0.462172027133676</v>
      </c>
      <c r="O23" s="66" t="n">
        <f aca="false">K23/$F23</f>
        <v>0.458940756823821</v>
      </c>
      <c r="P23" s="66" t="n">
        <f aca="false">L23/$F23</f>
        <v>0.828995459246681</v>
      </c>
      <c r="Q23" s="66" t="n">
        <f aca="false">M23/$F23</f>
        <v>0.906222967965403</v>
      </c>
      <c r="R23" s="66" t="n">
        <f aca="false">J23/$G23</f>
        <v>0.550268428326932</v>
      </c>
      <c r="S23" s="66" t="n">
        <f aca="false">K23/$G23</f>
        <v>0.546421233060852</v>
      </c>
      <c r="T23" s="66" t="n">
        <f aca="false">L23/$G23</f>
        <v>0.987013496422393</v>
      </c>
      <c r="U23" s="66" t="n">
        <f aca="false">M23/$G23</f>
        <v>1.07896163986545</v>
      </c>
    </row>
    <row r="24" customFormat="false" ht="15" hidden="false" customHeight="false" outlineLevel="0" collapsed="false">
      <c r="A24" s="46" t="s">
        <v>405</v>
      </c>
      <c r="B24" s="46" t="s">
        <v>400</v>
      </c>
      <c r="C24" s="73" t="n">
        <v>1</v>
      </c>
      <c r="D24" s="65" t="n">
        <v>1400000000</v>
      </c>
      <c r="E24" s="21" t="n">
        <f aca="false">D24/$E$5</f>
        <v>34541.632536244</v>
      </c>
      <c r="F24" s="65" t="n">
        <v>50500000000</v>
      </c>
      <c r="G24" s="65" t="n">
        <v>43780736333.3333</v>
      </c>
      <c r="H24" s="74" t="n">
        <f aca="false">F24/D24</f>
        <v>36.0714285714286</v>
      </c>
      <c r="I24" s="74" t="n">
        <f aca="false">G24/D24</f>
        <v>31.2719545238095</v>
      </c>
      <c r="J24" s="21" t="n">
        <f aca="false">D24*$E$10</f>
        <v>22923732545.8303</v>
      </c>
      <c r="K24" s="21" t="n">
        <f aca="false">D24*$E$11</f>
        <v>22763461538.4615</v>
      </c>
      <c r="L24" s="21" t="n">
        <f aca="false">D24*29.2979785279696</f>
        <v>41017169939.1574</v>
      </c>
      <c r="M24" s="21" t="n">
        <f aca="false">E24*$E$9*$E$8</f>
        <v>44948659211.084</v>
      </c>
      <c r="N24" s="66" t="n">
        <f aca="false">J24/$F24</f>
        <v>0.453935297937234</v>
      </c>
      <c r="O24" s="66" t="n">
        <f aca="false">K24/$F24</f>
        <v>0.450761614623001</v>
      </c>
      <c r="P24" s="66" t="n">
        <f aca="false">L24/$F24</f>
        <v>0.812221186914009</v>
      </c>
      <c r="Q24" s="66" t="n">
        <f aca="false">M24/$F24</f>
        <v>0.890072459625425</v>
      </c>
      <c r="R24" s="66" t="n">
        <f aca="false">J24/$G24</f>
        <v>0.5236031749511</v>
      </c>
      <c r="S24" s="66" t="n">
        <f aca="false">K24/$G24</f>
        <v>0.519942409491412</v>
      </c>
      <c r="T24" s="66" t="n">
        <f aca="false">L24/$G24</f>
        <v>0.936877114785486</v>
      </c>
      <c r="U24" s="66" t="n">
        <f aca="false">M24/$G24</f>
        <v>1.02667663853021</v>
      </c>
    </row>
    <row r="25" customFormat="false" ht="15" hidden="false" customHeight="false" outlineLevel="0" collapsed="false">
      <c r="A25" s="46" t="s">
        <v>406</v>
      </c>
      <c r="B25" s="46" t="s">
        <v>400</v>
      </c>
      <c r="C25" s="73" t="n">
        <v>1</v>
      </c>
      <c r="D25" s="65" t="n">
        <v>1350000000</v>
      </c>
      <c r="E25" s="21" t="n">
        <f aca="false">D25/$E$5</f>
        <v>33308.0028028068</v>
      </c>
      <c r="F25" s="65" t="n">
        <v>50500000000</v>
      </c>
      <c r="G25" s="65" t="n">
        <v>40488071333.3333</v>
      </c>
      <c r="H25" s="74" t="n">
        <f aca="false">F25/D25</f>
        <v>37.4074074074074</v>
      </c>
      <c r="I25" s="74" t="n">
        <f aca="false">G25/D25</f>
        <v>29.9911639506173</v>
      </c>
      <c r="J25" s="21" t="n">
        <f aca="false">D25*$E$10</f>
        <v>22105027812.0507</v>
      </c>
      <c r="K25" s="21" t="n">
        <f aca="false">D25*$E$11</f>
        <v>21950480769.2308</v>
      </c>
      <c r="L25" s="21" t="n">
        <f aca="false">D25*29.2979785279696</f>
        <v>39552271012.759</v>
      </c>
      <c r="M25" s="21" t="n">
        <f aca="false">E25*$E$9*$E$8</f>
        <v>43343349953.5453</v>
      </c>
      <c r="N25" s="66" t="n">
        <f aca="false">J25/$F25</f>
        <v>0.437723323010904</v>
      </c>
      <c r="O25" s="66" t="n">
        <f aca="false">K25/$F25</f>
        <v>0.434662985529322</v>
      </c>
      <c r="P25" s="66" t="n">
        <f aca="false">L25/$F25</f>
        <v>0.783213287381366</v>
      </c>
      <c r="Q25" s="66" t="n">
        <f aca="false">M25/$F25</f>
        <v>0.858284157495946</v>
      </c>
      <c r="R25" s="66" t="n">
        <f aca="false">J25/$G25</f>
        <v>0.545963961337221</v>
      </c>
      <c r="S25" s="66" t="n">
        <f aca="false">K25/$G25</f>
        <v>0.542146860701641</v>
      </c>
      <c r="T25" s="66" t="n">
        <f aca="false">L25/$G25</f>
        <v>0.976887011661533</v>
      </c>
      <c r="U25" s="66" t="n">
        <f aca="false">M25/$G25</f>
        <v>1.07052147771389</v>
      </c>
    </row>
    <row r="26" customFormat="false" ht="15" hidden="false" customHeight="false" outlineLevel="0" collapsed="false">
      <c r="A26" s="46" t="s">
        <v>407</v>
      </c>
      <c r="B26" s="46" t="s">
        <v>394</v>
      </c>
      <c r="C26" s="73" t="n">
        <v>1</v>
      </c>
      <c r="D26" s="65" t="n">
        <v>1900000000</v>
      </c>
      <c r="E26" s="21" t="n">
        <f aca="false">D26/$E$5</f>
        <v>46877.9298706169</v>
      </c>
      <c r="F26" s="65" t="n">
        <v>64300000000</v>
      </c>
      <c r="G26" s="65" t="n">
        <v>55035754033.3333</v>
      </c>
      <c r="H26" s="74" t="n">
        <f aca="false">F26/D26</f>
        <v>33.8421052631579</v>
      </c>
      <c r="I26" s="74" t="n">
        <f aca="false">G26/D26</f>
        <v>28.9661863333333</v>
      </c>
      <c r="J26" s="21" t="n">
        <f aca="false">D26*$E$10</f>
        <v>31110779883.6269</v>
      </c>
      <c r="K26" s="21" t="n">
        <f aca="false">D26*$E$11</f>
        <v>30893269230.7692</v>
      </c>
      <c r="L26" s="21" t="n">
        <f aca="false">D26*29.3701248418824</f>
        <v>55803237199.5766</v>
      </c>
      <c r="M26" s="21" t="n">
        <f aca="false">E26*$E$9*$E$8</f>
        <v>61001751786.4711</v>
      </c>
      <c r="N26" s="66" t="n">
        <f aca="false">J26/$F26</f>
        <v>0.483837945313015</v>
      </c>
      <c r="O26" s="66" t="n">
        <f aca="false">K26/$F26</f>
        <v>0.48045519799019</v>
      </c>
      <c r="P26" s="66" t="n">
        <f aca="false">L26/$F26</f>
        <v>0.86785749921581</v>
      </c>
      <c r="Q26" s="66" t="n">
        <f aca="false">M26/$F26</f>
        <v>0.948705315497218</v>
      </c>
      <c r="R26" s="66" t="n">
        <f aca="false">J26/$G26</f>
        <v>0.56528306789045</v>
      </c>
      <c r="S26" s="66" t="n">
        <f aca="false">K26/$G26</f>
        <v>0.561330897947872</v>
      </c>
      <c r="T26" s="66" t="n">
        <f aca="false">L26/$G26</f>
        <v>1.01394517400049</v>
      </c>
      <c r="U26" s="66" t="n">
        <f aca="false">M26/$G26</f>
        <v>1.10840221703012</v>
      </c>
    </row>
    <row r="28" customFormat="false" ht="15" hidden="false" customHeight="false" outlineLevel="0" collapsed="false">
      <c r="A28" s="3" t="s">
        <v>408</v>
      </c>
      <c r="H28" s="79" t="n">
        <f aca="false">MEDIAN(H16:H26)</f>
        <v>35.4285714285714</v>
      </c>
      <c r="I28" s="79" t="n">
        <f aca="false">MEDIAN(I16:I26)</f>
        <v>29.7565584952381</v>
      </c>
      <c r="N28" s="80" t="n">
        <f aca="false">MEDIAN(N16:N26)</f>
        <v>0.462172027133676</v>
      </c>
      <c r="O28" s="80" t="n">
        <f aca="false">MEDIAN(O16:O26)</f>
        <v>0.458940756823821</v>
      </c>
      <c r="P28" s="80" t="n">
        <f aca="false">MEDIAN(P16:P26)</f>
        <v>0.828995459246681</v>
      </c>
      <c r="Q28" s="80" t="n">
        <f aca="false">MEDIAN(Q16:Q26)</f>
        <v>0.906222967965403</v>
      </c>
      <c r="R28" s="80" t="n">
        <f aca="false">MEDIAN(R16:R26)</f>
        <v>0.550268428326932</v>
      </c>
      <c r="S28" s="80" t="n">
        <f aca="false">MEDIAN(S16:S26)</f>
        <v>0.546421233060852</v>
      </c>
      <c r="T28" s="80" t="n">
        <f aca="false">MEDIAN(T16:T26)</f>
        <v>0.987013496422393</v>
      </c>
      <c r="U28" s="80" t="n">
        <f aca="false">MEDIAN(U16:U26)</f>
        <v>1.07896163986545</v>
      </c>
    </row>
    <row r="29" customFormat="false" ht="15" hidden="false" customHeight="false" outlineLevel="0" collapsed="false">
      <c r="A29" s="3" t="s">
        <v>409</v>
      </c>
      <c r="N29" s="80" t="n">
        <f aca="false">SUMPRODUCT($C$16:$C$26,J16:J26)/SUMPRODUCT($C$16:$C$26,$F$16:$F$26)</f>
        <v>0.477162925071043</v>
      </c>
      <c r="O29" s="80" t="n">
        <f aca="false">SUMPRODUCT($C$16:$C$26,K16:K26)/SUMPRODUCT($C$16:$C$26,$F$16:$F$26)</f>
        <v>0.473826846073991</v>
      </c>
      <c r="P29" s="80" t="n">
        <f aca="false">SUMPRODUCT($C$16:$C$26,L16:L26)/SUMPRODUCT($C$16:$C$26,$F$16:$F$26)</f>
        <v>0.855445874619527</v>
      </c>
      <c r="Q29" s="80" t="n">
        <f aca="false">SUMPRODUCT($C$16:$C$26,M16:M26)/SUMPRODUCT($C$16:$C$26,$F$16:$F$26)</f>
        <v>0.935616992752061</v>
      </c>
      <c r="R29" s="80" t="n">
        <f aca="false">SUMPRODUCT($C$16:$C$26,J16:J26)/SUMPRODUCT($C$16:$C$26,$G$16:$G$26)</f>
        <v>0.571862684346944</v>
      </c>
      <c r="S29" s="80" t="n">
        <f aca="false">SUMPRODUCT($C$16:$C$26,K16:K26)/SUMPRODUCT($C$16:$C$26,$G$16:$G$26)</f>
        <v>0.567864513093041</v>
      </c>
      <c r="T29" s="80" t="n">
        <f aca="false">SUMPRODUCT($C$16:$C$26,L16:L26)/SUMPRODUCT($C$16:$C$26,$G$16:$G$26)</f>
        <v>1.025221257709</v>
      </c>
      <c r="U29" s="80" t="n">
        <f aca="false">SUMPRODUCT($C$16:$C$26,M16:M26)/SUMPRODUCT($C$16:$C$26,$G$16:$G$26)</f>
        <v>1.12130347284661</v>
      </c>
    </row>
    <row r="31" customFormat="false" ht="15" hidden="false" customHeight="false" outlineLevel="0" collapsed="false">
      <c r="A31" s="3" t="s">
        <v>410</v>
      </c>
      <c r="M31" s="21" t="n">
        <f aca="false">$E$6*MEDIAN(H16:H26)/(($E$9*$E$8)/$E$5)</f>
        <v>1026237.50762793</v>
      </c>
      <c r="N31" s="68" t="s">
        <v>411</v>
      </c>
    </row>
    <row r="32" customFormat="false" ht="15" hidden="false" customHeight="false" outlineLevel="0" collapsed="false">
      <c r="A32" s="23" t="s">
        <v>412</v>
      </c>
    </row>
    <row r="33" customFormat="false" ht="15" hidden="false" customHeight="false" outlineLevel="0" collapsed="false">
      <c r="A33" s="23" t="s">
        <v>413</v>
      </c>
    </row>
  </sheetData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6" min="4" style="0" width="14"/>
  </cols>
  <sheetData>
    <row r="1" customFormat="false" ht="17.15" hidden="false" customHeight="false" outlineLevel="0" collapsed="false">
      <c r="A1" s="1" t="s">
        <v>414</v>
      </c>
    </row>
    <row r="3" customFormat="false" ht="42" hidden="false" customHeight="true" outlineLevel="0" collapsed="false">
      <c r="A3" s="4" t="s">
        <v>415</v>
      </c>
      <c r="B3" s="4" t="s">
        <v>416</v>
      </c>
      <c r="C3" s="4" t="s">
        <v>34</v>
      </c>
    </row>
    <row r="4" customFormat="false" ht="15" hidden="false" customHeight="false" outlineLevel="0" collapsed="false">
      <c r="A4" s="46" t="s">
        <v>417</v>
      </c>
      <c r="B4" s="74" t="n">
        <f aca="false">Val_IRR_Packages!E8/Val_IRR_Packages!E5</f>
        <v>23.8633335636109</v>
      </c>
      <c r="C4" s="68" t="s">
        <v>418</v>
      </c>
    </row>
    <row r="5" customFormat="false" ht="15" hidden="false" customHeight="false" outlineLevel="0" collapsed="false">
      <c r="A5" s="46" t="s">
        <v>419</v>
      </c>
      <c r="B5" s="74" t="n">
        <f aca="false">Val_EUR_Pumps!E10</f>
        <v>1.34541911611766</v>
      </c>
      <c r="C5" s="68" t="s">
        <v>420</v>
      </c>
    </row>
    <row r="6" customFormat="false" ht="15" hidden="false" customHeight="false" outlineLevel="0" collapsed="false">
      <c r="A6" s="46" t="s">
        <v>421</v>
      </c>
      <c r="B6" s="78" t="n">
        <f aca="false">B4*B5</f>
        <v>32.1061851507743</v>
      </c>
      <c r="C6" s="68" t="s">
        <v>422</v>
      </c>
    </row>
    <row r="7" customFormat="false" ht="15" hidden="false" customHeight="false" outlineLevel="0" collapsed="false">
      <c r="A7" s="46" t="s">
        <v>423</v>
      </c>
      <c r="B7" s="74" t="n">
        <f aca="false">Val_IRR_Packages!E10</f>
        <v>16.3740946755931</v>
      </c>
      <c r="C7" s="68" t="s">
        <v>424</v>
      </c>
    </row>
    <row r="8" customFormat="false" ht="15" hidden="false" customHeight="false" outlineLevel="0" collapsed="false">
      <c r="A8" s="46" t="s">
        <v>425</v>
      </c>
      <c r="B8" s="74" t="n">
        <f aca="false">Val_IRR_Packages!H28</f>
        <v>35.4285714285714</v>
      </c>
      <c r="C8" s="68" t="s">
        <v>426</v>
      </c>
    </row>
    <row r="9" customFormat="false" ht="15" hidden="false" customHeight="false" outlineLevel="0" collapsed="false">
      <c r="A9" s="46" t="s">
        <v>427</v>
      </c>
      <c r="B9" s="74" t="n">
        <f aca="false">MEDIAN(Val_EUR_Pumps!N18:N35)</f>
        <v>1.76860222222222</v>
      </c>
      <c r="C9" s="68" t="s">
        <v>428</v>
      </c>
    </row>
    <row r="10" customFormat="false" ht="15" hidden="false" customHeight="false" outlineLevel="0" collapsed="false">
      <c r="A10" s="46" t="s">
        <v>429</v>
      </c>
      <c r="B10" s="74" t="n">
        <f aca="false">SUMPRODUCT((Val_EUR_Pumps!L18:L35="Y")*Val_EUR_Pumps!E18:E35*Val_EUR_Pumps!J18:J35)/SUMPRODUCT((Val_EUR_Pumps!L18:L35="Y")*Val_EUR_Pumps!E18:E35*Val_EUR_Pumps!F18:F35)</f>
        <v>1.36154096228869</v>
      </c>
      <c r="C10" s="68" t="s">
        <v>430</v>
      </c>
    </row>
    <row r="11" customFormat="false" ht="15" hidden="false" customHeight="false" outlineLevel="0" collapsed="false">
      <c r="A11" s="46" t="s">
        <v>431</v>
      </c>
      <c r="B11" s="74" t="n">
        <f aca="false">1+Indices!G44</f>
        <v>1.13409821655289</v>
      </c>
      <c r="C11" s="68" t="s">
        <v>432</v>
      </c>
    </row>
    <row r="12" customFormat="false" ht="15" hidden="false" customHeight="false" outlineLevel="0" collapsed="false">
      <c r="A12" s="46" t="s">
        <v>433</v>
      </c>
      <c r="B12" s="74" t="n">
        <f aca="false">B11*Val_EUR_Pumps!E14/Val_EUR_Pumps!E15</f>
        <v>1.18091878512617</v>
      </c>
      <c r="C12" s="68" t="s">
        <v>434</v>
      </c>
    </row>
    <row r="13" customFormat="false" ht="15" hidden="false" customHeight="false" outlineLevel="0" collapsed="false">
      <c r="A13" s="46" t="s">
        <v>435</v>
      </c>
      <c r="B13" s="62" t="n">
        <f aca="false">Indices!C6*(B12-1)</f>
        <v>0.0542756355378507</v>
      </c>
      <c r="C13" s="68" t="s">
        <v>436</v>
      </c>
    </row>
    <row r="15" customFormat="false" ht="15" hidden="false" customHeight="false" outlineLevel="0" collapsed="false">
      <c r="A15" s="3" t="s">
        <v>437</v>
      </c>
    </row>
    <row r="16" customFormat="false" ht="15" hidden="false" customHeight="false" outlineLevel="0" collapsed="false">
      <c r="A16" s="46" t="s">
        <v>438</v>
      </c>
    </row>
    <row r="17" customFormat="false" ht="15" hidden="false" customHeight="false" outlineLevel="0" collapsed="false">
      <c r="A17" s="46" t="s">
        <v>439</v>
      </c>
    </row>
    <row r="18" customFormat="false" ht="15" hidden="false" customHeight="false" outlineLevel="0" collapsed="false">
      <c r="A18" s="46" t="s">
        <v>440</v>
      </c>
    </row>
    <row r="19" customFormat="false" ht="15" hidden="false" customHeight="false" outlineLevel="0" collapsed="false">
      <c r="A19" s="46" t="s">
        <v>441</v>
      </c>
    </row>
    <row r="22" customFormat="false" ht="15" hidden="false" customHeight="false" outlineLevel="0" collapsed="false">
      <c r="A22" s="3" t="s">
        <v>442</v>
      </c>
    </row>
    <row r="23" customFormat="false" ht="42" hidden="false" customHeight="true" outlineLevel="0" collapsed="false">
      <c r="A23" s="4" t="s">
        <v>224</v>
      </c>
      <c r="B23" s="4" t="s">
        <v>443</v>
      </c>
      <c r="C23" s="4" t="s">
        <v>444</v>
      </c>
      <c r="D23" s="4" t="s">
        <v>445</v>
      </c>
      <c r="E23" s="4" t="s">
        <v>446</v>
      </c>
      <c r="F23" s="4" t="s">
        <v>447</v>
      </c>
    </row>
    <row r="24" customFormat="false" ht="15" hidden="false" customHeight="false" outlineLevel="0" collapsed="false">
      <c r="A24" s="60" t="n">
        <v>1393</v>
      </c>
      <c r="B24" s="22" t="n">
        <f aca="false">INDEX(Indices!$C$51:$C$71,MATCH(A24,Indices!$A$51:$A$71,0))/INDEX(Indices!$C$51:$C$71,MATCH(1393,Indices!$A$51:$A$71,0))</f>
        <v>1</v>
      </c>
      <c r="C24" s="66" t="n">
        <f aca="false">INDEX(Indices!$G$51:$G$71,MATCH(A24,Indices!$A$51:$A$71,0))/INDEX(Indices!$G$51:$G$71,MATCH(1393,Indices!$A$51:$A$71,0))</f>
        <v>1</v>
      </c>
      <c r="D24" s="66" t="n">
        <f aca="false">B24*C24</f>
        <v>1</v>
      </c>
      <c r="E24" s="66" t="n">
        <f aca="false">INDEX(Indices!$I$51:$I$71,MATCH(A24,Indices!$A$51:$A$71,0))/INDEX(Indices!$I$51:$I$71,MATCH(1393,Indices!$A$51:$A$71,0))</f>
        <v>1</v>
      </c>
      <c r="F24" s="66" t="n">
        <f aca="false">D24/E24</f>
        <v>1</v>
      </c>
    </row>
    <row r="25" customFormat="false" ht="15" hidden="false" customHeight="false" outlineLevel="0" collapsed="false">
      <c r="A25" s="60" t="n">
        <v>1394</v>
      </c>
      <c r="B25" s="22" t="n">
        <f aca="false">INDEX(Indices!$C$51:$C$71,MATCH(A25,Indices!$A$51:$A$71,0))/INDEX(Indices!$C$51:$C$71,MATCH(1393,Indices!$A$51:$A$71,0))</f>
        <v>1.00766308691035</v>
      </c>
      <c r="C25" s="66" t="n">
        <f aca="false">INDEX(Indices!$G$51:$G$71,MATCH(A25,Indices!$A$51:$A$71,0))/INDEX(Indices!$G$51:$G$71,MATCH(1393,Indices!$A$51:$A$71,0))</f>
        <v>0.91745043275731</v>
      </c>
      <c r="D25" s="66" t="n">
        <f aca="false">B25*C25</f>
        <v>0.924480935159471</v>
      </c>
      <c r="E25" s="66" t="n">
        <f aca="false">INDEX(Indices!$I$51:$I$71,MATCH(A25,Indices!$A$51:$A$71,0))/INDEX(Indices!$I$51:$I$71,MATCH(1393,Indices!$A$51:$A$71,0))</f>
        <v>1.119</v>
      </c>
      <c r="F25" s="66" t="n">
        <f aca="false">D25/E25</f>
        <v>0.826167055549125</v>
      </c>
    </row>
    <row r="26" customFormat="false" ht="15" hidden="false" customHeight="false" outlineLevel="0" collapsed="false">
      <c r="A26" s="60" t="n">
        <v>1395</v>
      </c>
      <c r="B26" s="22" t="n">
        <f aca="false">INDEX(Indices!$C$51:$C$71,MATCH(A26,Indices!$A$51:$A$71,0))/INDEX(Indices!$C$51:$C$71,MATCH(1393,Indices!$A$51:$A$71,0))</f>
        <v>1.01601585164264</v>
      </c>
      <c r="C26" s="66" t="n">
        <f aca="false">INDEX(Indices!$G$51:$G$71,MATCH(A26,Indices!$A$51:$A$71,0))/INDEX(Indices!$G$51:$G$71,MATCH(1393,Indices!$A$51:$A$71,0))</f>
        <v>0.999610173004234</v>
      </c>
      <c r="D26" s="66" t="n">
        <f aca="false">B26*C26</f>
        <v>1.01561978123554</v>
      </c>
      <c r="E26" s="66" t="n">
        <f aca="false">INDEX(Indices!$I$51:$I$71,MATCH(A26,Indices!$A$51:$A$71,0))/INDEX(Indices!$I$51:$I$71,MATCH(1393,Indices!$A$51:$A$71,0))</f>
        <v>1.21971</v>
      </c>
      <c r="F26" s="66" t="n">
        <f aca="false">D26/E26</f>
        <v>0.832673161026424</v>
      </c>
    </row>
    <row r="27" customFormat="false" ht="15" hidden="false" customHeight="false" outlineLevel="0" collapsed="false">
      <c r="A27" s="60" t="n">
        <v>1396</v>
      </c>
      <c r="B27" s="22" t="n">
        <f aca="false">INDEX(Indices!$C$51:$C$71,MATCH(A27,Indices!$A$51:$A$71,0))/INDEX(Indices!$C$51:$C$71,MATCH(1393,Indices!$A$51:$A$71,0))</f>
        <v>1.02696311865743</v>
      </c>
      <c r="C27" s="66" t="n">
        <f aca="false">INDEX(Indices!$G$51:$G$71,MATCH(A27,Indices!$A$51:$A$71,0))/INDEX(Indices!$G$51:$G$71,MATCH(1393,Indices!$A$51:$A$71,0))</f>
        <v>1.14308131100299</v>
      </c>
      <c r="D27" s="66" t="n">
        <f aca="false">B27*C27</f>
        <v>1.17390234802665</v>
      </c>
      <c r="E27" s="66" t="n">
        <f aca="false">INDEX(Indices!$I$51:$I$71,MATCH(A27,Indices!$A$51:$A$71,0))/INDEX(Indices!$I$51:$I$71,MATCH(1393,Indices!$A$51:$A$71,0))</f>
        <v>1.33680216</v>
      </c>
      <c r="F27" s="66" t="n">
        <f aca="false">D27/E27</f>
        <v>0.878142168790818</v>
      </c>
    </row>
    <row r="28" customFormat="false" ht="15" hidden="false" customHeight="false" outlineLevel="0" collapsed="false">
      <c r="A28" s="60" t="n">
        <v>1397</v>
      </c>
      <c r="B28" s="22" t="n">
        <f aca="false">INDEX(Indices!$C$51:$C$71,MATCH(A28,Indices!$A$51:$A$71,0))/INDEX(Indices!$C$51:$C$71,MATCH(1393,Indices!$A$51:$A$71,0))</f>
        <v>1.0397495265307</v>
      </c>
      <c r="C28" s="66" t="n">
        <f aca="false">INDEX(Indices!$G$51:$G$71,MATCH(A28,Indices!$A$51:$A$71,0))/INDEX(Indices!$G$51:$G$71,MATCH(1393,Indices!$A$51:$A$71,0))</f>
        <v>2.4746612452752</v>
      </c>
      <c r="D28" s="66" t="n">
        <f aca="false">B28*C28</f>
        <v>2.57302785809876</v>
      </c>
      <c r="E28" s="66" t="n">
        <f aca="false">INDEX(Indices!$I$51:$I$71,MATCH(A28,Indices!$A$51:$A$71,0))/INDEX(Indices!$I$51:$I$71,MATCH(1393,Indices!$A$51:$A$71,0))</f>
        <v>1.75388443392</v>
      </c>
      <c r="F28" s="66" t="n">
        <f aca="false">D28/E28</f>
        <v>1.4670452672574</v>
      </c>
    </row>
    <row r="29" customFormat="false" ht="15" hidden="false" customHeight="false" outlineLevel="0" collapsed="false">
      <c r="A29" s="60" t="n">
        <v>1398</v>
      </c>
      <c r="B29" s="22" t="n">
        <f aca="false">INDEX(Indices!$C$51:$C$71,MATCH(A29,Indices!$A$51:$A$71,0))/INDEX(Indices!$C$51:$C$71,MATCH(1393,Indices!$A$51:$A$71,0))</f>
        <v>1.05853503672808</v>
      </c>
      <c r="C29" s="66" t="n">
        <f aca="false">INDEX(Indices!$G$51:$G$71,MATCH(A29,Indices!$A$51:$A$71,0))/INDEX(Indices!$G$51:$G$71,MATCH(1393,Indices!$A$51:$A$71,0))</f>
        <v>3.31599672347943</v>
      </c>
      <c r="D29" s="66" t="n">
        <f aca="false">B29*C29</f>
        <v>3.51009871347849</v>
      </c>
      <c r="E29" s="66" t="n">
        <f aca="false">INDEX(Indices!$I$51:$I$71,MATCH(A29,Indices!$A$51:$A$71,0))/INDEX(Indices!$I$51:$I$71,MATCH(1393,Indices!$A$51:$A$71,0))</f>
        <v>2.47648482069504</v>
      </c>
      <c r="F29" s="66" t="n">
        <f aca="false">D29/E29</f>
        <v>1.41737138226971</v>
      </c>
    </row>
    <row r="30" customFormat="false" ht="15" hidden="false" customHeight="false" outlineLevel="0" collapsed="false">
      <c r="A30" s="60" t="n">
        <v>1399</v>
      </c>
      <c r="B30" s="22" t="n">
        <f aca="false">INDEX(Indices!$C$51:$C$71,MATCH(A30,Indices!$A$51:$A$71,0))/INDEX(Indices!$C$51:$C$71,MATCH(1393,Indices!$A$51:$A$71,0))</f>
        <v>1.07570035140727</v>
      </c>
      <c r="C30" s="66" t="n">
        <f aca="false">INDEX(Indices!$G$51:$G$71,MATCH(A30,Indices!$A$51:$A$71,0))/INDEX(Indices!$G$51:$G$71,MATCH(1393,Indices!$A$51:$A$71,0))</f>
        <v>6.75042190136884</v>
      </c>
      <c r="D30" s="66" t="n">
        <f aca="false">B30*C30</f>
        <v>7.2614312114498</v>
      </c>
      <c r="E30" s="66" t="n">
        <f aca="false">INDEX(Indices!$I$51:$I$71,MATCH(A30,Indices!$A$51:$A$71,0))/INDEX(Indices!$I$51:$I$71,MATCH(1393,Indices!$A$51:$A$71,0))</f>
        <v>3.64043268642171</v>
      </c>
      <c r="F30" s="66" t="n">
        <f aca="false">D30/E30</f>
        <v>1.9946615792496</v>
      </c>
    </row>
    <row r="31" customFormat="false" ht="15" hidden="false" customHeight="false" outlineLevel="0" collapsed="false">
      <c r="A31" s="60" t="n">
        <v>1400</v>
      </c>
      <c r="B31" s="22" t="n">
        <f aca="false">INDEX(Indices!$C$51:$C$71,MATCH(A31,Indices!$A$51:$A$71,0))/INDEX(Indices!$C$51:$C$71,MATCH(1393,Indices!$A$51:$A$71,0))</f>
        <v>1.11610671395886</v>
      </c>
      <c r="C31" s="66" t="n">
        <f aca="false">INDEX(Indices!$G$51:$G$71,MATCH(A31,Indices!$A$51:$A$71,0))/INDEX(Indices!$G$51:$G$71,MATCH(1393,Indices!$A$51:$A$71,0))</f>
        <v>7.86068866146239</v>
      </c>
      <c r="D31" s="66" t="n">
        <f aca="false">B31*C31</f>
        <v>8.77336739139846</v>
      </c>
      <c r="E31" s="66" t="n">
        <f aca="false">INDEX(Indices!$I$51:$I$71,MATCH(A31,Indices!$A$51:$A$71,0))/INDEX(Indices!$I$51:$I$71,MATCH(1393,Indices!$A$51:$A$71,0))</f>
        <v>5.32231258754854</v>
      </c>
      <c r="F31" s="66" t="n">
        <f aca="false">D31/E31</f>
        <v>1.64841264902847</v>
      </c>
    </row>
    <row r="32" customFormat="false" ht="15" hidden="false" customHeight="false" outlineLevel="0" collapsed="false">
      <c r="A32" s="60" t="n">
        <v>1401</v>
      </c>
      <c r="B32" s="22" t="n">
        <f aca="false">INDEX(Indices!$C$51:$C$71,MATCH(A32,Indices!$A$51:$A$71,0))/INDEX(Indices!$C$51:$C$71,MATCH(1393,Indices!$A$51:$A$71,0))</f>
        <v>1.2179162971964</v>
      </c>
      <c r="C32" s="66" t="n">
        <f aca="false">INDEX(Indices!$G$51:$G$71,MATCH(A32,Indices!$A$51:$A$71,0))/INDEX(Indices!$G$51:$G$71,MATCH(1393,Indices!$A$51:$A$71,0))</f>
        <v>9.06717854076406</v>
      </c>
      <c r="D32" s="66" t="n">
        <f aca="false">B32*C32</f>
        <v>11.0430645143861</v>
      </c>
      <c r="E32" s="66" t="n">
        <f aca="false">INDEX(Indices!$I$51:$I$71,MATCH(A32,Indices!$A$51:$A$71,0))/INDEX(Indices!$I$51:$I$71,MATCH(1393,Indices!$A$51:$A$71,0))</f>
        <v>7.79718794075861</v>
      </c>
      <c r="F32" s="66" t="n">
        <f aca="false">D32/E32</f>
        <v>1.41628810261968</v>
      </c>
    </row>
    <row r="33" customFormat="false" ht="15" hidden="false" customHeight="false" outlineLevel="0" collapsed="false">
      <c r="A33" s="60" t="n">
        <v>1402</v>
      </c>
      <c r="B33" s="22" t="n">
        <f aca="false">INDEX(Indices!$C$51:$C$71,MATCH(A33,Indices!$A$51:$A$71,0))/INDEX(Indices!$C$51:$C$71,MATCH(1393,Indices!$A$51:$A$71,0))</f>
        <v>1.30547253878069</v>
      </c>
      <c r="C33" s="66" t="n">
        <f aca="false">INDEX(Indices!$G$51:$G$71,MATCH(A33,Indices!$A$51:$A$71,0))/INDEX(Indices!$G$51:$G$71,MATCH(1393,Indices!$A$51:$A$71,0))</f>
        <v>13.8561291659676</v>
      </c>
      <c r="D33" s="66" t="n">
        <f aca="false">B33*C33</f>
        <v>18.0887961199689</v>
      </c>
      <c r="E33" s="66" t="n">
        <f aca="false">INDEX(Indices!$I$51:$I$71,MATCH(A33,Indices!$A$51:$A$71,0))/INDEX(Indices!$I$51:$I$71,MATCH(1393,Indices!$A$51:$A$71,0))</f>
        <v>11.6957819111379</v>
      </c>
      <c r="F33" s="66" t="n">
        <f aca="false">D33/E33</f>
        <v>1.54660853437622</v>
      </c>
    </row>
    <row r="34" customFormat="false" ht="15" hidden="false" customHeight="false" outlineLevel="0" collapsed="false">
      <c r="A34" s="60" t="n">
        <v>1403</v>
      </c>
      <c r="B34" s="22" t="n">
        <f aca="false">INDEX(Indices!$C$51:$C$71,MATCH(A34,Indices!$A$51:$A$71,0))/INDEX(Indices!$C$51:$C$71,MATCH(1393,Indices!$A$51:$A$71,0))</f>
        <v>1.33504110698764</v>
      </c>
      <c r="C34" s="66" t="n">
        <f aca="false">INDEX(Indices!$G$51:$G$71,MATCH(A34,Indices!$A$51:$A$71,0))/INDEX(Indices!$G$51:$G$71,MATCH(1393,Indices!$A$51:$A$71,0))</f>
        <v>17.0536974350371</v>
      </c>
      <c r="D34" s="66" t="n">
        <f aca="false">B34*C34</f>
        <v>22.7673871019042</v>
      </c>
      <c r="E34" s="66" t="n">
        <f aca="false">INDEX(Indices!$I$51:$I$71,MATCH(A34,Indices!$A$51:$A$71,0))/INDEX(Indices!$I$51:$I$71,MATCH(1393,Indices!$A$51:$A$71,0))</f>
        <v>16.3740946755931</v>
      </c>
      <c r="F34" s="66" t="n">
        <f aca="false">D34/E34</f>
        <v>1.39045165873145</v>
      </c>
    </row>
    <row r="35" customFormat="false" ht="15" hidden="false" customHeight="false" outlineLevel="0" collapsed="false">
      <c r="A35" s="60" t="n">
        <v>1404</v>
      </c>
      <c r="B35" s="22" t="n">
        <f aca="false">INDEX(Indices!$C$51:$C$71,MATCH(A35,Indices!$A$51:$A$71,0))/INDEX(Indices!$C$51:$C$71,MATCH(1393,Indices!$A$51:$A$71,0))</f>
        <v>1.35106987640536</v>
      </c>
      <c r="C35" s="66" t="n">
        <f aca="false">INDEX(Indices!$G$51:$G$71,MATCH(A35,Indices!$A$51:$A$71,0))/INDEX(Indices!$G$51:$G$71,MATCH(1393,Indices!$A$51:$A$71,0))</f>
        <v>27.8800319756827</v>
      </c>
      <c r="D35" s="66" t="n">
        <f aca="false">B35*C35</f>
        <v>37.667871355563</v>
      </c>
      <c r="E35" s="66" t="n">
        <f aca="false">INDEX(Indices!$I$51:$I$71,MATCH(A35,Indices!$A$51:$A$71,0))/INDEX(Indices!$I$51:$I$71,MATCH(1393,Indices!$A$51:$A$71,0))</f>
        <v>26.1985514809489</v>
      </c>
      <c r="F35" s="66" t="n">
        <f aca="false">D35/E35</f>
        <v>1.43778450434385</v>
      </c>
    </row>
    <row r="36" customFormat="false" ht="15" hidden="false" customHeight="false" outlineLevel="0" collapsed="false">
      <c r="A36" s="60" t="n">
        <v>1405</v>
      </c>
      <c r="B36" s="22" t="n">
        <f aca="false">INDEX(Indices!$C$51:$C$71,MATCH(A36,Indices!$A$51:$A$71,0))/INDEX(Indices!$C$51:$C$71,MATCH(1393,Indices!$A$51:$A$71,0))</f>
        <v>1.37809127393346</v>
      </c>
      <c r="C36" s="66" t="n">
        <f aca="false">INDEX(Indices!$G$51:$G$71,MATCH(A36,Indices!$A$51:$A$71,0))/INDEX(Indices!$G$51:$G$71,MATCH(1393,Indices!$A$51:$A$71,0))</f>
        <v>70.933709672644</v>
      </c>
      <c r="D36" s="66" t="n">
        <f aca="false">B36*C36</f>
        <v>97.7531263276003</v>
      </c>
      <c r="E36" s="66" t="n">
        <f aca="false">INDEX(Indices!$I$51:$I$71,MATCH(A36,Indices!$A$51:$A$71,0))/INDEX(Indices!$I$51:$I$71,MATCH(1393,Indices!$A$51:$A$71,0))</f>
        <v>31.4382617771387</v>
      </c>
      <c r="F36" s="66" t="n">
        <f aca="false">D36/E36</f>
        <v>3.10936803760202</v>
      </c>
    </row>
    <row r="38" customFormat="false" ht="15" hidden="false" customHeight="false" outlineLevel="0" collapsed="false">
      <c r="A38" s="23" t="s"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7"/>
    <col collapsed="false" customWidth="true" hidden="false" outlineLevel="0" max="14" min="14" style="0" width="11"/>
    <col collapsed="false" customWidth="true" hidden="false" outlineLevel="0" max="15" min="15" style="0" width="17"/>
    <col collapsed="false" customWidth="true" hidden="false" outlineLevel="0" max="16" min="16" style="0" width="18"/>
    <col collapsed="false" customWidth="true" hidden="false" outlineLevel="0" max="17" min="17" style="0" width="17"/>
    <col collapsed="false" customWidth="true" hidden="false" outlineLevel="0" max="18" min="18" style="0" width="9"/>
    <col collapsed="false" customWidth="true" hidden="false" outlineLevel="0" max="19" min="19" style="0" width="40"/>
  </cols>
  <sheetData>
    <row r="1" customFormat="false" ht="17.15" hidden="false" customHeight="false" outlineLevel="0" collapsed="false">
      <c r="A1" s="1" t="s">
        <v>449</v>
      </c>
    </row>
    <row r="3" customFormat="false" ht="15" hidden="false" customHeight="false" outlineLevel="0" collapsed="false">
      <c r="A3" s="46" t="s">
        <v>450</v>
      </c>
      <c r="D3" s="81" t="n">
        <v>1405</v>
      </c>
      <c r="F3" s="68" t="s">
        <v>451</v>
      </c>
    </row>
    <row r="4" customFormat="false" ht="15" hidden="false" customHeight="false" outlineLevel="0" collapsed="false">
      <c r="A4" s="46" t="s">
        <v>452</v>
      </c>
      <c r="D4" s="21" t="n">
        <f aca="false">INDEX(Indices!$G$51:$G$71,MATCH(D3,Indices!$A$51:$A$71,0))</f>
        <v>2875000</v>
      </c>
      <c r="F4" s="70" t="s">
        <v>453</v>
      </c>
    </row>
    <row r="5" customFormat="false" ht="15" hidden="false" customHeight="false" outlineLevel="0" collapsed="false">
      <c r="A5" s="46" t="s">
        <v>454</v>
      </c>
      <c r="D5" s="69"/>
    </row>
    <row r="6" customFormat="false" ht="15" hidden="false" customHeight="false" outlineLevel="0" collapsed="false">
      <c r="A6" s="46" t="s">
        <v>455</v>
      </c>
      <c r="D6" s="21" t="n">
        <f aca="false">IF(D5="",D4,D5)</f>
        <v>2875000</v>
      </c>
    </row>
    <row r="7" customFormat="false" ht="15" hidden="false" customHeight="false" outlineLevel="0" collapsed="false">
      <c r="A7" s="46" t="s">
        <v>456</v>
      </c>
      <c r="D7" s="82" t="n">
        <f aca="false">Val_EUR_Pumps!E16</f>
        <v>25000</v>
      </c>
    </row>
    <row r="8" customFormat="false" ht="15" hidden="false" customHeight="false" outlineLevel="0" collapsed="false">
      <c r="A8" s="46" t="s">
        <v>457</v>
      </c>
      <c r="D8" s="22" t="n">
        <f aca="false">INDEX(Indices!$C$51:$C$71,MATCH(D3,Indices!$A$51:$A$71,0))/INDEX(Indices!$C$51:$C$71,MATCH(1404,Indices!$A$51:$A$71,0))</f>
        <v>1.02</v>
      </c>
    </row>
    <row r="10" customFormat="false" ht="42" hidden="false" customHeight="true" outlineLevel="0" collapsed="false">
      <c r="A10" s="4" t="s">
        <v>246</v>
      </c>
      <c r="B10" s="4" t="s">
        <v>266</v>
      </c>
      <c r="C10" s="4" t="s">
        <v>267</v>
      </c>
      <c r="D10" s="4" t="s">
        <v>458</v>
      </c>
      <c r="E10" s="4" t="s">
        <v>25</v>
      </c>
      <c r="F10" s="4" t="s">
        <v>66</v>
      </c>
      <c r="G10" s="4" t="s">
        <v>459</v>
      </c>
      <c r="H10" s="4" t="s">
        <v>12</v>
      </c>
      <c r="I10" s="4" t="s">
        <v>460</v>
      </c>
      <c r="J10" s="4" t="s">
        <v>69</v>
      </c>
      <c r="K10" s="4" t="s">
        <v>461</v>
      </c>
      <c r="L10" s="4" t="s">
        <v>462</v>
      </c>
      <c r="M10" s="4" t="s">
        <v>276</v>
      </c>
      <c r="N10" s="4" t="s">
        <v>71</v>
      </c>
      <c r="O10" s="4" t="s">
        <v>463</v>
      </c>
      <c r="P10" s="4" t="s">
        <v>73</v>
      </c>
      <c r="Q10" s="4" t="s">
        <v>464</v>
      </c>
      <c r="R10" s="4" t="s">
        <v>465</v>
      </c>
      <c r="S10" s="4" t="s">
        <v>466</v>
      </c>
    </row>
    <row r="11" customFormat="false" ht="15" hidden="false" customHeight="false" outlineLevel="0" collapsed="false">
      <c r="A11" s="46" t="s">
        <v>467</v>
      </c>
      <c r="B11" s="46" t="s">
        <v>468</v>
      </c>
      <c r="C11" s="46" t="s">
        <v>469</v>
      </c>
      <c r="D11" s="46" t="s">
        <v>470</v>
      </c>
      <c r="E11" s="73" t="n">
        <v>3</v>
      </c>
      <c r="F11" s="73" t="n">
        <v>1394</v>
      </c>
      <c r="G11" s="75" t="s">
        <v>15</v>
      </c>
      <c r="H11" s="65" t="n">
        <v>55000</v>
      </c>
      <c r="I11" s="65" t="n">
        <v>1</v>
      </c>
      <c r="J11" s="21" t="n">
        <f aca="false">H11/I11</f>
        <v>55000</v>
      </c>
      <c r="K11" s="22" t="n">
        <f aca="false">INDEX(Indices!$C$51:$C$71,MATCH($D$3,Indices!$A$51:$A$71,0))/INDEX(Indices!$C$51:$C$71,MATCH(F11,Indices!$A$51:$A$71,0))</f>
        <v>1.36761115082512</v>
      </c>
      <c r="L11" s="21" t="n">
        <f aca="false">J11*K11</f>
        <v>75218.6132953817</v>
      </c>
      <c r="M11" s="75" t="s">
        <v>303</v>
      </c>
      <c r="N11" s="21" t="n">
        <f aca="false">IF(M11="Y",MAX(L11,$D$7*$D$8),L11)</f>
        <v>75218.6132953817</v>
      </c>
      <c r="O11" s="21" t="n">
        <f aca="false">N11*$D$6</f>
        <v>216253513224.222</v>
      </c>
      <c r="P11" s="21" t="n">
        <f aca="false">O11*E11</f>
        <v>648760539672.667</v>
      </c>
      <c r="Q11" s="65" t="n">
        <v>253556273612.64</v>
      </c>
      <c r="R11" s="62" t="n">
        <f aca="false">IF(Q11="","",O11/Q11-1)</f>
        <v>-0.147118270263765</v>
      </c>
      <c r="S11" s="68"/>
    </row>
    <row r="12" customFormat="false" ht="15" hidden="false" customHeight="false" outlineLevel="0" collapsed="false">
      <c r="A12" s="46" t="s">
        <v>467</v>
      </c>
      <c r="B12" s="46" t="s">
        <v>471</v>
      </c>
      <c r="C12" s="46" t="s">
        <v>472</v>
      </c>
      <c r="D12" s="46" t="s">
        <v>470</v>
      </c>
      <c r="E12" s="73" t="n">
        <v>3</v>
      </c>
      <c r="F12" s="73" t="n">
        <v>1394</v>
      </c>
      <c r="G12" s="75" t="s">
        <v>15</v>
      </c>
      <c r="H12" s="65" t="n">
        <v>60000</v>
      </c>
      <c r="I12" s="65" t="n">
        <v>1</v>
      </c>
      <c r="J12" s="21" t="n">
        <f aca="false">H12/I12</f>
        <v>60000</v>
      </c>
      <c r="K12" s="22" t="n">
        <f aca="false">INDEX(Indices!$C$51:$C$71,MATCH($D$3,Indices!$A$51:$A$71,0))/INDEX(Indices!$C$51:$C$71,MATCH(F12,Indices!$A$51:$A$71,0))</f>
        <v>1.36761115082512</v>
      </c>
      <c r="L12" s="21" t="n">
        <f aca="false">J12*K12</f>
        <v>82056.6690495073</v>
      </c>
      <c r="M12" s="75" t="s">
        <v>303</v>
      </c>
      <c r="N12" s="21" t="n">
        <f aca="false">IF(M12="Y",MAX(L12,$D$7*$D$8),L12)</f>
        <v>82056.6690495073</v>
      </c>
      <c r="O12" s="21" t="n">
        <f aca="false">N12*$D$6</f>
        <v>235912923517.334</v>
      </c>
      <c r="P12" s="21" t="n">
        <f aca="false">O12*E12</f>
        <v>707738770552.001</v>
      </c>
      <c r="Q12" s="65" t="n">
        <v>276606843941.062</v>
      </c>
      <c r="R12" s="62" t="n">
        <f aca="false">IF(Q12="","",O12/Q12-1)</f>
        <v>-0.147118270263766</v>
      </c>
      <c r="S12" s="68"/>
    </row>
    <row r="13" customFormat="false" ht="15" hidden="false" customHeight="false" outlineLevel="0" collapsed="false">
      <c r="A13" s="46" t="s">
        <v>467</v>
      </c>
      <c r="B13" s="46" t="s">
        <v>473</v>
      </c>
      <c r="C13" s="46" t="s">
        <v>318</v>
      </c>
      <c r="D13" s="46" t="s">
        <v>474</v>
      </c>
      <c r="E13" s="73" t="n">
        <v>2</v>
      </c>
      <c r="F13" s="73" t="n">
        <v>1394</v>
      </c>
      <c r="G13" s="75" t="s">
        <v>15</v>
      </c>
      <c r="H13" s="65" t="n">
        <v>10000</v>
      </c>
      <c r="I13" s="65" t="n">
        <v>1</v>
      </c>
      <c r="J13" s="21" t="n">
        <f aca="false">H13/I13</f>
        <v>10000</v>
      </c>
      <c r="K13" s="22" t="n">
        <f aca="false">INDEX(Indices!$C$51:$C$71,MATCH($D$3,Indices!$A$51:$A$71,0))/INDEX(Indices!$C$51:$C$71,MATCH(F13,Indices!$A$51:$A$71,0))</f>
        <v>1.36761115082512</v>
      </c>
      <c r="L13" s="21" t="n">
        <f aca="false">J13*K13</f>
        <v>13676.1115082512</v>
      </c>
      <c r="M13" s="75" t="s">
        <v>308</v>
      </c>
      <c r="N13" s="21" t="n">
        <f aca="false">IF(M13="Y",MAX(L13,$D$7*$D$8),L13)</f>
        <v>13676.1115082512</v>
      </c>
      <c r="O13" s="21" t="n">
        <f aca="false">N13*$D$6</f>
        <v>39318820586.2223</v>
      </c>
      <c r="P13" s="21" t="n">
        <f aca="false">O13*E13</f>
        <v>78637641172.4445</v>
      </c>
      <c r="Q13" s="65" t="n">
        <v>43288163259.346</v>
      </c>
      <c r="R13" s="62" t="n">
        <f aca="false">IF(Q13="","",O13/Q13-1)</f>
        <v>-0.0916957979792954</v>
      </c>
      <c r="S13" s="68"/>
    </row>
    <row r="14" customFormat="false" ht="15" hidden="false" customHeight="false" outlineLevel="0" collapsed="false">
      <c r="A14" s="46" t="s">
        <v>467</v>
      </c>
      <c r="B14" s="46" t="s">
        <v>314</v>
      </c>
      <c r="C14" s="46" t="s">
        <v>475</v>
      </c>
      <c r="D14" s="46" t="s">
        <v>470</v>
      </c>
      <c r="E14" s="73" t="n">
        <v>2</v>
      </c>
      <c r="F14" s="73" t="n">
        <v>1394</v>
      </c>
      <c r="G14" s="75" t="s">
        <v>15</v>
      </c>
      <c r="H14" s="65" t="n">
        <v>30000</v>
      </c>
      <c r="I14" s="65" t="n">
        <v>1</v>
      </c>
      <c r="J14" s="21" t="n">
        <f aca="false">H14/I14</f>
        <v>30000</v>
      </c>
      <c r="K14" s="22" t="n">
        <f aca="false">INDEX(Indices!$C$51:$C$71,MATCH($D$3,Indices!$A$51:$A$71,0))/INDEX(Indices!$C$51:$C$71,MATCH(F14,Indices!$A$51:$A$71,0))</f>
        <v>1.36761115082512</v>
      </c>
      <c r="L14" s="21" t="n">
        <f aca="false">J14*K14</f>
        <v>41028.3345247537</v>
      </c>
      <c r="M14" s="75" t="s">
        <v>303</v>
      </c>
      <c r="N14" s="21" t="n">
        <f aca="false">IF(M14="Y",MAX(L14,$D$7*$D$8),L14)</f>
        <v>41028.3345247537</v>
      </c>
      <c r="O14" s="21" t="n">
        <f aca="false">N14*$D$6</f>
        <v>117956461758.667</v>
      </c>
      <c r="P14" s="21" t="n">
        <f aca="false">O14*E14</f>
        <v>235912923517.334</v>
      </c>
      <c r="Q14" s="65" t="n">
        <v>138303421970.531</v>
      </c>
      <c r="R14" s="62" t="n">
        <f aca="false">IF(Q14="","",O14/Q14-1)</f>
        <v>-0.147118270263766</v>
      </c>
      <c r="S14" s="68"/>
    </row>
    <row r="15" customFormat="false" ht="15" hidden="false" customHeight="false" outlineLevel="0" collapsed="false">
      <c r="A15" s="46" t="s">
        <v>467</v>
      </c>
      <c r="B15" s="46" t="s">
        <v>317</v>
      </c>
      <c r="C15" s="46" t="s">
        <v>315</v>
      </c>
      <c r="D15" s="46" t="s">
        <v>470</v>
      </c>
      <c r="E15" s="73" t="n">
        <v>2</v>
      </c>
      <c r="F15" s="73" t="n">
        <v>1394</v>
      </c>
      <c r="G15" s="75" t="s">
        <v>15</v>
      </c>
      <c r="H15" s="65" t="n">
        <v>210000</v>
      </c>
      <c r="I15" s="65" t="n">
        <v>1</v>
      </c>
      <c r="J15" s="21" t="n">
        <f aca="false">H15/I15</f>
        <v>210000</v>
      </c>
      <c r="K15" s="22" t="n">
        <f aca="false">INDEX(Indices!$C$51:$C$71,MATCH($D$3,Indices!$A$51:$A$71,0))/INDEX(Indices!$C$51:$C$71,MATCH(F15,Indices!$A$51:$A$71,0))</f>
        <v>1.36761115082512</v>
      </c>
      <c r="L15" s="21" t="n">
        <f aca="false">J15*K15</f>
        <v>287198.341673276</v>
      </c>
      <c r="M15" s="75" t="s">
        <v>303</v>
      </c>
      <c r="N15" s="21" t="n">
        <f aca="false">IF(M15="Y",MAX(L15,$D$7*$D$8),L15)</f>
        <v>287198.341673276</v>
      </c>
      <c r="O15" s="21" t="n">
        <f aca="false">N15*$D$6</f>
        <v>825695232310.667</v>
      </c>
      <c r="P15" s="21" t="n">
        <f aca="false">O15*E15</f>
        <v>1651390464621.33</v>
      </c>
      <c r="Q15" s="65" t="n">
        <v>968123953793.716</v>
      </c>
      <c r="R15" s="62" t="n">
        <f aca="false">IF(Q15="","",O15/Q15-1)</f>
        <v>-0.147118270263765</v>
      </c>
      <c r="S15" s="68"/>
    </row>
    <row r="16" customFormat="false" ht="15" hidden="false" customHeight="false" outlineLevel="0" collapsed="false">
      <c r="A16" s="46" t="s">
        <v>467</v>
      </c>
      <c r="B16" s="46" t="s">
        <v>476</v>
      </c>
      <c r="C16" s="46" t="s">
        <v>315</v>
      </c>
      <c r="D16" s="46" t="s">
        <v>470</v>
      </c>
      <c r="E16" s="73" t="n">
        <v>2</v>
      </c>
      <c r="F16" s="73" t="n">
        <v>1394</v>
      </c>
      <c r="G16" s="75" t="s">
        <v>15</v>
      </c>
      <c r="H16" s="65" t="n">
        <v>150000</v>
      </c>
      <c r="I16" s="65" t="n">
        <v>1</v>
      </c>
      <c r="J16" s="21" t="n">
        <f aca="false">H16/I16</f>
        <v>150000</v>
      </c>
      <c r="K16" s="22" t="n">
        <f aca="false">INDEX(Indices!$C$51:$C$71,MATCH($D$3,Indices!$A$51:$A$71,0))/INDEX(Indices!$C$51:$C$71,MATCH(F16,Indices!$A$51:$A$71,0))</f>
        <v>1.36761115082512</v>
      </c>
      <c r="L16" s="21" t="n">
        <f aca="false">J16*K16</f>
        <v>205141.672623768</v>
      </c>
      <c r="M16" s="75" t="s">
        <v>303</v>
      </c>
      <c r="N16" s="21" t="n">
        <f aca="false">IF(M16="Y",MAX(L16,$D$7*$D$8),L16)</f>
        <v>205141.672623768</v>
      </c>
      <c r="O16" s="21" t="n">
        <f aca="false">N16*$D$6</f>
        <v>589782308793.334</v>
      </c>
      <c r="P16" s="21" t="n">
        <f aca="false">O16*E16</f>
        <v>1179564617586.67</v>
      </c>
      <c r="Q16" s="65" t="n">
        <v>691517109852.655</v>
      </c>
      <c r="R16" s="62" t="n">
        <f aca="false">IF(Q16="","",O16/Q16-1)</f>
        <v>-0.147118270263766</v>
      </c>
      <c r="S16" s="68"/>
    </row>
    <row r="17" customFormat="false" ht="15" hidden="false" customHeight="false" outlineLevel="0" collapsed="false">
      <c r="A17" s="46" t="s">
        <v>467</v>
      </c>
      <c r="B17" s="46" t="s">
        <v>323</v>
      </c>
      <c r="C17" s="46" t="s">
        <v>313</v>
      </c>
      <c r="D17" s="46" t="s">
        <v>477</v>
      </c>
      <c r="E17" s="73" t="n">
        <v>2</v>
      </c>
      <c r="F17" s="73" t="n">
        <v>1394</v>
      </c>
      <c r="G17" s="75" t="s">
        <v>15</v>
      </c>
      <c r="H17" s="65" t="n">
        <v>16500</v>
      </c>
      <c r="I17" s="65" t="n">
        <v>1</v>
      </c>
      <c r="J17" s="21" t="n">
        <f aca="false">H17/I17</f>
        <v>16500</v>
      </c>
      <c r="K17" s="22" t="n">
        <f aca="false">INDEX(Indices!$C$51:$C$71,MATCH($D$3,Indices!$A$51:$A$71,0))/INDEX(Indices!$C$51:$C$71,MATCH(F17,Indices!$A$51:$A$71,0))</f>
        <v>1.36761115082512</v>
      </c>
      <c r="L17" s="21" t="n">
        <f aca="false">J17*K17</f>
        <v>22565.5839886145</v>
      </c>
      <c r="M17" s="75" t="s">
        <v>303</v>
      </c>
      <c r="N17" s="21" t="n">
        <f aca="false">IF(M17="Y",MAX(L17,$D$7*$D$8),L17)</f>
        <v>25500</v>
      </c>
      <c r="O17" s="21" t="n">
        <f aca="false">N17*$D$6</f>
        <v>73312500000</v>
      </c>
      <c r="P17" s="21" t="n">
        <f aca="false">O17*E17</f>
        <v>146625000000</v>
      </c>
      <c r="Q17" s="65" t="n">
        <v>72246748905.1186</v>
      </c>
      <c r="R17" s="62" t="n">
        <f aca="false">IF(Q17="","",O17/Q17-1)</f>
        <v>0.0147515439937795</v>
      </c>
      <c r="S17" s="68"/>
    </row>
    <row r="18" customFormat="false" ht="15" hidden="false" customHeight="false" outlineLevel="0" collapsed="false">
      <c r="A18" s="46" t="s">
        <v>467</v>
      </c>
      <c r="B18" s="46" t="s">
        <v>478</v>
      </c>
      <c r="C18" s="46" t="s">
        <v>310</v>
      </c>
      <c r="D18" s="46" t="s">
        <v>477</v>
      </c>
      <c r="E18" s="73" t="n">
        <v>1</v>
      </c>
      <c r="F18" s="73" t="n">
        <v>1394</v>
      </c>
      <c r="G18" s="75" t="s">
        <v>15</v>
      </c>
      <c r="H18" s="65" t="n">
        <v>17500</v>
      </c>
      <c r="I18" s="65" t="n">
        <v>1</v>
      </c>
      <c r="J18" s="21" t="n">
        <f aca="false">H18/I18</f>
        <v>17500</v>
      </c>
      <c r="K18" s="22" t="n">
        <f aca="false">INDEX(Indices!$C$51:$C$71,MATCH($D$3,Indices!$A$51:$A$71,0))/INDEX(Indices!$C$51:$C$71,MATCH(F18,Indices!$A$51:$A$71,0))</f>
        <v>1.36761115082512</v>
      </c>
      <c r="L18" s="21" t="n">
        <f aca="false">J18*K18</f>
        <v>23933.1951394396</v>
      </c>
      <c r="M18" s="75" t="s">
        <v>303</v>
      </c>
      <c r="N18" s="21" t="n">
        <f aca="false">IF(M18="Y",MAX(L18,$D$7*$D$8),L18)</f>
        <v>25500</v>
      </c>
      <c r="O18" s="21" t="n">
        <f aca="false">N18*$D$6</f>
        <v>73312500000</v>
      </c>
      <c r="P18" s="21" t="n">
        <f aca="false">O18*E18</f>
        <v>73312500000</v>
      </c>
      <c r="Q18" s="65" t="n">
        <v>76625339747.853</v>
      </c>
      <c r="R18" s="62" t="n">
        <f aca="false">IF(Q18="","",O18/Q18-1)</f>
        <v>-0.04323425852015</v>
      </c>
      <c r="S18" s="68"/>
    </row>
    <row r="19" customFormat="false" ht="15" hidden="false" customHeight="false" outlineLevel="0" collapsed="false">
      <c r="A19" s="46" t="s">
        <v>467</v>
      </c>
      <c r="B19" s="46" t="s">
        <v>479</v>
      </c>
      <c r="C19" s="46" t="s">
        <v>324</v>
      </c>
      <c r="D19" s="46" t="s">
        <v>477</v>
      </c>
      <c r="E19" s="73" t="n">
        <v>2</v>
      </c>
      <c r="F19" s="73" t="n">
        <v>1394</v>
      </c>
      <c r="G19" s="75" t="s">
        <v>15</v>
      </c>
      <c r="H19" s="65" t="n">
        <v>10000</v>
      </c>
      <c r="I19" s="65" t="n">
        <v>1</v>
      </c>
      <c r="J19" s="21" t="n">
        <f aca="false">H19/I19</f>
        <v>10000</v>
      </c>
      <c r="K19" s="22" t="n">
        <f aca="false">INDEX(Indices!$C$51:$C$71,MATCH($D$3,Indices!$A$51:$A$71,0))/INDEX(Indices!$C$51:$C$71,MATCH(F19,Indices!$A$51:$A$71,0))</f>
        <v>1.36761115082512</v>
      </c>
      <c r="L19" s="21" t="n">
        <f aca="false">J19*K19</f>
        <v>13676.1115082512</v>
      </c>
      <c r="M19" s="75" t="s">
        <v>303</v>
      </c>
      <c r="N19" s="21" t="n">
        <f aca="false">IF(M19="Y",MAX(L19,$D$7*$D$8),L19)</f>
        <v>25500</v>
      </c>
      <c r="O19" s="21" t="n">
        <f aca="false">N19*$D$6</f>
        <v>73312500000</v>
      </c>
      <c r="P19" s="21" t="n">
        <f aca="false">O19*E19</f>
        <v>146625000000</v>
      </c>
      <c r="Q19" s="65" t="n">
        <v>43785908427.3446</v>
      </c>
      <c r="R19" s="62" t="n">
        <f aca="false">IF(Q19="","",O19/Q19-1)</f>
        <v>0.674340047589737</v>
      </c>
      <c r="S19" s="68"/>
    </row>
    <row r="20" customFormat="false" ht="15" hidden="false" customHeight="false" outlineLevel="0" collapsed="false">
      <c r="A20" s="46" t="s">
        <v>467</v>
      </c>
      <c r="B20" s="46" t="s">
        <v>480</v>
      </c>
      <c r="C20" s="46" t="s">
        <v>481</v>
      </c>
      <c r="D20" s="46" t="s">
        <v>474</v>
      </c>
      <c r="E20" s="73" t="n">
        <v>2</v>
      </c>
      <c r="F20" s="73" t="n">
        <v>1394</v>
      </c>
      <c r="G20" s="75" t="s">
        <v>15</v>
      </c>
      <c r="H20" s="65" t="n">
        <v>25000</v>
      </c>
      <c r="I20" s="65" t="n">
        <v>1</v>
      </c>
      <c r="J20" s="21" t="n">
        <f aca="false">H20/I20</f>
        <v>25000</v>
      </c>
      <c r="K20" s="22" t="n">
        <f aca="false">INDEX(Indices!$C$51:$C$71,MATCH($D$3,Indices!$A$51:$A$71,0))/INDEX(Indices!$C$51:$C$71,MATCH(F20,Indices!$A$51:$A$71,0))</f>
        <v>1.36761115082512</v>
      </c>
      <c r="L20" s="21" t="n">
        <f aca="false">J20*K20</f>
        <v>34190.278770628</v>
      </c>
      <c r="M20" s="75" t="s">
        <v>308</v>
      </c>
      <c r="N20" s="21" t="n">
        <f aca="false">IF(M20="Y",MAX(L20,$D$7*$D$8),L20)</f>
        <v>34190.278770628</v>
      </c>
      <c r="O20" s="21" t="n">
        <f aca="false">N20*$D$6</f>
        <v>98297051465.5556</v>
      </c>
      <c r="P20" s="21" t="n">
        <f aca="false">O20*E20</f>
        <v>196594102931.111</v>
      </c>
      <c r="Q20" s="65" t="n">
        <v>108220408148.365</v>
      </c>
      <c r="R20" s="62" t="n">
        <f aca="false">IF(Q20="","",O20/Q20-1)</f>
        <v>-0.0916957979792955</v>
      </c>
      <c r="S20" s="68"/>
    </row>
    <row r="21" customFormat="false" ht="15" hidden="false" customHeight="false" outlineLevel="0" collapsed="false">
      <c r="A21" s="46" t="s">
        <v>467</v>
      </c>
      <c r="B21" s="46" t="s">
        <v>482</v>
      </c>
      <c r="C21" s="46" t="s">
        <v>331</v>
      </c>
      <c r="D21" s="46" t="s">
        <v>470</v>
      </c>
      <c r="E21" s="73" t="n">
        <v>2</v>
      </c>
      <c r="F21" s="73" t="n">
        <v>1394</v>
      </c>
      <c r="G21" s="75" t="s">
        <v>15</v>
      </c>
      <c r="H21" s="65" t="n">
        <v>20000</v>
      </c>
      <c r="I21" s="65" t="n">
        <v>1</v>
      </c>
      <c r="J21" s="21" t="n">
        <f aca="false">H21/I21</f>
        <v>20000</v>
      </c>
      <c r="K21" s="22" t="n">
        <f aca="false">INDEX(Indices!$C$51:$C$71,MATCH($D$3,Indices!$A$51:$A$71,0))/INDEX(Indices!$C$51:$C$71,MATCH(F21,Indices!$A$51:$A$71,0))</f>
        <v>1.36761115082512</v>
      </c>
      <c r="L21" s="21" t="n">
        <f aca="false">J21*K21</f>
        <v>27352.2230165024</v>
      </c>
      <c r="M21" s="75" t="s">
        <v>303</v>
      </c>
      <c r="N21" s="21" t="n">
        <f aca="false">IF(M21="Y",MAX(L21,$D$7*$D$8),L21)</f>
        <v>27352.2230165024</v>
      </c>
      <c r="O21" s="21" t="n">
        <f aca="false">N21*$D$6</f>
        <v>78637641172.4445</v>
      </c>
      <c r="P21" s="21" t="n">
        <f aca="false">O21*E21</f>
        <v>157275282344.889</v>
      </c>
      <c r="Q21" s="65" t="n">
        <v>92202281313.6873</v>
      </c>
      <c r="R21" s="62" t="n">
        <f aca="false">IF(Q21="","",O21/Q21-1)</f>
        <v>-0.147118270263766</v>
      </c>
      <c r="S21" s="68"/>
    </row>
    <row r="22" customFormat="false" ht="15" hidden="false" customHeight="false" outlineLevel="0" collapsed="false">
      <c r="A22" s="46" t="s">
        <v>467</v>
      </c>
      <c r="B22" s="46" t="s">
        <v>483</v>
      </c>
      <c r="C22" s="46" t="s">
        <v>326</v>
      </c>
      <c r="D22" s="46" t="s">
        <v>470</v>
      </c>
      <c r="E22" s="73" t="n">
        <v>2</v>
      </c>
      <c r="F22" s="73" t="n">
        <v>1394</v>
      </c>
      <c r="G22" s="75" t="s">
        <v>15</v>
      </c>
      <c r="H22" s="65" t="n">
        <v>15000</v>
      </c>
      <c r="I22" s="65" t="n">
        <v>1</v>
      </c>
      <c r="J22" s="21" t="n">
        <f aca="false">H22/I22</f>
        <v>15000</v>
      </c>
      <c r="K22" s="22" t="n">
        <f aca="false">INDEX(Indices!$C$51:$C$71,MATCH($D$3,Indices!$A$51:$A$71,0))/INDEX(Indices!$C$51:$C$71,MATCH(F22,Indices!$A$51:$A$71,0))</f>
        <v>1.36761115082512</v>
      </c>
      <c r="L22" s="21" t="n">
        <f aca="false">J22*K22</f>
        <v>20514.1672623768</v>
      </c>
      <c r="M22" s="75" t="s">
        <v>303</v>
      </c>
      <c r="N22" s="21" t="n">
        <f aca="false">IF(M22="Y",MAX(L22,$D$7*$D$8),L22)</f>
        <v>25500</v>
      </c>
      <c r="O22" s="21" t="n">
        <f aca="false">N22*$D$6</f>
        <v>73312500000</v>
      </c>
      <c r="P22" s="21" t="n">
        <f aca="false">O22*E22</f>
        <v>146625000000</v>
      </c>
      <c r="Q22" s="65" t="n">
        <v>69151710985.2655</v>
      </c>
      <c r="R22" s="62" t="n">
        <f aca="false">IF(Q22="","",O22/Q22-1)</f>
        <v>0.0601689958997698</v>
      </c>
      <c r="S22" s="68"/>
    </row>
    <row r="23" customFormat="false" ht="15" hidden="false" customHeight="false" outlineLevel="0" collapsed="false">
      <c r="A23" s="46" t="s">
        <v>467</v>
      </c>
      <c r="B23" s="46" t="s">
        <v>484</v>
      </c>
      <c r="C23" s="46" t="s">
        <v>485</v>
      </c>
      <c r="D23" s="46" t="s">
        <v>486</v>
      </c>
      <c r="E23" s="73" t="n">
        <v>1</v>
      </c>
      <c r="F23" s="73" t="n">
        <v>1394</v>
      </c>
      <c r="G23" s="75" t="s">
        <v>15</v>
      </c>
      <c r="H23" s="65" t="n">
        <v>20000</v>
      </c>
      <c r="I23" s="65" t="n">
        <v>1</v>
      </c>
      <c r="J23" s="21" t="n">
        <f aca="false">H23/I23</f>
        <v>20000</v>
      </c>
      <c r="K23" s="22" t="n">
        <f aca="false">INDEX(Indices!$C$51:$C$71,MATCH($D$3,Indices!$A$51:$A$71,0))/INDEX(Indices!$C$51:$C$71,MATCH(F23,Indices!$A$51:$A$71,0))</f>
        <v>1.36761115082512</v>
      </c>
      <c r="L23" s="21" t="n">
        <f aca="false">J23*K23</f>
        <v>27352.2230165024</v>
      </c>
      <c r="M23" s="75" t="s">
        <v>308</v>
      </c>
      <c r="N23" s="21" t="n">
        <f aca="false">IF(M23="Y",MAX(L23,$D$7*$D$8),L23)</f>
        <v>27352.2230165024</v>
      </c>
      <c r="O23" s="21" t="n">
        <f aca="false">N23*$D$6</f>
        <v>78637641172.4445</v>
      </c>
      <c r="P23" s="21" t="n">
        <f aca="false">O23*E23</f>
        <v>78637641172.4445</v>
      </c>
      <c r="Q23" s="65" t="n">
        <v>87970342681.265</v>
      </c>
      <c r="R23" s="62" t="n">
        <f aca="false">IF(Q23="","",O23/Q23-1)</f>
        <v>-0.106089179880029</v>
      </c>
      <c r="S23" s="68"/>
    </row>
    <row r="24" customFormat="false" ht="15" hidden="false" customHeight="false" outlineLevel="0" collapsed="false">
      <c r="A24" s="46" t="s">
        <v>467</v>
      </c>
      <c r="B24" s="46" t="s">
        <v>487</v>
      </c>
      <c r="C24" s="46" t="s">
        <v>469</v>
      </c>
      <c r="D24" s="46" t="s">
        <v>470</v>
      </c>
      <c r="E24" s="73" t="n">
        <v>3</v>
      </c>
      <c r="F24" s="73" t="n">
        <v>1394</v>
      </c>
      <c r="G24" s="75" t="s">
        <v>15</v>
      </c>
      <c r="H24" s="65" t="n">
        <v>55000</v>
      </c>
      <c r="I24" s="65" t="n">
        <v>1</v>
      </c>
      <c r="J24" s="21" t="n">
        <f aca="false">H24/I24</f>
        <v>55000</v>
      </c>
      <c r="K24" s="22" t="n">
        <f aca="false">INDEX(Indices!$C$51:$C$71,MATCH($D$3,Indices!$A$51:$A$71,0))/INDEX(Indices!$C$51:$C$71,MATCH(F24,Indices!$A$51:$A$71,0))</f>
        <v>1.36761115082512</v>
      </c>
      <c r="L24" s="21" t="n">
        <f aca="false">J24*K24</f>
        <v>75218.6132953817</v>
      </c>
      <c r="M24" s="75" t="s">
        <v>303</v>
      </c>
      <c r="N24" s="21" t="n">
        <f aca="false">IF(M24="Y",MAX(L24,$D$7*$D$8),L24)</f>
        <v>75218.6132953817</v>
      </c>
      <c r="O24" s="21" t="n">
        <f aca="false">N24*$D$6</f>
        <v>216253513224.222</v>
      </c>
      <c r="P24" s="21" t="n">
        <f aca="false">O24*E24</f>
        <v>648760539672.667</v>
      </c>
      <c r="Q24" s="65" t="n">
        <v>253556273612.64</v>
      </c>
      <c r="R24" s="62" t="n">
        <f aca="false">IF(Q24="","",O24/Q24-1)</f>
        <v>-0.147118270263765</v>
      </c>
      <c r="S24" s="68"/>
    </row>
    <row r="25" customFormat="false" ht="15" hidden="false" customHeight="false" outlineLevel="0" collapsed="false">
      <c r="A25" s="46" t="s">
        <v>467</v>
      </c>
      <c r="B25" s="46" t="s">
        <v>304</v>
      </c>
      <c r="C25" s="46" t="s">
        <v>301</v>
      </c>
      <c r="D25" s="46" t="s">
        <v>470</v>
      </c>
      <c r="E25" s="73" t="n">
        <v>2</v>
      </c>
      <c r="F25" s="73" t="n">
        <v>1394</v>
      </c>
      <c r="G25" s="75" t="s">
        <v>15</v>
      </c>
      <c r="H25" s="65" t="n">
        <v>15000</v>
      </c>
      <c r="I25" s="65" t="n">
        <v>1</v>
      </c>
      <c r="J25" s="21" t="n">
        <f aca="false">H25/I25</f>
        <v>15000</v>
      </c>
      <c r="K25" s="22" t="n">
        <f aca="false">INDEX(Indices!$C$51:$C$71,MATCH($D$3,Indices!$A$51:$A$71,0))/INDEX(Indices!$C$51:$C$71,MATCH(F25,Indices!$A$51:$A$71,0))</f>
        <v>1.36761115082512</v>
      </c>
      <c r="L25" s="21" t="n">
        <f aca="false">J25*K25</f>
        <v>20514.1672623768</v>
      </c>
      <c r="M25" s="75" t="s">
        <v>303</v>
      </c>
      <c r="N25" s="21" t="n">
        <f aca="false">IF(M25="Y",MAX(L25,$D$7*$D$8),L25)</f>
        <v>25500</v>
      </c>
      <c r="O25" s="21" t="n">
        <f aca="false">N25*$D$6</f>
        <v>73312500000</v>
      </c>
      <c r="P25" s="21" t="n">
        <f aca="false">O25*E25</f>
        <v>146625000000</v>
      </c>
      <c r="Q25" s="65" t="n">
        <v>69151710985.2655</v>
      </c>
      <c r="R25" s="62" t="n">
        <f aca="false">IF(Q25="","",O25/Q25-1)</f>
        <v>0.0601689958997698</v>
      </c>
      <c r="S25" s="68"/>
    </row>
    <row r="26" customFormat="false" ht="15" hidden="false" customHeight="false" outlineLevel="0" collapsed="false">
      <c r="A26" s="46" t="s">
        <v>467</v>
      </c>
      <c r="B26" s="46" t="s">
        <v>488</v>
      </c>
      <c r="C26" s="46" t="s">
        <v>472</v>
      </c>
      <c r="D26" s="46" t="s">
        <v>470</v>
      </c>
      <c r="E26" s="73" t="n">
        <v>3</v>
      </c>
      <c r="F26" s="73" t="n">
        <v>1394</v>
      </c>
      <c r="G26" s="75" t="s">
        <v>15</v>
      </c>
      <c r="H26" s="65" t="n">
        <v>60000</v>
      </c>
      <c r="I26" s="65" t="n">
        <v>1</v>
      </c>
      <c r="J26" s="21" t="n">
        <f aca="false">H26/I26</f>
        <v>60000</v>
      </c>
      <c r="K26" s="22" t="n">
        <f aca="false">INDEX(Indices!$C$51:$C$71,MATCH($D$3,Indices!$A$51:$A$71,0))/INDEX(Indices!$C$51:$C$71,MATCH(F26,Indices!$A$51:$A$71,0))</f>
        <v>1.36761115082512</v>
      </c>
      <c r="L26" s="21" t="n">
        <f aca="false">J26*K26</f>
        <v>82056.6690495073</v>
      </c>
      <c r="M26" s="75" t="s">
        <v>303</v>
      </c>
      <c r="N26" s="21" t="n">
        <f aca="false">IF(M26="Y",MAX(L26,$D$7*$D$8),L26)</f>
        <v>82056.6690495073</v>
      </c>
      <c r="O26" s="21" t="n">
        <f aca="false">N26*$D$6</f>
        <v>235912923517.334</v>
      </c>
      <c r="P26" s="21" t="n">
        <f aca="false">O26*E26</f>
        <v>707738770552.001</v>
      </c>
      <c r="Q26" s="65" t="n">
        <v>276606843941.062</v>
      </c>
      <c r="R26" s="62" t="n">
        <f aca="false">IF(Q26="","",O26/Q26-1)</f>
        <v>-0.147118270263766</v>
      </c>
      <c r="S26" s="68"/>
    </row>
    <row r="27" customFormat="false" ht="15" hidden="false" customHeight="false" outlineLevel="0" collapsed="false">
      <c r="A27" s="46" t="s">
        <v>467</v>
      </c>
      <c r="B27" s="46" t="s">
        <v>489</v>
      </c>
      <c r="C27" s="46" t="s">
        <v>318</v>
      </c>
      <c r="D27" s="46" t="s">
        <v>474</v>
      </c>
      <c r="E27" s="73" t="n">
        <v>2</v>
      </c>
      <c r="F27" s="73" t="n">
        <v>1394</v>
      </c>
      <c r="G27" s="75" t="s">
        <v>15</v>
      </c>
      <c r="H27" s="65" t="n">
        <v>10000</v>
      </c>
      <c r="I27" s="65" t="n">
        <v>1</v>
      </c>
      <c r="J27" s="21" t="n">
        <f aca="false">H27/I27</f>
        <v>10000</v>
      </c>
      <c r="K27" s="22" t="n">
        <f aca="false">INDEX(Indices!$C$51:$C$71,MATCH($D$3,Indices!$A$51:$A$71,0))/INDEX(Indices!$C$51:$C$71,MATCH(F27,Indices!$A$51:$A$71,0))</f>
        <v>1.36761115082512</v>
      </c>
      <c r="L27" s="21" t="n">
        <f aca="false">J27*K27</f>
        <v>13676.1115082512</v>
      </c>
      <c r="M27" s="75" t="s">
        <v>308</v>
      </c>
      <c r="N27" s="21" t="n">
        <f aca="false">IF(M27="Y",MAX(L27,$D$7*$D$8),L27)</f>
        <v>13676.1115082512</v>
      </c>
      <c r="O27" s="21" t="n">
        <f aca="false">N27*$D$6</f>
        <v>39318820586.2223</v>
      </c>
      <c r="P27" s="21" t="n">
        <f aca="false">O27*E27</f>
        <v>78637641172.4445</v>
      </c>
      <c r="Q27" s="65" t="n">
        <v>43288163259.346</v>
      </c>
      <c r="R27" s="62" t="n">
        <f aca="false">IF(Q27="","",O27/Q27-1)</f>
        <v>-0.0916957979792954</v>
      </c>
      <c r="S27" s="68"/>
    </row>
    <row r="28" customFormat="false" ht="15" hidden="false" customHeight="false" outlineLevel="0" collapsed="false">
      <c r="A28" s="46" t="s">
        <v>467</v>
      </c>
      <c r="B28" s="46" t="s">
        <v>490</v>
      </c>
      <c r="C28" s="46" t="s">
        <v>475</v>
      </c>
      <c r="D28" s="46" t="s">
        <v>470</v>
      </c>
      <c r="E28" s="73" t="n">
        <v>2</v>
      </c>
      <c r="F28" s="73" t="n">
        <v>1394</v>
      </c>
      <c r="G28" s="75" t="s">
        <v>15</v>
      </c>
      <c r="H28" s="65" t="n">
        <v>35000</v>
      </c>
      <c r="I28" s="65" t="n">
        <v>1</v>
      </c>
      <c r="J28" s="21" t="n">
        <f aca="false">H28/I28</f>
        <v>35000</v>
      </c>
      <c r="K28" s="22" t="n">
        <f aca="false">INDEX(Indices!$C$51:$C$71,MATCH($D$3,Indices!$A$51:$A$71,0))/INDEX(Indices!$C$51:$C$71,MATCH(F28,Indices!$A$51:$A$71,0))</f>
        <v>1.36761115082512</v>
      </c>
      <c r="L28" s="21" t="n">
        <f aca="false">J28*K28</f>
        <v>47866.3902788793</v>
      </c>
      <c r="M28" s="75" t="s">
        <v>303</v>
      </c>
      <c r="N28" s="21" t="n">
        <f aca="false">IF(M28="Y",MAX(L28,$D$7*$D$8),L28)</f>
        <v>47866.3902788793</v>
      </c>
      <c r="O28" s="21" t="n">
        <f aca="false">N28*$D$6</f>
        <v>137615872051.778</v>
      </c>
      <c r="P28" s="21" t="n">
        <f aca="false">O28*E28</f>
        <v>275231744103.556</v>
      </c>
      <c r="Q28" s="65" t="n">
        <v>161353992298.953</v>
      </c>
      <c r="R28" s="62" t="n">
        <f aca="false">IF(Q28="","",O28/Q28-1)</f>
        <v>-0.147118270263767</v>
      </c>
      <c r="S28" s="68"/>
    </row>
    <row r="29" customFormat="false" ht="15" hidden="false" customHeight="false" outlineLevel="0" collapsed="false">
      <c r="A29" s="46" t="s">
        <v>467</v>
      </c>
      <c r="B29" s="46" t="s">
        <v>491</v>
      </c>
      <c r="C29" s="46" t="s">
        <v>315</v>
      </c>
      <c r="D29" s="46" t="s">
        <v>470</v>
      </c>
      <c r="E29" s="73" t="n">
        <v>2</v>
      </c>
      <c r="F29" s="73" t="n">
        <v>1394</v>
      </c>
      <c r="G29" s="75" t="s">
        <v>15</v>
      </c>
      <c r="H29" s="65" t="n">
        <v>230000</v>
      </c>
      <c r="I29" s="65" t="n">
        <v>1</v>
      </c>
      <c r="J29" s="21" t="n">
        <f aca="false">H29/I29</f>
        <v>230000</v>
      </c>
      <c r="K29" s="22" t="n">
        <f aca="false">INDEX(Indices!$C$51:$C$71,MATCH($D$3,Indices!$A$51:$A$71,0))/INDEX(Indices!$C$51:$C$71,MATCH(F29,Indices!$A$51:$A$71,0))</f>
        <v>1.36761115082512</v>
      </c>
      <c r="L29" s="21" t="n">
        <f aca="false">J29*K29</f>
        <v>314550.564689778</v>
      </c>
      <c r="M29" s="75" t="s">
        <v>303</v>
      </c>
      <c r="N29" s="21" t="n">
        <f aca="false">IF(M29="Y",MAX(L29,$D$7*$D$8),L29)</f>
        <v>314550.564689778</v>
      </c>
      <c r="O29" s="21" t="n">
        <f aca="false">N29*$D$6</f>
        <v>904332873483.112</v>
      </c>
      <c r="P29" s="21" t="n">
        <f aca="false">O29*E29</f>
        <v>1808665746966.22</v>
      </c>
      <c r="Q29" s="65" t="n">
        <v>1060326235107.4</v>
      </c>
      <c r="R29" s="62" t="n">
        <f aca="false">IF(Q29="","",O29/Q29-1)</f>
        <v>-0.147118270263762</v>
      </c>
      <c r="S29" s="68"/>
    </row>
    <row r="30" customFormat="false" ht="15" hidden="false" customHeight="false" outlineLevel="0" collapsed="false">
      <c r="A30" s="46" t="s">
        <v>467</v>
      </c>
      <c r="B30" s="46" t="s">
        <v>492</v>
      </c>
      <c r="C30" s="46" t="s">
        <v>315</v>
      </c>
      <c r="D30" s="46" t="s">
        <v>470</v>
      </c>
      <c r="E30" s="73" t="n">
        <v>2</v>
      </c>
      <c r="F30" s="73" t="n">
        <v>1394</v>
      </c>
      <c r="G30" s="75" t="s">
        <v>15</v>
      </c>
      <c r="H30" s="65" t="n">
        <v>160000</v>
      </c>
      <c r="I30" s="65" t="n">
        <v>1</v>
      </c>
      <c r="J30" s="21" t="n">
        <f aca="false">H30/I30</f>
        <v>160000</v>
      </c>
      <c r="K30" s="22" t="n">
        <f aca="false">INDEX(Indices!$C$51:$C$71,MATCH($D$3,Indices!$A$51:$A$71,0))/INDEX(Indices!$C$51:$C$71,MATCH(F30,Indices!$A$51:$A$71,0))</f>
        <v>1.36761115082512</v>
      </c>
      <c r="L30" s="21" t="n">
        <f aca="false">J30*K30</f>
        <v>218817.78413202</v>
      </c>
      <c r="M30" s="75" t="s">
        <v>303</v>
      </c>
      <c r="N30" s="21" t="n">
        <f aca="false">IF(M30="Y",MAX(L30,$D$7*$D$8),L30)</f>
        <v>218817.78413202</v>
      </c>
      <c r="O30" s="21" t="n">
        <f aca="false">N30*$D$6</f>
        <v>629101129379.556</v>
      </c>
      <c r="P30" s="21" t="n">
        <f aca="false">O30*E30</f>
        <v>1258202258759.11</v>
      </c>
      <c r="Q30" s="65" t="n">
        <v>737618250509.498</v>
      </c>
      <c r="R30" s="62" t="n">
        <f aca="false">IF(Q30="","",O30/Q30-1)</f>
        <v>-0.147118270263765</v>
      </c>
      <c r="S30" s="68"/>
    </row>
    <row r="31" customFormat="false" ht="15" hidden="false" customHeight="false" outlineLevel="0" collapsed="false">
      <c r="A31" s="46" t="s">
        <v>467</v>
      </c>
      <c r="B31" s="46" t="s">
        <v>325</v>
      </c>
      <c r="C31" s="46" t="s">
        <v>313</v>
      </c>
      <c r="D31" s="46" t="s">
        <v>477</v>
      </c>
      <c r="E31" s="73" t="n">
        <v>2</v>
      </c>
      <c r="F31" s="73" t="n">
        <v>1394</v>
      </c>
      <c r="G31" s="75" t="s">
        <v>15</v>
      </c>
      <c r="H31" s="65" t="n">
        <v>16500</v>
      </c>
      <c r="I31" s="65" t="n">
        <v>1</v>
      </c>
      <c r="J31" s="21" t="n">
        <f aca="false">H31/I31</f>
        <v>16500</v>
      </c>
      <c r="K31" s="22" t="n">
        <f aca="false">INDEX(Indices!$C$51:$C$71,MATCH($D$3,Indices!$A$51:$A$71,0))/INDEX(Indices!$C$51:$C$71,MATCH(F31,Indices!$A$51:$A$71,0))</f>
        <v>1.36761115082512</v>
      </c>
      <c r="L31" s="21" t="n">
        <f aca="false">J31*K31</f>
        <v>22565.5839886145</v>
      </c>
      <c r="M31" s="75" t="s">
        <v>303</v>
      </c>
      <c r="N31" s="21" t="n">
        <f aca="false">IF(M31="Y",MAX(L31,$D$7*$D$8),L31)</f>
        <v>25500</v>
      </c>
      <c r="O31" s="21" t="n">
        <f aca="false">N31*$D$6</f>
        <v>73312500000</v>
      </c>
      <c r="P31" s="21" t="n">
        <f aca="false">O31*E31</f>
        <v>146625000000</v>
      </c>
      <c r="Q31" s="65" t="n">
        <v>72246748905.1186</v>
      </c>
      <c r="R31" s="62" t="n">
        <f aca="false">IF(Q31="","",O31/Q31-1)</f>
        <v>0.0147515439937795</v>
      </c>
      <c r="S31" s="68"/>
    </row>
    <row r="32" customFormat="false" ht="15" hidden="false" customHeight="false" outlineLevel="0" collapsed="false">
      <c r="A32" s="46" t="s">
        <v>467</v>
      </c>
      <c r="B32" s="46" t="s">
        <v>327</v>
      </c>
      <c r="C32" s="46" t="s">
        <v>310</v>
      </c>
      <c r="D32" s="46" t="s">
        <v>477</v>
      </c>
      <c r="E32" s="73" t="n">
        <v>1</v>
      </c>
      <c r="F32" s="73" t="n">
        <v>1394</v>
      </c>
      <c r="G32" s="75" t="s">
        <v>15</v>
      </c>
      <c r="H32" s="65" t="n">
        <v>17500</v>
      </c>
      <c r="I32" s="65" t="n">
        <v>1</v>
      </c>
      <c r="J32" s="21" t="n">
        <f aca="false">H32/I32</f>
        <v>17500</v>
      </c>
      <c r="K32" s="22" t="n">
        <f aca="false">INDEX(Indices!$C$51:$C$71,MATCH($D$3,Indices!$A$51:$A$71,0))/INDEX(Indices!$C$51:$C$71,MATCH(F32,Indices!$A$51:$A$71,0))</f>
        <v>1.36761115082512</v>
      </c>
      <c r="L32" s="21" t="n">
        <f aca="false">J32*K32</f>
        <v>23933.1951394396</v>
      </c>
      <c r="M32" s="75" t="s">
        <v>303</v>
      </c>
      <c r="N32" s="21" t="n">
        <f aca="false">IF(M32="Y",MAX(L32,$D$7*$D$8),L32)</f>
        <v>25500</v>
      </c>
      <c r="O32" s="21" t="n">
        <f aca="false">N32*$D$6</f>
        <v>73312500000</v>
      </c>
      <c r="P32" s="21" t="n">
        <f aca="false">O32*E32</f>
        <v>73312500000</v>
      </c>
      <c r="Q32" s="65" t="n">
        <v>76625339747.853</v>
      </c>
      <c r="R32" s="62" t="n">
        <f aca="false">IF(Q32="","",O32/Q32-1)</f>
        <v>-0.04323425852015</v>
      </c>
      <c r="S32" s="68"/>
    </row>
    <row r="33" customFormat="false" ht="15" hidden="false" customHeight="false" outlineLevel="0" collapsed="false">
      <c r="A33" s="46" t="s">
        <v>467</v>
      </c>
      <c r="B33" s="46" t="s">
        <v>493</v>
      </c>
      <c r="C33" s="46" t="s">
        <v>324</v>
      </c>
      <c r="D33" s="46" t="s">
        <v>477</v>
      </c>
      <c r="E33" s="73" t="n">
        <v>2</v>
      </c>
      <c r="F33" s="73" t="n">
        <v>1394</v>
      </c>
      <c r="G33" s="75" t="s">
        <v>15</v>
      </c>
      <c r="H33" s="65" t="n">
        <v>10000</v>
      </c>
      <c r="I33" s="65" t="n">
        <v>1</v>
      </c>
      <c r="J33" s="21" t="n">
        <f aca="false">H33/I33</f>
        <v>10000</v>
      </c>
      <c r="K33" s="22" t="n">
        <f aca="false">INDEX(Indices!$C$51:$C$71,MATCH($D$3,Indices!$A$51:$A$71,0))/INDEX(Indices!$C$51:$C$71,MATCH(F33,Indices!$A$51:$A$71,0))</f>
        <v>1.36761115082512</v>
      </c>
      <c r="L33" s="21" t="n">
        <f aca="false">J33*K33</f>
        <v>13676.1115082512</v>
      </c>
      <c r="M33" s="75" t="s">
        <v>303</v>
      </c>
      <c r="N33" s="21" t="n">
        <f aca="false">IF(M33="Y",MAX(L33,$D$7*$D$8),L33)</f>
        <v>25500</v>
      </c>
      <c r="O33" s="21" t="n">
        <f aca="false">N33*$D$6</f>
        <v>73312500000</v>
      </c>
      <c r="P33" s="21" t="n">
        <f aca="false">O33*E33</f>
        <v>146625000000</v>
      </c>
      <c r="Q33" s="65" t="n">
        <v>43785908427.3446</v>
      </c>
      <c r="R33" s="62" t="n">
        <f aca="false">IF(Q33="","",O33/Q33-1)</f>
        <v>0.674340047589737</v>
      </c>
      <c r="S33" s="68"/>
    </row>
    <row r="34" customFormat="false" ht="15" hidden="false" customHeight="false" outlineLevel="0" collapsed="false">
      <c r="A34" s="46" t="s">
        <v>467</v>
      </c>
      <c r="B34" s="46" t="s">
        <v>494</v>
      </c>
      <c r="C34" s="46" t="s">
        <v>481</v>
      </c>
      <c r="D34" s="46" t="s">
        <v>474</v>
      </c>
      <c r="E34" s="73" t="n">
        <v>2</v>
      </c>
      <c r="F34" s="73" t="n">
        <v>1394</v>
      </c>
      <c r="G34" s="75" t="s">
        <v>15</v>
      </c>
      <c r="H34" s="65" t="n">
        <v>25000</v>
      </c>
      <c r="I34" s="65" t="n">
        <v>1</v>
      </c>
      <c r="J34" s="21" t="n">
        <f aca="false">H34/I34</f>
        <v>25000</v>
      </c>
      <c r="K34" s="22" t="n">
        <f aca="false">INDEX(Indices!$C$51:$C$71,MATCH($D$3,Indices!$A$51:$A$71,0))/INDEX(Indices!$C$51:$C$71,MATCH(F34,Indices!$A$51:$A$71,0))</f>
        <v>1.36761115082512</v>
      </c>
      <c r="L34" s="21" t="n">
        <f aca="false">J34*K34</f>
        <v>34190.278770628</v>
      </c>
      <c r="M34" s="75" t="s">
        <v>308</v>
      </c>
      <c r="N34" s="21" t="n">
        <f aca="false">IF(M34="Y",MAX(L34,$D$7*$D$8),L34)</f>
        <v>34190.278770628</v>
      </c>
      <c r="O34" s="21" t="n">
        <f aca="false">N34*$D$6</f>
        <v>98297051465.5556</v>
      </c>
      <c r="P34" s="21" t="n">
        <f aca="false">O34*E34</f>
        <v>196594102931.111</v>
      </c>
      <c r="Q34" s="65" t="n">
        <v>108220408148.365</v>
      </c>
      <c r="R34" s="62" t="n">
        <f aca="false">IF(Q34="","",O34/Q34-1)</f>
        <v>-0.0916957979792955</v>
      </c>
      <c r="S34" s="68"/>
    </row>
    <row r="35" customFormat="false" ht="15" hidden="false" customHeight="false" outlineLevel="0" collapsed="false">
      <c r="A35" s="46" t="s">
        <v>467</v>
      </c>
      <c r="B35" s="46" t="s">
        <v>495</v>
      </c>
      <c r="C35" s="46" t="s">
        <v>331</v>
      </c>
      <c r="D35" s="46" t="s">
        <v>470</v>
      </c>
      <c r="E35" s="73" t="n">
        <v>2</v>
      </c>
      <c r="F35" s="73" t="n">
        <v>1394</v>
      </c>
      <c r="G35" s="75" t="s">
        <v>15</v>
      </c>
      <c r="H35" s="65" t="n">
        <v>20000</v>
      </c>
      <c r="I35" s="65" t="n">
        <v>1</v>
      </c>
      <c r="J35" s="21" t="n">
        <f aca="false">H35/I35</f>
        <v>20000</v>
      </c>
      <c r="K35" s="22" t="n">
        <f aca="false">INDEX(Indices!$C$51:$C$71,MATCH($D$3,Indices!$A$51:$A$71,0))/INDEX(Indices!$C$51:$C$71,MATCH(F35,Indices!$A$51:$A$71,0))</f>
        <v>1.36761115082512</v>
      </c>
      <c r="L35" s="21" t="n">
        <f aca="false">J35*K35</f>
        <v>27352.2230165024</v>
      </c>
      <c r="M35" s="75" t="s">
        <v>303</v>
      </c>
      <c r="N35" s="21" t="n">
        <f aca="false">IF(M35="Y",MAX(L35,$D$7*$D$8),L35)</f>
        <v>27352.2230165024</v>
      </c>
      <c r="O35" s="21" t="n">
        <f aca="false">N35*$D$6</f>
        <v>78637641172.4445</v>
      </c>
      <c r="P35" s="21" t="n">
        <f aca="false">O35*E35</f>
        <v>157275282344.889</v>
      </c>
      <c r="Q35" s="65" t="n">
        <v>92202281313.6873</v>
      </c>
      <c r="R35" s="62" t="n">
        <f aca="false">IF(Q35="","",O35/Q35-1)</f>
        <v>-0.147118270263766</v>
      </c>
      <c r="S35" s="68"/>
    </row>
    <row r="36" customFormat="false" ht="15" hidden="false" customHeight="false" outlineLevel="0" collapsed="false">
      <c r="A36" s="46" t="s">
        <v>467</v>
      </c>
      <c r="B36" s="46" t="s">
        <v>496</v>
      </c>
      <c r="C36" s="46" t="s">
        <v>326</v>
      </c>
      <c r="D36" s="46" t="s">
        <v>470</v>
      </c>
      <c r="E36" s="73" t="n">
        <v>2</v>
      </c>
      <c r="F36" s="73" t="n">
        <v>1394</v>
      </c>
      <c r="G36" s="75" t="s">
        <v>15</v>
      </c>
      <c r="H36" s="65" t="n">
        <v>17500</v>
      </c>
      <c r="I36" s="65" t="n">
        <v>1</v>
      </c>
      <c r="J36" s="21" t="n">
        <f aca="false">H36/I36</f>
        <v>17500</v>
      </c>
      <c r="K36" s="22" t="n">
        <f aca="false">INDEX(Indices!$C$51:$C$71,MATCH($D$3,Indices!$A$51:$A$71,0))/INDEX(Indices!$C$51:$C$71,MATCH(F36,Indices!$A$51:$A$71,0))</f>
        <v>1.36761115082512</v>
      </c>
      <c r="L36" s="21" t="n">
        <f aca="false">J36*K36</f>
        <v>23933.1951394396</v>
      </c>
      <c r="M36" s="75" t="s">
        <v>303</v>
      </c>
      <c r="N36" s="21" t="n">
        <f aca="false">IF(M36="Y",MAX(L36,$D$7*$D$8),L36)</f>
        <v>25500</v>
      </c>
      <c r="O36" s="21" t="n">
        <f aca="false">N36*$D$6</f>
        <v>73312500000</v>
      </c>
      <c r="P36" s="21" t="n">
        <f aca="false">O36*E36</f>
        <v>146625000000</v>
      </c>
      <c r="Q36" s="65" t="n">
        <v>80676996149.4764</v>
      </c>
      <c r="R36" s="62" t="n">
        <f aca="false">IF(Q36="","",O36/Q36-1)</f>
        <v>-0.0912837178001972</v>
      </c>
      <c r="S36" s="68"/>
    </row>
    <row r="37" customFormat="false" ht="15" hidden="false" customHeight="false" outlineLevel="0" collapsed="false">
      <c r="A37" s="46" t="s">
        <v>467</v>
      </c>
      <c r="B37" s="46" t="s">
        <v>497</v>
      </c>
      <c r="C37" s="46" t="s">
        <v>485</v>
      </c>
      <c r="D37" s="46" t="s">
        <v>486</v>
      </c>
      <c r="E37" s="73" t="n">
        <v>1</v>
      </c>
      <c r="F37" s="73" t="n">
        <v>1394</v>
      </c>
      <c r="G37" s="75" t="s">
        <v>15</v>
      </c>
      <c r="H37" s="65" t="n">
        <v>20000</v>
      </c>
      <c r="I37" s="65" t="n">
        <v>1</v>
      </c>
      <c r="J37" s="21" t="n">
        <f aca="false">H37/I37</f>
        <v>20000</v>
      </c>
      <c r="K37" s="22" t="n">
        <f aca="false">INDEX(Indices!$C$51:$C$71,MATCH($D$3,Indices!$A$51:$A$71,0))/INDEX(Indices!$C$51:$C$71,MATCH(F37,Indices!$A$51:$A$71,0))</f>
        <v>1.36761115082512</v>
      </c>
      <c r="L37" s="21" t="n">
        <f aca="false">J37*K37</f>
        <v>27352.2230165024</v>
      </c>
      <c r="M37" s="75" t="s">
        <v>308</v>
      </c>
      <c r="N37" s="21" t="n">
        <f aca="false">IF(M37="Y",MAX(L37,$D$7*$D$8),L37)</f>
        <v>27352.2230165024</v>
      </c>
      <c r="O37" s="21" t="n">
        <f aca="false">N37*$D$6</f>
        <v>78637641172.4445</v>
      </c>
      <c r="P37" s="21" t="n">
        <f aca="false">O37*E37</f>
        <v>78637641172.4445</v>
      </c>
      <c r="Q37" s="65" t="n">
        <v>87970342681.265</v>
      </c>
      <c r="R37" s="62" t="n">
        <f aca="false">IF(Q37="","",O37/Q37-1)</f>
        <v>-0.106089179880029</v>
      </c>
      <c r="S37" s="68"/>
    </row>
    <row r="38" customFormat="false" ht="15" hidden="false" customHeight="false" outlineLevel="0" collapsed="false">
      <c r="A38" s="46" t="s">
        <v>467</v>
      </c>
      <c r="B38" s="46" t="s">
        <v>498</v>
      </c>
      <c r="C38" s="46" t="s">
        <v>305</v>
      </c>
      <c r="D38" s="46" t="s">
        <v>499</v>
      </c>
      <c r="E38" s="73" t="n">
        <v>2</v>
      </c>
      <c r="F38" s="73" t="n">
        <v>1394</v>
      </c>
      <c r="G38" s="75" t="s">
        <v>15</v>
      </c>
      <c r="H38" s="65" t="n">
        <v>6500</v>
      </c>
      <c r="I38" s="65" t="n">
        <v>1</v>
      </c>
      <c r="J38" s="21" t="n">
        <f aca="false">H38/I38</f>
        <v>6500</v>
      </c>
      <c r="K38" s="22" t="n">
        <f aca="false">INDEX(Indices!$C$51:$C$71,MATCH($D$3,Indices!$A$51:$A$71,0))/INDEX(Indices!$C$51:$C$71,MATCH(F38,Indices!$A$51:$A$71,0))</f>
        <v>1.36761115082512</v>
      </c>
      <c r="L38" s="21" t="n">
        <f aca="false">J38*K38</f>
        <v>8889.47248036329</v>
      </c>
      <c r="M38" s="75" t="s">
        <v>308</v>
      </c>
      <c r="N38" s="21" t="n">
        <f aca="false">IF(M38="Y",MAX(L38,$D$7*$D$8),L38)</f>
        <v>8889.47248036329</v>
      </c>
      <c r="O38" s="21" t="n">
        <f aca="false">N38*$D$6</f>
        <v>25557233381.0445</v>
      </c>
      <c r="P38" s="21" t="n">
        <f aca="false">O38*E38</f>
        <v>51114466762.0889</v>
      </c>
      <c r="Q38" s="65" t="n">
        <v>28450773375.4776</v>
      </c>
      <c r="R38" s="62" t="n">
        <f aca="false">IF(Q38="","",O38/Q38-1)</f>
        <v>-0.101703386275156</v>
      </c>
      <c r="S38" s="68"/>
    </row>
    <row r="39" customFormat="false" ht="15" hidden="false" customHeight="false" outlineLevel="0" collapsed="false">
      <c r="A39" s="46" t="s">
        <v>467</v>
      </c>
      <c r="B39" s="46" t="s">
        <v>500</v>
      </c>
      <c r="C39" s="46" t="s">
        <v>501</v>
      </c>
      <c r="D39" s="46" t="s">
        <v>499</v>
      </c>
      <c r="E39" s="73" t="n">
        <v>1</v>
      </c>
      <c r="F39" s="73" t="n">
        <v>1394</v>
      </c>
      <c r="G39" s="75" t="s">
        <v>15</v>
      </c>
      <c r="H39" s="65" t="n">
        <v>6500</v>
      </c>
      <c r="I39" s="65" t="n">
        <v>1</v>
      </c>
      <c r="J39" s="21" t="n">
        <f aca="false">H39/I39</f>
        <v>6500</v>
      </c>
      <c r="K39" s="22" t="n">
        <f aca="false">INDEX(Indices!$C$51:$C$71,MATCH($D$3,Indices!$A$51:$A$71,0))/INDEX(Indices!$C$51:$C$71,MATCH(F39,Indices!$A$51:$A$71,0))</f>
        <v>1.36761115082512</v>
      </c>
      <c r="L39" s="21" t="n">
        <f aca="false">J39*K39</f>
        <v>8889.47248036329</v>
      </c>
      <c r="M39" s="75" t="s">
        <v>308</v>
      </c>
      <c r="N39" s="21" t="n">
        <f aca="false">IF(M39="Y",MAX(L39,$D$7*$D$8),L39)</f>
        <v>8889.47248036329</v>
      </c>
      <c r="O39" s="21" t="n">
        <f aca="false">N39*$D$6</f>
        <v>25557233381.0445</v>
      </c>
      <c r="P39" s="21" t="n">
        <f aca="false">O39*E39</f>
        <v>25557233381.0445</v>
      </c>
      <c r="Q39" s="65" t="n">
        <v>28450773375.4776</v>
      </c>
      <c r="R39" s="62" t="n">
        <f aca="false">IF(Q39="","",O39/Q39-1)</f>
        <v>-0.101703386275156</v>
      </c>
      <c r="S39" s="68"/>
    </row>
    <row r="40" customFormat="false" ht="15" hidden="false" customHeight="false" outlineLevel="0" collapsed="false">
      <c r="A40" s="46" t="s">
        <v>467</v>
      </c>
      <c r="B40" s="46" t="s">
        <v>502</v>
      </c>
      <c r="C40" s="46" t="s">
        <v>503</v>
      </c>
      <c r="D40" s="46" t="s">
        <v>477</v>
      </c>
      <c r="E40" s="73" t="n">
        <v>1</v>
      </c>
      <c r="F40" s="73" t="n">
        <v>1394</v>
      </c>
      <c r="G40" s="75" t="s">
        <v>15</v>
      </c>
      <c r="H40" s="65" t="n">
        <v>10000</v>
      </c>
      <c r="I40" s="65" t="n">
        <v>1</v>
      </c>
      <c r="J40" s="21" t="n">
        <f aca="false">H40/I40</f>
        <v>10000</v>
      </c>
      <c r="K40" s="22" t="n">
        <f aca="false">INDEX(Indices!$C$51:$C$71,MATCH($D$3,Indices!$A$51:$A$71,0))/INDEX(Indices!$C$51:$C$71,MATCH(F40,Indices!$A$51:$A$71,0))</f>
        <v>1.36761115082512</v>
      </c>
      <c r="L40" s="21" t="n">
        <f aca="false">J40*K40</f>
        <v>13676.1115082512</v>
      </c>
      <c r="M40" s="75" t="s">
        <v>303</v>
      </c>
      <c r="N40" s="21" t="n">
        <f aca="false">IF(M40="Y",MAX(L40,$D$7*$D$8),L40)</f>
        <v>25500</v>
      </c>
      <c r="O40" s="21" t="n">
        <f aca="false">N40*$D$6</f>
        <v>73312500000</v>
      </c>
      <c r="P40" s="21" t="n">
        <f aca="false">O40*E40</f>
        <v>73312500000</v>
      </c>
      <c r="Q40" s="65" t="n">
        <v>43785908427.3446</v>
      </c>
      <c r="R40" s="62" t="n">
        <f aca="false">IF(Q40="","",O40/Q40-1)</f>
        <v>0.674340047589737</v>
      </c>
      <c r="S40" s="68"/>
    </row>
    <row r="41" customFormat="false" ht="15" hidden="false" customHeight="false" outlineLevel="0" collapsed="false">
      <c r="A41" s="46" t="s">
        <v>467</v>
      </c>
      <c r="B41" s="46" t="s">
        <v>504</v>
      </c>
      <c r="C41" s="46" t="s">
        <v>335</v>
      </c>
      <c r="D41" s="46" t="s">
        <v>499</v>
      </c>
      <c r="E41" s="73" t="n">
        <v>1</v>
      </c>
      <c r="F41" s="73" t="n">
        <v>1394</v>
      </c>
      <c r="G41" s="75" t="s">
        <v>15</v>
      </c>
      <c r="H41" s="65" t="n">
        <v>7000</v>
      </c>
      <c r="I41" s="65" t="n">
        <v>1</v>
      </c>
      <c r="J41" s="21" t="n">
        <f aca="false">H41/I41</f>
        <v>7000</v>
      </c>
      <c r="K41" s="22" t="n">
        <f aca="false">INDEX(Indices!$C$51:$C$71,MATCH($D$3,Indices!$A$51:$A$71,0))/INDEX(Indices!$C$51:$C$71,MATCH(F41,Indices!$A$51:$A$71,0))</f>
        <v>1.36761115082512</v>
      </c>
      <c r="L41" s="21" t="n">
        <f aca="false">J41*K41</f>
        <v>9573.27805577585</v>
      </c>
      <c r="M41" s="75" t="s">
        <v>303</v>
      </c>
      <c r="N41" s="21" t="n">
        <f aca="false">IF(M41="Y",MAX(L41,$D$7*$D$8),L41)</f>
        <v>25500</v>
      </c>
      <c r="O41" s="21" t="n">
        <f aca="false">N41*$D$6</f>
        <v>73312500000</v>
      </c>
      <c r="P41" s="21" t="n">
        <f aca="false">O41*E41</f>
        <v>73312500000</v>
      </c>
      <c r="Q41" s="65" t="n">
        <v>30639294404.3605</v>
      </c>
      <c r="R41" s="62" t="n">
        <f aca="false">IF(Q41="","",O41/Q41-1)</f>
        <v>1.39276071545454</v>
      </c>
      <c r="S41" s="68"/>
    </row>
    <row r="42" customFormat="false" ht="15" hidden="false" customHeight="false" outlineLevel="0" collapsed="false">
      <c r="A42" s="46" t="s">
        <v>467</v>
      </c>
      <c r="B42" s="46" t="s">
        <v>505</v>
      </c>
      <c r="C42" s="46" t="s">
        <v>506</v>
      </c>
      <c r="D42" s="46" t="s">
        <v>477</v>
      </c>
      <c r="E42" s="73" t="n">
        <v>1</v>
      </c>
      <c r="F42" s="73" t="n">
        <v>1394</v>
      </c>
      <c r="G42" s="75" t="s">
        <v>15</v>
      </c>
      <c r="H42" s="65" t="n">
        <v>10000</v>
      </c>
      <c r="I42" s="65" t="n">
        <v>1</v>
      </c>
      <c r="J42" s="21" t="n">
        <f aca="false">H42/I42</f>
        <v>10000</v>
      </c>
      <c r="K42" s="22" t="n">
        <f aca="false">INDEX(Indices!$C$51:$C$71,MATCH($D$3,Indices!$A$51:$A$71,0))/INDEX(Indices!$C$51:$C$71,MATCH(F42,Indices!$A$51:$A$71,0))</f>
        <v>1.36761115082512</v>
      </c>
      <c r="L42" s="21" t="n">
        <f aca="false">J42*K42</f>
        <v>13676.1115082512</v>
      </c>
      <c r="M42" s="75" t="s">
        <v>303</v>
      </c>
      <c r="N42" s="21" t="n">
        <f aca="false">IF(M42="Y",MAX(L42,$D$7*$D$8),L42)</f>
        <v>25500</v>
      </c>
      <c r="O42" s="21" t="n">
        <f aca="false">N42*$D$6</f>
        <v>73312500000</v>
      </c>
      <c r="P42" s="21" t="n">
        <f aca="false">O42*E42</f>
        <v>73312500000</v>
      </c>
      <c r="Q42" s="65" t="n">
        <v>43785908427.3446</v>
      </c>
      <c r="R42" s="62" t="n">
        <f aca="false">IF(Q42="","",O42/Q42-1)</f>
        <v>0.674340047589737</v>
      </c>
      <c r="S42" s="68"/>
    </row>
    <row r="43" customFormat="false" ht="15" hidden="false" customHeight="false" outlineLevel="0" collapsed="false">
      <c r="A43" s="46" t="s">
        <v>467</v>
      </c>
      <c r="B43" s="46" t="s">
        <v>507</v>
      </c>
      <c r="C43" s="46" t="s">
        <v>340</v>
      </c>
      <c r="D43" s="46" t="s">
        <v>508</v>
      </c>
      <c r="E43" s="73" t="n">
        <v>1</v>
      </c>
      <c r="F43" s="73" t="n">
        <v>1394</v>
      </c>
      <c r="G43" s="75" t="s">
        <v>15</v>
      </c>
      <c r="H43" s="65" t="n">
        <v>70000</v>
      </c>
      <c r="I43" s="65" t="n">
        <v>1</v>
      </c>
      <c r="J43" s="21" t="n">
        <f aca="false">H43/I43</f>
        <v>70000</v>
      </c>
      <c r="K43" s="22" t="n">
        <f aca="false">INDEX(Indices!$C$51:$C$71,MATCH($D$3,Indices!$A$51:$A$71,0))/INDEX(Indices!$C$51:$C$71,MATCH(F43,Indices!$A$51:$A$71,0))</f>
        <v>1.36761115082512</v>
      </c>
      <c r="L43" s="21" t="n">
        <f aca="false">J43*K43</f>
        <v>95732.7805577585</v>
      </c>
      <c r="M43" s="75" t="s">
        <v>308</v>
      </c>
      <c r="N43" s="21" t="n">
        <f aca="false">IF(M43="Y",MAX(L43,$D$7*$D$8),L43)</f>
        <v>95732.7805577585</v>
      </c>
      <c r="O43" s="21" t="n">
        <f aca="false">N43*$D$6</f>
        <v>275231744103.556</v>
      </c>
      <c r="P43" s="21" t="n">
        <f aca="false">O43*E43</f>
        <v>275231744103.556</v>
      </c>
      <c r="Q43" s="65" t="n">
        <v>302060823193.414</v>
      </c>
      <c r="R43" s="62" t="n">
        <f aca="false">IF(Q43="","",O43/Q43-1)</f>
        <v>-0.088820121743094</v>
      </c>
      <c r="S43" s="68" t="s">
        <v>509</v>
      </c>
    </row>
    <row r="44" customFormat="false" ht="15" hidden="false" customHeight="false" outlineLevel="0" collapsed="false">
      <c r="A44" s="46" t="s">
        <v>467</v>
      </c>
      <c r="B44" s="46" t="s">
        <v>510</v>
      </c>
      <c r="C44" s="46" t="s">
        <v>343</v>
      </c>
      <c r="D44" s="46" t="s">
        <v>508</v>
      </c>
      <c r="E44" s="73" t="n">
        <v>1</v>
      </c>
      <c r="F44" s="73" t="n">
        <v>1394</v>
      </c>
      <c r="G44" s="75" t="s">
        <v>15</v>
      </c>
      <c r="H44" s="65" t="n">
        <v>90000</v>
      </c>
      <c r="I44" s="65" t="n">
        <v>1</v>
      </c>
      <c r="J44" s="21" t="n">
        <f aca="false">H44/I44</f>
        <v>90000</v>
      </c>
      <c r="K44" s="22" t="n">
        <f aca="false">INDEX(Indices!$C$51:$C$71,MATCH($D$3,Indices!$A$51:$A$71,0))/INDEX(Indices!$C$51:$C$71,MATCH(F44,Indices!$A$51:$A$71,0))</f>
        <v>1.36761115082512</v>
      </c>
      <c r="L44" s="21" t="n">
        <f aca="false">J44*K44</f>
        <v>123085.003574261</v>
      </c>
      <c r="M44" s="75" t="s">
        <v>308</v>
      </c>
      <c r="N44" s="21" t="n">
        <f aca="false">IF(M44="Y",MAX(L44,$D$7*$D$8),L44)</f>
        <v>123085.003574261</v>
      </c>
      <c r="O44" s="21" t="n">
        <f aca="false">N44*$D$6</f>
        <v>353869385276</v>
      </c>
      <c r="P44" s="21" t="n">
        <f aca="false">O44*E44</f>
        <v>353869385276</v>
      </c>
      <c r="Q44" s="65" t="n">
        <v>388363915534.39</v>
      </c>
      <c r="R44" s="62" t="n">
        <f aca="false">IF(Q44="","",O44/Q44-1)</f>
        <v>-0.0888201217430955</v>
      </c>
      <c r="S44" s="68" t="s">
        <v>509</v>
      </c>
    </row>
    <row r="45" customFormat="false" ht="15" hidden="false" customHeight="false" outlineLevel="0" collapsed="false">
      <c r="A45" s="46" t="s">
        <v>467</v>
      </c>
      <c r="B45" s="46" t="s">
        <v>511</v>
      </c>
      <c r="C45" s="46" t="s">
        <v>345</v>
      </c>
      <c r="D45" s="46" t="s">
        <v>508</v>
      </c>
      <c r="E45" s="73" t="n">
        <v>2</v>
      </c>
      <c r="F45" s="73" t="n">
        <v>1394</v>
      </c>
      <c r="G45" s="75" t="s">
        <v>15</v>
      </c>
      <c r="H45" s="65" t="n">
        <v>15000</v>
      </c>
      <c r="I45" s="65" t="n">
        <v>1</v>
      </c>
      <c r="J45" s="21" t="n">
        <f aca="false">H45/I45</f>
        <v>15000</v>
      </c>
      <c r="K45" s="22" t="n">
        <f aca="false">INDEX(Indices!$C$51:$C$71,MATCH($D$3,Indices!$A$51:$A$71,0))/INDEX(Indices!$C$51:$C$71,MATCH(F45,Indices!$A$51:$A$71,0))</f>
        <v>1.36761115082512</v>
      </c>
      <c r="L45" s="21" t="n">
        <f aca="false">J45*K45</f>
        <v>20514.1672623768</v>
      </c>
      <c r="M45" s="75" t="s">
        <v>308</v>
      </c>
      <c r="N45" s="21" t="n">
        <f aca="false">IF(M45="Y",MAX(L45,$D$7*$D$8),L45)</f>
        <v>20514.1672623768</v>
      </c>
      <c r="O45" s="21" t="n">
        <f aca="false">N45*$D$6</f>
        <v>58978230879.3334</v>
      </c>
      <c r="P45" s="21" t="n">
        <f aca="false">O45*E45</f>
        <v>117956461758.667</v>
      </c>
      <c r="Q45" s="65" t="n">
        <v>64727319255.7317</v>
      </c>
      <c r="R45" s="62" t="n">
        <f aca="false">IF(Q45="","",O45/Q45-1)</f>
        <v>-0.0888201217430957</v>
      </c>
      <c r="S45" s="68" t="s">
        <v>509</v>
      </c>
    </row>
    <row r="46" customFormat="false" ht="15" hidden="false" customHeight="false" outlineLevel="0" collapsed="false">
      <c r="A46" s="46" t="s">
        <v>467</v>
      </c>
      <c r="B46" s="46" t="s">
        <v>512</v>
      </c>
      <c r="C46" s="46" t="s">
        <v>338</v>
      </c>
      <c r="D46" s="46" t="s">
        <v>508</v>
      </c>
      <c r="E46" s="73" t="n">
        <v>1</v>
      </c>
      <c r="F46" s="73" t="n">
        <v>1394</v>
      </c>
      <c r="G46" s="75" t="s">
        <v>15</v>
      </c>
      <c r="H46" s="65" t="n">
        <v>6500</v>
      </c>
      <c r="I46" s="65" t="n">
        <v>1</v>
      </c>
      <c r="J46" s="21" t="n">
        <f aca="false">H46/I46</f>
        <v>6500</v>
      </c>
      <c r="K46" s="22" t="n">
        <f aca="false">INDEX(Indices!$C$51:$C$71,MATCH($D$3,Indices!$A$51:$A$71,0))/INDEX(Indices!$C$51:$C$71,MATCH(F46,Indices!$A$51:$A$71,0))</f>
        <v>1.36761115082512</v>
      </c>
      <c r="L46" s="21" t="n">
        <f aca="false">J46*K46</f>
        <v>8889.47248036329</v>
      </c>
      <c r="M46" s="75" t="s">
        <v>308</v>
      </c>
      <c r="N46" s="21" t="n">
        <f aca="false">IF(M46="Y",MAX(L46,$D$7*$D$8),L46)</f>
        <v>8889.47248036329</v>
      </c>
      <c r="O46" s="21" t="n">
        <f aca="false">N46*$D$6</f>
        <v>25557233381.0445</v>
      </c>
      <c r="P46" s="21" t="n">
        <f aca="false">O46*E46</f>
        <v>25557233381.0445</v>
      </c>
      <c r="Q46" s="65" t="n">
        <v>28048505010.8171</v>
      </c>
      <c r="R46" s="62" t="n">
        <f aca="false">IF(Q46="","",O46/Q46-1)</f>
        <v>-0.0888201217430967</v>
      </c>
      <c r="S46" s="68" t="s">
        <v>509</v>
      </c>
    </row>
    <row r="47" customFormat="false" ht="15" hidden="false" customHeight="false" outlineLevel="0" collapsed="false">
      <c r="A47" s="46" t="s">
        <v>467</v>
      </c>
      <c r="B47" s="46" t="s">
        <v>513</v>
      </c>
      <c r="C47" s="46" t="s">
        <v>514</v>
      </c>
      <c r="D47" s="46" t="s">
        <v>486</v>
      </c>
      <c r="E47" s="73" t="n">
        <v>5</v>
      </c>
      <c r="F47" s="73" t="n">
        <v>1394</v>
      </c>
      <c r="G47" s="75" t="s">
        <v>78</v>
      </c>
      <c r="H47" s="65" t="n">
        <v>100000000</v>
      </c>
      <c r="I47" s="21" t="n">
        <f aca="false">INDEX(Indices!$G$51:$G$71,MATCH(F47,Indices!$A$51:$A$71,0))</f>
        <v>37185</v>
      </c>
      <c r="J47" s="21" t="n">
        <f aca="false">H47/I47</f>
        <v>2689.2564205997</v>
      </c>
      <c r="K47" s="22" t="n">
        <f aca="false">INDEX(Indices!$C$51:$C$71,MATCH($D$3,Indices!$A$51:$A$71,0))/INDEX(Indices!$C$51:$C$71,MATCH(F47,Indices!$A$51:$A$71,0))</f>
        <v>1.36761115082512</v>
      </c>
      <c r="L47" s="21" t="n">
        <f aca="false">J47*K47</f>
        <v>3677.85706824021</v>
      </c>
      <c r="M47" s="75" t="s">
        <v>308</v>
      </c>
      <c r="N47" s="21" t="n">
        <f aca="false">IF(M47="Y",MAX(L47,$D$7*$D$8),L47)</f>
        <v>3677.85706824021</v>
      </c>
      <c r="O47" s="21" t="n">
        <f aca="false">N47*$D$6</f>
        <v>10573839071.1906</v>
      </c>
      <c r="P47" s="21" t="n">
        <f aca="false">O47*E47</f>
        <v>52869195355.953</v>
      </c>
      <c r="Q47" s="65" t="n">
        <v>5929709836.53473</v>
      </c>
      <c r="R47" s="62" t="n">
        <f aca="false">IF(Q47="","",O47/Q47-1)</f>
        <v>0.783196709903407</v>
      </c>
      <c r="S47" s="68"/>
    </row>
    <row r="48" customFormat="false" ht="15" hidden="false" customHeight="false" outlineLevel="0" collapsed="false">
      <c r="A48" s="46" t="s">
        <v>467</v>
      </c>
      <c r="B48" s="46" t="s">
        <v>515</v>
      </c>
      <c r="C48" s="46" t="s">
        <v>516</v>
      </c>
      <c r="D48" s="46" t="s">
        <v>499</v>
      </c>
      <c r="E48" s="73" t="n">
        <v>2</v>
      </c>
      <c r="F48" s="73" t="n">
        <v>1394</v>
      </c>
      <c r="G48" s="75" t="s">
        <v>78</v>
      </c>
      <c r="H48" s="65" t="n">
        <v>250000000</v>
      </c>
      <c r="I48" s="21" t="n">
        <f aca="false">INDEX(Indices!$G$51:$G$71,MATCH(F48,Indices!$A$51:$A$71,0))</f>
        <v>37185</v>
      </c>
      <c r="J48" s="21" t="n">
        <f aca="false">H48/I48</f>
        <v>6723.14105149926</v>
      </c>
      <c r="K48" s="22" t="n">
        <f aca="false">INDEX(Indices!$C$51:$C$71,MATCH($D$3,Indices!$A$51:$A$71,0))/INDEX(Indices!$C$51:$C$71,MATCH(F48,Indices!$A$51:$A$71,0))</f>
        <v>1.36761115082512</v>
      </c>
      <c r="L48" s="21" t="n">
        <f aca="false">J48*K48</f>
        <v>9194.64267060052</v>
      </c>
      <c r="M48" s="75" t="s">
        <v>308</v>
      </c>
      <c r="N48" s="21" t="n">
        <f aca="false">IF(M48="Y",MAX(L48,$D$7*$D$8),L48)</f>
        <v>9194.64267060052</v>
      </c>
      <c r="O48" s="21" t="n">
        <f aca="false">N48*$D$6</f>
        <v>26434597677.9765</v>
      </c>
      <c r="P48" s="21" t="n">
        <f aca="false">O48*E48</f>
        <v>52869195355.953</v>
      </c>
      <c r="Q48" s="65" t="n">
        <v>15194609574.3611</v>
      </c>
      <c r="R48" s="62" t="n">
        <f aca="false">IF(Q48="","",O48/Q48-1)</f>
        <v>0.739735236276252</v>
      </c>
      <c r="S48" s="68"/>
    </row>
    <row r="49" customFormat="false" ht="15" hidden="false" customHeight="false" outlineLevel="0" collapsed="false">
      <c r="A49" s="46" t="s">
        <v>467</v>
      </c>
      <c r="B49" s="46" t="s">
        <v>517</v>
      </c>
      <c r="C49" s="46" t="s">
        <v>518</v>
      </c>
      <c r="D49" s="46" t="s">
        <v>477</v>
      </c>
      <c r="E49" s="73" t="n">
        <v>1</v>
      </c>
      <c r="F49" s="73" t="n">
        <v>1394</v>
      </c>
      <c r="G49" s="75" t="s">
        <v>78</v>
      </c>
      <c r="H49" s="65" t="n">
        <v>100000000</v>
      </c>
      <c r="I49" s="21" t="n">
        <f aca="false">INDEX(Indices!$G$51:$G$71,MATCH(F49,Indices!$A$51:$A$71,0))</f>
        <v>37185</v>
      </c>
      <c r="J49" s="21" t="n">
        <f aca="false">H49/I49</f>
        <v>2689.2564205997</v>
      </c>
      <c r="K49" s="22" t="n">
        <f aca="false">INDEX(Indices!$C$51:$C$71,MATCH($D$3,Indices!$A$51:$A$71,0))/INDEX(Indices!$C$51:$C$71,MATCH(F49,Indices!$A$51:$A$71,0))</f>
        <v>1.36761115082512</v>
      </c>
      <c r="L49" s="21" t="n">
        <f aca="false">J49*K49</f>
        <v>3677.85706824021</v>
      </c>
      <c r="M49" s="75" t="s">
        <v>308</v>
      </c>
      <c r="N49" s="21" t="n">
        <f aca="false">IF(M49="Y",MAX(L49,$D$7*$D$8),L49)</f>
        <v>3677.85706824021</v>
      </c>
      <c r="O49" s="21" t="n">
        <f aca="false">N49*$D$6</f>
        <v>10573839071.1906</v>
      </c>
      <c r="P49" s="21" t="n">
        <f aca="false">O49*E49</f>
        <v>10573839071.1906</v>
      </c>
      <c r="Q49" s="65" t="n">
        <v>6082331126.54646</v>
      </c>
      <c r="R49" s="62" t="n">
        <f aca="false">IF(Q49="","",O49/Q49-1)</f>
        <v>0.738451730298086</v>
      </c>
      <c r="S49" s="68"/>
    </row>
    <row r="50" customFormat="false" ht="15" hidden="false" customHeight="false" outlineLevel="0" collapsed="false">
      <c r="A50" s="46" t="s">
        <v>519</v>
      </c>
      <c r="B50" s="46" t="s">
        <v>300</v>
      </c>
      <c r="C50" s="46" t="s">
        <v>520</v>
      </c>
      <c r="D50" s="46" t="s">
        <v>470</v>
      </c>
      <c r="E50" s="73" t="n">
        <v>2</v>
      </c>
      <c r="F50" s="73" t="n">
        <v>1404</v>
      </c>
      <c r="G50" s="75" t="s">
        <v>15</v>
      </c>
      <c r="H50" s="65" t="n">
        <v>111500</v>
      </c>
      <c r="I50" s="65" t="n">
        <v>1</v>
      </c>
      <c r="J50" s="21" t="n">
        <f aca="false">H50/I50</f>
        <v>111500</v>
      </c>
      <c r="K50" s="22" t="n">
        <f aca="false">INDEX(Indices!$C$51:$C$71,MATCH($D$3,Indices!$A$51:$A$71,0))/INDEX(Indices!$C$51:$C$71,MATCH(F50,Indices!$A$51:$A$71,0))</f>
        <v>1.02</v>
      </c>
      <c r="L50" s="21" t="n">
        <f aca="false">J50*K50</f>
        <v>113730</v>
      </c>
      <c r="M50" s="75" t="s">
        <v>303</v>
      </c>
      <c r="N50" s="21" t="n">
        <f aca="false">IF(M50="Y",MAX(L50,$D$7*$D$8),L50)</f>
        <v>113730</v>
      </c>
      <c r="O50" s="21" t="n">
        <f aca="false">N50*$D$6</f>
        <v>326973750000</v>
      </c>
      <c r="P50" s="21" t="n">
        <f aca="false">O50*E50</f>
        <v>653947500000</v>
      </c>
      <c r="Q50" s="65" t="n">
        <v>346423268995.699</v>
      </c>
      <c r="R50" s="62" t="n">
        <f aca="false">IF(Q50="","",O50/Q50-1)</f>
        <v>-0.0561438007674376</v>
      </c>
      <c r="S50" s="68"/>
    </row>
    <row r="51" customFormat="false" ht="15" hidden="false" customHeight="false" outlineLevel="0" collapsed="false">
      <c r="A51" s="46" t="s">
        <v>519</v>
      </c>
      <c r="B51" s="46" t="s">
        <v>304</v>
      </c>
      <c r="C51" s="46" t="s">
        <v>521</v>
      </c>
      <c r="D51" s="46" t="s">
        <v>499</v>
      </c>
      <c r="E51" s="73" t="n">
        <v>2</v>
      </c>
      <c r="F51" s="73" t="n">
        <v>1404</v>
      </c>
      <c r="G51" s="75" t="s">
        <v>15</v>
      </c>
      <c r="H51" s="65" t="n">
        <v>15050</v>
      </c>
      <c r="I51" s="65" t="n">
        <v>1</v>
      </c>
      <c r="J51" s="21" t="n">
        <f aca="false">H51/I51</f>
        <v>15050</v>
      </c>
      <c r="K51" s="22" t="n">
        <f aca="false">INDEX(Indices!$C$51:$C$71,MATCH($D$3,Indices!$A$51:$A$71,0))/INDEX(Indices!$C$51:$C$71,MATCH(F51,Indices!$A$51:$A$71,0))</f>
        <v>1.02</v>
      </c>
      <c r="L51" s="21" t="n">
        <f aca="false">J51*K51</f>
        <v>15351</v>
      </c>
      <c r="M51" s="75" t="s">
        <v>308</v>
      </c>
      <c r="N51" s="21" t="n">
        <f aca="false">IF(M51="Y",MAX(L51,$D$7*$D$8),L51)</f>
        <v>15351</v>
      </c>
      <c r="O51" s="21" t="n">
        <f aca="false">N51*$D$6</f>
        <v>44134125000</v>
      </c>
      <c r="P51" s="21" t="n">
        <f aca="false">O51*E51</f>
        <v>88268250000</v>
      </c>
      <c r="Q51" s="65" t="n">
        <v>45920671835.1439</v>
      </c>
      <c r="R51" s="62" t="n">
        <f aca="false">IF(Q51="","",O51/Q51-1)</f>
        <v>-0.038905067451052</v>
      </c>
      <c r="S51" s="68"/>
    </row>
    <row r="52" customFormat="false" ht="15" hidden="false" customHeight="false" outlineLevel="0" collapsed="false">
      <c r="A52" s="46" t="s">
        <v>519</v>
      </c>
      <c r="B52" s="46" t="s">
        <v>309</v>
      </c>
      <c r="C52" s="46" t="s">
        <v>522</v>
      </c>
      <c r="D52" s="46" t="s">
        <v>499</v>
      </c>
      <c r="E52" s="73" t="n">
        <v>1</v>
      </c>
      <c r="F52" s="73" t="n">
        <v>1404</v>
      </c>
      <c r="G52" s="75" t="s">
        <v>15</v>
      </c>
      <c r="H52" s="65" t="n">
        <v>22250</v>
      </c>
      <c r="I52" s="65" t="n">
        <v>1</v>
      </c>
      <c r="J52" s="21" t="n">
        <f aca="false">H52/I52</f>
        <v>22250</v>
      </c>
      <c r="K52" s="22" t="n">
        <f aca="false">INDEX(Indices!$C$51:$C$71,MATCH($D$3,Indices!$A$51:$A$71,0))/INDEX(Indices!$C$51:$C$71,MATCH(F52,Indices!$A$51:$A$71,0))</f>
        <v>1.02</v>
      </c>
      <c r="L52" s="21" t="n">
        <f aca="false">J52*K52</f>
        <v>22695</v>
      </c>
      <c r="M52" s="75" t="s">
        <v>308</v>
      </c>
      <c r="N52" s="21" t="n">
        <f aca="false">IF(M52="Y",MAX(L52,$D$7*$D$8),L52)</f>
        <v>22695</v>
      </c>
      <c r="O52" s="21" t="n">
        <f aca="false">N52*$D$6</f>
        <v>65248125000</v>
      </c>
      <c r="P52" s="21" t="n">
        <f aca="false">O52*E52</f>
        <v>65248125000</v>
      </c>
      <c r="Q52" s="65" t="n">
        <v>67889365337.6712</v>
      </c>
      <c r="R52" s="62" t="n">
        <f aca="false">IF(Q52="","",O52/Q52-1)</f>
        <v>-0.0389050674510519</v>
      </c>
      <c r="S52" s="68"/>
    </row>
    <row r="53" customFormat="false" ht="15" hidden="false" customHeight="false" outlineLevel="0" collapsed="false">
      <c r="A53" s="46" t="s">
        <v>519</v>
      </c>
      <c r="B53" s="46" t="s">
        <v>312</v>
      </c>
      <c r="C53" s="46" t="s">
        <v>523</v>
      </c>
      <c r="D53" s="46" t="s">
        <v>499</v>
      </c>
      <c r="E53" s="73" t="n">
        <v>2</v>
      </c>
      <c r="F53" s="73" t="n">
        <v>1404</v>
      </c>
      <c r="G53" s="75" t="s">
        <v>15</v>
      </c>
      <c r="H53" s="65" t="n">
        <v>21500</v>
      </c>
      <c r="I53" s="65" t="n">
        <v>1</v>
      </c>
      <c r="J53" s="21" t="n">
        <f aca="false">H53/I53</f>
        <v>21500</v>
      </c>
      <c r="K53" s="22" t="n">
        <f aca="false">INDEX(Indices!$C$51:$C$71,MATCH($D$3,Indices!$A$51:$A$71,0))/INDEX(Indices!$C$51:$C$71,MATCH(F53,Indices!$A$51:$A$71,0))</f>
        <v>1.02</v>
      </c>
      <c r="L53" s="21" t="n">
        <f aca="false">J53*K53</f>
        <v>21930</v>
      </c>
      <c r="M53" s="75" t="s">
        <v>308</v>
      </c>
      <c r="N53" s="21" t="n">
        <f aca="false">IF(M53="Y",MAX(L53,$D$7*$D$8),L53)</f>
        <v>21930</v>
      </c>
      <c r="O53" s="21" t="n">
        <f aca="false">N53*$D$6</f>
        <v>63048750000</v>
      </c>
      <c r="P53" s="21" t="n">
        <f aca="false">O53*E53</f>
        <v>126097500000</v>
      </c>
      <c r="Q53" s="65" t="n">
        <v>65600959764.4912</v>
      </c>
      <c r="R53" s="62" t="n">
        <f aca="false">IF(Q53="","",O53/Q53-1)</f>
        <v>-0.0389050674510508</v>
      </c>
      <c r="S53" s="68"/>
    </row>
    <row r="54" customFormat="false" ht="15" hidden="false" customHeight="false" outlineLevel="0" collapsed="false">
      <c r="A54" s="46" t="s">
        <v>519</v>
      </c>
      <c r="B54" s="46" t="s">
        <v>314</v>
      </c>
      <c r="C54" s="46" t="s">
        <v>524</v>
      </c>
      <c r="D54" s="46" t="s">
        <v>470</v>
      </c>
      <c r="E54" s="73" t="n">
        <v>2</v>
      </c>
      <c r="F54" s="73" t="n">
        <v>1404</v>
      </c>
      <c r="G54" s="75" t="s">
        <v>15</v>
      </c>
      <c r="H54" s="65" t="n">
        <v>317500</v>
      </c>
      <c r="I54" s="65" t="n">
        <v>1</v>
      </c>
      <c r="J54" s="21" t="n">
        <f aca="false">H54/I54</f>
        <v>317500</v>
      </c>
      <c r="K54" s="22" t="n">
        <f aca="false">INDEX(Indices!$C$51:$C$71,MATCH($D$3,Indices!$A$51:$A$71,0))/INDEX(Indices!$C$51:$C$71,MATCH(F54,Indices!$A$51:$A$71,0))</f>
        <v>1.02</v>
      </c>
      <c r="L54" s="21" t="n">
        <f aca="false">J54*K54</f>
        <v>323850</v>
      </c>
      <c r="M54" s="75" t="s">
        <v>303</v>
      </c>
      <c r="N54" s="21" t="n">
        <f aca="false">IF(M54="Y",MAX(L54,$D$7*$D$8),L54)</f>
        <v>323850</v>
      </c>
      <c r="O54" s="21" t="n">
        <f aca="false">N54*$D$6</f>
        <v>931068750000</v>
      </c>
      <c r="P54" s="21" t="n">
        <f aca="false">O54*E54</f>
        <v>1862137500000</v>
      </c>
      <c r="Q54" s="65" t="n">
        <v>986451909472.058</v>
      </c>
      <c r="R54" s="62" t="n">
        <f aca="false">IF(Q54="","",O54/Q54-1)</f>
        <v>-0.056143800767438</v>
      </c>
      <c r="S54" s="68"/>
    </row>
    <row r="55" customFormat="false" ht="15" hidden="false" customHeight="false" outlineLevel="0" collapsed="false">
      <c r="A55" s="46" t="s">
        <v>519</v>
      </c>
      <c r="B55" s="46" t="s">
        <v>317</v>
      </c>
      <c r="C55" s="46" t="s">
        <v>525</v>
      </c>
      <c r="D55" s="46" t="s">
        <v>474</v>
      </c>
      <c r="E55" s="73" t="n">
        <v>2</v>
      </c>
      <c r="F55" s="73" t="n">
        <v>1404</v>
      </c>
      <c r="G55" s="75" t="s">
        <v>15</v>
      </c>
      <c r="H55" s="65" t="n">
        <v>30000</v>
      </c>
      <c r="I55" s="65" t="n">
        <v>1</v>
      </c>
      <c r="J55" s="21" t="n">
        <f aca="false">H55/I55</f>
        <v>30000</v>
      </c>
      <c r="K55" s="22" t="n">
        <f aca="false">INDEX(Indices!$C$51:$C$71,MATCH($D$3,Indices!$A$51:$A$71,0))/INDEX(Indices!$C$51:$C$71,MATCH(F55,Indices!$A$51:$A$71,0))</f>
        <v>1.02</v>
      </c>
      <c r="L55" s="21" t="n">
        <f aca="false">J55*K55</f>
        <v>30600</v>
      </c>
      <c r="M55" s="75" t="s">
        <v>308</v>
      </c>
      <c r="N55" s="21" t="n">
        <f aca="false">IF(M55="Y",MAX(L55,$D$7*$D$8),L55)</f>
        <v>30600</v>
      </c>
      <c r="O55" s="21" t="n">
        <f aca="false">N55*$D$6</f>
        <v>87975000000</v>
      </c>
      <c r="P55" s="21" t="n">
        <f aca="false">O55*E55</f>
        <v>175950000000</v>
      </c>
      <c r="Q55" s="65" t="n">
        <v>90933123736.0878</v>
      </c>
      <c r="R55" s="62" t="n">
        <f aca="false">IF(Q55="","",O55/Q55-1)</f>
        <v>-0.0325307612292421</v>
      </c>
      <c r="S55" s="68"/>
    </row>
    <row r="56" customFormat="false" ht="15" hidden="false" customHeight="false" outlineLevel="0" collapsed="false">
      <c r="A56" s="46" t="s">
        <v>519</v>
      </c>
      <c r="B56" s="46" t="s">
        <v>320</v>
      </c>
      <c r="C56" s="46" t="s">
        <v>526</v>
      </c>
      <c r="D56" s="46" t="s">
        <v>470</v>
      </c>
      <c r="E56" s="73" t="n">
        <v>2</v>
      </c>
      <c r="F56" s="73" t="n">
        <v>1404</v>
      </c>
      <c r="G56" s="75" t="s">
        <v>15</v>
      </c>
      <c r="H56" s="65" t="n">
        <v>29000</v>
      </c>
      <c r="I56" s="65" t="n">
        <v>1</v>
      </c>
      <c r="J56" s="21" t="n">
        <f aca="false">H56/I56</f>
        <v>29000</v>
      </c>
      <c r="K56" s="22" t="n">
        <f aca="false">INDEX(Indices!$C$51:$C$71,MATCH($D$3,Indices!$A$51:$A$71,0))/INDEX(Indices!$C$51:$C$71,MATCH(F56,Indices!$A$51:$A$71,0))</f>
        <v>1.02</v>
      </c>
      <c r="L56" s="21" t="n">
        <f aca="false">J56*K56</f>
        <v>29580</v>
      </c>
      <c r="M56" s="75" t="s">
        <v>303</v>
      </c>
      <c r="N56" s="21" t="n">
        <f aca="false">IF(M56="Y",MAX(L56,$D$7*$D$8),L56)</f>
        <v>29580</v>
      </c>
      <c r="O56" s="21" t="n">
        <f aca="false">N56*$D$6</f>
        <v>85042500000</v>
      </c>
      <c r="P56" s="21" t="n">
        <f aca="false">O56*E56</f>
        <v>170085000000</v>
      </c>
      <c r="Q56" s="65" t="n">
        <v>90101119290.3612</v>
      </c>
      <c r="R56" s="62" t="n">
        <f aca="false">IF(Q56="","",O56/Q56-1)</f>
        <v>-0.056143800767438</v>
      </c>
      <c r="S56" s="68"/>
    </row>
    <row r="57" customFormat="false" ht="15" hidden="false" customHeight="false" outlineLevel="0" collapsed="false">
      <c r="A57" s="46" t="s">
        <v>519</v>
      </c>
      <c r="B57" s="46" t="s">
        <v>322</v>
      </c>
      <c r="C57" s="46" t="s">
        <v>524</v>
      </c>
      <c r="D57" s="46" t="s">
        <v>470</v>
      </c>
      <c r="E57" s="73" t="n">
        <v>3</v>
      </c>
      <c r="F57" s="73" t="n">
        <v>1404</v>
      </c>
      <c r="G57" s="75" t="s">
        <v>15</v>
      </c>
      <c r="H57" s="65" t="n">
        <v>247500</v>
      </c>
      <c r="I57" s="65" t="n">
        <v>1</v>
      </c>
      <c r="J57" s="21" t="n">
        <f aca="false">H57/I57</f>
        <v>247500</v>
      </c>
      <c r="K57" s="22" t="n">
        <f aca="false">INDEX(Indices!$C$51:$C$71,MATCH($D$3,Indices!$A$51:$A$71,0))/INDEX(Indices!$C$51:$C$71,MATCH(F57,Indices!$A$51:$A$71,0))</f>
        <v>1.02</v>
      </c>
      <c r="L57" s="21" t="n">
        <f aca="false">J57*K57</f>
        <v>252450</v>
      </c>
      <c r="M57" s="75" t="s">
        <v>303</v>
      </c>
      <c r="N57" s="21" t="n">
        <f aca="false">IF(M57="Y",MAX(L57,$D$7*$D$8),L57)</f>
        <v>252450</v>
      </c>
      <c r="O57" s="21" t="n">
        <f aca="false">N57*$D$6</f>
        <v>725793750000</v>
      </c>
      <c r="P57" s="21" t="n">
        <f aca="false">O57*E57</f>
        <v>2177381250000</v>
      </c>
      <c r="Q57" s="65" t="n">
        <v>768966449116.014</v>
      </c>
      <c r="R57" s="62" t="n">
        <f aca="false">IF(Q57="","",O57/Q57-1)</f>
        <v>-0.0561438007674384</v>
      </c>
      <c r="S57" s="68"/>
    </row>
    <row r="58" customFormat="false" ht="15" hidden="false" customHeight="false" outlineLevel="0" collapsed="false">
      <c r="A58" s="46" t="s">
        <v>519</v>
      </c>
      <c r="B58" s="46" t="s">
        <v>323</v>
      </c>
      <c r="C58" s="46" t="s">
        <v>527</v>
      </c>
      <c r="D58" s="46" t="s">
        <v>477</v>
      </c>
      <c r="E58" s="73" t="n">
        <v>2</v>
      </c>
      <c r="F58" s="73" t="n">
        <v>1404</v>
      </c>
      <c r="G58" s="75" t="s">
        <v>15</v>
      </c>
      <c r="H58" s="65" t="n">
        <v>25500</v>
      </c>
      <c r="I58" s="65" t="n">
        <v>1</v>
      </c>
      <c r="J58" s="21" t="n">
        <f aca="false">H58/I58</f>
        <v>25500</v>
      </c>
      <c r="K58" s="22" t="n">
        <f aca="false">INDEX(Indices!$C$51:$C$71,MATCH($D$3,Indices!$A$51:$A$71,0))/INDEX(Indices!$C$51:$C$71,MATCH(F58,Indices!$A$51:$A$71,0))</f>
        <v>1.02</v>
      </c>
      <c r="L58" s="21" t="n">
        <f aca="false">J58*K58</f>
        <v>26010</v>
      </c>
      <c r="M58" s="75" t="s">
        <v>303</v>
      </c>
      <c r="N58" s="21" t="n">
        <f aca="false">IF(M58="Y",MAX(L58,$D$7*$D$8),L58)</f>
        <v>26010</v>
      </c>
      <c r="O58" s="21" t="n">
        <f aca="false">N58*$D$6</f>
        <v>74778750000</v>
      </c>
      <c r="P58" s="21" t="n">
        <f aca="false">O58*E58</f>
        <v>149557500000</v>
      </c>
      <c r="Q58" s="65" t="n">
        <v>77677165816.9</v>
      </c>
      <c r="R58" s="62" t="n">
        <f aca="false">IF(Q58="","",O58/Q58-1)</f>
        <v>-0.0373136144505081</v>
      </c>
      <c r="S58" s="68"/>
    </row>
    <row r="59" customFormat="false" ht="15" hidden="false" customHeight="false" outlineLevel="0" collapsed="false">
      <c r="A59" s="46" t="s">
        <v>519</v>
      </c>
      <c r="B59" s="46" t="s">
        <v>325</v>
      </c>
      <c r="C59" s="46" t="s">
        <v>528</v>
      </c>
      <c r="D59" s="46" t="s">
        <v>470</v>
      </c>
      <c r="E59" s="73" t="n">
        <v>2</v>
      </c>
      <c r="F59" s="73" t="n">
        <v>1404</v>
      </c>
      <c r="G59" s="75" t="s">
        <v>15</v>
      </c>
      <c r="H59" s="65" t="n">
        <v>31000</v>
      </c>
      <c r="I59" s="65" t="n">
        <v>1</v>
      </c>
      <c r="J59" s="21" t="n">
        <f aca="false">H59/I59</f>
        <v>31000</v>
      </c>
      <c r="K59" s="22" t="n">
        <f aca="false">INDEX(Indices!$C$51:$C$71,MATCH($D$3,Indices!$A$51:$A$71,0))/INDEX(Indices!$C$51:$C$71,MATCH(F59,Indices!$A$51:$A$71,0))</f>
        <v>1.02</v>
      </c>
      <c r="L59" s="21" t="n">
        <f aca="false">J59*K59</f>
        <v>31620</v>
      </c>
      <c r="M59" s="75" t="s">
        <v>303</v>
      </c>
      <c r="N59" s="21" t="n">
        <f aca="false">IF(M59="Y",MAX(L59,$D$7*$D$8),L59)</f>
        <v>31620</v>
      </c>
      <c r="O59" s="21" t="n">
        <f aca="false">N59*$D$6</f>
        <v>90907500000</v>
      </c>
      <c r="P59" s="21" t="n">
        <f aca="false">O59*E59</f>
        <v>181815000000</v>
      </c>
      <c r="Q59" s="65" t="n">
        <v>96314989586.2482</v>
      </c>
      <c r="R59" s="62" t="n">
        <f aca="false">IF(Q59="","",O59/Q59-1)</f>
        <v>-0.0561438007674382</v>
      </c>
      <c r="S59" s="68"/>
    </row>
    <row r="60" customFormat="false" ht="15" hidden="false" customHeight="false" outlineLevel="0" collapsed="false">
      <c r="A60" s="46" t="s">
        <v>519</v>
      </c>
      <c r="B60" s="46" t="s">
        <v>327</v>
      </c>
      <c r="C60" s="46" t="s">
        <v>529</v>
      </c>
      <c r="D60" s="46" t="s">
        <v>477</v>
      </c>
      <c r="E60" s="73" t="n">
        <v>1</v>
      </c>
      <c r="F60" s="73" t="n">
        <v>1404</v>
      </c>
      <c r="G60" s="75" t="s">
        <v>15</v>
      </c>
      <c r="H60" s="65" t="n">
        <v>34500</v>
      </c>
      <c r="I60" s="65" t="n">
        <v>1</v>
      </c>
      <c r="J60" s="21" t="n">
        <f aca="false">H60/I60</f>
        <v>34500</v>
      </c>
      <c r="K60" s="22" t="n">
        <f aca="false">INDEX(Indices!$C$51:$C$71,MATCH($D$3,Indices!$A$51:$A$71,0))/INDEX(Indices!$C$51:$C$71,MATCH(F60,Indices!$A$51:$A$71,0))</f>
        <v>1.02</v>
      </c>
      <c r="L60" s="21" t="n">
        <f aca="false">J60*K60</f>
        <v>35190</v>
      </c>
      <c r="M60" s="75" t="s">
        <v>303</v>
      </c>
      <c r="N60" s="21" t="n">
        <f aca="false">IF(M60="Y",MAX(L60,$D$7*$D$8),L60)</f>
        <v>35190</v>
      </c>
      <c r="O60" s="21" t="n">
        <f aca="false">N60*$D$6</f>
        <v>101171250000</v>
      </c>
      <c r="P60" s="21" t="n">
        <f aca="false">O60*E60</f>
        <v>101171250000</v>
      </c>
      <c r="Q60" s="65" t="n">
        <v>105092636105.218</v>
      </c>
      <c r="R60" s="62" t="n">
        <f aca="false">IF(Q60="","",O60/Q60-1)</f>
        <v>-0.0373136144505114</v>
      </c>
      <c r="S60" s="68"/>
    </row>
    <row r="61" customFormat="false" ht="15" hidden="false" customHeight="false" outlineLevel="0" collapsed="false">
      <c r="A61" s="46" t="s">
        <v>530</v>
      </c>
      <c r="B61" s="46" t="s">
        <v>531</v>
      </c>
      <c r="C61" s="46" t="s">
        <v>532</v>
      </c>
      <c r="D61" s="46" t="s">
        <v>474</v>
      </c>
      <c r="E61" s="73" t="n">
        <v>2</v>
      </c>
      <c r="F61" s="73" t="n">
        <v>1393</v>
      </c>
      <c r="G61" s="75" t="s">
        <v>15</v>
      </c>
      <c r="H61" s="65" t="n">
        <v>25000</v>
      </c>
      <c r="I61" s="65" t="n">
        <v>1</v>
      </c>
      <c r="J61" s="21" t="n">
        <f aca="false">H61/I61</f>
        <v>25000</v>
      </c>
      <c r="K61" s="22" t="n">
        <f aca="false">INDEX(Indices!$C$51:$C$71,MATCH($D$3,Indices!$A$51:$A$71,0))/INDEX(Indices!$C$51:$C$71,MATCH(F61,Indices!$A$51:$A$71,0))</f>
        <v>1.37809127393346</v>
      </c>
      <c r="L61" s="21" t="n">
        <f aca="false">J61*K61</f>
        <v>34452.2818483366</v>
      </c>
      <c r="M61" s="75" t="s">
        <v>308</v>
      </c>
      <c r="N61" s="21" t="n">
        <f aca="false">IF(M61="Y",MAX(L61,$D$7*$D$8),L61)</f>
        <v>34452.2818483366</v>
      </c>
      <c r="O61" s="21" t="n">
        <f aca="false">N61*$D$6</f>
        <v>99050310313.9676</v>
      </c>
      <c r="P61" s="21" t="n">
        <f aca="false">O61*E61</f>
        <v>198100620627.935</v>
      </c>
      <c r="Q61" s="65" t="n">
        <v>117612616761.351</v>
      </c>
      <c r="R61" s="62" t="n">
        <f aca="false">IF(Q61="","",O61/Q61-1)</f>
        <v>-0.157825809496683</v>
      </c>
      <c r="S61" s="68" t="s">
        <v>533</v>
      </c>
    </row>
    <row r="62" customFormat="false" ht="15" hidden="false" customHeight="false" outlineLevel="0" collapsed="false">
      <c r="A62" s="46" t="s">
        <v>519</v>
      </c>
      <c r="B62" s="46" t="s">
        <v>330</v>
      </c>
      <c r="C62" s="46" t="s">
        <v>534</v>
      </c>
      <c r="D62" s="46" t="s">
        <v>470</v>
      </c>
      <c r="E62" s="73" t="n">
        <v>2</v>
      </c>
      <c r="F62" s="73" t="n">
        <v>1404</v>
      </c>
      <c r="G62" s="75" t="s">
        <v>15</v>
      </c>
      <c r="H62" s="65" t="n">
        <v>29600</v>
      </c>
      <c r="I62" s="65" t="n">
        <v>1</v>
      </c>
      <c r="J62" s="21" t="n">
        <f aca="false">H62/I62</f>
        <v>29600</v>
      </c>
      <c r="K62" s="22" t="n">
        <f aca="false">INDEX(Indices!$C$51:$C$71,MATCH($D$3,Indices!$A$51:$A$71,0))/INDEX(Indices!$C$51:$C$71,MATCH(F62,Indices!$A$51:$A$71,0))</f>
        <v>1.02</v>
      </c>
      <c r="L62" s="21" t="n">
        <f aca="false">J62*K62</f>
        <v>30192</v>
      </c>
      <c r="M62" s="75" t="s">
        <v>303</v>
      </c>
      <c r="N62" s="21" t="n">
        <f aca="false">IF(M62="Y",MAX(L62,$D$7*$D$8),L62)</f>
        <v>30192</v>
      </c>
      <c r="O62" s="21" t="n">
        <f aca="false">N62*$D$6</f>
        <v>86802000000</v>
      </c>
      <c r="P62" s="21" t="n">
        <f aca="false">O62*E62</f>
        <v>173604000000</v>
      </c>
      <c r="Q62" s="65" t="n">
        <v>91965280379.1273</v>
      </c>
      <c r="R62" s="62" t="n">
        <f aca="false">IF(Q62="","",O62/Q62-1)</f>
        <v>-0.0561438007674381</v>
      </c>
      <c r="S62" s="68"/>
    </row>
    <row r="63" customFormat="false" ht="15" hidden="false" customHeight="false" outlineLevel="0" collapsed="false">
      <c r="A63" s="46" t="s">
        <v>519</v>
      </c>
      <c r="B63" s="46" t="s">
        <v>332</v>
      </c>
      <c r="C63" s="46" t="s">
        <v>535</v>
      </c>
      <c r="D63" s="46" t="s">
        <v>477</v>
      </c>
      <c r="E63" s="73" t="n">
        <v>2</v>
      </c>
      <c r="F63" s="73" t="n">
        <v>1404</v>
      </c>
      <c r="G63" s="75" t="s">
        <v>15</v>
      </c>
      <c r="H63" s="65" t="n">
        <v>26250</v>
      </c>
      <c r="I63" s="65" t="n">
        <v>1</v>
      </c>
      <c r="J63" s="21" t="n">
        <f aca="false">H63/I63</f>
        <v>26250</v>
      </c>
      <c r="K63" s="22" t="n">
        <f aca="false">INDEX(Indices!$C$51:$C$71,MATCH($D$3,Indices!$A$51:$A$71,0))/INDEX(Indices!$C$51:$C$71,MATCH(F63,Indices!$A$51:$A$71,0))</f>
        <v>1.02</v>
      </c>
      <c r="L63" s="21" t="n">
        <f aca="false">J63*K63</f>
        <v>26775</v>
      </c>
      <c r="M63" s="75" t="s">
        <v>303</v>
      </c>
      <c r="N63" s="21" t="n">
        <f aca="false">IF(M63="Y",MAX(L63,$D$7*$D$8),L63)</f>
        <v>26775</v>
      </c>
      <c r="O63" s="21" t="n">
        <f aca="false">N63*$D$6</f>
        <v>76978125000</v>
      </c>
      <c r="P63" s="21" t="n">
        <f aca="false">O63*E63</f>
        <v>153956250000</v>
      </c>
      <c r="Q63" s="65" t="n">
        <v>79961788340.9265</v>
      </c>
      <c r="R63" s="62" t="n">
        <f aca="false">IF(Q63="","",O63/Q63-1)</f>
        <v>-0.0373136144505085</v>
      </c>
      <c r="S63" s="68"/>
    </row>
    <row r="64" customFormat="false" ht="15" hidden="false" customHeight="false" outlineLevel="0" collapsed="false">
      <c r="A64" s="46" t="s">
        <v>519</v>
      </c>
      <c r="B64" s="46" t="s">
        <v>334</v>
      </c>
      <c r="C64" s="46" t="s">
        <v>536</v>
      </c>
      <c r="D64" s="46" t="s">
        <v>499</v>
      </c>
      <c r="E64" s="73" t="n">
        <v>1</v>
      </c>
      <c r="F64" s="73" t="n">
        <v>1404</v>
      </c>
      <c r="G64" s="75" t="s">
        <v>15</v>
      </c>
      <c r="H64" s="65" t="n">
        <v>21000</v>
      </c>
      <c r="I64" s="65" t="n">
        <v>1</v>
      </c>
      <c r="J64" s="21" t="n">
        <f aca="false">H64/I64</f>
        <v>21000</v>
      </c>
      <c r="K64" s="22" t="n">
        <f aca="false">INDEX(Indices!$C$51:$C$71,MATCH($D$3,Indices!$A$51:$A$71,0))/INDEX(Indices!$C$51:$C$71,MATCH(F64,Indices!$A$51:$A$71,0))</f>
        <v>1.02</v>
      </c>
      <c r="L64" s="21" t="n">
        <f aca="false">J64*K64</f>
        <v>21420</v>
      </c>
      <c r="M64" s="75" t="s">
        <v>303</v>
      </c>
      <c r="N64" s="21" t="n">
        <f aca="false">IF(M64="Y",MAX(L64,$D$7*$D$8),L64)</f>
        <v>25500</v>
      </c>
      <c r="O64" s="21" t="n">
        <f aca="false">N64*$D$6</f>
        <v>73312500000</v>
      </c>
      <c r="P64" s="21" t="n">
        <f aca="false">O64*E64</f>
        <v>73312500000</v>
      </c>
      <c r="Q64" s="65" t="n">
        <v>64075356049.038</v>
      </c>
      <c r="R64" s="62" t="n">
        <f aca="false">IF(Q64="","",O64/Q64-1)</f>
        <v>0.144160633986843</v>
      </c>
      <c r="S64" s="68"/>
    </row>
    <row r="65" customFormat="false" ht="15" hidden="false" customHeight="false" outlineLevel="0" collapsed="false">
      <c r="A65" s="46" t="s">
        <v>519</v>
      </c>
      <c r="B65" s="46" t="s">
        <v>337</v>
      </c>
      <c r="C65" s="46" t="s">
        <v>537</v>
      </c>
      <c r="D65" s="46" t="s">
        <v>508</v>
      </c>
      <c r="E65" s="73" t="n">
        <v>1</v>
      </c>
      <c r="F65" s="73" t="n">
        <v>1404</v>
      </c>
      <c r="G65" s="75" t="s">
        <v>15</v>
      </c>
      <c r="H65" s="65" t="n">
        <v>16000</v>
      </c>
      <c r="I65" s="65" t="n">
        <v>1</v>
      </c>
      <c r="J65" s="21" t="n">
        <f aca="false">H65/I65</f>
        <v>16000</v>
      </c>
      <c r="K65" s="22" t="n">
        <f aca="false">INDEX(Indices!$C$51:$C$71,MATCH($D$3,Indices!$A$51:$A$71,0))/INDEX(Indices!$C$51:$C$71,MATCH(F65,Indices!$A$51:$A$71,0))</f>
        <v>1.02</v>
      </c>
      <c r="L65" s="21" t="n">
        <f aca="false">J65*K65</f>
        <v>16320</v>
      </c>
      <c r="M65" s="75" t="s">
        <v>308</v>
      </c>
      <c r="N65" s="21" t="n">
        <f aca="false">IF(M65="Y",MAX(L65,$D$7*$D$8),L65)</f>
        <v>16320</v>
      </c>
      <c r="O65" s="21" t="n">
        <f aca="false">N65*$D$6</f>
        <v>46920000000</v>
      </c>
      <c r="P65" s="21" t="n">
        <f aca="false">O65*E65</f>
        <v>46920000000</v>
      </c>
      <c r="Q65" s="65" t="n">
        <v>48383163026.0011</v>
      </c>
      <c r="R65" s="62" t="n">
        <f aca="false">IF(Q65="","",O65/Q65-1)</f>
        <v>-0.0302411610670182</v>
      </c>
      <c r="S65" s="68" t="s">
        <v>538</v>
      </c>
    </row>
    <row r="66" customFormat="false" ht="15" hidden="false" customHeight="false" outlineLevel="0" collapsed="false">
      <c r="A66" s="46" t="s">
        <v>519</v>
      </c>
      <c r="B66" s="46" t="s">
        <v>339</v>
      </c>
      <c r="C66" s="46" t="s">
        <v>539</v>
      </c>
      <c r="D66" s="46" t="s">
        <v>508</v>
      </c>
      <c r="E66" s="73" t="n">
        <v>1</v>
      </c>
      <c r="F66" s="73" t="n">
        <v>1404</v>
      </c>
      <c r="G66" s="75" t="s">
        <v>15</v>
      </c>
      <c r="H66" s="65" t="n">
        <v>309660.11</v>
      </c>
      <c r="I66" s="65" t="n">
        <v>1</v>
      </c>
      <c r="J66" s="21" t="n">
        <f aca="false">H66/I66</f>
        <v>309660.11</v>
      </c>
      <c r="K66" s="22" t="n">
        <f aca="false">INDEX(Indices!$C$51:$C$71,MATCH($D$3,Indices!$A$51:$A$71,0))/INDEX(Indices!$C$51:$C$71,MATCH(F66,Indices!$A$51:$A$71,0))</f>
        <v>1.02</v>
      </c>
      <c r="L66" s="21" t="n">
        <f aca="false">J66*K66</f>
        <v>315853.3122</v>
      </c>
      <c r="M66" s="75" t="s">
        <v>308</v>
      </c>
      <c r="N66" s="21" t="n">
        <f aca="false">IF(M66="Y",MAX(L66,$D$7*$D$8),L66)</f>
        <v>315853.3122</v>
      </c>
      <c r="O66" s="21" t="n">
        <f aca="false">N66*$D$6</f>
        <v>908078272575</v>
      </c>
      <c r="P66" s="21" t="n">
        <f aca="false">O66*E66</f>
        <v>908078272575</v>
      </c>
      <c r="Q66" s="65" t="n">
        <v>936395974048.714</v>
      </c>
      <c r="R66" s="62" t="n">
        <f aca="false">IF(Q66="","",O66/Q66-1)</f>
        <v>-0.0302411610670176</v>
      </c>
      <c r="S66" s="68" t="s">
        <v>538</v>
      </c>
    </row>
    <row r="67" customFormat="false" ht="15" hidden="false" customHeight="false" outlineLevel="0" collapsed="false">
      <c r="A67" s="46" t="s">
        <v>519</v>
      </c>
      <c r="B67" s="46" t="s">
        <v>342</v>
      </c>
      <c r="C67" s="46" t="s">
        <v>540</v>
      </c>
      <c r="D67" s="46" t="s">
        <v>508</v>
      </c>
      <c r="E67" s="73" t="n">
        <v>1</v>
      </c>
      <c r="F67" s="73" t="n">
        <v>1404</v>
      </c>
      <c r="G67" s="75" t="s">
        <v>15</v>
      </c>
      <c r="H67" s="65" t="n">
        <v>202973.756666667</v>
      </c>
      <c r="I67" s="65" t="n">
        <v>1</v>
      </c>
      <c r="J67" s="21" t="n">
        <f aca="false">H67/I67</f>
        <v>202973.756666667</v>
      </c>
      <c r="K67" s="22" t="n">
        <f aca="false">INDEX(Indices!$C$51:$C$71,MATCH($D$3,Indices!$A$51:$A$71,0))/INDEX(Indices!$C$51:$C$71,MATCH(F67,Indices!$A$51:$A$71,0))</f>
        <v>1.02</v>
      </c>
      <c r="L67" s="21" t="n">
        <f aca="false">J67*K67</f>
        <v>207033.2318</v>
      </c>
      <c r="M67" s="75" t="s">
        <v>308</v>
      </c>
      <c r="N67" s="21" t="n">
        <f aca="false">IF(M67="Y",MAX(L67,$D$7*$D$8),L67)</f>
        <v>207033.2318</v>
      </c>
      <c r="O67" s="21" t="n">
        <f aca="false">N67*$D$6</f>
        <v>595220541425.001</v>
      </c>
      <c r="P67" s="21" t="n">
        <f aca="false">O67*E67</f>
        <v>595220541425.001</v>
      </c>
      <c r="Q67" s="65" t="n">
        <v>613782022425.201</v>
      </c>
      <c r="R67" s="62" t="n">
        <f aca="false">IF(Q67="","",O67/Q67-1)</f>
        <v>-0.0302411610670172</v>
      </c>
      <c r="S67" s="68" t="s">
        <v>538</v>
      </c>
    </row>
    <row r="68" customFormat="false" ht="15" hidden="false" customHeight="false" outlineLevel="0" collapsed="false">
      <c r="A68" s="46" t="s">
        <v>519</v>
      </c>
      <c r="B68" s="46" t="s">
        <v>344</v>
      </c>
      <c r="C68" s="46" t="s">
        <v>541</v>
      </c>
      <c r="D68" s="46" t="s">
        <v>508</v>
      </c>
      <c r="E68" s="73" t="n">
        <v>2</v>
      </c>
      <c r="F68" s="73" t="n">
        <v>1404</v>
      </c>
      <c r="G68" s="75" t="s">
        <v>15</v>
      </c>
      <c r="H68" s="65" t="n">
        <v>26808.0666666667</v>
      </c>
      <c r="I68" s="65" t="n">
        <v>1</v>
      </c>
      <c r="J68" s="21" t="n">
        <f aca="false">H68/I68</f>
        <v>26808.0666666667</v>
      </c>
      <c r="K68" s="22" t="n">
        <f aca="false">INDEX(Indices!$C$51:$C$71,MATCH($D$3,Indices!$A$51:$A$71,0))/INDEX(Indices!$C$51:$C$71,MATCH(F68,Indices!$A$51:$A$71,0))</f>
        <v>1.02</v>
      </c>
      <c r="L68" s="21" t="n">
        <f aca="false">J68*K68</f>
        <v>27344.228</v>
      </c>
      <c r="M68" s="75" t="s">
        <v>308</v>
      </c>
      <c r="N68" s="21" t="n">
        <f aca="false">IF(M68="Y",MAX(L68,$D$7*$D$8),L68)</f>
        <v>27344.228</v>
      </c>
      <c r="O68" s="21" t="n">
        <f aca="false">N68*$D$6</f>
        <v>78614655500.0001</v>
      </c>
      <c r="P68" s="21" t="n">
        <f aca="false">O68*E68</f>
        <v>157229311000</v>
      </c>
      <c r="Q68" s="65" t="n">
        <v>81066191246.5775</v>
      </c>
      <c r="R68" s="62" t="n">
        <f aca="false">IF(Q68="","",O68/Q68-1)</f>
        <v>-0.0302411610670177</v>
      </c>
      <c r="S68" s="68" t="s">
        <v>538</v>
      </c>
    </row>
    <row r="69" customFormat="false" ht="15" hidden="false" customHeight="false" outlineLevel="0" collapsed="false">
      <c r="A69" s="46" t="s">
        <v>542</v>
      </c>
      <c r="B69" s="46" t="s">
        <v>543</v>
      </c>
      <c r="C69" s="46" t="s">
        <v>544</v>
      </c>
      <c r="D69" s="46" t="s">
        <v>486</v>
      </c>
      <c r="E69" s="73" t="n">
        <v>2</v>
      </c>
      <c r="F69" s="73" t="n">
        <v>1393</v>
      </c>
      <c r="G69" s="75" t="s">
        <v>78</v>
      </c>
      <c r="H69" s="65" t="n">
        <v>100000000</v>
      </c>
      <c r="I69" s="21" t="n">
        <f aca="false">INDEX(Indices!$G$51:$G$71,MATCH(F69,Indices!$A$51:$A$71,0))</f>
        <v>40530.8</v>
      </c>
      <c r="J69" s="21" t="n">
        <f aca="false">H69/I69</f>
        <v>2467.25946687457</v>
      </c>
      <c r="K69" s="22" t="n">
        <f aca="false">INDEX(Indices!$C$51:$C$71,MATCH($D$3,Indices!$A$51:$A$71,0))/INDEX(Indices!$C$51:$C$71,MATCH(F69,Indices!$A$51:$A$71,0))</f>
        <v>1.37809127393346</v>
      </c>
      <c r="L69" s="21" t="n">
        <f aca="false">J69*K69</f>
        <v>3400.10874182958</v>
      </c>
      <c r="M69" s="75" t="s">
        <v>308</v>
      </c>
      <c r="N69" s="21" t="n">
        <f aca="false">IF(M69="Y",MAX(L69,$D$7*$D$8),L69)</f>
        <v>3400.10874182958</v>
      </c>
      <c r="O69" s="21" t="n">
        <f aca="false">N69*$D$6</f>
        <v>9775312632.76004</v>
      </c>
      <c r="P69" s="21" t="n">
        <f aca="false">O69*E69</f>
        <v>19550625265.5201</v>
      </c>
      <c r="Q69" s="65" t="n">
        <v>2778342066.65151</v>
      </c>
      <c r="R69" s="62" t="n">
        <f aca="false">IF(Q69="","",O69/Q69-1)</f>
        <v>2.51839780640883</v>
      </c>
      <c r="S69" s="68" t="s">
        <v>545</v>
      </c>
    </row>
    <row r="70" customFormat="false" ht="15" hidden="false" customHeight="false" outlineLevel="0" collapsed="false">
      <c r="A70" s="46" t="s">
        <v>542</v>
      </c>
      <c r="B70" s="46" t="s">
        <v>546</v>
      </c>
      <c r="C70" s="46" t="s">
        <v>544</v>
      </c>
      <c r="D70" s="46" t="s">
        <v>486</v>
      </c>
      <c r="E70" s="73" t="n">
        <v>1</v>
      </c>
      <c r="F70" s="73" t="n">
        <v>1393</v>
      </c>
      <c r="G70" s="75" t="s">
        <v>78</v>
      </c>
      <c r="H70" s="65" t="n">
        <v>100000000</v>
      </c>
      <c r="I70" s="21" t="n">
        <f aca="false">INDEX(Indices!$G$51:$G$71,MATCH(F70,Indices!$A$51:$A$71,0))</f>
        <v>40530.8</v>
      </c>
      <c r="J70" s="21" t="n">
        <f aca="false">H70/I70</f>
        <v>2467.25946687457</v>
      </c>
      <c r="K70" s="22" t="n">
        <f aca="false">INDEX(Indices!$C$51:$C$71,MATCH($D$3,Indices!$A$51:$A$71,0))/INDEX(Indices!$C$51:$C$71,MATCH(F70,Indices!$A$51:$A$71,0))</f>
        <v>1.37809127393346</v>
      </c>
      <c r="L70" s="21" t="n">
        <f aca="false">J70*K70</f>
        <v>3400.10874182958</v>
      </c>
      <c r="M70" s="75" t="s">
        <v>308</v>
      </c>
      <c r="N70" s="21" t="n">
        <f aca="false">IF(M70="Y",MAX(L70,$D$7*$D$8),L70)</f>
        <v>3400.10874182958</v>
      </c>
      <c r="O70" s="21" t="n">
        <f aca="false">N70*$D$6</f>
        <v>9775312632.76004</v>
      </c>
      <c r="P70" s="21" t="n">
        <f aca="false">O70*E70</f>
        <v>9775312632.76004</v>
      </c>
      <c r="Q70" s="65" t="n">
        <v>2778342066.65151</v>
      </c>
      <c r="R70" s="62" t="n">
        <f aca="false">IF(Q70="","",O70/Q70-1)</f>
        <v>2.51839780640883</v>
      </c>
      <c r="S70" s="68" t="s">
        <v>545</v>
      </c>
    </row>
    <row r="71" customFormat="false" ht="15" hidden="false" customHeight="false" outlineLevel="0" collapsed="false">
      <c r="A71" s="46" t="s">
        <v>519</v>
      </c>
      <c r="B71" s="46" t="s">
        <v>391</v>
      </c>
      <c r="C71" s="46" t="s">
        <v>547</v>
      </c>
      <c r="D71" s="46" t="s">
        <v>548</v>
      </c>
      <c r="E71" s="73" t="n">
        <v>1</v>
      </c>
      <c r="F71" s="73" t="n">
        <v>1404</v>
      </c>
      <c r="G71" s="75" t="s">
        <v>78</v>
      </c>
      <c r="H71" s="65" t="n">
        <v>49878867366.6667</v>
      </c>
      <c r="I71" s="21" t="n">
        <f aca="false">Val_IRR_Packages!$E$12</f>
        <v>695298</v>
      </c>
      <c r="J71" s="21" t="n">
        <f aca="false">H71/I71</f>
        <v>71737.3951408845</v>
      </c>
      <c r="K71" s="22" t="n">
        <f aca="false">INDEX(Indices!$C$51:$C$71,MATCH($D$3,Indices!$A$51:$A$71,0))/INDEX(Indices!$C$51:$C$71,MATCH(F71,Indices!$A$51:$A$71,0))</f>
        <v>1.02</v>
      </c>
      <c r="L71" s="21" t="n">
        <f aca="false">J71*K71</f>
        <v>73172.1430437022</v>
      </c>
      <c r="M71" s="75" t="s">
        <v>308</v>
      </c>
      <c r="N71" s="21" t="n">
        <f aca="false">IF(M71="Y",MAX(L71,$D$7*$D$8),L71)</f>
        <v>73172.1430437022</v>
      </c>
      <c r="O71" s="21" t="n">
        <f aca="false">N71*$D$6</f>
        <v>210369911250.644</v>
      </c>
      <c r="P71" s="21" t="n">
        <f aca="false">O71*E71</f>
        <v>210369911250.644</v>
      </c>
      <c r="Q71" s="65" t="n">
        <v>86868132994.8079</v>
      </c>
      <c r="R71" s="62" t="n">
        <f aca="false">IF(Q71="","",O71/Q71-1)</f>
        <v>1.42171558197547</v>
      </c>
      <c r="S71" s="68" t="s">
        <v>549</v>
      </c>
    </row>
    <row r="72" customFormat="false" ht="15" hidden="false" customHeight="false" outlineLevel="0" collapsed="false">
      <c r="A72" s="46" t="s">
        <v>519</v>
      </c>
      <c r="B72" s="46" t="s">
        <v>393</v>
      </c>
      <c r="C72" s="46" t="s">
        <v>550</v>
      </c>
      <c r="D72" s="46" t="s">
        <v>548</v>
      </c>
      <c r="E72" s="73" t="n">
        <v>1</v>
      </c>
      <c r="F72" s="73" t="n">
        <v>1404</v>
      </c>
      <c r="G72" s="75" t="s">
        <v>78</v>
      </c>
      <c r="H72" s="65" t="n">
        <v>73692914633.3333</v>
      </c>
      <c r="I72" s="21" t="n">
        <f aca="false">Val_IRR_Packages!$E$12</f>
        <v>695298</v>
      </c>
      <c r="J72" s="21" t="n">
        <f aca="false">H72/I72</f>
        <v>105987.525684431</v>
      </c>
      <c r="K72" s="22" t="n">
        <f aca="false">INDEX(Indices!$C$51:$C$71,MATCH($D$3,Indices!$A$51:$A$71,0))/INDEX(Indices!$C$51:$C$71,MATCH(F72,Indices!$A$51:$A$71,0))</f>
        <v>1.02</v>
      </c>
      <c r="L72" s="21" t="n">
        <f aca="false">J72*K72</f>
        <v>108107.276198119</v>
      </c>
      <c r="M72" s="75" t="s">
        <v>308</v>
      </c>
      <c r="N72" s="21" t="n">
        <f aca="false">IF(M72="Y",MAX(L72,$D$7*$D$8),L72)</f>
        <v>108107.276198119</v>
      </c>
      <c r="O72" s="21" t="n">
        <f aca="false">N72*$D$6</f>
        <v>310808419069.593</v>
      </c>
      <c r="P72" s="21" t="n">
        <f aca="false">O72*E72</f>
        <v>310808419069.593</v>
      </c>
      <c r="Q72" s="65" t="n">
        <v>128342246869.493</v>
      </c>
      <c r="R72" s="62" t="n">
        <f aca="false">IF(Q72="","",O72/Q72-1)</f>
        <v>1.42171558197547</v>
      </c>
      <c r="S72" s="68" t="s">
        <v>549</v>
      </c>
    </row>
    <row r="73" customFormat="false" ht="15" hidden="false" customHeight="false" outlineLevel="0" collapsed="false">
      <c r="A73" s="46" t="s">
        <v>519</v>
      </c>
      <c r="B73" s="46" t="s">
        <v>395</v>
      </c>
      <c r="C73" s="46" t="s">
        <v>551</v>
      </c>
      <c r="D73" s="46" t="s">
        <v>548</v>
      </c>
      <c r="E73" s="73" t="n">
        <v>1</v>
      </c>
      <c r="F73" s="73" t="n">
        <v>1404</v>
      </c>
      <c r="G73" s="75" t="s">
        <v>78</v>
      </c>
      <c r="H73" s="65" t="n">
        <v>50976422366.6667</v>
      </c>
      <c r="I73" s="21" t="n">
        <f aca="false">Val_IRR_Packages!$E$12</f>
        <v>695298</v>
      </c>
      <c r="J73" s="21" t="n">
        <f aca="false">H73/I73</f>
        <v>73315.9341270458</v>
      </c>
      <c r="K73" s="22" t="n">
        <f aca="false">INDEX(Indices!$C$51:$C$71,MATCH($D$3,Indices!$A$51:$A$71,0))/INDEX(Indices!$C$51:$C$71,MATCH(F73,Indices!$A$51:$A$71,0))</f>
        <v>1.02</v>
      </c>
      <c r="L73" s="21" t="n">
        <f aca="false">J73*K73</f>
        <v>74782.2528095868</v>
      </c>
      <c r="M73" s="75" t="s">
        <v>308</v>
      </c>
      <c r="N73" s="21" t="n">
        <f aca="false">IF(M73="Y",MAX(L73,$D$7*$D$8),L73)</f>
        <v>74782.2528095868</v>
      </c>
      <c r="O73" s="21" t="n">
        <f aca="false">N73*$D$6</f>
        <v>214998976827.562</v>
      </c>
      <c r="P73" s="21" t="n">
        <f aca="false">O73*E73</f>
        <v>214998976827.562</v>
      </c>
      <c r="Q73" s="65" t="n">
        <v>88779614925.7876</v>
      </c>
      <c r="R73" s="62" t="n">
        <f aca="false">IF(Q73="","",O73/Q73-1)</f>
        <v>1.42171558197547</v>
      </c>
      <c r="S73" s="68" t="s">
        <v>549</v>
      </c>
    </row>
    <row r="74" customFormat="false" ht="15" hidden="false" customHeight="false" outlineLevel="0" collapsed="false">
      <c r="A74" s="46" t="s">
        <v>519</v>
      </c>
      <c r="B74" s="46" t="s">
        <v>397</v>
      </c>
      <c r="C74" s="46" t="s">
        <v>552</v>
      </c>
      <c r="D74" s="46" t="s">
        <v>548</v>
      </c>
      <c r="E74" s="73" t="n">
        <v>1</v>
      </c>
      <c r="F74" s="73" t="n">
        <v>1404</v>
      </c>
      <c r="G74" s="75" t="s">
        <v>78</v>
      </c>
      <c r="H74" s="65" t="n">
        <v>52073977366.6667</v>
      </c>
      <c r="I74" s="21" t="n">
        <f aca="false">Val_IRR_Packages!$E$12</f>
        <v>695298</v>
      </c>
      <c r="J74" s="21" t="n">
        <f aca="false">H74/I74</f>
        <v>74894.4731132072</v>
      </c>
      <c r="K74" s="22" t="n">
        <f aca="false">INDEX(Indices!$C$51:$C$71,MATCH($D$3,Indices!$A$51:$A$71,0))/INDEX(Indices!$C$51:$C$71,MATCH(F74,Indices!$A$51:$A$71,0))</f>
        <v>1.02</v>
      </c>
      <c r="L74" s="21" t="n">
        <f aca="false">J74*K74</f>
        <v>76392.3625754713</v>
      </c>
      <c r="M74" s="75" t="s">
        <v>308</v>
      </c>
      <c r="N74" s="21" t="n">
        <f aca="false">IF(M74="Y",MAX(L74,$D$7*$D$8),L74)</f>
        <v>76392.3625754713</v>
      </c>
      <c r="O74" s="21" t="n">
        <f aca="false">N74*$D$6</f>
        <v>219628042404.48</v>
      </c>
      <c r="P74" s="21" t="n">
        <f aca="false">O74*E74</f>
        <v>219628042404.48</v>
      </c>
      <c r="Q74" s="65" t="n">
        <v>90691096856.7673</v>
      </c>
      <c r="R74" s="62" t="n">
        <f aca="false">IF(Q74="","",O74/Q74-1)</f>
        <v>1.42171558197547</v>
      </c>
      <c r="S74" s="68" t="s">
        <v>549</v>
      </c>
    </row>
    <row r="75" customFormat="false" ht="15" hidden="false" customHeight="false" outlineLevel="0" collapsed="false">
      <c r="A75" s="46" t="s">
        <v>519</v>
      </c>
      <c r="B75" s="46" t="s">
        <v>399</v>
      </c>
      <c r="C75" s="46" t="s">
        <v>553</v>
      </c>
      <c r="D75" s="46" t="s">
        <v>548</v>
      </c>
      <c r="E75" s="73" t="n">
        <v>1</v>
      </c>
      <c r="F75" s="73" t="n">
        <v>1404</v>
      </c>
      <c r="G75" s="75" t="s">
        <v>78</v>
      </c>
      <c r="H75" s="65" t="n">
        <v>40488071333.3333</v>
      </c>
      <c r="I75" s="21" t="n">
        <f aca="false">Val_IRR_Packages!$E$12</f>
        <v>695298</v>
      </c>
      <c r="J75" s="21" t="n">
        <f aca="false">H75/I75</f>
        <v>58231.2495265818</v>
      </c>
      <c r="K75" s="22" t="n">
        <f aca="false">INDEX(Indices!$C$51:$C$71,MATCH($D$3,Indices!$A$51:$A$71,0))/INDEX(Indices!$C$51:$C$71,MATCH(F75,Indices!$A$51:$A$71,0))</f>
        <v>1.02</v>
      </c>
      <c r="L75" s="21" t="n">
        <f aca="false">J75*K75</f>
        <v>59395.8745171135</v>
      </c>
      <c r="M75" s="75" t="s">
        <v>308</v>
      </c>
      <c r="N75" s="21" t="n">
        <f aca="false">IF(M75="Y",MAX(L75,$D$7*$D$8),L75)</f>
        <v>59395.8745171135</v>
      </c>
      <c r="O75" s="21" t="n">
        <f aca="false">N75*$D$6</f>
        <v>170763139236.701</v>
      </c>
      <c r="P75" s="21" t="n">
        <f aca="false">O75*E75</f>
        <v>170763139236.701</v>
      </c>
      <c r="Q75" s="65" t="n">
        <v>69183501037.4371</v>
      </c>
      <c r="R75" s="62" t="n">
        <f aca="false">IF(Q75="","",O75/Q75-1)</f>
        <v>1.46826391662799</v>
      </c>
      <c r="S75" s="68" t="s">
        <v>549</v>
      </c>
    </row>
    <row r="76" customFormat="false" ht="15" hidden="false" customHeight="false" outlineLevel="0" collapsed="false">
      <c r="A76" s="46" t="s">
        <v>519</v>
      </c>
      <c r="B76" s="46" t="s">
        <v>401</v>
      </c>
      <c r="C76" s="46" t="s">
        <v>554</v>
      </c>
      <c r="D76" s="46" t="s">
        <v>548</v>
      </c>
      <c r="E76" s="73" t="n">
        <v>1</v>
      </c>
      <c r="F76" s="73" t="n">
        <v>1404</v>
      </c>
      <c r="G76" s="75" t="s">
        <v>78</v>
      </c>
      <c r="H76" s="65" t="n">
        <v>52073977366.6667</v>
      </c>
      <c r="I76" s="21" t="n">
        <f aca="false">Val_IRR_Packages!$E$12</f>
        <v>695298</v>
      </c>
      <c r="J76" s="21" t="n">
        <f aca="false">H76/I76</f>
        <v>74894.4731132072</v>
      </c>
      <c r="K76" s="22" t="n">
        <f aca="false">INDEX(Indices!$C$51:$C$71,MATCH($D$3,Indices!$A$51:$A$71,0))/INDEX(Indices!$C$51:$C$71,MATCH(F76,Indices!$A$51:$A$71,0))</f>
        <v>1.02</v>
      </c>
      <c r="L76" s="21" t="n">
        <f aca="false">J76*K76</f>
        <v>76392.3625754713</v>
      </c>
      <c r="M76" s="75" t="s">
        <v>308</v>
      </c>
      <c r="N76" s="21" t="n">
        <f aca="false">IF(M76="Y",MAX(L76,$D$7*$D$8),L76)</f>
        <v>76392.3625754713</v>
      </c>
      <c r="O76" s="21" t="n">
        <f aca="false">N76*$D$6</f>
        <v>219628042404.48</v>
      </c>
      <c r="P76" s="21" t="n">
        <f aca="false">O76*E76</f>
        <v>219628042404.48</v>
      </c>
      <c r="Q76" s="65" t="n">
        <v>90691096856.7673</v>
      </c>
      <c r="R76" s="62" t="n">
        <f aca="false">IF(Q76="","",O76/Q76-1)</f>
        <v>1.42171558197547</v>
      </c>
      <c r="S76" s="68" t="s">
        <v>549</v>
      </c>
    </row>
    <row r="77" customFormat="false" ht="15" hidden="false" customHeight="false" outlineLevel="0" collapsed="false">
      <c r="A77" s="46" t="s">
        <v>519</v>
      </c>
      <c r="B77" s="46" t="s">
        <v>402</v>
      </c>
      <c r="C77" s="46" t="s">
        <v>555</v>
      </c>
      <c r="D77" s="46" t="s">
        <v>548</v>
      </c>
      <c r="E77" s="73" t="n">
        <v>1</v>
      </c>
      <c r="F77" s="73" t="n">
        <v>1404</v>
      </c>
      <c r="G77" s="75" t="s">
        <v>78</v>
      </c>
      <c r="H77" s="65" t="n">
        <v>52073977366.6667</v>
      </c>
      <c r="I77" s="21" t="n">
        <f aca="false">Val_IRR_Packages!$E$12</f>
        <v>695298</v>
      </c>
      <c r="J77" s="21" t="n">
        <f aca="false">H77/I77</f>
        <v>74894.4731132072</v>
      </c>
      <c r="K77" s="22" t="n">
        <f aca="false">INDEX(Indices!$C$51:$C$71,MATCH($D$3,Indices!$A$51:$A$71,0))/INDEX(Indices!$C$51:$C$71,MATCH(F77,Indices!$A$51:$A$71,0))</f>
        <v>1.02</v>
      </c>
      <c r="L77" s="21" t="n">
        <f aca="false">J77*K77</f>
        <v>76392.3625754713</v>
      </c>
      <c r="M77" s="75" t="s">
        <v>308</v>
      </c>
      <c r="N77" s="21" t="n">
        <f aca="false">IF(M77="Y",MAX(L77,$D$7*$D$8),L77)</f>
        <v>76392.3625754713</v>
      </c>
      <c r="O77" s="21" t="n">
        <f aca="false">N77*$D$6</f>
        <v>219628042404.48</v>
      </c>
      <c r="P77" s="21" t="n">
        <f aca="false">O77*E77</f>
        <v>219628042404.48</v>
      </c>
      <c r="Q77" s="65" t="n">
        <v>90691096856.7673</v>
      </c>
      <c r="R77" s="62" t="n">
        <f aca="false">IF(Q77="","",O77/Q77-1)</f>
        <v>1.42171558197547</v>
      </c>
      <c r="S77" s="68" t="s">
        <v>549</v>
      </c>
    </row>
    <row r="78" customFormat="false" ht="15" hidden="false" customHeight="false" outlineLevel="0" collapsed="false">
      <c r="A78" s="46" t="s">
        <v>519</v>
      </c>
      <c r="B78" s="46" t="s">
        <v>404</v>
      </c>
      <c r="C78" s="46" t="s">
        <v>556</v>
      </c>
      <c r="D78" s="46" t="s">
        <v>548</v>
      </c>
      <c r="E78" s="73" t="n">
        <v>1</v>
      </c>
      <c r="F78" s="73" t="n">
        <v>1404</v>
      </c>
      <c r="G78" s="75" t="s">
        <v>78</v>
      </c>
      <c r="H78" s="65" t="n">
        <v>52073977366.6667</v>
      </c>
      <c r="I78" s="21" t="n">
        <f aca="false">Val_IRR_Packages!$E$12</f>
        <v>695298</v>
      </c>
      <c r="J78" s="21" t="n">
        <f aca="false">H78/I78</f>
        <v>74894.4731132072</v>
      </c>
      <c r="K78" s="22" t="n">
        <f aca="false">INDEX(Indices!$C$51:$C$71,MATCH($D$3,Indices!$A$51:$A$71,0))/INDEX(Indices!$C$51:$C$71,MATCH(F78,Indices!$A$51:$A$71,0))</f>
        <v>1.02</v>
      </c>
      <c r="L78" s="21" t="n">
        <f aca="false">J78*K78</f>
        <v>76392.3625754713</v>
      </c>
      <c r="M78" s="75" t="s">
        <v>308</v>
      </c>
      <c r="N78" s="21" t="n">
        <f aca="false">IF(M78="Y",MAX(L78,$D$7*$D$8),L78)</f>
        <v>76392.3625754713</v>
      </c>
      <c r="O78" s="21" t="n">
        <f aca="false">N78*$D$6</f>
        <v>219628042404.48</v>
      </c>
      <c r="P78" s="21" t="n">
        <f aca="false">O78*E78</f>
        <v>219628042404.48</v>
      </c>
      <c r="Q78" s="65" t="n">
        <v>90691096856.7673</v>
      </c>
      <c r="R78" s="62" t="n">
        <f aca="false">IF(Q78="","",O78/Q78-1)</f>
        <v>1.42171558197547</v>
      </c>
      <c r="S78" s="68" t="s">
        <v>549</v>
      </c>
    </row>
    <row r="79" customFormat="false" ht="15" hidden="false" customHeight="false" outlineLevel="0" collapsed="false">
      <c r="A79" s="46" t="s">
        <v>519</v>
      </c>
      <c r="B79" s="46" t="s">
        <v>405</v>
      </c>
      <c r="C79" s="46" t="s">
        <v>553</v>
      </c>
      <c r="D79" s="46" t="s">
        <v>548</v>
      </c>
      <c r="E79" s="73" t="n">
        <v>1</v>
      </c>
      <c r="F79" s="73" t="n">
        <v>1404</v>
      </c>
      <c r="G79" s="75" t="s">
        <v>78</v>
      </c>
      <c r="H79" s="65" t="n">
        <v>43780736333.3333</v>
      </c>
      <c r="I79" s="21" t="n">
        <f aca="false">Val_IRR_Packages!$E$12</f>
        <v>695298</v>
      </c>
      <c r="J79" s="21" t="n">
        <f aca="false">H79/I79</f>
        <v>62966.8664850658</v>
      </c>
      <c r="K79" s="22" t="n">
        <f aca="false">INDEX(Indices!$C$51:$C$71,MATCH($D$3,Indices!$A$51:$A$71,0))/INDEX(Indices!$C$51:$C$71,MATCH(F79,Indices!$A$51:$A$71,0))</f>
        <v>1.02</v>
      </c>
      <c r="L79" s="21" t="n">
        <f aca="false">J79*K79</f>
        <v>64226.2038147672</v>
      </c>
      <c r="M79" s="75" t="s">
        <v>308</v>
      </c>
      <c r="N79" s="21" t="n">
        <f aca="false">IF(M79="Y",MAX(L79,$D$7*$D$8),L79)</f>
        <v>64226.2038147672</v>
      </c>
      <c r="O79" s="21" t="n">
        <f aca="false">N79*$D$6</f>
        <v>184650335967.456</v>
      </c>
      <c r="P79" s="21" t="n">
        <f aca="false">O79*E79</f>
        <v>184650335967.456</v>
      </c>
      <c r="Q79" s="65" t="n">
        <v>74809802437.8669</v>
      </c>
      <c r="R79" s="62" t="n">
        <f aca="false">IF(Q79="","",O79/Q79-1)</f>
        <v>1.46826391662799</v>
      </c>
      <c r="S79" s="68" t="s">
        <v>549</v>
      </c>
    </row>
    <row r="80" customFormat="false" ht="15" hidden="false" customHeight="false" outlineLevel="0" collapsed="false">
      <c r="A80" s="46" t="s">
        <v>519</v>
      </c>
      <c r="B80" s="46" t="s">
        <v>406</v>
      </c>
      <c r="C80" s="46" t="s">
        <v>553</v>
      </c>
      <c r="D80" s="46" t="s">
        <v>548</v>
      </c>
      <c r="E80" s="73" t="n">
        <v>1</v>
      </c>
      <c r="F80" s="73" t="n">
        <v>1404</v>
      </c>
      <c r="G80" s="75" t="s">
        <v>78</v>
      </c>
      <c r="H80" s="65" t="n">
        <v>40488071333.3333</v>
      </c>
      <c r="I80" s="21" t="n">
        <f aca="false">Val_IRR_Packages!$E$12</f>
        <v>695298</v>
      </c>
      <c r="J80" s="21" t="n">
        <f aca="false">H80/I80</f>
        <v>58231.2495265818</v>
      </c>
      <c r="K80" s="22" t="n">
        <f aca="false">INDEX(Indices!$C$51:$C$71,MATCH($D$3,Indices!$A$51:$A$71,0))/INDEX(Indices!$C$51:$C$71,MATCH(F80,Indices!$A$51:$A$71,0))</f>
        <v>1.02</v>
      </c>
      <c r="L80" s="21" t="n">
        <f aca="false">J80*K80</f>
        <v>59395.8745171135</v>
      </c>
      <c r="M80" s="75" t="s">
        <v>308</v>
      </c>
      <c r="N80" s="21" t="n">
        <f aca="false">IF(M80="Y",MAX(L80,$D$7*$D$8),L80)</f>
        <v>59395.8745171135</v>
      </c>
      <c r="O80" s="21" t="n">
        <f aca="false">N80*$D$6</f>
        <v>170763139236.701</v>
      </c>
      <c r="P80" s="21" t="n">
        <f aca="false">O80*E80</f>
        <v>170763139236.701</v>
      </c>
      <c r="Q80" s="65" t="n">
        <v>69183501037.4371</v>
      </c>
      <c r="R80" s="62" t="n">
        <f aca="false">IF(Q80="","",O80/Q80-1)</f>
        <v>1.46826391662799</v>
      </c>
      <c r="S80" s="68" t="s">
        <v>549</v>
      </c>
    </row>
    <row r="81" customFormat="false" ht="15" hidden="false" customHeight="false" outlineLevel="0" collapsed="false">
      <c r="A81" s="46" t="s">
        <v>519</v>
      </c>
      <c r="B81" s="46" t="s">
        <v>407</v>
      </c>
      <c r="C81" s="46" t="s">
        <v>557</v>
      </c>
      <c r="D81" s="46" t="s">
        <v>548</v>
      </c>
      <c r="E81" s="73" t="n">
        <v>1</v>
      </c>
      <c r="F81" s="73" t="n">
        <v>1404</v>
      </c>
      <c r="G81" s="75" t="s">
        <v>78</v>
      </c>
      <c r="H81" s="65" t="n">
        <v>55035754033.3333</v>
      </c>
      <c r="I81" s="21" t="n">
        <f aca="false">Val_IRR_Packages!$E$12</f>
        <v>695298</v>
      </c>
      <c r="J81" s="21" t="n">
        <f aca="false">H81/I81</f>
        <v>79154.1958028548</v>
      </c>
      <c r="K81" s="22" t="n">
        <f aca="false">INDEX(Indices!$C$51:$C$71,MATCH($D$3,Indices!$A$51:$A$71,0))/INDEX(Indices!$C$51:$C$71,MATCH(F81,Indices!$A$51:$A$71,0))</f>
        <v>1.02</v>
      </c>
      <c r="L81" s="21" t="n">
        <f aca="false">J81*K81</f>
        <v>80737.2797189118</v>
      </c>
      <c r="M81" s="75" t="s">
        <v>308</v>
      </c>
      <c r="N81" s="21" t="n">
        <f aca="false">IF(M81="Y",MAX(L81,$D$7*$D$8),L81)</f>
        <v>80737.2797189118</v>
      </c>
      <c r="O81" s="21" t="n">
        <f aca="false">N81*$D$6</f>
        <v>232119679191.872</v>
      </c>
      <c r="P81" s="21" t="n">
        <f aca="false">O81*E81</f>
        <v>232119679191.872</v>
      </c>
      <c r="Q81" s="65" t="n">
        <v>95849273514.8213</v>
      </c>
      <c r="R81" s="62" t="n">
        <f aca="false">IF(Q81="","",O81/Q81-1)</f>
        <v>1.42171558197547</v>
      </c>
      <c r="S81" s="68" t="s">
        <v>549</v>
      </c>
    </row>
    <row r="82" customFormat="false" ht="15" hidden="false" customHeight="false" outlineLevel="0" collapsed="false">
      <c r="A82" s="46" t="s">
        <v>558</v>
      </c>
      <c r="B82" s="46" t="s">
        <v>559</v>
      </c>
      <c r="C82" s="46" t="s">
        <v>560</v>
      </c>
      <c r="D82" s="46" t="s">
        <v>477</v>
      </c>
      <c r="E82" s="73" t="n">
        <v>2</v>
      </c>
      <c r="F82" s="73" t="n">
        <v>1402</v>
      </c>
      <c r="G82" s="75" t="s">
        <v>78</v>
      </c>
      <c r="H82" s="65" t="n">
        <v>175441330000</v>
      </c>
      <c r="I82" s="21" t="n">
        <f aca="false">420000*1.08498039510108</f>
        <v>455691.765942452</v>
      </c>
      <c r="J82" s="21" t="n">
        <f aca="false">H82/I82</f>
        <v>385000.000246123</v>
      </c>
      <c r="K82" s="22" t="n">
        <f aca="false">INDEX(Indices!$C$51:$C$71,MATCH($D$3,Indices!$A$51:$A$71,0))/INDEX(Indices!$C$51:$C$71,MATCH(F82,Indices!$A$51:$A$71,0))</f>
        <v>1.05562639810148</v>
      </c>
      <c r="L82" s="21" t="n">
        <f aca="false">J82*K82</f>
        <v>406416.163528885</v>
      </c>
      <c r="M82" s="75" t="s">
        <v>303</v>
      </c>
      <c r="N82" s="21" t="n">
        <f aca="false">IF(M82="Y",MAX(L82,$D$7*$D$8),L82)</f>
        <v>406416.163528885</v>
      </c>
      <c r="O82" s="21" t="n">
        <f aca="false">N82*$D$6</f>
        <v>1168446470145.54</v>
      </c>
      <c r="P82" s="21" t="n">
        <f aca="false">O82*E82</f>
        <v>2336892940291.09</v>
      </c>
      <c r="Q82" s="65" t="n">
        <v>604231365510.008</v>
      </c>
      <c r="R82" s="62" t="n">
        <f aca="false">IF(Q82="","",O82/Q82-1)</f>
        <v>0.933773280967139</v>
      </c>
      <c r="S82" s="68" t="s">
        <v>561</v>
      </c>
    </row>
    <row r="83" customFormat="false" ht="15" hidden="false" customHeight="false" outlineLevel="0" collapsed="false">
      <c r="A83" s="46" t="s">
        <v>558</v>
      </c>
      <c r="B83" s="46" t="s">
        <v>562</v>
      </c>
      <c r="C83" s="46" t="s">
        <v>563</v>
      </c>
      <c r="D83" s="46" t="s">
        <v>477</v>
      </c>
      <c r="E83" s="73" t="n">
        <v>2</v>
      </c>
      <c r="F83" s="73" t="n">
        <v>1402</v>
      </c>
      <c r="G83" s="75" t="s">
        <v>78</v>
      </c>
      <c r="H83" s="65" t="n">
        <v>61518388000</v>
      </c>
      <c r="I83" s="21" t="n">
        <f aca="false">420000*1.08498039510108</f>
        <v>455691.765942452</v>
      </c>
      <c r="J83" s="21" t="n">
        <f aca="false">H83/I83</f>
        <v>134999.999117318</v>
      </c>
      <c r="K83" s="22" t="n">
        <f aca="false">INDEX(Indices!$C$51:$C$71,MATCH($D$3,Indices!$A$51:$A$71,0))/INDEX(Indices!$C$51:$C$71,MATCH(F83,Indices!$A$51:$A$71,0))</f>
        <v>1.05562639810148</v>
      </c>
      <c r="L83" s="21" t="n">
        <f aca="false">J83*K83</f>
        <v>142509.562811918</v>
      </c>
      <c r="M83" s="75" t="s">
        <v>303</v>
      </c>
      <c r="N83" s="21" t="n">
        <f aca="false">IF(M83="Y",MAX(L83,$D$7*$D$8),L83)</f>
        <v>142509.562811918</v>
      </c>
      <c r="O83" s="21" t="n">
        <f aca="false">N83*$D$6</f>
        <v>409714993084.263</v>
      </c>
      <c r="P83" s="21" t="n">
        <f aca="false">O83*E83</f>
        <v>819429986168.526</v>
      </c>
      <c r="Q83" s="65" t="n">
        <v>211873334437.299</v>
      </c>
      <c r="R83" s="62" t="n">
        <f aca="false">IF(Q83="","",O83/Q83-1)</f>
        <v>0.933773280967137</v>
      </c>
      <c r="S83" s="68" t="s">
        <v>564</v>
      </c>
    </row>
    <row r="84" customFormat="false" ht="15" hidden="false" customHeight="false" outlineLevel="0" collapsed="false">
      <c r="A84" s="46" t="s">
        <v>558</v>
      </c>
      <c r="B84" s="46" t="s">
        <v>565</v>
      </c>
      <c r="C84" s="46" t="s">
        <v>566</v>
      </c>
      <c r="D84" s="46" t="s">
        <v>477</v>
      </c>
      <c r="E84" s="73" t="n">
        <v>2</v>
      </c>
      <c r="F84" s="73" t="n">
        <v>1402</v>
      </c>
      <c r="G84" s="75" t="s">
        <v>78</v>
      </c>
      <c r="H84" s="65" t="n">
        <v>63796847231.9433</v>
      </c>
      <c r="I84" s="21" t="n">
        <f aca="false">420000*1.08498039510108</f>
        <v>455691.765942452</v>
      </c>
      <c r="J84" s="21" t="n">
        <f aca="false">H84/I84</f>
        <v>140000</v>
      </c>
      <c r="K84" s="22" t="n">
        <f aca="false">INDEX(Indices!$C$51:$C$71,MATCH($D$3,Indices!$A$51:$A$71,0))/INDEX(Indices!$C$51:$C$71,MATCH(F84,Indices!$A$51:$A$71,0))</f>
        <v>1.05562639810148</v>
      </c>
      <c r="L84" s="21" t="n">
        <f aca="false">J84*K84</f>
        <v>147787.695734208</v>
      </c>
      <c r="M84" s="75" t="s">
        <v>303</v>
      </c>
      <c r="N84" s="21" t="n">
        <f aca="false">IF(M84="Y",MAX(L84,$D$7*$D$8),L84)</f>
        <v>147787.695734208</v>
      </c>
      <c r="O84" s="21" t="n">
        <f aca="false">N84*$D$6</f>
        <v>424889625235.847</v>
      </c>
      <c r="P84" s="21" t="n">
        <f aca="false">O84*E84</f>
        <v>849779250471.695</v>
      </c>
      <c r="Q84" s="65" t="n">
        <v>219720496408.631</v>
      </c>
      <c r="R84" s="62" t="n">
        <f aca="false">IF(Q84="","",O84/Q84-1)</f>
        <v>0.933773280967141</v>
      </c>
      <c r="S84" s="68" t="s">
        <v>567</v>
      </c>
    </row>
    <row r="85" customFormat="false" ht="15" hidden="false" customHeight="false" outlineLevel="0" collapsed="false">
      <c r="A85" s="46" t="s">
        <v>558</v>
      </c>
      <c r="B85" s="46" t="s">
        <v>568</v>
      </c>
      <c r="C85" s="46" t="s">
        <v>569</v>
      </c>
      <c r="D85" s="46" t="s">
        <v>477</v>
      </c>
      <c r="E85" s="73" t="n">
        <v>2</v>
      </c>
      <c r="F85" s="73" t="n">
        <v>1402</v>
      </c>
      <c r="G85" s="75" t="s">
        <v>78</v>
      </c>
      <c r="H85" s="65" t="n">
        <v>15493520000</v>
      </c>
      <c r="I85" s="21" t="n">
        <f aca="false">420000*1.08498039510108</f>
        <v>455691.765942452</v>
      </c>
      <c r="J85" s="21" t="n">
        <f aca="false">H85/I85</f>
        <v>33999.9999077373</v>
      </c>
      <c r="K85" s="22" t="n">
        <f aca="false">INDEX(Indices!$C$51:$C$71,MATCH($D$3,Indices!$A$51:$A$71,0))/INDEX(Indices!$C$51:$C$71,MATCH(F85,Indices!$A$51:$A$71,0))</f>
        <v>1.05562639810148</v>
      </c>
      <c r="L85" s="21" t="n">
        <f aca="false">J85*K85</f>
        <v>35891.2974380555</v>
      </c>
      <c r="M85" s="75" t="s">
        <v>303</v>
      </c>
      <c r="N85" s="21" t="n">
        <f aca="false">IF(M85="Y",MAX(L85,$D$7*$D$8),L85)</f>
        <v>35891.2974380555</v>
      </c>
      <c r="O85" s="21" t="n">
        <f aca="false">N85*$D$6</f>
        <v>103187480134.409</v>
      </c>
      <c r="P85" s="21" t="n">
        <f aca="false">O85*E85</f>
        <v>206374960268.819</v>
      </c>
      <c r="Q85" s="65" t="n">
        <v>53360691840.1531</v>
      </c>
      <c r="R85" s="62" t="n">
        <f aca="false">IF(Q85="","",O85/Q85-1)</f>
        <v>0.933773280967142</v>
      </c>
      <c r="S85" s="68" t="s">
        <v>570</v>
      </c>
    </row>
    <row r="86" customFormat="false" ht="15" hidden="false" customHeight="false" outlineLevel="0" collapsed="false">
      <c r="A86" s="46" t="s">
        <v>558</v>
      </c>
      <c r="B86" s="46" t="s">
        <v>571</v>
      </c>
      <c r="C86" s="46" t="s">
        <v>572</v>
      </c>
      <c r="D86" s="46" t="s">
        <v>477</v>
      </c>
      <c r="E86" s="73" t="n">
        <v>1</v>
      </c>
      <c r="F86" s="73" t="n">
        <v>1402</v>
      </c>
      <c r="G86" s="75" t="s">
        <v>78</v>
      </c>
      <c r="H86" s="65" t="n">
        <v>13215061212.3311</v>
      </c>
      <c r="I86" s="21" t="n">
        <f aca="false">420000*1.08498039510108</f>
        <v>455691.765942452</v>
      </c>
      <c r="J86" s="21" t="n">
        <f aca="false">H86/I86</f>
        <v>29000</v>
      </c>
      <c r="K86" s="22" t="n">
        <f aca="false">INDEX(Indices!$C$51:$C$71,MATCH($D$3,Indices!$A$51:$A$71,0))/INDEX(Indices!$C$51:$C$71,MATCH(F86,Indices!$A$51:$A$71,0))</f>
        <v>1.05562639810148</v>
      </c>
      <c r="L86" s="21" t="n">
        <f aca="false">J86*K86</f>
        <v>30613.165544943</v>
      </c>
      <c r="M86" s="75" t="s">
        <v>303</v>
      </c>
      <c r="N86" s="21" t="n">
        <f aca="false">IF(M86="Y",MAX(L86,$D$7*$D$8),L86)</f>
        <v>30613.165544943</v>
      </c>
      <c r="O86" s="21" t="n">
        <f aca="false">N86*$D$6</f>
        <v>88012850941.7112</v>
      </c>
      <c r="P86" s="21" t="n">
        <f aca="false">O86*E86</f>
        <v>88012850941.7112</v>
      </c>
      <c r="Q86" s="65" t="n">
        <v>45513531398.9307</v>
      </c>
      <c r="R86" s="62" t="n">
        <f aca="false">IF(Q86="","",O86/Q86-1)</f>
        <v>0.93377328096714</v>
      </c>
      <c r="S86" s="68" t="s">
        <v>573</v>
      </c>
    </row>
    <row r="87" customFormat="false" ht="15" hidden="false" customHeight="false" outlineLevel="0" collapsed="false">
      <c r="A87" s="46" t="s">
        <v>558</v>
      </c>
      <c r="B87" s="46" t="s">
        <v>574</v>
      </c>
      <c r="C87" s="46" t="s">
        <v>572</v>
      </c>
      <c r="D87" s="46" t="s">
        <v>477</v>
      </c>
      <c r="E87" s="73" t="n">
        <v>2</v>
      </c>
      <c r="F87" s="73" t="n">
        <v>1402</v>
      </c>
      <c r="G87" s="75" t="s">
        <v>78</v>
      </c>
      <c r="H87" s="65" t="n">
        <v>12531523563.4174</v>
      </c>
      <c r="I87" s="21" t="n">
        <f aca="false">420000*1.08498039510108</f>
        <v>455691.765942452</v>
      </c>
      <c r="J87" s="21" t="n">
        <f aca="false">H87/I87</f>
        <v>27499.9999999999</v>
      </c>
      <c r="K87" s="22" t="n">
        <f aca="false">INDEX(Indices!$C$51:$C$71,MATCH($D$3,Indices!$A$51:$A$71,0))/INDEX(Indices!$C$51:$C$71,MATCH(F87,Indices!$A$51:$A$71,0))</f>
        <v>1.05562639810148</v>
      </c>
      <c r="L87" s="21" t="n">
        <f aca="false">J87*K87</f>
        <v>29029.7259477907</v>
      </c>
      <c r="M87" s="75" t="s">
        <v>303</v>
      </c>
      <c r="N87" s="21" t="n">
        <f aca="false">IF(M87="Y",MAX(L87,$D$7*$D$8),L87)</f>
        <v>29029.7259477907</v>
      </c>
      <c r="O87" s="21" t="n">
        <f aca="false">N87*$D$6</f>
        <v>83460462099.8984</v>
      </c>
      <c r="P87" s="21" t="n">
        <f aca="false">O87*E87</f>
        <v>166920924199.797</v>
      </c>
      <c r="Q87" s="65" t="n">
        <v>43159383223.1238</v>
      </c>
      <c r="R87" s="62" t="n">
        <f aca="false">IF(Q87="","",O87/Q87-1)</f>
        <v>0.933773280967142</v>
      </c>
      <c r="S87" s="68" t="s">
        <v>575</v>
      </c>
    </row>
    <row r="88" customFormat="false" ht="15" hidden="false" customHeight="false" outlineLevel="0" collapsed="false">
      <c r="A88" s="46" t="s">
        <v>558</v>
      </c>
      <c r="B88" s="46" t="s">
        <v>576</v>
      </c>
      <c r="C88" s="46" t="s">
        <v>577</v>
      </c>
      <c r="D88" s="46" t="s">
        <v>477</v>
      </c>
      <c r="E88" s="73" t="n">
        <v>2</v>
      </c>
      <c r="F88" s="73" t="n">
        <v>1402</v>
      </c>
      <c r="G88" s="75" t="s">
        <v>78</v>
      </c>
      <c r="H88" s="65" t="n">
        <v>6835376489.13678</v>
      </c>
      <c r="I88" s="21" t="n">
        <f aca="false">420000*1.08498039510108</f>
        <v>455691.765942452</v>
      </c>
      <c r="J88" s="21" t="n">
        <f aca="false">H88/I88</f>
        <v>15000</v>
      </c>
      <c r="K88" s="22" t="n">
        <f aca="false">INDEX(Indices!$C$51:$C$71,MATCH($D$3,Indices!$A$51:$A$71,0))/INDEX(Indices!$C$51:$C$71,MATCH(F88,Indices!$A$51:$A$71,0))</f>
        <v>1.05562639810148</v>
      </c>
      <c r="L88" s="21" t="n">
        <f aca="false">J88*K88</f>
        <v>15834.3959715223</v>
      </c>
      <c r="M88" s="75" t="s">
        <v>308</v>
      </c>
      <c r="N88" s="21" t="n">
        <f aca="false">IF(M88="Y",MAX(L88,$D$7*$D$8),L88)</f>
        <v>15834.3959715223</v>
      </c>
      <c r="O88" s="21" t="n">
        <f aca="false">N88*$D$6</f>
        <v>45523888418.1265</v>
      </c>
      <c r="P88" s="21" t="n">
        <f aca="false">O88*E88</f>
        <v>91047776836.253</v>
      </c>
      <c r="Q88" s="65" t="n">
        <v>23541481758.0676</v>
      </c>
      <c r="R88" s="62" t="n">
        <f aca="false">IF(Q88="","",O88/Q88-1)</f>
        <v>0.933773280967141</v>
      </c>
      <c r="S88" s="68" t="s">
        <v>578</v>
      </c>
    </row>
    <row r="89" customFormat="false" ht="15" hidden="false" customHeight="false" outlineLevel="0" collapsed="false">
      <c r="A89" s="46" t="s">
        <v>558</v>
      </c>
      <c r="B89" s="46" t="s">
        <v>579</v>
      </c>
      <c r="C89" s="46" t="s">
        <v>577</v>
      </c>
      <c r="D89" s="46" t="s">
        <v>477</v>
      </c>
      <c r="E89" s="73" t="n">
        <v>1</v>
      </c>
      <c r="F89" s="73" t="n">
        <v>1402</v>
      </c>
      <c r="G89" s="75" t="s">
        <v>78</v>
      </c>
      <c r="H89" s="65" t="n">
        <v>7746760021.02168</v>
      </c>
      <c r="I89" s="21" t="n">
        <f aca="false">420000*1.08498039510108</f>
        <v>455691.765942452</v>
      </c>
      <c r="J89" s="21" t="n">
        <f aca="false">H89/I89</f>
        <v>17000</v>
      </c>
      <c r="K89" s="22" t="n">
        <f aca="false">INDEX(Indices!$C$51:$C$71,MATCH($D$3,Indices!$A$51:$A$71,0))/INDEX(Indices!$C$51:$C$71,MATCH(F89,Indices!$A$51:$A$71,0))</f>
        <v>1.05562639810148</v>
      </c>
      <c r="L89" s="21" t="n">
        <f aca="false">J89*K89</f>
        <v>17945.6487677252</v>
      </c>
      <c r="M89" s="75" t="s">
        <v>308</v>
      </c>
      <c r="N89" s="21" t="n">
        <f aca="false">IF(M89="Y",MAX(L89,$D$7*$D$8),L89)</f>
        <v>17945.6487677252</v>
      </c>
      <c r="O89" s="21" t="n">
        <f aca="false">N89*$D$6</f>
        <v>51593740207.21</v>
      </c>
      <c r="P89" s="21" t="n">
        <f aca="false">O89*E89</f>
        <v>51593740207.21</v>
      </c>
      <c r="Q89" s="65" t="n">
        <v>26680345992.4766</v>
      </c>
      <c r="R89" s="62" t="n">
        <f aca="false">IF(Q89="","",O89/Q89-1)</f>
        <v>0.933773280967141</v>
      </c>
      <c r="S89" s="68" t="s">
        <v>580</v>
      </c>
    </row>
    <row r="90" customFormat="false" ht="15" hidden="false" customHeight="false" outlineLevel="0" collapsed="false">
      <c r="A90" s="46" t="s">
        <v>558</v>
      </c>
      <c r="B90" s="46" t="s">
        <v>581</v>
      </c>
      <c r="C90" s="46" t="s">
        <v>582</v>
      </c>
      <c r="D90" s="46" t="s">
        <v>477</v>
      </c>
      <c r="E90" s="73" t="n">
        <v>1</v>
      </c>
      <c r="F90" s="73" t="n">
        <v>1402</v>
      </c>
      <c r="G90" s="75" t="s">
        <v>78</v>
      </c>
      <c r="H90" s="65" t="n">
        <v>5012609000</v>
      </c>
      <c r="I90" s="21" t="n">
        <f aca="false">420000*1.08498039510108</f>
        <v>455691.765942452</v>
      </c>
      <c r="J90" s="21" t="n">
        <f aca="false">H90/I90</f>
        <v>10999.9990665467</v>
      </c>
      <c r="K90" s="22" t="n">
        <f aca="false">INDEX(Indices!$C$51:$C$71,MATCH($D$3,Indices!$A$51:$A$71,0))/INDEX(Indices!$C$51:$C$71,MATCH(F90,Indices!$A$51:$A$71,0))</f>
        <v>1.05562639810148</v>
      </c>
      <c r="L90" s="21" t="n">
        <f aca="false">J90*K90</f>
        <v>11611.8893937384</v>
      </c>
      <c r="M90" s="75" t="s">
        <v>308</v>
      </c>
      <c r="N90" s="21" t="n">
        <f aca="false">IF(M90="Y",MAX(L90,$D$7*$D$8),L90)</f>
        <v>11611.8893937384</v>
      </c>
      <c r="O90" s="21" t="n">
        <f aca="false">N90*$D$6</f>
        <v>33384182006.9979</v>
      </c>
      <c r="P90" s="21" t="n">
        <f aca="false">O90*E90</f>
        <v>33384182006.9979</v>
      </c>
      <c r="Q90" s="65" t="n">
        <v>17263751824.258</v>
      </c>
      <c r="R90" s="62" t="n">
        <f aca="false">IF(Q90="","",O90/Q90-1)</f>
        <v>0.933773280967144</v>
      </c>
      <c r="S90" s="68" t="s">
        <v>583</v>
      </c>
    </row>
    <row r="91" customFormat="false" ht="15" hidden="false" customHeight="false" outlineLevel="0" collapsed="false">
      <c r="A91" s="46" t="s">
        <v>558</v>
      </c>
      <c r="B91" s="46" t="s">
        <v>584</v>
      </c>
      <c r="C91" s="46" t="s">
        <v>585</v>
      </c>
      <c r="D91" s="46" t="s">
        <v>470</v>
      </c>
      <c r="E91" s="73" t="n">
        <v>3</v>
      </c>
      <c r="F91" s="73" t="n">
        <v>1402</v>
      </c>
      <c r="G91" s="75" t="s">
        <v>78</v>
      </c>
      <c r="H91" s="65" t="n">
        <v>195947459000</v>
      </c>
      <c r="I91" s="21" t="n">
        <f aca="false">420000*1.08498039510108</f>
        <v>455691.765942452</v>
      </c>
      <c r="J91" s="21" t="n">
        <f aca="false">H91/I91</f>
        <v>429999.999220407</v>
      </c>
      <c r="K91" s="22" t="n">
        <f aca="false">INDEX(Indices!$C$51:$C$71,MATCH($D$3,Indices!$A$51:$A$71,0))/INDEX(Indices!$C$51:$C$71,MATCH(F91,Indices!$A$51:$A$71,0))</f>
        <v>1.05562639810148</v>
      </c>
      <c r="L91" s="21" t="n">
        <f aca="false">J91*K91</f>
        <v>453919.350360678</v>
      </c>
      <c r="M91" s="75" t="s">
        <v>303</v>
      </c>
      <c r="N91" s="21" t="n">
        <f aca="false">IF(M91="Y",MAX(L91,$D$7*$D$8),L91)</f>
        <v>453919.350360678</v>
      </c>
      <c r="O91" s="21" t="n">
        <f aca="false">N91*$D$6</f>
        <v>1305018132286.95</v>
      </c>
      <c r="P91" s="21" t="n">
        <f aca="false">O91*E91</f>
        <v>3915054396860.85</v>
      </c>
      <c r="Q91" s="65" t="n">
        <v>728872174341.25</v>
      </c>
      <c r="R91" s="62" t="n">
        <f aca="false">IF(Q91="","",O91/Q91-1)</f>
        <v>0.790462276141104</v>
      </c>
      <c r="S91" s="68" t="s">
        <v>586</v>
      </c>
    </row>
    <row r="92" customFormat="false" ht="15" hidden="false" customHeight="false" outlineLevel="0" collapsed="false">
      <c r="A92" s="46" t="s">
        <v>558</v>
      </c>
      <c r="B92" s="46" t="s">
        <v>587</v>
      </c>
      <c r="C92" s="46" t="s">
        <v>588</v>
      </c>
      <c r="D92" s="46" t="s">
        <v>470</v>
      </c>
      <c r="E92" s="73" t="n">
        <v>3</v>
      </c>
      <c r="F92" s="73" t="n">
        <v>1402</v>
      </c>
      <c r="G92" s="75" t="s">
        <v>78</v>
      </c>
      <c r="H92" s="65" t="n">
        <v>129872153000</v>
      </c>
      <c r="I92" s="21" t="n">
        <f aca="false">420000*1.08498039510108</f>
        <v>455691.765942452</v>
      </c>
      <c r="J92" s="21" t="n">
        <f aca="false">H92/I92</f>
        <v>284999.999355707</v>
      </c>
      <c r="K92" s="22" t="n">
        <f aca="false">INDEX(Indices!$C$51:$C$71,MATCH($D$3,Indices!$A$51:$A$71,0))/INDEX(Indices!$C$51:$C$71,MATCH(F92,Indices!$A$51:$A$71,0))</f>
        <v>1.05562639810148</v>
      </c>
      <c r="L92" s="21" t="n">
        <f aca="false">J92*K92</f>
        <v>300853.522778791</v>
      </c>
      <c r="M92" s="75" t="s">
        <v>303</v>
      </c>
      <c r="N92" s="21" t="n">
        <f aca="false">IF(M92="Y",MAX(L92,$D$7*$D$8),L92)</f>
        <v>300853.522778791</v>
      </c>
      <c r="O92" s="21" t="n">
        <f aca="false">N92*$D$6</f>
        <v>864953877989.023</v>
      </c>
      <c r="P92" s="21" t="n">
        <f aca="false">O92*E92</f>
        <v>2594861633967.07</v>
      </c>
      <c r="Q92" s="65" t="n">
        <v>483089696730.844</v>
      </c>
      <c r="R92" s="62" t="n">
        <f aca="false">IF(Q92="","",O92/Q92-1)</f>
        <v>0.790462276141104</v>
      </c>
      <c r="S92" s="68" t="s">
        <v>589</v>
      </c>
    </row>
    <row r="93" customFormat="false" ht="15" hidden="false" customHeight="false" outlineLevel="0" collapsed="false">
      <c r="A93" s="46" t="s">
        <v>558</v>
      </c>
      <c r="B93" s="46" t="s">
        <v>590</v>
      </c>
      <c r="C93" s="46" t="s">
        <v>591</v>
      </c>
      <c r="D93" s="46" t="s">
        <v>486</v>
      </c>
      <c r="E93" s="73" t="n">
        <v>3</v>
      </c>
      <c r="F93" s="73" t="n">
        <v>1402</v>
      </c>
      <c r="G93" s="75" t="s">
        <v>78</v>
      </c>
      <c r="H93" s="65" t="n">
        <v>4101226000</v>
      </c>
      <c r="I93" s="21" t="n">
        <f aca="false">420000*1.08498039510108</f>
        <v>455691.765942452</v>
      </c>
      <c r="J93" s="21" t="n">
        <f aca="false">H93/I93</f>
        <v>9000.00023374996</v>
      </c>
      <c r="K93" s="22" t="n">
        <f aca="false">INDEX(Indices!$C$51:$C$71,MATCH($D$3,Indices!$A$51:$A$71,0))/INDEX(Indices!$C$51:$C$71,MATCH(F93,Indices!$A$51:$A$71,0))</f>
        <v>1.05562639810148</v>
      </c>
      <c r="L93" s="21" t="n">
        <f aca="false">J93*K93</f>
        <v>9500.63782966598</v>
      </c>
      <c r="M93" s="75" t="s">
        <v>308</v>
      </c>
      <c r="N93" s="21" t="n">
        <f aca="false">IF(M93="Y",MAX(L93,$D$7*$D$8),L93)</f>
        <v>9500.63782966598</v>
      </c>
      <c r="O93" s="21" t="n">
        <f aca="false">N93*$D$6</f>
        <v>27314333760.2897</v>
      </c>
      <c r="P93" s="21" t="n">
        <f aca="false">O93*E93</f>
        <v>81943001280.8691</v>
      </c>
      <c r="Q93" s="65" t="n">
        <v>14055826595.5031</v>
      </c>
      <c r="R93" s="62" t="n">
        <f aca="false">IF(Q93="","",O93/Q93-1)</f>
        <v>0.943274810250463</v>
      </c>
      <c r="S93" s="68" t="s">
        <v>592</v>
      </c>
    </row>
    <row r="94" customFormat="false" ht="15" hidden="false" customHeight="false" outlineLevel="0" collapsed="false">
      <c r="A94" s="46" t="s">
        <v>558</v>
      </c>
      <c r="B94" s="46" t="s">
        <v>593</v>
      </c>
      <c r="C94" s="46" t="s">
        <v>594</v>
      </c>
      <c r="D94" s="46" t="s">
        <v>477</v>
      </c>
      <c r="E94" s="73" t="n">
        <v>2</v>
      </c>
      <c r="F94" s="73" t="n">
        <v>1402</v>
      </c>
      <c r="G94" s="75" t="s">
        <v>78</v>
      </c>
      <c r="H94" s="65" t="n">
        <v>12759369000</v>
      </c>
      <c r="I94" s="21" t="n">
        <f aca="false">420000*1.08498039510108</f>
        <v>455691.765942452</v>
      </c>
      <c r="J94" s="21" t="n">
        <f aca="false">H94/I94</f>
        <v>27999.9990204154</v>
      </c>
      <c r="K94" s="22" t="n">
        <f aca="false">INDEX(Indices!$C$51:$C$71,MATCH($D$3,Indices!$A$51:$A$71,0))/INDEX(Indices!$C$51:$C$71,MATCH(F94,Indices!$A$51:$A$71,0))</f>
        <v>1.05562639810148</v>
      </c>
      <c r="L94" s="21" t="n">
        <f aca="false">J94*K94</f>
        <v>29557.5381127661</v>
      </c>
      <c r="M94" s="75" t="s">
        <v>303</v>
      </c>
      <c r="N94" s="21" t="n">
        <f aca="false">IF(M94="Y",MAX(L94,$D$7*$D$8),L94)</f>
        <v>29557.5381127661</v>
      </c>
      <c r="O94" s="21" t="n">
        <f aca="false">N94*$D$6</f>
        <v>84977922074.2026</v>
      </c>
      <c r="P94" s="21" t="n">
        <f aca="false">O94*E94</f>
        <v>169955844148.405</v>
      </c>
      <c r="Q94" s="65" t="n">
        <v>43944097744.3346</v>
      </c>
      <c r="R94" s="62" t="n">
        <f aca="false">IF(Q94="","",O94/Q94-1)</f>
        <v>0.93377328096714</v>
      </c>
      <c r="S94" s="68" t="s">
        <v>595</v>
      </c>
    </row>
    <row r="95" customFormat="false" ht="15" hidden="false" customHeight="false" outlineLevel="0" collapsed="false">
      <c r="A95" s="46" t="s">
        <v>558</v>
      </c>
      <c r="B95" s="46" t="s">
        <v>596</v>
      </c>
      <c r="C95" s="46" t="s">
        <v>597</v>
      </c>
      <c r="D95" s="46" t="s">
        <v>477</v>
      </c>
      <c r="E95" s="73" t="n">
        <v>2</v>
      </c>
      <c r="F95" s="73" t="n">
        <v>1402</v>
      </c>
      <c r="G95" s="75" t="s">
        <v>78</v>
      </c>
      <c r="H95" s="65" t="n">
        <v>24151664000</v>
      </c>
      <c r="I95" s="21" t="n">
        <f aca="false">420000*1.08498039510108</f>
        <v>455691.765942452</v>
      </c>
      <c r="J95" s="21" t="n">
        <f aca="false">H95/I95</f>
        <v>53000.0008888685</v>
      </c>
      <c r="K95" s="22" t="n">
        <f aca="false">INDEX(Indices!$C$51:$C$71,MATCH($D$3,Indices!$A$51:$A$71,0))/INDEX(Indices!$C$51:$C$71,MATCH(F95,Indices!$A$51:$A$71,0))</f>
        <v>1.05562639810148</v>
      </c>
      <c r="L95" s="21" t="n">
        <f aca="false">J95*K95</f>
        <v>55948.2000376917</v>
      </c>
      <c r="M95" s="75" t="s">
        <v>303</v>
      </c>
      <c r="N95" s="21" t="n">
        <f aca="false">IF(M95="Y",MAX(L95,$D$7*$D$8),L95)</f>
        <v>55948.2000376917</v>
      </c>
      <c r="O95" s="21" t="n">
        <f aca="false">N95*$D$6</f>
        <v>160851075108.364</v>
      </c>
      <c r="P95" s="21" t="n">
        <f aca="false">O95*E95</f>
        <v>321702150216.727</v>
      </c>
      <c r="Q95" s="65" t="n">
        <v>83179903606.8576</v>
      </c>
      <c r="R95" s="62" t="n">
        <f aca="false">IF(Q95="","",O95/Q95-1)</f>
        <v>0.93377328096714</v>
      </c>
      <c r="S95" s="68" t="s">
        <v>598</v>
      </c>
    </row>
    <row r="96" customFormat="false" ht="15" hidden="false" customHeight="false" outlineLevel="0" collapsed="false">
      <c r="A96" s="46" t="s">
        <v>558</v>
      </c>
      <c r="B96" s="46" t="s">
        <v>599</v>
      </c>
      <c r="C96" s="46" t="s">
        <v>600</v>
      </c>
      <c r="D96" s="46" t="s">
        <v>477</v>
      </c>
      <c r="E96" s="73" t="n">
        <v>2</v>
      </c>
      <c r="F96" s="73" t="n">
        <v>1402</v>
      </c>
      <c r="G96" s="75" t="s">
        <v>78</v>
      </c>
      <c r="H96" s="65" t="n">
        <v>24151664000</v>
      </c>
      <c r="I96" s="21" t="n">
        <f aca="false">420000*1.08498039510108</f>
        <v>455691.765942452</v>
      </c>
      <c r="J96" s="21" t="n">
        <f aca="false">H96/I96</f>
        <v>53000.0008888685</v>
      </c>
      <c r="K96" s="22" t="n">
        <f aca="false">INDEX(Indices!$C$51:$C$71,MATCH($D$3,Indices!$A$51:$A$71,0))/INDEX(Indices!$C$51:$C$71,MATCH(F96,Indices!$A$51:$A$71,0))</f>
        <v>1.05562639810148</v>
      </c>
      <c r="L96" s="21" t="n">
        <f aca="false">J96*K96</f>
        <v>55948.2000376917</v>
      </c>
      <c r="M96" s="75" t="s">
        <v>303</v>
      </c>
      <c r="N96" s="21" t="n">
        <f aca="false">IF(M96="Y",MAX(L96,$D$7*$D$8),L96)</f>
        <v>55948.2000376917</v>
      </c>
      <c r="O96" s="21" t="n">
        <f aca="false">N96*$D$6</f>
        <v>160851075108.364</v>
      </c>
      <c r="P96" s="21" t="n">
        <f aca="false">O96*E96</f>
        <v>321702150216.727</v>
      </c>
      <c r="Q96" s="65" t="n">
        <v>83179903606.8576</v>
      </c>
      <c r="R96" s="62" t="n">
        <f aca="false">IF(Q96="","",O96/Q96-1)</f>
        <v>0.93377328096714</v>
      </c>
      <c r="S96" s="68" t="s">
        <v>601</v>
      </c>
    </row>
    <row r="97" customFormat="false" ht="15" hidden="false" customHeight="false" outlineLevel="0" collapsed="false">
      <c r="A97" s="46" t="s">
        <v>558</v>
      </c>
      <c r="B97" s="46" t="s">
        <v>602</v>
      </c>
      <c r="C97" s="46" t="s">
        <v>603</v>
      </c>
      <c r="D97" s="46" t="s">
        <v>477</v>
      </c>
      <c r="E97" s="73" t="n">
        <v>2</v>
      </c>
      <c r="F97" s="73" t="n">
        <v>1402</v>
      </c>
      <c r="G97" s="75" t="s">
        <v>78</v>
      </c>
      <c r="H97" s="65" t="n">
        <v>13215061000</v>
      </c>
      <c r="I97" s="21" t="n">
        <f aca="false">420000*1.08498039510108</f>
        <v>455691.765942452</v>
      </c>
      <c r="J97" s="21" t="n">
        <f aca="false">H97/I97</f>
        <v>28999.9995340466</v>
      </c>
      <c r="K97" s="22" t="n">
        <f aca="false">INDEX(Indices!$C$51:$C$71,MATCH($D$3,Indices!$A$51:$A$71,0))/INDEX(Indices!$C$51:$C$71,MATCH(F97,Indices!$A$51:$A$71,0))</f>
        <v>1.05562639810148</v>
      </c>
      <c r="L97" s="21" t="n">
        <f aca="false">J97*K97</f>
        <v>30613.1650530704</v>
      </c>
      <c r="M97" s="75" t="s">
        <v>308</v>
      </c>
      <c r="N97" s="21" t="n">
        <f aca="false">IF(M97="Y",MAX(L97,$D$7*$D$8),L97)</f>
        <v>30613.1650530704</v>
      </c>
      <c r="O97" s="21" t="n">
        <f aca="false">N97*$D$6</f>
        <v>88012849527.5773</v>
      </c>
      <c r="P97" s="21" t="n">
        <f aca="false">O97*E97</f>
        <v>176025699055.155</v>
      </c>
      <c r="Q97" s="65" t="n">
        <v>45513530667.6485</v>
      </c>
      <c r="R97" s="62" t="n">
        <f aca="false">IF(Q97="","",O97/Q97-1)</f>
        <v>0.933773280967142</v>
      </c>
      <c r="S97" s="68" t="s">
        <v>604</v>
      </c>
    </row>
    <row r="98" customFormat="false" ht="15" hidden="false" customHeight="false" outlineLevel="0" collapsed="false">
      <c r="A98" s="46" t="s">
        <v>558</v>
      </c>
      <c r="B98" s="46" t="s">
        <v>605</v>
      </c>
      <c r="C98" s="46" t="s">
        <v>606</v>
      </c>
      <c r="D98" s="46" t="s">
        <v>474</v>
      </c>
      <c r="E98" s="73" t="n">
        <v>2</v>
      </c>
      <c r="F98" s="73" t="n">
        <v>1402</v>
      </c>
      <c r="G98" s="75" t="s">
        <v>78</v>
      </c>
      <c r="H98" s="65" t="n">
        <v>15949212000</v>
      </c>
      <c r="I98" s="21" t="n">
        <f aca="false">420000*1.08498039510108</f>
        <v>455691.765942452</v>
      </c>
      <c r="J98" s="21" t="n">
        <f aca="false">H98/I98</f>
        <v>35000.0004213686</v>
      </c>
      <c r="K98" s="22" t="n">
        <f aca="false">INDEX(Indices!$C$51:$C$71,MATCH($D$3,Indices!$A$51:$A$71,0))/INDEX(Indices!$C$51:$C$71,MATCH(F98,Indices!$A$51:$A$71,0))</f>
        <v>1.05562639810148</v>
      </c>
      <c r="L98" s="21" t="n">
        <f aca="false">J98*K98</f>
        <v>36946.9243783597</v>
      </c>
      <c r="M98" s="75" t="s">
        <v>308</v>
      </c>
      <c r="N98" s="21" t="n">
        <f aca="false">IF(M98="Y",MAX(L98,$D$7*$D$8),L98)</f>
        <v>36946.9243783597</v>
      </c>
      <c r="O98" s="21" t="n">
        <f aca="false">N98*$D$6</f>
        <v>106222407587.784</v>
      </c>
      <c r="P98" s="21" t="n">
        <f aca="false">O98*E98</f>
        <v>212444815175.568</v>
      </c>
      <c r="Q98" s="65" t="n">
        <v>53661051737.9916</v>
      </c>
      <c r="R98" s="62" t="n">
        <f aca="false">IF(Q98="","",O98/Q98-1)</f>
        <v>0.979506628130054</v>
      </c>
      <c r="S98" s="68" t="s">
        <v>607</v>
      </c>
    </row>
    <row r="99" customFormat="false" ht="15" hidden="false" customHeight="false" outlineLevel="0" collapsed="false">
      <c r="A99" s="46" t="s">
        <v>558</v>
      </c>
      <c r="B99" s="46" t="s">
        <v>608</v>
      </c>
      <c r="C99" s="46" t="s">
        <v>609</v>
      </c>
      <c r="D99" s="46" t="s">
        <v>477</v>
      </c>
      <c r="E99" s="73" t="n">
        <v>1</v>
      </c>
      <c r="F99" s="73" t="n">
        <v>1402</v>
      </c>
      <c r="G99" s="75" t="s">
        <v>78</v>
      </c>
      <c r="H99" s="65" t="n">
        <v>6083485000</v>
      </c>
      <c r="I99" s="21" t="n">
        <f aca="false">420000*1.08498039510108</f>
        <v>455691.765942452</v>
      </c>
      <c r="J99" s="21" t="n">
        <f aca="false">H99/I99</f>
        <v>13349.9998346871</v>
      </c>
      <c r="K99" s="22" t="n">
        <f aca="false">INDEX(Indices!$C$51:$C$71,MATCH($D$3,Indices!$A$51:$A$71,0))/INDEX(Indices!$C$51:$C$71,MATCH(F99,Indices!$A$51:$A$71,0))</f>
        <v>1.05562639810148</v>
      </c>
      <c r="L99" s="21" t="n">
        <f aca="false">J99*K99</f>
        <v>14092.6122401461</v>
      </c>
      <c r="M99" s="75" t="s">
        <v>303</v>
      </c>
      <c r="N99" s="21" t="n">
        <f aca="false">IF(M99="Y",MAX(L99,$D$7*$D$8),L99)</f>
        <v>25500</v>
      </c>
      <c r="O99" s="21" t="n">
        <f aca="false">N99*$D$6</f>
        <v>73312500000</v>
      </c>
      <c r="P99" s="21" t="n">
        <f aca="false">O99*E99</f>
        <v>73312500000</v>
      </c>
      <c r="Q99" s="65" t="n">
        <v>20951918505.2328</v>
      </c>
      <c r="R99" s="62" t="n">
        <f aca="false">IF(Q99="","",O99/Q99-1)</f>
        <v>2.49908291127087</v>
      </c>
      <c r="S99" s="68" t="s">
        <v>610</v>
      </c>
    </row>
    <row r="100" customFormat="false" ht="15" hidden="false" customHeight="false" outlineLevel="0" collapsed="false">
      <c r="A100" s="46" t="s">
        <v>558</v>
      </c>
      <c r="B100" s="46" t="s">
        <v>611</v>
      </c>
      <c r="C100" s="46" t="s">
        <v>612</v>
      </c>
      <c r="D100" s="46" t="s">
        <v>474</v>
      </c>
      <c r="E100" s="73" t="n">
        <v>2</v>
      </c>
      <c r="F100" s="73" t="n">
        <v>1402</v>
      </c>
      <c r="G100" s="75" t="s">
        <v>78</v>
      </c>
      <c r="H100" s="65" t="n">
        <v>14126445000</v>
      </c>
      <c r="I100" s="21" t="n">
        <f aca="false">420000*1.08498039510108</f>
        <v>455691.765942452</v>
      </c>
      <c r="J100" s="21" t="n">
        <f aca="false">H100/I100</f>
        <v>31000.0005613092</v>
      </c>
      <c r="K100" s="22" t="n">
        <f aca="false">INDEX(Indices!$C$51:$C$71,MATCH($D$3,Indices!$A$51:$A$71,0))/INDEX(Indices!$C$51:$C$71,MATCH(F100,Indices!$A$51:$A$71,0))</f>
        <v>1.05562639810148</v>
      </c>
      <c r="L100" s="21" t="n">
        <f aca="false">J100*K100</f>
        <v>32724.4189336788</v>
      </c>
      <c r="M100" s="75" t="s">
        <v>308</v>
      </c>
      <c r="N100" s="21" t="n">
        <f aca="false">IF(M100="Y",MAX(L100,$D$7*$D$8),L100)</f>
        <v>32724.4189336788</v>
      </c>
      <c r="O100" s="21" t="n">
        <f aca="false">N100*$D$6</f>
        <v>94082704434.3266</v>
      </c>
      <c r="P100" s="21" t="n">
        <f aca="false">O100*E100</f>
        <v>188165408868.653</v>
      </c>
      <c r="Q100" s="65" t="n">
        <v>47528360399.1779</v>
      </c>
      <c r="R100" s="62" t="n">
        <f aca="false">IF(Q100="","",O100/Q100-1)</f>
        <v>0.979506628130053</v>
      </c>
      <c r="S100" s="68" t="s">
        <v>613</v>
      </c>
    </row>
    <row r="101" customFormat="false" ht="15" hidden="false" customHeight="false" outlineLevel="0" collapsed="false">
      <c r="A101" s="46" t="s">
        <v>558</v>
      </c>
      <c r="B101" s="46" t="s">
        <v>614</v>
      </c>
      <c r="C101" s="46" t="s">
        <v>615</v>
      </c>
      <c r="D101" s="46" t="s">
        <v>477</v>
      </c>
      <c r="E101" s="73" t="n">
        <v>2</v>
      </c>
      <c r="F101" s="73" t="n">
        <v>1402</v>
      </c>
      <c r="G101" s="75" t="s">
        <v>78</v>
      </c>
      <c r="H101" s="65" t="n">
        <v>12759369000</v>
      </c>
      <c r="I101" s="21" t="n">
        <f aca="false">420000*1.08498039510108</f>
        <v>455691.765942452</v>
      </c>
      <c r="J101" s="21" t="n">
        <f aca="false">H101/I101</f>
        <v>27999.9990204154</v>
      </c>
      <c r="K101" s="22" t="n">
        <f aca="false">INDEX(Indices!$C$51:$C$71,MATCH($D$3,Indices!$A$51:$A$71,0))/INDEX(Indices!$C$51:$C$71,MATCH(F101,Indices!$A$51:$A$71,0))</f>
        <v>1.05562639810148</v>
      </c>
      <c r="L101" s="21" t="n">
        <f aca="false">J101*K101</f>
        <v>29557.5381127661</v>
      </c>
      <c r="M101" s="75" t="s">
        <v>303</v>
      </c>
      <c r="N101" s="21" t="n">
        <f aca="false">IF(M101="Y",MAX(L101,$D$7*$D$8),L101)</f>
        <v>29557.5381127661</v>
      </c>
      <c r="O101" s="21" t="n">
        <f aca="false">N101*$D$6</f>
        <v>84977922074.2026</v>
      </c>
      <c r="P101" s="21" t="n">
        <f aca="false">O101*E101</f>
        <v>169955844148.405</v>
      </c>
      <c r="Q101" s="65" t="n">
        <v>43944097744.3346</v>
      </c>
      <c r="R101" s="62" t="n">
        <f aca="false">IF(Q101="","",O101/Q101-1)</f>
        <v>0.93377328096714</v>
      </c>
      <c r="S101" s="68" t="s">
        <v>616</v>
      </c>
    </row>
    <row r="102" customFormat="false" ht="15" hidden="false" customHeight="false" outlineLevel="0" collapsed="false">
      <c r="A102" s="46" t="s">
        <v>558</v>
      </c>
      <c r="B102" s="46" t="s">
        <v>617</v>
      </c>
      <c r="C102" s="46" t="s">
        <v>618</v>
      </c>
      <c r="D102" s="46" t="s">
        <v>477</v>
      </c>
      <c r="E102" s="73" t="n">
        <v>1</v>
      </c>
      <c r="F102" s="73" t="n">
        <v>1402</v>
      </c>
      <c r="G102" s="75" t="s">
        <v>78</v>
      </c>
      <c r="H102" s="65" t="n">
        <v>6151839000</v>
      </c>
      <c r="I102" s="21" t="n">
        <f aca="false">420000*1.08498039510108</f>
        <v>455691.765942452</v>
      </c>
      <c r="J102" s="21" t="n">
        <f aca="false">H102/I102</f>
        <v>13500.0003506249</v>
      </c>
      <c r="K102" s="22" t="n">
        <f aca="false">INDEX(Indices!$C$51:$C$71,MATCH($D$3,Indices!$A$51:$A$71,0))/INDEX(Indices!$C$51:$C$71,MATCH(F102,Indices!$A$51:$A$71,0))</f>
        <v>1.05562639810148</v>
      </c>
      <c r="L102" s="21" t="n">
        <f aca="false">J102*K102</f>
        <v>14250.956744499</v>
      </c>
      <c r="M102" s="75" t="s">
        <v>308</v>
      </c>
      <c r="N102" s="21" t="n">
        <f aca="false">IF(M102="Y",MAX(L102,$D$7*$D$8),L102)</f>
        <v>14250.956744499</v>
      </c>
      <c r="O102" s="21" t="n">
        <f aca="false">N102*$D$6</f>
        <v>40971500640.4345</v>
      </c>
      <c r="P102" s="21" t="n">
        <f aca="false">O102*E102</f>
        <v>40971500640.4345</v>
      </c>
      <c r="Q102" s="65" t="n">
        <v>21187334132.5429</v>
      </c>
      <c r="R102" s="62" t="n">
        <f aca="false">IF(Q102="","",O102/Q102-1)</f>
        <v>0.933773280967139</v>
      </c>
      <c r="S102" s="68" t="s">
        <v>619</v>
      </c>
    </row>
    <row r="103" customFormat="false" ht="15" hidden="false" customHeight="false" outlineLevel="0" collapsed="false">
      <c r="A103" s="46" t="s">
        <v>558</v>
      </c>
      <c r="B103" s="46" t="s">
        <v>620</v>
      </c>
      <c r="C103" s="46" t="s">
        <v>621</v>
      </c>
      <c r="D103" s="46" t="s">
        <v>508</v>
      </c>
      <c r="E103" s="73" t="n">
        <v>2</v>
      </c>
      <c r="F103" s="73" t="n">
        <v>1402</v>
      </c>
      <c r="G103" s="75" t="s">
        <v>78</v>
      </c>
      <c r="H103" s="65" t="n">
        <v>37500000000</v>
      </c>
      <c r="I103" s="21" t="n">
        <f aca="false">420000*1.08498039510108</f>
        <v>455691.765942452</v>
      </c>
      <c r="J103" s="21" t="n">
        <f aca="false">H103/I103</f>
        <v>82292.4678536671</v>
      </c>
      <c r="K103" s="22" t="n">
        <f aca="false">INDEX(Indices!$C$51:$C$71,MATCH($D$3,Indices!$A$51:$A$71,0))/INDEX(Indices!$C$51:$C$71,MATCH(F103,Indices!$A$51:$A$71,0))</f>
        <v>1.05562639810148</v>
      </c>
      <c r="L103" s="21" t="n">
        <f aca="false">J103*K103</f>
        <v>86870.1014312487</v>
      </c>
      <c r="M103" s="75" t="s">
        <v>308</v>
      </c>
      <c r="N103" s="21" t="n">
        <f aca="false">IF(M103="Y",MAX(L103,$D$7*$D$8),L103)</f>
        <v>86870.1014312487</v>
      </c>
      <c r="O103" s="21" t="n">
        <f aca="false">N103*$D$6</f>
        <v>249751541614.84</v>
      </c>
      <c r="P103" s="21" t="n">
        <f aca="false">O103*E103</f>
        <v>499503083229.68</v>
      </c>
      <c r="Q103" s="65" t="n">
        <v>124628042402.982</v>
      </c>
      <c r="R103" s="62" t="n">
        <f aca="false">IF(Q103="","",O103/Q103-1)</f>
        <v>1.0039754841633</v>
      </c>
      <c r="S103" s="68" t="s">
        <v>622</v>
      </c>
    </row>
    <row r="104" customFormat="false" ht="15" hidden="false" customHeight="false" outlineLevel="0" collapsed="false">
      <c r="A104" s="46" t="s">
        <v>558</v>
      </c>
      <c r="B104" s="46" t="s">
        <v>623</v>
      </c>
      <c r="C104" s="46" t="s">
        <v>624</v>
      </c>
      <c r="D104" s="46" t="s">
        <v>508</v>
      </c>
      <c r="E104" s="73" t="n">
        <v>1</v>
      </c>
      <c r="F104" s="73" t="n">
        <v>1402</v>
      </c>
      <c r="G104" s="75" t="s">
        <v>78</v>
      </c>
      <c r="H104" s="65" t="n">
        <v>45000000000</v>
      </c>
      <c r="I104" s="21" t="n">
        <f aca="false">420000*1.08498039510108</f>
        <v>455691.765942452</v>
      </c>
      <c r="J104" s="21" t="n">
        <f aca="false">H104/I104</f>
        <v>98750.9614244005</v>
      </c>
      <c r="K104" s="22" t="n">
        <f aca="false">INDEX(Indices!$C$51:$C$71,MATCH($D$3,Indices!$A$51:$A$71,0))/INDEX(Indices!$C$51:$C$71,MATCH(F104,Indices!$A$51:$A$71,0))</f>
        <v>1.05562639810148</v>
      </c>
      <c r="L104" s="21" t="n">
        <f aca="false">J104*K104</f>
        <v>104244.121717498</v>
      </c>
      <c r="M104" s="75" t="s">
        <v>308</v>
      </c>
      <c r="N104" s="21" t="n">
        <f aca="false">IF(M104="Y",MAX(L104,$D$7*$D$8),L104)</f>
        <v>104244.121717498</v>
      </c>
      <c r="O104" s="21" t="n">
        <f aca="false">N104*$D$6</f>
        <v>299701849937.808</v>
      </c>
      <c r="P104" s="21" t="n">
        <f aca="false">O104*E104</f>
        <v>299701849937.808</v>
      </c>
      <c r="Q104" s="65" t="n">
        <v>149553650883.578</v>
      </c>
      <c r="R104" s="62" t="n">
        <f aca="false">IF(Q104="","",O104/Q104-1)</f>
        <v>1.0039754841633</v>
      </c>
      <c r="S104" s="68" t="s">
        <v>622</v>
      </c>
    </row>
    <row r="105" customFormat="false" ht="15" hidden="false" customHeight="false" outlineLevel="0" collapsed="false">
      <c r="A105" s="46" t="s">
        <v>558</v>
      </c>
      <c r="B105" s="46" t="s">
        <v>625</v>
      </c>
      <c r="C105" s="46" t="s">
        <v>626</v>
      </c>
      <c r="D105" s="46" t="s">
        <v>508</v>
      </c>
      <c r="E105" s="73" t="n">
        <v>2</v>
      </c>
      <c r="F105" s="73" t="n">
        <v>1402</v>
      </c>
      <c r="G105" s="75" t="s">
        <v>78</v>
      </c>
      <c r="H105" s="65" t="n">
        <v>2000000000</v>
      </c>
      <c r="I105" s="21" t="n">
        <f aca="false">420000*1.08498039510108</f>
        <v>455691.765942452</v>
      </c>
      <c r="J105" s="21" t="n">
        <f aca="false">H105/I105</f>
        <v>4388.93161886224</v>
      </c>
      <c r="K105" s="22" t="n">
        <f aca="false">INDEX(Indices!$C$51:$C$71,MATCH($D$3,Indices!$A$51:$A$71,0))/INDEX(Indices!$C$51:$C$71,MATCH(F105,Indices!$A$51:$A$71,0))</f>
        <v>1.05562639810148</v>
      </c>
      <c r="L105" s="21" t="n">
        <f aca="false">J105*K105</f>
        <v>4633.07207633326</v>
      </c>
      <c r="M105" s="75" t="s">
        <v>308</v>
      </c>
      <c r="N105" s="21" t="n">
        <f aca="false">IF(M105="Y",MAX(L105,$D$7*$D$8),L105)</f>
        <v>4633.07207633326</v>
      </c>
      <c r="O105" s="21" t="n">
        <f aca="false">N105*$D$6</f>
        <v>13320082219.4581</v>
      </c>
      <c r="P105" s="21" t="n">
        <f aca="false">O105*E105</f>
        <v>26640164438.9163</v>
      </c>
      <c r="Q105" s="65" t="n">
        <v>6646828928.15903</v>
      </c>
      <c r="R105" s="62" t="n">
        <f aca="false">IF(Q105="","",O105/Q105-1)</f>
        <v>1.0039754841633</v>
      </c>
      <c r="S105" s="68" t="s">
        <v>627</v>
      </c>
    </row>
    <row r="106" customFormat="false" ht="15" hidden="false" customHeight="false" outlineLevel="0" collapsed="false">
      <c r="A106" s="46" t="s">
        <v>558</v>
      </c>
      <c r="B106" s="46" t="s">
        <v>628</v>
      </c>
      <c r="C106" s="46" t="s">
        <v>629</v>
      </c>
      <c r="D106" s="46" t="s">
        <v>477</v>
      </c>
      <c r="E106" s="73" t="n">
        <v>2</v>
      </c>
      <c r="F106" s="73" t="n">
        <v>1402</v>
      </c>
      <c r="G106" s="75" t="s">
        <v>78</v>
      </c>
      <c r="H106" s="65" t="n">
        <v>7974606000</v>
      </c>
      <c r="I106" s="21" t="n">
        <f aca="false">420000*1.08498039510108</f>
        <v>455691.765942452</v>
      </c>
      <c r="J106" s="21" t="n">
        <f aca="false">H106/I106</f>
        <v>17500.0002106843</v>
      </c>
      <c r="K106" s="22" t="n">
        <f aca="false">INDEX(Indices!$C$51:$C$71,MATCH($D$3,Indices!$A$51:$A$71,0))/INDEX(Indices!$C$51:$C$71,MATCH(F106,Indices!$A$51:$A$71,0))</f>
        <v>1.05562639810148</v>
      </c>
      <c r="L106" s="21" t="n">
        <f aca="false">J106*K106</f>
        <v>18473.4621891798</v>
      </c>
      <c r="M106" s="75" t="s">
        <v>308</v>
      </c>
      <c r="N106" s="21" t="n">
        <f aca="false">IF(M106="Y",MAX(L106,$D$7*$D$8),L106)</f>
        <v>18473.4621891798</v>
      </c>
      <c r="O106" s="21" t="n">
        <f aca="false">N106*$D$6</f>
        <v>53111203793.8921</v>
      </c>
      <c r="P106" s="21" t="n">
        <f aca="false">O106*E106</f>
        <v>106222407587.784</v>
      </c>
      <c r="Q106" s="65" t="n">
        <v>27465062381.7335</v>
      </c>
      <c r="R106" s="62" t="n">
        <f aca="false">IF(Q106="","",O106/Q106-1)</f>
        <v>0.933773280967143</v>
      </c>
      <c r="S106" s="68" t="s">
        <v>627</v>
      </c>
    </row>
    <row r="107" customFormat="false" ht="15" hidden="false" customHeight="false" outlineLevel="0" collapsed="false">
      <c r="A107" s="46" t="s">
        <v>558</v>
      </c>
      <c r="B107" s="46" t="s">
        <v>630</v>
      </c>
      <c r="C107" s="46" t="s">
        <v>631</v>
      </c>
      <c r="D107" s="46" t="s">
        <v>508</v>
      </c>
      <c r="E107" s="73" t="n">
        <v>1</v>
      </c>
      <c r="F107" s="73" t="n">
        <v>1402</v>
      </c>
      <c r="G107" s="75" t="s">
        <v>78</v>
      </c>
      <c r="H107" s="65" t="n">
        <v>8885989000</v>
      </c>
      <c r="I107" s="21" t="n">
        <f aca="false">420000*1.08498039510108</f>
        <v>455691.765942452</v>
      </c>
      <c r="J107" s="21" t="n">
        <f aca="false">H107/I107</f>
        <v>19499.999043481</v>
      </c>
      <c r="K107" s="22" t="n">
        <f aca="false">INDEX(Indices!$C$51:$C$71,MATCH($D$3,Indices!$A$51:$A$71,0))/INDEX(Indices!$C$51:$C$71,MATCH(F107,Indices!$A$51:$A$71,0))</f>
        <v>1.05562639810148</v>
      </c>
      <c r="L107" s="21" t="n">
        <f aca="false">J107*K107</f>
        <v>20584.7137532523</v>
      </c>
      <c r="M107" s="75" t="s">
        <v>308</v>
      </c>
      <c r="N107" s="21" t="n">
        <f aca="false">IF(M107="Y",MAX(L107,$D$7*$D$8),L107)</f>
        <v>20584.7137532523</v>
      </c>
      <c r="O107" s="21" t="n">
        <f aca="false">N107*$D$6</f>
        <v>59181052040.6003</v>
      </c>
      <c r="P107" s="21" t="n">
        <f aca="false">O107*E107</f>
        <v>59181052040.6003</v>
      </c>
      <c r="Q107" s="65" t="n">
        <v>29531824370.2515</v>
      </c>
      <c r="R107" s="62" t="n">
        <f aca="false">IF(Q107="","",O107/Q107-1)</f>
        <v>1.0039754841633</v>
      </c>
      <c r="S107" s="68" t="s">
        <v>632</v>
      </c>
    </row>
    <row r="108" customFormat="false" ht="15" hidden="false" customHeight="false" outlineLevel="0" collapsed="false">
      <c r="A108" s="46" t="s">
        <v>633</v>
      </c>
      <c r="B108" s="46" t="s">
        <v>634</v>
      </c>
      <c r="C108" s="46" t="s">
        <v>635</v>
      </c>
      <c r="D108" s="46" t="s">
        <v>477</v>
      </c>
      <c r="E108" s="73" t="n">
        <v>1</v>
      </c>
      <c r="F108" s="73" t="n">
        <v>1405</v>
      </c>
      <c r="G108" s="75" t="s">
        <v>636</v>
      </c>
      <c r="H108" s="65" t="n">
        <v>240000</v>
      </c>
      <c r="I108" s="83" t="n">
        <f aca="false">INDEX(Indices!$E$51:$E$71,MATCH(F108,Indices!$A$51:$A$71,0))</f>
        <v>1.15</v>
      </c>
      <c r="J108" s="21" t="n">
        <f aca="false">H108/I108</f>
        <v>208695.652173913</v>
      </c>
      <c r="K108" s="22" t="n">
        <f aca="false">INDEX(Indices!$C$51:$C$71,MATCH($D$3,Indices!$A$51:$A$71,0))/INDEX(Indices!$C$51:$C$71,MATCH(F108,Indices!$A$51:$A$71,0))</f>
        <v>1</v>
      </c>
      <c r="L108" s="21" t="n">
        <f aca="false">J108*K108</f>
        <v>208695.652173913</v>
      </c>
      <c r="M108" s="75" t="s">
        <v>308</v>
      </c>
      <c r="N108" s="21" t="n">
        <f aca="false">IF(M108="Y",MAX(L108,$D$7*$D$8),L108)</f>
        <v>208695.652173913</v>
      </c>
      <c r="O108" s="21" t="n">
        <f aca="false">N108*$D$6</f>
        <v>600000000000</v>
      </c>
      <c r="P108" s="21" t="n">
        <f aca="false">O108*E108</f>
        <v>600000000000</v>
      </c>
      <c r="Q108" s="65" t="n">
        <v>600000000000</v>
      </c>
      <c r="R108" s="62" t="n">
        <f aca="false">IF(Q108="","",O108/Q108-1)</f>
        <v>0</v>
      </c>
      <c r="S108" s="68" t="s">
        <v>637</v>
      </c>
    </row>
    <row r="109" customFormat="false" ht="15" hidden="false" customHeight="false" outlineLevel="0" collapsed="false">
      <c r="A109" s="46" t="s">
        <v>633</v>
      </c>
      <c r="B109" s="46" t="s">
        <v>638</v>
      </c>
      <c r="C109" s="46" t="s">
        <v>639</v>
      </c>
      <c r="D109" s="46" t="s">
        <v>477</v>
      </c>
      <c r="E109" s="73" t="n">
        <v>1</v>
      </c>
      <c r="F109" s="73" t="n">
        <v>1405</v>
      </c>
      <c r="G109" s="75" t="s">
        <v>636</v>
      </c>
      <c r="H109" s="65" t="n">
        <v>280000</v>
      </c>
      <c r="I109" s="83" t="n">
        <f aca="false">INDEX(Indices!$E$51:$E$71,MATCH(F109,Indices!$A$51:$A$71,0))</f>
        <v>1.15</v>
      </c>
      <c r="J109" s="21" t="n">
        <f aca="false">H109/I109</f>
        <v>243478.260869565</v>
      </c>
      <c r="K109" s="22" t="n">
        <f aca="false">INDEX(Indices!$C$51:$C$71,MATCH($D$3,Indices!$A$51:$A$71,0))/INDEX(Indices!$C$51:$C$71,MATCH(F109,Indices!$A$51:$A$71,0))</f>
        <v>1</v>
      </c>
      <c r="L109" s="21" t="n">
        <f aca="false">J109*K109</f>
        <v>243478.260869565</v>
      </c>
      <c r="M109" s="75" t="s">
        <v>308</v>
      </c>
      <c r="N109" s="21" t="n">
        <f aca="false">IF(M109="Y",MAX(L109,$D$7*$D$8),L109)</f>
        <v>243478.260869565</v>
      </c>
      <c r="O109" s="21" t="n">
        <f aca="false">N109*$D$6</f>
        <v>700000000000</v>
      </c>
      <c r="P109" s="21" t="n">
        <f aca="false">O109*E109</f>
        <v>700000000000</v>
      </c>
      <c r="Q109" s="65" t="n">
        <v>700000000000</v>
      </c>
      <c r="R109" s="62" t="n">
        <f aca="false">IF(Q109="","",O109/Q109-1)</f>
        <v>0</v>
      </c>
      <c r="S109" s="68" t="s">
        <v>637</v>
      </c>
    </row>
    <row r="110" customFormat="false" ht="15" hidden="false" customHeight="false" outlineLevel="0" collapsed="false">
      <c r="A110" s="46" t="s">
        <v>633</v>
      </c>
      <c r="B110" s="46" t="s">
        <v>640</v>
      </c>
      <c r="C110" s="46" t="s">
        <v>641</v>
      </c>
      <c r="D110" s="46" t="s">
        <v>477</v>
      </c>
      <c r="E110" s="73" t="n">
        <v>1</v>
      </c>
      <c r="F110" s="73" t="n">
        <v>1405</v>
      </c>
      <c r="G110" s="75" t="s">
        <v>636</v>
      </c>
      <c r="H110" s="65" t="n">
        <v>250000</v>
      </c>
      <c r="I110" s="83" t="n">
        <f aca="false">INDEX(Indices!$E$51:$E$71,MATCH(F110,Indices!$A$51:$A$71,0))</f>
        <v>1.15</v>
      </c>
      <c r="J110" s="21" t="n">
        <f aca="false">H110/I110</f>
        <v>217391.304347826</v>
      </c>
      <c r="K110" s="22" t="n">
        <f aca="false">INDEX(Indices!$C$51:$C$71,MATCH($D$3,Indices!$A$51:$A$71,0))/INDEX(Indices!$C$51:$C$71,MATCH(F110,Indices!$A$51:$A$71,0))</f>
        <v>1</v>
      </c>
      <c r="L110" s="21" t="n">
        <f aca="false">J110*K110</f>
        <v>217391.304347826</v>
      </c>
      <c r="M110" s="75" t="s">
        <v>308</v>
      </c>
      <c r="N110" s="21" t="n">
        <f aca="false">IF(M110="Y",MAX(L110,$D$7*$D$8),L110)</f>
        <v>217391.304347826</v>
      </c>
      <c r="O110" s="21" t="n">
        <f aca="false">N110*$D$6</f>
        <v>625000000000</v>
      </c>
      <c r="P110" s="21" t="n">
        <f aca="false">O110*E110</f>
        <v>625000000000</v>
      </c>
      <c r="Q110" s="65" t="n">
        <v>625000000000</v>
      </c>
      <c r="R110" s="62" t="n">
        <f aca="false">IF(Q110="","",O110/Q110-1)</f>
        <v>0</v>
      </c>
      <c r="S110" s="68" t="s">
        <v>637</v>
      </c>
    </row>
    <row r="111" customFormat="false" ht="15" hidden="false" customHeight="false" outlineLevel="0" collapsed="false">
      <c r="A111" s="46" t="s">
        <v>633</v>
      </c>
      <c r="B111" s="46" t="s">
        <v>642</v>
      </c>
      <c r="C111" s="46" t="s">
        <v>643</v>
      </c>
      <c r="D111" s="46" t="s">
        <v>477</v>
      </c>
      <c r="E111" s="73" t="n">
        <v>1</v>
      </c>
      <c r="F111" s="73" t="n">
        <v>1405</v>
      </c>
      <c r="G111" s="75" t="s">
        <v>636</v>
      </c>
      <c r="H111" s="65" t="n">
        <v>420000</v>
      </c>
      <c r="I111" s="83" t="n">
        <f aca="false">INDEX(Indices!$E$51:$E$71,MATCH(F111,Indices!$A$51:$A$71,0))</f>
        <v>1.15</v>
      </c>
      <c r="J111" s="21" t="n">
        <f aca="false">H111/I111</f>
        <v>365217.391304348</v>
      </c>
      <c r="K111" s="22" t="n">
        <f aca="false">INDEX(Indices!$C$51:$C$71,MATCH($D$3,Indices!$A$51:$A$71,0))/INDEX(Indices!$C$51:$C$71,MATCH(F111,Indices!$A$51:$A$71,0))</f>
        <v>1</v>
      </c>
      <c r="L111" s="21" t="n">
        <f aca="false">J111*K111</f>
        <v>365217.391304348</v>
      </c>
      <c r="M111" s="75" t="s">
        <v>308</v>
      </c>
      <c r="N111" s="21" t="n">
        <f aca="false">IF(M111="Y",MAX(L111,$D$7*$D$8),L111)</f>
        <v>365217.391304348</v>
      </c>
      <c r="O111" s="21" t="n">
        <f aca="false">N111*$D$6</f>
        <v>1050000000000</v>
      </c>
      <c r="P111" s="21" t="n">
        <f aca="false">O111*E111</f>
        <v>1050000000000</v>
      </c>
      <c r="Q111" s="65" t="n">
        <v>1050000000000</v>
      </c>
      <c r="R111" s="62" t="n">
        <f aca="false">IF(Q111="","",O111/Q111-1)</f>
        <v>0</v>
      </c>
      <c r="S111" s="68" t="s">
        <v>637</v>
      </c>
    </row>
    <row r="112" customFormat="false" ht="15" hidden="false" customHeight="false" outlineLevel="0" collapsed="false">
      <c r="A112" s="46" t="s">
        <v>633</v>
      </c>
      <c r="B112" s="46" t="s">
        <v>644</v>
      </c>
      <c r="C112" s="46" t="s">
        <v>645</v>
      </c>
      <c r="D112" s="46" t="s">
        <v>477</v>
      </c>
      <c r="E112" s="73" t="n">
        <v>1</v>
      </c>
      <c r="F112" s="73" t="n">
        <v>1405</v>
      </c>
      <c r="G112" s="75" t="s">
        <v>636</v>
      </c>
      <c r="H112" s="65" t="n">
        <v>75000</v>
      </c>
      <c r="I112" s="83" t="n">
        <f aca="false">INDEX(Indices!$E$51:$E$71,MATCH(F112,Indices!$A$51:$A$71,0))</f>
        <v>1.15</v>
      </c>
      <c r="J112" s="21" t="n">
        <f aca="false">H112/I112</f>
        <v>65217.3913043478</v>
      </c>
      <c r="K112" s="22" t="n">
        <f aca="false">INDEX(Indices!$C$51:$C$71,MATCH($D$3,Indices!$A$51:$A$71,0))/INDEX(Indices!$C$51:$C$71,MATCH(F112,Indices!$A$51:$A$71,0))</f>
        <v>1</v>
      </c>
      <c r="L112" s="21" t="n">
        <f aca="false">J112*K112</f>
        <v>65217.3913043478</v>
      </c>
      <c r="M112" s="75" t="s">
        <v>308</v>
      </c>
      <c r="N112" s="21" t="n">
        <f aca="false">IF(M112="Y",MAX(L112,$D$7*$D$8),L112)</f>
        <v>65217.3913043478</v>
      </c>
      <c r="O112" s="21" t="n">
        <f aca="false">N112*$D$6</f>
        <v>187500000000</v>
      </c>
      <c r="P112" s="21" t="n">
        <f aca="false">O112*E112</f>
        <v>187500000000</v>
      </c>
      <c r="Q112" s="65" t="n">
        <v>187500000000</v>
      </c>
      <c r="R112" s="62" t="n">
        <f aca="false">IF(Q112="","",O112/Q112-1)</f>
        <v>0</v>
      </c>
      <c r="S112" s="68" t="s">
        <v>637</v>
      </c>
    </row>
    <row r="113" customFormat="false" ht="15" hidden="false" customHeight="false" outlineLevel="0" collapsed="false">
      <c r="A113" s="46" t="s">
        <v>633</v>
      </c>
      <c r="B113" s="46" t="s">
        <v>646</v>
      </c>
      <c r="C113" s="46" t="s">
        <v>647</v>
      </c>
      <c r="D113" s="46" t="s">
        <v>477</v>
      </c>
      <c r="E113" s="73" t="n">
        <v>1</v>
      </c>
      <c r="F113" s="73" t="n">
        <v>1405</v>
      </c>
      <c r="G113" s="75" t="s">
        <v>636</v>
      </c>
      <c r="H113" s="65" t="n">
        <v>60000</v>
      </c>
      <c r="I113" s="83" t="n">
        <f aca="false">INDEX(Indices!$E$51:$E$71,MATCH(F113,Indices!$A$51:$A$71,0))</f>
        <v>1.15</v>
      </c>
      <c r="J113" s="21" t="n">
        <f aca="false">H113/I113</f>
        <v>52173.9130434783</v>
      </c>
      <c r="K113" s="22" t="n">
        <f aca="false">INDEX(Indices!$C$51:$C$71,MATCH($D$3,Indices!$A$51:$A$71,0))/INDEX(Indices!$C$51:$C$71,MATCH(F113,Indices!$A$51:$A$71,0))</f>
        <v>1</v>
      </c>
      <c r="L113" s="21" t="n">
        <f aca="false">J113*K113</f>
        <v>52173.9130434783</v>
      </c>
      <c r="M113" s="75" t="s">
        <v>308</v>
      </c>
      <c r="N113" s="21" t="n">
        <f aca="false">IF(M113="Y",MAX(L113,$D$7*$D$8),L113)</f>
        <v>52173.9130434783</v>
      </c>
      <c r="O113" s="21" t="n">
        <f aca="false">N113*$D$6</f>
        <v>150000000000</v>
      </c>
      <c r="P113" s="21" t="n">
        <f aca="false">O113*E113</f>
        <v>150000000000</v>
      </c>
      <c r="Q113" s="65" t="n">
        <v>150000000000</v>
      </c>
      <c r="R113" s="62" t="n">
        <f aca="false">IF(Q113="","",O113/Q113-1)</f>
        <v>0</v>
      </c>
      <c r="S113" s="68" t="s">
        <v>637</v>
      </c>
    </row>
    <row r="114" customFormat="false" ht="15" hidden="false" customHeight="false" outlineLevel="0" collapsed="false">
      <c r="A114" s="46" t="s">
        <v>633</v>
      </c>
      <c r="B114" s="46" t="s">
        <v>648</v>
      </c>
      <c r="C114" s="46" t="s">
        <v>649</v>
      </c>
      <c r="D114" s="46" t="s">
        <v>477</v>
      </c>
      <c r="E114" s="73" t="n">
        <v>1</v>
      </c>
      <c r="F114" s="73" t="n">
        <v>1405</v>
      </c>
      <c r="G114" s="75" t="s">
        <v>636</v>
      </c>
      <c r="H114" s="65" t="n">
        <v>60000</v>
      </c>
      <c r="I114" s="83" t="n">
        <f aca="false">INDEX(Indices!$E$51:$E$71,MATCH(F114,Indices!$A$51:$A$71,0))</f>
        <v>1.15</v>
      </c>
      <c r="J114" s="21" t="n">
        <f aca="false">H114/I114</f>
        <v>52173.9130434783</v>
      </c>
      <c r="K114" s="22" t="n">
        <f aca="false">INDEX(Indices!$C$51:$C$71,MATCH($D$3,Indices!$A$51:$A$71,0))/INDEX(Indices!$C$51:$C$71,MATCH(F114,Indices!$A$51:$A$71,0))</f>
        <v>1</v>
      </c>
      <c r="L114" s="21" t="n">
        <f aca="false">J114*K114</f>
        <v>52173.9130434783</v>
      </c>
      <c r="M114" s="75" t="s">
        <v>308</v>
      </c>
      <c r="N114" s="21" t="n">
        <f aca="false">IF(M114="Y",MAX(L114,$D$7*$D$8),L114)</f>
        <v>52173.9130434783</v>
      </c>
      <c r="O114" s="21" t="n">
        <f aca="false">N114*$D$6</f>
        <v>150000000000</v>
      </c>
      <c r="P114" s="21" t="n">
        <f aca="false">O114*E114</f>
        <v>150000000000</v>
      </c>
      <c r="Q114" s="65" t="n">
        <v>150000000000</v>
      </c>
      <c r="R114" s="62" t="n">
        <f aca="false">IF(Q114="","",O114/Q114-1)</f>
        <v>0</v>
      </c>
      <c r="S114" s="68" t="s">
        <v>637</v>
      </c>
    </row>
    <row r="115" customFormat="false" ht="15" hidden="false" customHeight="false" outlineLevel="0" collapsed="false">
      <c r="A115" s="46" t="s">
        <v>633</v>
      </c>
      <c r="B115" s="46" t="s">
        <v>650</v>
      </c>
      <c r="C115" s="46" t="s">
        <v>651</v>
      </c>
      <c r="D115" s="46" t="s">
        <v>470</v>
      </c>
      <c r="E115" s="73" t="n">
        <v>1</v>
      </c>
      <c r="F115" s="73" t="n">
        <v>1405</v>
      </c>
      <c r="G115" s="75" t="s">
        <v>636</v>
      </c>
      <c r="H115" s="65" t="n">
        <v>410000</v>
      </c>
      <c r="I115" s="83" t="n">
        <f aca="false">INDEX(Indices!$E$51:$E$71,MATCH(F115,Indices!$A$51:$A$71,0))</f>
        <v>1.15</v>
      </c>
      <c r="J115" s="21" t="n">
        <f aca="false">H115/I115</f>
        <v>356521.739130435</v>
      </c>
      <c r="K115" s="22" t="n">
        <f aca="false">INDEX(Indices!$C$51:$C$71,MATCH($D$3,Indices!$A$51:$A$71,0))/INDEX(Indices!$C$51:$C$71,MATCH(F115,Indices!$A$51:$A$71,0))</f>
        <v>1</v>
      </c>
      <c r="L115" s="21" t="n">
        <f aca="false">J115*K115</f>
        <v>356521.739130435</v>
      </c>
      <c r="M115" s="75" t="s">
        <v>308</v>
      </c>
      <c r="N115" s="21" t="n">
        <f aca="false">IF(M115="Y",MAX(L115,$D$7*$D$8),L115)</f>
        <v>356521.739130435</v>
      </c>
      <c r="O115" s="21" t="n">
        <f aca="false">N115*$D$6</f>
        <v>1025000000000</v>
      </c>
      <c r="P115" s="21" t="n">
        <f aca="false">O115*E115</f>
        <v>1025000000000</v>
      </c>
      <c r="Q115" s="65" t="n">
        <v>1025000000000</v>
      </c>
      <c r="R115" s="62" t="n">
        <f aca="false">IF(Q115="","",O115/Q115-1)</f>
        <v>0</v>
      </c>
      <c r="S115" s="68" t="s">
        <v>637</v>
      </c>
    </row>
    <row r="116" customFormat="false" ht="15" hidden="false" customHeight="false" outlineLevel="0" collapsed="false">
      <c r="A116" s="46" t="s">
        <v>633</v>
      </c>
      <c r="B116" s="46" t="s">
        <v>652</v>
      </c>
      <c r="C116" s="46" t="s">
        <v>653</v>
      </c>
      <c r="D116" s="46" t="s">
        <v>477</v>
      </c>
      <c r="E116" s="73" t="n">
        <v>1</v>
      </c>
      <c r="F116" s="73" t="n">
        <v>1405</v>
      </c>
      <c r="G116" s="75" t="s">
        <v>636</v>
      </c>
      <c r="H116" s="65" t="n">
        <v>8000</v>
      </c>
      <c r="I116" s="83" t="n">
        <f aca="false">INDEX(Indices!$E$51:$E$71,MATCH(F116,Indices!$A$51:$A$71,0))</f>
        <v>1.15</v>
      </c>
      <c r="J116" s="21" t="n">
        <f aca="false">H116/I116</f>
        <v>6956.52173913044</v>
      </c>
      <c r="K116" s="22" t="n">
        <f aca="false">INDEX(Indices!$C$51:$C$71,MATCH($D$3,Indices!$A$51:$A$71,0))/INDEX(Indices!$C$51:$C$71,MATCH(F116,Indices!$A$51:$A$71,0))</f>
        <v>1</v>
      </c>
      <c r="L116" s="21" t="n">
        <f aca="false">J116*K116</f>
        <v>6956.52173913044</v>
      </c>
      <c r="M116" s="75" t="s">
        <v>308</v>
      </c>
      <c r="N116" s="21" t="n">
        <f aca="false">IF(M116="Y",MAX(L116,$D$7*$D$8),L116)</f>
        <v>6956.52173913044</v>
      </c>
      <c r="O116" s="21" t="n">
        <f aca="false">N116*$D$6</f>
        <v>20000000000</v>
      </c>
      <c r="P116" s="21" t="n">
        <f aca="false">O116*E116</f>
        <v>20000000000</v>
      </c>
      <c r="Q116" s="65" t="n">
        <v>20000000000</v>
      </c>
      <c r="R116" s="62" t="n">
        <f aca="false">IF(Q116="","",O116/Q116-1)</f>
        <v>0</v>
      </c>
      <c r="S116" s="68" t="s">
        <v>637</v>
      </c>
    </row>
    <row r="117" customFormat="false" ht="15" hidden="false" customHeight="false" outlineLevel="0" collapsed="false">
      <c r="A117" s="46" t="s">
        <v>633</v>
      </c>
      <c r="B117" s="46" t="s">
        <v>654</v>
      </c>
      <c r="C117" s="46" t="s">
        <v>655</v>
      </c>
      <c r="D117" s="46" t="s">
        <v>477</v>
      </c>
      <c r="E117" s="73" t="n">
        <v>1</v>
      </c>
      <c r="F117" s="73" t="n">
        <v>1405</v>
      </c>
      <c r="G117" s="75" t="s">
        <v>636</v>
      </c>
      <c r="H117" s="65" t="n">
        <v>40000</v>
      </c>
      <c r="I117" s="83" t="n">
        <f aca="false">INDEX(Indices!$E$51:$E$71,MATCH(F117,Indices!$A$51:$A$71,0))</f>
        <v>1.15</v>
      </c>
      <c r="J117" s="21" t="n">
        <f aca="false">H117/I117</f>
        <v>34782.6086956522</v>
      </c>
      <c r="K117" s="22" t="n">
        <f aca="false">INDEX(Indices!$C$51:$C$71,MATCH($D$3,Indices!$A$51:$A$71,0))/INDEX(Indices!$C$51:$C$71,MATCH(F117,Indices!$A$51:$A$71,0))</f>
        <v>1</v>
      </c>
      <c r="L117" s="21" t="n">
        <f aca="false">J117*K117</f>
        <v>34782.6086956522</v>
      </c>
      <c r="M117" s="75" t="s">
        <v>308</v>
      </c>
      <c r="N117" s="21" t="n">
        <f aca="false">IF(M117="Y",MAX(L117,$D$7*$D$8),L117)</f>
        <v>34782.6086956522</v>
      </c>
      <c r="O117" s="21" t="n">
        <f aca="false">N117*$D$6</f>
        <v>100000000000</v>
      </c>
      <c r="P117" s="21" t="n">
        <f aca="false">O117*E117</f>
        <v>100000000000</v>
      </c>
      <c r="Q117" s="65" t="n">
        <v>100000000000</v>
      </c>
      <c r="R117" s="62" t="n">
        <f aca="false">IF(Q117="","",O117/Q117-1)</f>
        <v>0</v>
      </c>
      <c r="S117" s="68" t="s">
        <v>637</v>
      </c>
    </row>
    <row r="118" customFormat="false" ht="15" hidden="false" customHeight="false" outlineLevel="0" collapsed="false">
      <c r="A118" s="46" t="s">
        <v>633</v>
      </c>
      <c r="B118" s="46" t="s">
        <v>656</v>
      </c>
      <c r="C118" s="46" t="s">
        <v>657</v>
      </c>
      <c r="D118" s="46" t="s">
        <v>474</v>
      </c>
      <c r="E118" s="73" t="n">
        <v>1</v>
      </c>
      <c r="F118" s="73" t="n">
        <v>1405</v>
      </c>
      <c r="G118" s="75" t="s">
        <v>636</v>
      </c>
      <c r="H118" s="65" t="n">
        <v>5000</v>
      </c>
      <c r="I118" s="83" t="n">
        <f aca="false">INDEX(Indices!$E$51:$E$71,MATCH(F118,Indices!$A$51:$A$71,0))</f>
        <v>1.15</v>
      </c>
      <c r="J118" s="21" t="n">
        <f aca="false">H118/I118</f>
        <v>4347.82608695652</v>
      </c>
      <c r="K118" s="22" t="n">
        <f aca="false">INDEX(Indices!$C$51:$C$71,MATCH($D$3,Indices!$A$51:$A$71,0))/INDEX(Indices!$C$51:$C$71,MATCH(F118,Indices!$A$51:$A$71,0))</f>
        <v>1</v>
      </c>
      <c r="L118" s="21" t="n">
        <f aca="false">J118*K118</f>
        <v>4347.82608695652</v>
      </c>
      <c r="M118" s="75" t="s">
        <v>308</v>
      </c>
      <c r="N118" s="21" t="n">
        <f aca="false">IF(M118="Y",MAX(L118,$D$7*$D$8),L118)</f>
        <v>4347.82608695652</v>
      </c>
      <c r="O118" s="21" t="n">
        <f aca="false">N118*$D$6</f>
        <v>12500000000</v>
      </c>
      <c r="P118" s="21" t="n">
        <f aca="false">O118*E118</f>
        <v>12500000000</v>
      </c>
      <c r="Q118" s="65" t="n">
        <v>12500000000</v>
      </c>
      <c r="R118" s="62" t="n">
        <f aca="false">IF(Q118="","",O118/Q118-1)</f>
        <v>0</v>
      </c>
      <c r="S118" s="68" t="s">
        <v>637</v>
      </c>
    </row>
    <row r="119" customFormat="false" ht="15" hidden="false" customHeight="false" outlineLevel="0" collapsed="false">
      <c r="A119" s="46" t="s">
        <v>633</v>
      </c>
      <c r="B119" s="46" t="s">
        <v>658</v>
      </c>
      <c r="C119" s="46" t="s">
        <v>659</v>
      </c>
      <c r="D119" s="46" t="s">
        <v>474</v>
      </c>
      <c r="E119" s="73" t="n">
        <v>1</v>
      </c>
      <c r="F119" s="73" t="n">
        <v>1405</v>
      </c>
      <c r="G119" s="75" t="s">
        <v>636</v>
      </c>
      <c r="H119" s="65" t="n">
        <v>3000</v>
      </c>
      <c r="I119" s="83" t="n">
        <f aca="false">INDEX(Indices!$E$51:$E$71,MATCH(F119,Indices!$A$51:$A$71,0))</f>
        <v>1.15</v>
      </c>
      <c r="J119" s="21" t="n">
        <f aca="false">H119/I119</f>
        <v>2608.69565217391</v>
      </c>
      <c r="K119" s="22" t="n">
        <f aca="false">INDEX(Indices!$C$51:$C$71,MATCH($D$3,Indices!$A$51:$A$71,0))/INDEX(Indices!$C$51:$C$71,MATCH(F119,Indices!$A$51:$A$71,0))</f>
        <v>1</v>
      </c>
      <c r="L119" s="21" t="n">
        <f aca="false">J119*K119</f>
        <v>2608.69565217391</v>
      </c>
      <c r="M119" s="75" t="s">
        <v>308</v>
      </c>
      <c r="N119" s="21" t="n">
        <f aca="false">IF(M119="Y",MAX(L119,$D$7*$D$8),L119)</f>
        <v>2608.69565217391</v>
      </c>
      <c r="O119" s="21" t="n">
        <f aca="false">N119*$D$6</f>
        <v>7500000000</v>
      </c>
      <c r="P119" s="21" t="n">
        <f aca="false">O119*E119</f>
        <v>7500000000</v>
      </c>
      <c r="Q119" s="65" t="n">
        <v>7500000000</v>
      </c>
      <c r="R119" s="62" t="n">
        <f aca="false">IF(Q119="","",O119/Q119-1)</f>
        <v>0</v>
      </c>
      <c r="S119" s="68" t="s">
        <v>637</v>
      </c>
    </row>
    <row r="120" customFormat="false" ht="15" hidden="false" customHeight="false" outlineLevel="0" collapsed="false">
      <c r="A120" s="46" t="s">
        <v>633</v>
      </c>
      <c r="B120" s="46" t="s">
        <v>660</v>
      </c>
      <c r="C120" s="46" t="s">
        <v>661</v>
      </c>
      <c r="D120" s="46" t="s">
        <v>486</v>
      </c>
      <c r="E120" s="73" t="n">
        <v>1</v>
      </c>
      <c r="F120" s="73" t="n">
        <v>1405</v>
      </c>
      <c r="G120" s="75" t="s">
        <v>636</v>
      </c>
      <c r="H120" s="65" t="n">
        <v>3000</v>
      </c>
      <c r="I120" s="83" t="n">
        <f aca="false">INDEX(Indices!$E$51:$E$71,MATCH(F120,Indices!$A$51:$A$71,0))</f>
        <v>1.15</v>
      </c>
      <c r="J120" s="21" t="n">
        <f aca="false">H120/I120</f>
        <v>2608.69565217391</v>
      </c>
      <c r="K120" s="22" t="n">
        <f aca="false">INDEX(Indices!$C$51:$C$71,MATCH($D$3,Indices!$A$51:$A$71,0))/INDEX(Indices!$C$51:$C$71,MATCH(F120,Indices!$A$51:$A$71,0))</f>
        <v>1</v>
      </c>
      <c r="L120" s="21" t="n">
        <f aca="false">J120*K120</f>
        <v>2608.69565217391</v>
      </c>
      <c r="M120" s="75" t="s">
        <v>308</v>
      </c>
      <c r="N120" s="21" t="n">
        <f aca="false">IF(M120="Y",MAX(L120,$D$7*$D$8),L120)</f>
        <v>2608.69565217391</v>
      </c>
      <c r="O120" s="21" t="n">
        <f aca="false">N120*$D$6</f>
        <v>7500000000</v>
      </c>
      <c r="P120" s="21" t="n">
        <f aca="false">O120*E120</f>
        <v>7500000000</v>
      </c>
      <c r="Q120" s="65" t="n">
        <v>7500000000</v>
      </c>
      <c r="R120" s="62" t="n">
        <f aca="false">IF(Q120="","",O120/Q120-1)</f>
        <v>0</v>
      </c>
      <c r="S120" s="68" t="s">
        <v>637</v>
      </c>
    </row>
    <row r="121" customFormat="false" ht="15" hidden="false" customHeight="false" outlineLevel="0" collapsed="false">
      <c r="A121" s="46" t="s">
        <v>633</v>
      </c>
      <c r="B121" s="46" t="s">
        <v>662</v>
      </c>
      <c r="C121" s="46" t="s">
        <v>663</v>
      </c>
      <c r="D121" s="46" t="s">
        <v>477</v>
      </c>
      <c r="E121" s="73" t="n">
        <v>1</v>
      </c>
      <c r="F121" s="73" t="n">
        <v>1405</v>
      </c>
      <c r="G121" s="75" t="s">
        <v>636</v>
      </c>
      <c r="H121" s="65" t="n">
        <v>40000</v>
      </c>
      <c r="I121" s="83" t="n">
        <f aca="false">INDEX(Indices!$E$51:$E$71,MATCH(F121,Indices!$A$51:$A$71,0))</f>
        <v>1.15</v>
      </c>
      <c r="J121" s="21" t="n">
        <f aca="false">H121/I121</f>
        <v>34782.6086956522</v>
      </c>
      <c r="K121" s="22" t="n">
        <f aca="false">INDEX(Indices!$C$51:$C$71,MATCH($D$3,Indices!$A$51:$A$71,0))/INDEX(Indices!$C$51:$C$71,MATCH(F121,Indices!$A$51:$A$71,0))</f>
        <v>1</v>
      </c>
      <c r="L121" s="21" t="n">
        <f aca="false">J121*K121</f>
        <v>34782.6086956522</v>
      </c>
      <c r="M121" s="75" t="s">
        <v>308</v>
      </c>
      <c r="N121" s="21" t="n">
        <f aca="false">IF(M121="Y",MAX(L121,$D$7*$D$8),L121)</f>
        <v>34782.6086956522</v>
      </c>
      <c r="O121" s="21" t="n">
        <f aca="false">N121*$D$6</f>
        <v>100000000000</v>
      </c>
      <c r="P121" s="21" t="n">
        <f aca="false">O121*E121</f>
        <v>100000000000</v>
      </c>
      <c r="Q121" s="65" t="n">
        <v>100000000000</v>
      </c>
      <c r="R121" s="62" t="n">
        <f aca="false">IF(Q121="","",O121/Q121-1)</f>
        <v>0</v>
      </c>
      <c r="S121" s="68" t="s">
        <v>637</v>
      </c>
    </row>
    <row r="123" customFormat="false" ht="15" hidden="false" customHeight="false" outlineLevel="0" collapsed="false">
      <c r="A123" s="3" t="s">
        <v>664</v>
      </c>
      <c r="P123" s="84" t="n">
        <f aca="false">SUM(P11:P121)</f>
        <v>41598964157821.3</v>
      </c>
      <c r="Q123" s="84" t="n">
        <f aca="false">SUMPRODUCT(E11:E121,Q11:Q121)</f>
        <v>35640784522934.2</v>
      </c>
      <c r="R123" s="85" t="n">
        <f aca="false">P123/Q123-1</f>
        <v>0.167173077546962</v>
      </c>
    </row>
    <row r="124" customFormat="false" ht="15" hidden="false" customHeight="false" outlineLevel="0" collapsed="false">
      <c r="A124" s="3" t="s">
        <v>665</v>
      </c>
      <c r="P124" s="84" t="n">
        <f aca="false">SUMPRODUCT(E11:E121,N11:N121)</f>
        <v>14469204.9244596</v>
      </c>
    </row>
  </sheetData>
  <dataValidations count="1">
    <dataValidation allowBlank="false" errorStyle="stop" operator="between" showDropDown="false" showErrorMessage="false" showInputMessage="false" sqref="M11:M12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55"/>
    <col collapsed="false" customWidth="true" hidden="false" outlineLevel="0" max="5" min="5" style="0" width="40"/>
    <col collapsed="false" customWidth="true" hidden="false" outlineLevel="0" max="6" min="6" style="0" width="45"/>
  </cols>
  <sheetData>
    <row r="1" customFormat="false" ht="17.15" hidden="false" customHeight="false" outlineLevel="0" collapsed="false">
      <c r="A1" s="1" t="s">
        <v>666</v>
      </c>
    </row>
    <row r="3" customFormat="false" ht="42" hidden="false" customHeight="true" outlineLevel="0" collapsed="false">
      <c r="A3" s="4" t="s">
        <v>667</v>
      </c>
      <c r="B3" s="4" t="s">
        <v>668</v>
      </c>
      <c r="C3" s="4" t="s">
        <v>669</v>
      </c>
      <c r="D3" s="4" t="s">
        <v>670</v>
      </c>
      <c r="E3" s="4" t="s">
        <v>671</v>
      </c>
      <c r="F3" s="4" t="s">
        <v>672</v>
      </c>
    </row>
    <row r="4" customFormat="false" ht="61.5" hidden="false" customHeight="true" outlineLevel="0" collapsed="false">
      <c r="A4" s="60" t="n">
        <v>1</v>
      </c>
      <c r="B4" s="86" t="s">
        <v>673</v>
      </c>
      <c r="C4" s="27" t="s">
        <v>674</v>
      </c>
      <c r="D4" s="27" t="s">
        <v>675</v>
      </c>
      <c r="E4" s="27" t="s">
        <v>676</v>
      </c>
      <c r="F4" s="27" t="s">
        <v>677</v>
      </c>
    </row>
    <row r="5" customFormat="false" ht="61.5" hidden="false" customHeight="true" outlineLevel="0" collapsed="false">
      <c r="A5" s="60" t="n">
        <v>2</v>
      </c>
      <c r="B5" s="86" t="s">
        <v>673</v>
      </c>
      <c r="C5" s="27" t="s">
        <v>678</v>
      </c>
      <c r="D5" s="27" t="s">
        <v>679</v>
      </c>
      <c r="E5" s="27" t="s">
        <v>680</v>
      </c>
      <c r="F5" s="27" t="s">
        <v>681</v>
      </c>
    </row>
    <row r="6" customFormat="false" ht="61.5" hidden="false" customHeight="true" outlineLevel="0" collapsed="false">
      <c r="A6" s="60" t="n">
        <v>3</v>
      </c>
      <c r="B6" s="86" t="s">
        <v>673</v>
      </c>
      <c r="C6" s="27" t="s">
        <v>682</v>
      </c>
      <c r="D6" s="27" t="s">
        <v>683</v>
      </c>
      <c r="E6" s="27" t="s">
        <v>684</v>
      </c>
      <c r="F6" s="27" t="s">
        <v>685</v>
      </c>
    </row>
    <row r="7" customFormat="false" ht="61.5" hidden="false" customHeight="true" outlineLevel="0" collapsed="false">
      <c r="A7" s="60" t="n">
        <v>4</v>
      </c>
      <c r="B7" s="86" t="s">
        <v>673</v>
      </c>
      <c r="C7" s="27" t="s">
        <v>686</v>
      </c>
      <c r="D7" s="27" t="s">
        <v>687</v>
      </c>
      <c r="E7" s="27" t="s">
        <v>688</v>
      </c>
      <c r="F7" s="27" t="s">
        <v>689</v>
      </c>
    </row>
    <row r="8" customFormat="false" ht="61.5" hidden="false" customHeight="true" outlineLevel="0" collapsed="false">
      <c r="A8" s="60" t="n">
        <v>5</v>
      </c>
      <c r="B8" s="27" t="s">
        <v>690</v>
      </c>
      <c r="C8" s="27" t="s">
        <v>691</v>
      </c>
      <c r="D8" s="27" t="s">
        <v>692</v>
      </c>
      <c r="E8" s="27" t="s">
        <v>693</v>
      </c>
      <c r="F8" s="27" t="s">
        <v>694</v>
      </c>
    </row>
    <row r="9" customFormat="false" ht="61.5" hidden="false" customHeight="true" outlineLevel="0" collapsed="false">
      <c r="A9" s="60" t="n">
        <v>6</v>
      </c>
      <c r="B9" s="27" t="s">
        <v>690</v>
      </c>
      <c r="C9" s="27" t="s">
        <v>695</v>
      </c>
      <c r="D9" s="27" t="s">
        <v>696</v>
      </c>
      <c r="E9" s="27" t="s">
        <v>697</v>
      </c>
      <c r="F9" s="27" t="s">
        <v>698</v>
      </c>
    </row>
    <row r="10" customFormat="false" ht="61.5" hidden="false" customHeight="true" outlineLevel="0" collapsed="false">
      <c r="A10" s="60" t="n">
        <v>7</v>
      </c>
      <c r="B10" s="27" t="s">
        <v>690</v>
      </c>
      <c r="C10" s="27" t="s">
        <v>699</v>
      </c>
      <c r="D10" s="27" t="s">
        <v>700</v>
      </c>
      <c r="E10" s="27" t="s">
        <v>701</v>
      </c>
      <c r="F10" s="27" t="s">
        <v>702</v>
      </c>
    </row>
    <row r="11" customFormat="false" ht="61.5" hidden="false" customHeight="true" outlineLevel="0" collapsed="false">
      <c r="A11" s="60" t="n">
        <v>8</v>
      </c>
      <c r="B11" s="27" t="s">
        <v>690</v>
      </c>
      <c r="C11" s="27" t="s">
        <v>703</v>
      </c>
      <c r="D11" s="27" t="s">
        <v>704</v>
      </c>
      <c r="E11" s="27" t="s">
        <v>705</v>
      </c>
      <c r="F11" s="27" t="s">
        <v>706</v>
      </c>
    </row>
    <row r="12" customFormat="false" ht="61.5" hidden="false" customHeight="true" outlineLevel="0" collapsed="false">
      <c r="A12" s="60" t="n">
        <v>9</v>
      </c>
      <c r="B12" s="27" t="s">
        <v>707</v>
      </c>
      <c r="C12" s="27" t="s">
        <v>708</v>
      </c>
      <c r="D12" s="27" t="s">
        <v>709</v>
      </c>
      <c r="E12" s="27" t="s">
        <v>710</v>
      </c>
      <c r="F12" s="27" t="s">
        <v>711</v>
      </c>
    </row>
    <row r="13" customFormat="false" ht="61.5" hidden="false" customHeight="true" outlineLevel="0" collapsed="false">
      <c r="A13" s="60" t="n">
        <v>10</v>
      </c>
      <c r="B13" s="27" t="s">
        <v>707</v>
      </c>
      <c r="C13" s="27" t="s">
        <v>712</v>
      </c>
      <c r="D13" s="27" t="s">
        <v>713</v>
      </c>
      <c r="E13" s="27" t="s">
        <v>714</v>
      </c>
      <c r="F13" s="27" t="s">
        <v>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716</v>
      </c>
    </row>
    <row r="3" customFormat="false" ht="30" hidden="false" customHeight="true" outlineLevel="0" collapsed="false">
      <c r="A3" s="27" t="s">
        <v>717</v>
      </c>
      <c r="B3" s="87" t="s">
        <v>718</v>
      </c>
    </row>
    <row r="4" customFormat="false" ht="30" hidden="false" customHeight="true" outlineLevel="0" collapsed="false">
      <c r="A4" s="27" t="s">
        <v>719</v>
      </c>
      <c r="B4" s="87" t="s">
        <v>720</v>
      </c>
    </row>
    <row r="5" customFormat="false" ht="30" hidden="false" customHeight="true" outlineLevel="0" collapsed="false">
      <c r="A5" s="27" t="s">
        <v>721</v>
      </c>
      <c r="B5" s="87" t="s">
        <v>722</v>
      </c>
    </row>
    <row r="6" customFormat="false" ht="30" hidden="false" customHeight="true" outlineLevel="0" collapsed="false">
      <c r="A6" s="27" t="s">
        <v>723</v>
      </c>
      <c r="B6" s="87" t="s">
        <v>724</v>
      </c>
    </row>
    <row r="7" customFormat="false" ht="30" hidden="false" customHeight="true" outlineLevel="0" collapsed="false">
      <c r="A7" s="27" t="s">
        <v>725</v>
      </c>
      <c r="B7" s="87" t="s">
        <v>726</v>
      </c>
    </row>
    <row r="8" customFormat="false" ht="30" hidden="false" customHeight="true" outlineLevel="0" collapsed="false">
      <c r="A8" s="27" t="s">
        <v>727</v>
      </c>
      <c r="B8" s="46"/>
    </row>
    <row r="9" customFormat="false" ht="30" hidden="false" customHeight="true" outlineLevel="0" collapsed="false">
      <c r="A9" s="27" t="s">
        <v>728</v>
      </c>
      <c r="B9" s="46"/>
    </row>
    <row r="10" customFormat="false" ht="30" hidden="false" customHeight="true" outlineLevel="0" collapsed="false">
      <c r="A10" s="27" t="s">
        <v>729</v>
      </c>
      <c r="B10" s="46"/>
    </row>
    <row r="11" customFormat="false" ht="30" hidden="false" customHeight="true" outlineLevel="0" collapsed="false">
      <c r="A11" s="27" t="s">
        <v>730</v>
      </c>
      <c r="B11" s="46"/>
    </row>
    <row r="12" customFormat="false" ht="30" hidden="false" customHeight="true" outlineLevel="0" collapsed="false">
      <c r="A12" s="27" t="s">
        <v>731</v>
      </c>
      <c r="B12" s="46"/>
    </row>
    <row r="13" customFormat="false" ht="30" hidden="false" customHeight="true" outlineLevel="0" collapsed="false">
      <c r="A13" s="27" t="s">
        <v>732</v>
      </c>
      <c r="B13" s="46"/>
    </row>
  </sheetData>
  <hyperlinks>
    <hyperlink ref="B3" r:id="rId1" display="https://ec.europa.eu/eurostat/api/dissemination/statistics/1.0/data/sts_inppd_a?format=JSON&amp;lang=EN&amp;geo=EA20&amp;nace_r2=C2813&amp;unit=I21"/>
    <hyperlink ref="B4" r:id="rId2" display="https://fred.stlouisfed.org/data/PCU333914333914"/>
    <hyperlink ref="B5" r:id="rId3" display="https://www.ons.gov.uk/economy/inflationandpriceindices/timeseries/ewko/ppi"/>
    <hyperlink ref="B6" r:id="rId4" display="https://en.wikipedia.org/wiki/Iranian_rial"/>
    <hyperlink ref="B7" r:id="rId5" display="https://parsi.euronews.com/business/2026/09/02/iran-currency-rial-crisi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88" t="s">
        <v>733</v>
      </c>
      <c r="B1" s="0" t="s">
        <v>336</v>
      </c>
      <c r="C1" s="0" t="n">
        <v>1385</v>
      </c>
      <c r="D1" s="0" t="s">
        <v>15</v>
      </c>
      <c r="E1" s="88" t="s">
        <v>30</v>
      </c>
    </row>
    <row r="2" customFormat="false" ht="15" hidden="false" customHeight="false" outlineLevel="0" collapsed="false">
      <c r="A2" s="88" t="s">
        <v>734</v>
      </c>
      <c r="B2" s="0" t="s">
        <v>735</v>
      </c>
      <c r="C2" s="0" t="n">
        <v>1386</v>
      </c>
      <c r="D2" s="0" t="s">
        <v>636</v>
      </c>
      <c r="E2" s="88" t="s">
        <v>736</v>
      </c>
    </row>
    <row r="3" customFormat="false" ht="15" hidden="false" customHeight="false" outlineLevel="0" collapsed="false">
      <c r="A3" s="88" t="s">
        <v>737</v>
      </c>
      <c r="B3" s="0" t="s">
        <v>77</v>
      </c>
      <c r="C3" s="0" t="n">
        <v>1387</v>
      </c>
      <c r="D3" s="0" t="s">
        <v>78</v>
      </c>
      <c r="E3" s="88" t="s">
        <v>738</v>
      </c>
    </row>
    <row r="4" customFormat="false" ht="15" hidden="false" customHeight="false" outlineLevel="0" collapsed="false">
      <c r="A4" s="88" t="s">
        <v>739</v>
      </c>
      <c r="B4" s="0" t="s">
        <v>740</v>
      </c>
      <c r="C4" s="0" t="n">
        <v>1388</v>
      </c>
    </row>
    <row r="5" customFormat="false" ht="15" hidden="false" customHeight="false" outlineLevel="0" collapsed="false">
      <c r="A5" s="88" t="s">
        <v>508</v>
      </c>
      <c r="B5" s="0" t="s">
        <v>75</v>
      </c>
      <c r="C5" s="0" t="n">
        <v>1389</v>
      </c>
    </row>
    <row r="6" customFormat="false" ht="15" hidden="false" customHeight="false" outlineLevel="0" collapsed="false">
      <c r="A6" s="88" t="s">
        <v>741</v>
      </c>
      <c r="B6" s="0" t="s">
        <v>10</v>
      </c>
      <c r="C6" s="0" t="n">
        <v>1390</v>
      </c>
    </row>
    <row r="7" customFormat="false" ht="15" hidden="false" customHeight="false" outlineLevel="0" collapsed="false">
      <c r="B7" s="0" t="s">
        <v>742</v>
      </c>
      <c r="C7" s="0" t="n">
        <v>1391</v>
      </c>
    </row>
    <row r="8" customFormat="false" ht="15" hidden="false" customHeight="false" outlineLevel="0" collapsed="false">
      <c r="B8" s="0" t="s">
        <v>743</v>
      </c>
      <c r="C8" s="0" t="n">
        <v>1392</v>
      </c>
    </row>
    <row r="9" customFormat="false" ht="15" hidden="false" customHeight="false" outlineLevel="0" collapsed="false">
      <c r="B9" s="0" t="s">
        <v>744</v>
      </c>
      <c r="C9" s="0" t="n">
        <v>1393</v>
      </c>
    </row>
    <row r="10" customFormat="false" ht="15" hidden="false" customHeight="false" outlineLevel="0" collapsed="false">
      <c r="B10" s="0" t="s">
        <v>307</v>
      </c>
      <c r="C10" s="0" t="n">
        <v>1394</v>
      </c>
    </row>
    <row r="11" customFormat="false" ht="15" hidden="false" customHeight="false" outlineLevel="0" collapsed="false">
      <c r="B11" s="88" t="s">
        <v>81</v>
      </c>
      <c r="C11" s="0" t="n">
        <v>1395</v>
      </c>
    </row>
    <row r="12" customFormat="false" ht="15" hidden="false" customHeight="false" outlineLevel="0" collapsed="false">
      <c r="C12" s="0" t="n">
        <v>1396</v>
      </c>
    </row>
    <row r="13" customFormat="false" ht="15" hidden="false" customHeight="false" outlineLevel="0" collapsed="false">
      <c r="C13" s="0" t="n">
        <v>1397</v>
      </c>
    </row>
    <row r="14" customFormat="false" ht="15" hidden="false" customHeight="false" outlineLevel="0" collapsed="false">
      <c r="C14" s="0" t="n">
        <v>1398</v>
      </c>
    </row>
    <row r="15" customFormat="false" ht="15" hidden="false" customHeight="false" outlineLevel="0" collapsed="false">
      <c r="C15" s="0" t="n">
        <v>1399</v>
      </c>
    </row>
    <row r="16" customFormat="false" ht="15" hidden="false" customHeight="false" outlineLevel="0" collapsed="false">
      <c r="C16" s="0" t="n">
        <v>1400</v>
      </c>
    </row>
    <row r="17" customFormat="false" ht="15" hidden="false" customHeight="false" outlineLevel="0" collapsed="false">
      <c r="C17" s="0" t="n">
        <v>1401</v>
      </c>
    </row>
    <row r="18" customFormat="false" ht="15" hidden="false" customHeight="false" outlineLevel="0" collapsed="false">
      <c r="C18" s="0" t="n">
        <v>1402</v>
      </c>
    </row>
    <row r="19" customFormat="false" ht="15" hidden="false" customHeight="false" outlineLevel="0" collapsed="false">
      <c r="C19" s="0" t="n">
        <v>1403</v>
      </c>
    </row>
    <row r="20" customFormat="false" ht="15" hidden="false" customHeight="false" outlineLevel="0" collapsed="false">
      <c r="C20" s="0" t="n">
        <v>1404</v>
      </c>
    </row>
    <row r="21" customFormat="false" ht="15" hidden="false" customHeight="false" outlineLevel="0" collapsed="false">
      <c r="C21" s="0" t="n">
        <v>1405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2026-10-09T20:25:16Z</dcterms:created>
  <dc:creator>openpyxl</dc:creator>
  <dc:description/>
  <dc:language>en-US</dc:language>
  <cp:lastModifiedBy/>
  <dcterms:modified xsi:type="dcterms:W3CDTF">2026-10-09T16:25:24Z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
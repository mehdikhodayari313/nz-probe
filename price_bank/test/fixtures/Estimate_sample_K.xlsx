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\Desktop\Programming\"/>
    </mc:Choice>
  </mc:AlternateContent>
  <xr:revisionPtr revIDLastSave="0" documentId="13_ncr:1_{11E89EDB-0144-463E-97AF-9C3CF930F7C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VER" sheetId="1" r:id="rId1"/>
    <sheet name="Insurance" sheetId="2" r:id="rId2"/>
    <sheet name="VESSELS(SEPARATOR)" sheetId="3" r:id="rId3"/>
    <sheet name="TANKS" sheetId="4" r:id="rId4"/>
    <sheet name="DESALTER PACKAGE" sheetId="5" r:id="rId5"/>
    <sheet name="ROTARY" sheetId="6" r:id="rId6"/>
    <sheet name="STACK" sheetId="7" r:id="rId7"/>
    <sheet name="H-EX &amp; HEATER" sheetId="8" r:id="rId8"/>
    <sheet name="STRUCTURE" sheetId="9" r:id="rId9"/>
    <sheet name="PACKAGE" sheetId="10" r:id="rId10"/>
    <sheet name="Civil Work" sheetId="11" r:id="rId11"/>
    <sheet name="PIPE &amp; FITTING &amp; Valves" sheetId="12" r:id="rId12"/>
    <sheet name="E&amp;I&amp;C" sheetId="13" r:id="rId13"/>
    <sheet name="Instruments , Power &amp; CCR " sheetId="14" r:id="rId14"/>
    <sheet name="Mob-Demobilization" sheetId="15" r:id="rId15"/>
    <sheet name="Machinery" sheetId="16" r:id="rId16"/>
    <sheet name="employee Salary &amp; Accomodation " sheetId="17" r:id="rId17"/>
  </sheets>
  <definedNames>
    <definedName name="_xlnm.Print_Area" localSheetId="7">'H-EX &amp; HEATER'!$A$1:$Z$23</definedName>
    <definedName name="_xlnm.Print_Area" localSheetId="6">STACK!$A$1:$Y$27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7" l="1"/>
  <c r="I4" i="17" s="1"/>
  <c r="H3" i="17"/>
  <c r="I3" i="17" s="1"/>
  <c r="H2" i="17"/>
  <c r="I2" i="17" s="1"/>
  <c r="I6" i="17" s="1"/>
  <c r="L25" i="1" s="1"/>
  <c r="G18" i="16"/>
  <c r="I18" i="16" s="1"/>
  <c r="G17" i="16"/>
  <c r="I17" i="16" s="1"/>
  <c r="G16" i="16"/>
  <c r="I16" i="16" s="1"/>
  <c r="G15" i="16"/>
  <c r="I15" i="16" s="1"/>
  <c r="G14" i="16"/>
  <c r="H14" i="16" s="1"/>
  <c r="I14" i="16" s="1"/>
  <c r="G13" i="16"/>
  <c r="H13" i="16" s="1"/>
  <c r="I13" i="16" s="1"/>
  <c r="G12" i="16"/>
  <c r="H12" i="16" s="1"/>
  <c r="I12" i="16" s="1"/>
  <c r="G11" i="16"/>
  <c r="G10" i="16"/>
  <c r="H10" i="16" s="1"/>
  <c r="I10" i="16" s="1"/>
  <c r="G9" i="16"/>
  <c r="H9" i="16" s="1"/>
  <c r="I9" i="16" s="1"/>
  <c r="G8" i="16"/>
  <c r="H8" i="16" s="1"/>
  <c r="I8" i="16" s="1"/>
  <c r="G7" i="16"/>
  <c r="H7" i="16" s="1"/>
  <c r="I7" i="16" s="1"/>
  <c r="G6" i="16"/>
  <c r="H6" i="16" s="1"/>
  <c r="I6" i="16" s="1"/>
  <c r="G5" i="16"/>
  <c r="H5" i="16" s="1"/>
  <c r="I5" i="16" s="1"/>
  <c r="G4" i="16"/>
  <c r="H4" i="16" s="1"/>
  <c r="I4" i="16" s="1"/>
  <c r="G3" i="16"/>
  <c r="H3" i="16" s="1"/>
  <c r="I3" i="16" s="1"/>
  <c r="G2" i="16"/>
  <c r="H2" i="16" s="1"/>
  <c r="F16" i="15"/>
  <c r="F17" i="15" s="1"/>
  <c r="L22" i="1" s="1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Y30" i="13"/>
  <c r="W20" i="13"/>
  <c r="W19" i="13"/>
  <c r="W21" i="13" s="1"/>
  <c r="X21" i="13" s="1"/>
  <c r="W18" i="13"/>
  <c r="W17" i="13"/>
  <c r="W16" i="13"/>
  <c r="W15" i="13"/>
  <c r="W14" i="13"/>
  <c r="W13" i="13"/>
  <c r="W12" i="13"/>
  <c r="W11" i="13"/>
  <c r="S5" i="13"/>
  <c r="S4" i="13"/>
  <c r="Z30" i="12"/>
  <c r="W26" i="12"/>
  <c r="V20" i="12"/>
  <c r="W20" i="12" s="1"/>
  <c r="V19" i="12"/>
  <c r="W19" i="12" s="1"/>
  <c r="W18" i="12"/>
  <c r="X18" i="12" s="1"/>
  <c r="V18" i="12"/>
  <c r="V21" i="12" s="1"/>
  <c r="W17" i="12"/>
  <c r="X17" i="12" s="1"/>
  <c r="W16" i="12"/>
  <c r="X16" i="12" s="1"/>
  <c r="W15" i="12"/>
  <c r="X15" i="12" s="1"/>
  <c r="W14" i="12"/>
  <c r="X14" i="12" s="1"/>
  <c r="W13" i="12"/>
  <c r="X13" i="12" s="1"/>
  <c r="W12" i="12"/>
  <c r="X12" i="12" s="1"/>
  <c r="W11" i="12"/>
  <c r="X11" i="12" s="1"/>
  <c r="X21" i="12" s="1"/>
  <c r="Y21" i="12" s="1"/>
  <c r="Q5" i="12"/>
  <c r="Q4" i="12"/>
  <c r="T29" i="11"/>
  <c r="T20" i="11"/>
  <c r="R19" i="11"/>
  <c r="R18" i="11"/>
  <c r="R17" i="11"/>
  <c r="R16" i="11"/>
  <c r="R15" i="11"/>
  <c r="R14" i="11"/>
  <c r="R13" i="11"/>
  <c r="R12" i="11"/>
  <c r="R11" i="11"/>
  <c r="R20" i="11" s="1"/>
  <c r="S20" i="11" s="1"/>
  <c r="N5" i="11"/>
  <c r="N4" i="11"/>
  <c r="S29" i="10"/>
  <c r="S20" i="10"/>
  <c r="Q18" i="10"/>
  <c r="Q17" i="10"/>
  <c r="Q16" i="10"/>
  <c r="Q15" i="10"/>
  <c r="Q14" i="10"/>
  <c r="Q13" i="10"/>
  <c r="Q20" i="10" s="1"/>
  <c r="R20" i="10" s="1"/>
  <c r="Q12" i="10"/>
  <c r="Q11" i="10"/>
  <c r="M5" i="10"/>
  <c r="M4" i="10"/>
  <c r="Y29" i="9"/>
  <c r="Y20" i="9"/>
  <c r="W20" i="9"/>
  <c r="X20" i="9" s="1"/>
  <c r="W11" i="9"/>
  <c r="S5" i="9"/>
  <c r="S4" i="9"/>
  <c r="Z29" i="8"/>
  <c r="V16" i="8"/>
  <c r="Z20" i="8" s="1"/>
  <c r="L16" i="1" s="1"/>
  <c r="X14" i="8"/>
  <c r="X13" i="8"/>
  <c r="X12" i="8"/>
  <c r="X11" i="8"/>
  <c r="X20" i="8" s="1"/>
  <c r="Y20" i="8" s="1"/>
  <c r="T5" i="8"/>
  <c r="T4" i="8"/>
  <c r="Y29" i="7"/>
  <c r="W12" i="7"/>
  <c r="W11" i="7"/>
  <c r="W20" i="7" s="1"/>
  <c r="X20" i="7" s="1"/>
  <c r="S5" i="7"/>
  <c r="S4" i="7"/>
  <c r="J34" i="6"/>
  <c r="U30" i="6"/>
  <c r="T30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P5" i="6"/>
  <c r="P4" i="6"/>
  <c r="V23" i="4"/>
  <c r="T23" i="4"/>
  <c r="P5" i="4"/>
  <c r="P4" i="4"/>
  <c r="S17" i="3"/>
  <c r="S16" i="3"/>
  <c r="S15" i="3"/>
  <c r="S14" i="3"/>
  <c r="S13" i="3"/>
  <c r="S18" i="3" s="1"/>
  <c r="V18" i="3" s="1"/>
  <c r="S12" i="3"/>
  <c r="S11" i="3"/>
  <c r="P5" i="3"/>
  <c r="P4" i="3"/>
  <c r="F19" i="2"/>
  <c r="L26" i="1"/>
  <c r="L21" i="1"/>
  <c r="L20" i="1"/>
  <c r="L19" i="1"/>
  <c r="L18" i="1"/>
  <c r="L17" i="1"/>
  <c r="L15" i="1"/>
  <c r="L14" i="1"/>
  <c r="L12" i="1"/>
  <c r="L11" i="1"/>
  <c r="H3" i="1"/>
  <c r="Y22" i="5"/>
  <c r="L13" i="1" s="1"/>
  <c r="X22" i="5"/>
  <c r="V22" i="5"/>
  <c r="U12" i="5"/>
  <c r="U11" i="5"/>
  <c r="R5" i="5"/>
  <c r="R4" i="5"/>
  <c r="G19" i="16" l="1"/>
  <c r="H11" i="16"/>
  <c r="I11" i="16" s="1"/>
  <c r="I2" i="16"/>
  <c r="H19" i="16"/>
  <c r="I19" i="16" l="1"/>
  <c r="L24" i="1" s="1"/>
  <c r="L27" i="1" s="1"/>
  <c r="AJ27" i="1" l="1"/>
  <c r="A30" i="1"/>
  <c r="AK24" i="1"/>
</calcChain>
</file>

<file path=xl/sharedStrings.xml><?xml version="1.0" encoding="utf-8"?>
<sst xmlns="http://schemas.openxmlformats.org/spreadsheetml/2006/main" count="794" uniqueCount="389">
  <si>
    <t xml:space="preserve">Modular Oil Treating And Desalting Unit </t>
  </si>
  <si>
    <t>Title:</t>
  </si>
  <si>
    <t>Page 1 of 12</t>
  </si>
  <si>
    <t>Document No.:</t>
  </si>
  <si>
    <t>Class: 3</t>
  </si>
  <si>
    <t>REV. C</t>
  </si>
  <si>
    <t>Total Estimate Price (Euro)</t>
  </si>
  <si>
    <t>Vessels</t>
  </si>
  <si>
    <t>Tanks</t>
  </si>
  <si>
    <t>DeSalters</t>
  </si>
  <si>
    <t>Rotary</t>
  </si>
  <si>
    <t>Stack</t>
  </si>
  <si>
    <t>H-EX &amp; Heaters</t>
  </si>
  <si>
    <t>Structures</t>
  </si>
  <si>
    <t>Package</t>
  </si>
  <si>
    <t>Civil Work</t>
  </si>
  <si>
    <t>Pipe &amp; Fitting &amp; Valves</t>
  </si>
  <si>
    <t>E&amp;I&amp;C</t>
  </si>
  <si>
    <t>Mob-Demobilization</t>
  </si>
  <si>
    <t>Engineering</t>
  </si>
  <si>
    <t>Machinery</t>
  </si>
  <si>
    <t>Salary &amp; Accomodations</t>
  </si>
  <si>
    <t>Instrument &amp; Control Room Systems</t>
  </si>
  <si>
    <t>TOTAL (Euro)</t>
  </si>
  <si>
    <t>USD</t>
  </si>
  <si>
    <t>C</t>
  </si>
  <si>
    <t>B</t>
  </si>
  <si>
    <t>A</t>
  </si>
  <si>
    <t>FEB. 2025</t>
  </si>
  <si>
    <t>Issue for Comment</t>
  </si>
  <si>
    <t>E.P</t>
  </si>
  <si>
    <t>A.N</t>
  </si>
  <si>
    <t>R.S</t>
  </si>
  <si>
    <t>---</t>
  </si>
  <si>
    <t>Rev</t>
  </si>
  <si>
    <t>Issue Date</t>
  </si>
  <si>
    <t>Status</t>
  </si>
  <si>
    <t>Prepared</t>
  </si>
  <si>
    <t>Checked</t>
  </si>
  <si>
    <t>Approved</t>
  </si>
  <si>
    <t>Client Approval</t>
  </si>
  <si>
    <t>Description</t>
  </si>
  <si>
    <t>Total Price (Euro)</t>
  </si>
  <si>
    <t>Insurance coefficient</t>
  </si>
  <si>
    <t>cons</t>
  </si>
  <si>
    <t>prc</t>
  </si>
  <si>
    <t>prc-</t>
  </si>
  <si>
    <t>HR</t>
  </si>
  <si>
    <t>Rental</t>
  </si>
  <si>
    <t>Main Equipment List - Train No1</t>
  </si>
  <si>
    <t>Page 2 of 12</t>
  </si>
  <si>
    <t>ITEM NO.</t>
  </si>
  <si>
    <t>DESCRIPTION</t>
  </si>
  <si>
    <t xml:space="preserve">QTY
</t>
  </si>
  <si>
    <t>FLUID
CONTENT</t>
  </si>
  <si>
    <t xml:space="preserve">
MATERIAL
</t>
  </si>
  <si>
    <t>DIMENSION</t>
  </si>
  <si>
    <t>TEMP.</t>
  </si>
  <si>
    <t>PRESS.</t>
  </si>
  <si>
    <t>ORIENTATION</t>
  </si>
  <si>
    <t>REMARKS</t>
  </si>
  <si>
    <t>estimation price (euro)</t>
  </si>
  <si>
    <t>Nominal Weight (Kg)</t>
  </si>
  <si>
    <t>Unit Price (euro/kg)</t>
  </si>
  <si>
    <t>Overhead 30%</t>
  </si>
  <si>
    <t>Total Estimation Price (Euro/Kg)</t>
  </si>
  <si>
    <t>DESIGN
(MAX)</t>
  </si>
  <si>
    <t xml:space="preserve">
DESIGN
(BARG)
 </t>
  </si>
  <si>
    <t>V-120</t>
  </si>
  <si>
    <t>FUEL GAS K.O. DRUM</t>
  </si>
  <si>
    <t xml:space="preserve">FUEL GAS </t>
  </si>
  <si>
    <t>SA 516 GR.70</t>
  </si>
  <si>
    <t>ID x T/T:
800mm x 2350 mm</t>
  </si>
  <si>
    <t>VERTICAL</t>
  </si>
  <si>
    <t>V-140</t>
  </si>
  <si>
    <t>AIR RECEIVER</t>
  </si>
  <si>
    <t>AIR</t>
  </si>
  <si>
    <t>ID x T/T:
1800mm x 5400 mm</t>
  </si>
  <si>
    <t>V-160</t>
  </si>
  <si>
    <t>FLARE K.O. DRUM</t>
  </si>
  <si>
    <t>GAS</t>
  </si>
  <si>
    <t>ID x T/T:
2100mm x 4000 mm</t>
  </si>
  <si>
    <t>HORIZONTAL</t>
  </si>
  <si>
    <t>PK-141 A/B</t>
  </si>
  <si>
    <t>AIR DRYER PACKAGE</t>
  </si>
  <si>
    <t>WILL BE FINALIZED LATER</t>
  </si>
  <si>
    <t>CY-180A/B</t>
  </si>
  <si>
    <t>VESSEL</t>
  </si>
  <si>
    <t>WATER/CRUDE</t>
  </si>
  <si>
    <t>350mm x 1500mm</t>
  </si>
  <si>
    <t>F-180 A/B</t>
  </si>
  <si>
    <t>WALNUT FILTER</t>
  </si>
  <si>
    <t>OILY WATER</t>
  </si>
  <si>
    <t>ID x T/T:
2200mm x 2200 mm</t>
  </si>
  <si>
    <t>_</t>
  </si>
  <si>
    <t>V-150</t>
  </si>
  <si>
    <t>H/C CLOSED DRAIN VESSEL</t>
  </si>
  <si>
    <t>CRUDE OIL</t>
  </si>
  <si>
    <t>ID x T/T:
2500mm x 6000 mm</t>
  </si>
  <si>
    <t>Installation Included</t>
  </si>
  <si>
    <t>NOTES:</t>
  </si>
  <si>
    <t xml:space="preserve">1 - B.V.: BY VENDOR
2 - N.A.: NOT APPLICABLE
3 - ATM.: ATMOSPHERIC
</t>
  </si>
  <si>
    <t>Page 3 of 12</t>
  </si>
  <si>
    <t>TK-110</t>
  </si>
  <si>
    <t>DILUTION WATER TANK</t>
  </si>
  <si>
    <t>WATER</t>
  </si>
  <si>
    <t>ID x HEIGHT:
8000mm x 10000 mm</t>
  </si>
  <si>
    <t>-0.005/+0.17</t>
  </si>
  <si>
    <t>TK-130</t>
  </si>
  <si>
    <t>FUEL OIL TANK</t>
  </si>
  <si>
    <t>FUEL OIL</t>
  </si>
  <si>
    <t>ID x T/T:
2000mm x 3100 mm</t>
  </si>
  <si>
    <t>ATM</t>
  </si>
  <si>
    <t>TK-112</t>
  </si>
  <si>
    <t>ELEVATED POTABLE WATER TANK</t>
  </si>
  <si>
    <t>ID x HEIGHT:
3500mm x 3500 mm</t>
  </si>
  <si>
    <t>TK-190</t>
  </si>
  <si>
    <t>FIRE WATER STORAGE TANK</t>
  </si>
  <si>
    <t>ID x HEIGHT:
14000mm x 12000 mm</t>
  </si>
  <si>
    <t>TK-113</t>
  </si>
  <si>
    <t>RAW WATER TANK</t>
  </si>
  <si>
    <t>TK-100</t>
  </si>
  <si>
    <t>DEGASSING TANK</t>
  </si>
  <si>
    <t>OIL/GAS/
WATER</t>
  </si>
  <si>
    <t>ID x HEIGHT:
12500mm x 12000 mm</t>
  </si>
  <si>
    <t>-0.005~0.22</t>
  </si>
  <si>
    <t>TK-195</t>
  </si>
  <si>
    <t>SKIMMER TANK</t>
  </si>
  <si>
    <t>CRUDE / OILY WATER</t>
  </si>
  <si>
    <t>ID x HEIGHT:
10000mm x 5000 mm</t>
  </si>
  <si>
    <t>TK-170</t>
  </si>
  <si>
    <t>DIRTY OIL TANK</t>
  </si>
  <si>
    <t>ID x HEIGHT:
3000mm x 2000 mm</t>
  </si>
  <si>
    <t>TK-180</t>
  </si>
  <si>
    <t>DISPOSAL TANK</t>
  </si>
  <si>
    <t>SU-150</t>
  </si>
  <si>
    <t>H/C CLOSE DRAIN SUMP</t>
  </si>
  <si>
    <t>10000x15000x4000 mm</t>
  </si>
  <si>
    <t>TK-101</t>
  </si>
  <si>
    <t>OFF SPEC. TANK</t>
  </si>
  <si>
    <t>Page 4 of 12</t>
  </si>
  <si>
    <t>TYPE</t>
  </si>
  <si>
    <t>DIMENSION
ID x T/T:</t>
  </si>
  <si>
    <t xml:space="preserve">DESIGN
(BARG)
 </t>
  </si>
  <si>
    <t xml:space="preserve">DESIGN
</t>
  </si>
  <si>
    <t>D-100</t>
  </si>
  <si>
    <t>DESALTER</t>
  </si>
  <si>
    <t>3658x 13717</t>
  </si>
  <si>
    <t>14</t>
  </si>
  <si>
    <t>HORZINTAL</t>
  </si>
  <si>
    <t>D-101</t>
  </si>
  <si>
    <t>Internals &amp; Transformators</t>
  </si>
  <si>
    <t>Desalter Installation</t>
  </si>
  <si>
    <t>Page 5 of 12</t>
  </si>
  <si>
    <t>CAPACITY</t>
  </si>
  <si>
    <t>DIFF PRESS.</t>
  </si>
  <si>
    <t>estimation price (euro/Unit)</t>
  </si>
  <si>
    <t xml:space="preserve">
(BARG)
 </t>
  </si>
  <si>
    <t>P-110 A/B</t>
  </si>
  <si>
    <t>DILUTION WATER PUMP</t>
  </si>
  <si>
    <t>CASING:CAST IRON
SHAFT:S.S MARTENSITE (TCV)</t>
  </si>
  <si>
    <t>B.V</t>
  </si>
  <si>
    <t>20.5 M3/HR</t>
  </si>
  <si>
    <t>11.6</t>
  </si>
  <si>
    <t>P-130</t>
  </si>
  <si>
    <t>FUEL OIL LOADING &amp; UNLOADING PUMP</t>
  </si>
  <si>
    <t>10 M3/HR</t>
  </si>
  <si>
    <t>PK-140 A/B</t>
  </si>
  <si>
    <t>AIR COMPRESSOR PACKAGE</t>
  </si>
  <si>
    <t>200 SM3/HR</t>
  </si>
  <si>
    <t>P-115 A/B/C</t>
  </si>
  <si>
    <t>RAW WATER MAIN PUMPS</t>
  </si>
  <si>
    <t>25 M3/HR</t>
  </si>
  <si>
    <t>P-120 A/B/C</t>
  </si>
  <si>
    <t>RAW WATER  PUMPS</t>
  </si>
  <si>
    <t>250 M3/HR</t>
  </si>
  <si>
    <t>P-102 A/B</t>
  </si>
  <si>
    <t>FREE WATER TRANSFER PUMPS</t>
  </si>
  <si>
    <t>22.3 M3/HR</t>
  </si>
  <si>
    <t>24</t>
  </si>
  <si>
    <t>AIR SMOKELESS (FAN BLOWER)</t>
  </si>
  <si>
    <t>P-101 A/B</t>
  </si>
  <si>
    <t>RECYCLE PUMPS</t>
  </si>
  <si>
    <t>21 M3/HR</t>
  </si>
  <si>
    <t>P-180 A/B</t>
  </si>
  <si>
    <t>WATER INJECTION BOOSTER PUMPS</t>
  </si>
  <si>
    <t>65 M3/HR</t>
  </si>
  <si>
    <t>P-181 A/B</t>
  </si>
  <si>
    <t>WATER INJECTION MAIN PUMPS</t>
  </si>
  <si>
    <t>65.3 M3/HR</t>
  </si>
  <si>
    <t>P-170 A/B</t>
  </si>
  <si>
    <t>REMOVED OIL TRANSFER PUMPS</t>
  </si>
  <si>
    <t>2 M3/HR</t>
  </si>
  <si>
    <t>P-103</t>
  </si>
  <si>
    <t>CRUDE FEED PUMP</t>
  </si>
  <si>
    <t>33 M3/HR</t>
  </si>
  <si>
    <t>P-153 A/B</t>
  </si>
  <si>
    <t>OILY WATER SEPARATOR WATER PUMP</t>
  </si>
  <si>
    <t>15 M3/HR</t>
  </si>
  <si>
    <t>P-150</t>
  </si>
  <si>
    <t>CLOSED DRAIN VESSEL SUMP PUMP</t>
  </si>
  <si>
    <t>8 M3/HR</t>
  </si>
  <si>
    <t>P-151 A/B</t>
  </si>
  <si>
    <t>H/C CLOSED DRAIN TRANSFER PUMP</t>
  </si>
  <si>
    <t>17 M3/HR</t>
  </si>
  <si>
    <t>P-152 A/B</t>
  </si>
  <si>
    <t>OILY WATER SEPARATOR OIL PUMP</t>
  </si>
  <si>
    <t>4 M3/HR</t>
  </si>
  <si>
    <t>P-177 A/B</t>
  </si>
  <si>
    <t>CHEMICAL LOADING PUMPS</t>
  </si>
  <si>
    <t xml:space="preserve">CORROSION INHIBITOR/DEMULSIFIER </t>
  </si>
  <si>
    <t>3 M3/HR</t>
  </si>
  <si>
    <t>MI-180 A/B</t>
  </si>
  <si>
    <t>WALNUT FILTER MIXER</t>
  </si>
  <si>
    <t>DIA. OF BLADE: 1800 mm</t>
  </si>
  <si>
    <t>Installation</t>
  </si>
  <si>
    <t>Page 6 of 12</t>
  </si>
  <si>
    <t>STACK &amp; TIP DIAMETER</t>
  </si>
  <si>
    <t>STACK HEIGHT</t>
  </si>
  <si>
    <t>FL-160</t>
  </si>
  <si>
    <t>FLARE ASSEMBLY</t>
  </si>
  <si>
    <t>16" &amp; 8"</t>
  </si>
  <si>
    <t>10000 mm</t>
  </si>
  <si>
    <t>FL-161</t>
  </si>
  <si>
    <t>COLD FLARE</t>
  </si>
  <si>
    <t>Page 7 of 12</t>
  </si>
  <si>
    <t xml:space="preserve">DUTY </t>
  </si>
  <si>
    <t xml:space="preserve">
Diameter (mm)
Hight (Length)- TL to TL  (mm)</t>
  </si>
  <si>
    <t>E-101</t>
  </si>
  <si>
    <t>WATER/WATER HEAT EXCHANGER</t>
  </si>
  <si>
    <t>PLATE AND FRAME</t>
  </si>
  <si>
    <t>HOT/COLD:
88.7/73.7</t>
  </si>
  <si>
    <t>1082.4 KW</t>
  </si>
  <si>
    <t>E-100</t>
  </si>
  <si>
    <t>CRUDE/CRUDE HEAT EXCHANGER</t>
  </si>
  <si>
    <t>HOT/COLD:
89/89</t>
  </si>
  <si>
    <t>5784 KW</t>
  </si>
  <si>
    <t>H-100 A</t>
  </si>
  <si>
    <t>INDIRECT FIRED HEATER</t>
  </si>
  <si>
    <t>TUBE AND BATH</t>
  </si>
  <si>
    <t>3558x15240</t>
  </si>
  <si>
    <t>TUBE/BATH: 
16/3.5</t>
  </si>
  <si>
    <t>H-100B</t>
  </si>
  <si>
    <t xml:space="preserve">Installation </t>
  </si>
  <si>
    <t>Page 8 of 12</t>
  </si>
  <si>
    <t xml:space="preserve">QTY (kg)
</t>
  </si>
  <si>
    <t>estimation price (euro/kg)</t>
  </si>
  <si>
    <t>estimation steel structure fo whole package</t>
  </si>
  <si>
    <t>installation</t>
  </si>
  <si>
    <t>Page 9 of 12</t>
  </si>
  <si>
    <t>VOLUME</t>
  </si>
  <si>
    <t>INJECTION PRESSURE</t>
  </si>
  <si>
    <t>PK-176</t>
  </si>
  <si>
    <t>DEMULSIFIER INJECTION PACKAGE</t>
  </si>
  <si>
    <t>25 LIT/HR</t>
  </si>
  <si>
    <t>2.5 M3</t>
  </si>
  <si>
    <t>42 BARG</t>
  </si>
  <si>
    <t>PK-170</t>
  </si>
  <si>
    <t>15 LIT/HR</t>
  </si>
  <si>
    <t>12 BARG</t>
  </si>
  <si>
    <t>PK-171</t>
  </si>
  <si>
    <t xml:space="preserve">CORROSION INHIBITOR INJECTION </t>
  </si>
  <si>
    <t>7 LIT/HR</t>
  </si>
  <si>
    <t>0.5 M3</t>
  </si>
  <si>
    <t>10 BARG</t>
  </si>
  <si>
    <t>PK-172</t>
  </si>
  <si>
    <t>OXYGEN SCAVENGER INJECTION PACKAGE</t>
  </si>
  <si>
    <t>6 LIT/HR</t>
  </si>
  <si>
    <t>4.3 BARG</t>
  </si>
  <si>
    <t>PK-173</t>
  </si>
  <si>
    <t>REVERSE DEMULSIFIER INJECTION PACKAGE</t>
  </si>
  <si>
    <t>5 LIT/HR</t>
  </si>
  <si>
    <t>10.3 BARG</t>
  </si>
  <si>
    <t>PK-174</t>
  </si>
  <si>
    <t>SCALE INHIBITOR INJECTION PACKAGE</t>
  </si>
  <si>
    <t>2.5 BARG</t>
  </si>
  <si>
    <t xml:space="preserve">PK-175 </t>
  </si>
  <si>
    <t xml:space="preserve">BIOCIDE INJECTION PACKAGE </t>
  </si>
  <si>
    <t>8/50 LIT/HR</t>
  </si>
  <si>
    <t>PK-110</t>
  </si>
  <si>
    <t xml:space="preserve">VACUUM DEAERATION PACKAGE </t>
  </si>
  <si>
    <t>3.5/FULL VAC BARG</t>
  </si>
  <si>
    <t>Page 10 of 12</t>
  </si>
  <si>
    <t>DIMENSION
(MM)</t>
  </si>
  <si>
    <t>X-151</t>
  </si>
  <si>
    <t>EVAPORATION POND</t>
  </si>
  <si>
    <t>CONCRETE</t>
  </si>
  <si>
    <t>93000x60000x2000</t>
  </si>
  <si>
    <t>PK-150</t>
  </si>
  <si>
    <t xml:space="preserve">BURN PIT </t>
  </si>
  <si>
    <t>11000x12000x2000</t>
  </si>
  <si>
    <t>OS-150</t>
  </si>
  <si>
    <t>OILY WATER SWPARATOR</t>
  </si>
  <si>
    <t>9000x3500x3000</t>
  </si>
  <si>
    <t>Construction Activity (Excaviation &amp; Civil Work)</t>
  </si>
  <si>
    <t>construction , pre comissioning &amp; comissioning contractors</t>
  </si>
  <si>
    <t>Page 11 of 12</t>
  </si>
  <si>
    <t xml:space="preserve">Estimation Length (m)
</t>
  </si>
  <si>
    <t>Size (inch)</t>
  </si>
  <si>
    <t>estimation price (euro/m)</t>
  </si>
  <si>
    <t>weight / m (kg)</t>
  </si>
  <si>
    <t>Total Weight(kg)</t>
  </si>
  <si>
    <t>total price (euro)</t>
  </si>
  <si>
    <t>overhead (30%)</t>
  </si>
  <si>
    <t>oil line (10 inch )</t>
  </si>
  <si>
    <t>gas line (4 inch)</t>
  </si>
  <si>
    <t>fuel gas</t>
  </si>
  <si>
    <t>dilution water line (6 inch)</t>
  </si>
  <si>
    <t>disposal water line (4 inch)</t>
  </si>
  <si>
    <t>inter connection line</t>
  </si>
  <si>
    <t>2~10</t>
  </si>
  <si>
    <t xml:space="preserve">flare line </t>
  </si>
  <si>
    <t xml:space="preserve">Welding construction Estimate </t>
  </si>
  <si>
    <t>contractor</t>
  </si>
  <si>
    <t>Valves/ Control Valves</t>
  </si>
  <si>
    <t>Existing Flare move</t>
  </si>
  <si>
    <t>Page 12 of 12</t>
  </si>
  <si>
    <t>PK-140</t>
  </si>
  <si>
    <t>COMPRESSOR CONTROL PANEL</t>
  </si>
  <si>
    <t>PK-141</t>
  </si>
  <si>
    <t>AIR DRYER PACKAGE CONTROL PANEL</t>
  </si>
  <si>
    <t>PK-160</t>
  </si>
  <si>
    <t>IGNITION CONTROL PANEL &amp; TRANSFORMER</t>
  </si>
  <si>
    <t>BURNER MANAGEMENT SYSTEM</t>
  </si>
  <si>
    <t>H-100 B</t>
  </si>
  <si>
    <t>F&amp;G System</t>
  </si>
  <si>
    <t>Gas Generator</t>
  </si>
  <si>
    <t xml:space="preserve">Metering System </t>
  </si>
  <si>
    <t>Automatic Sampling System</t>
  </si>
  <si>
    <t>R</t>
  </si>
  <si>
    <t>Instruments</t>
  </si>
  <si>
    <t>QTY</t>
  </si>
  <si>
    <t>Unit Price (Euro)</t>
  </si>
  <si>
    <t>Instruments Installation</t>
  </si>
  <si>
    <t>CCR</t>
  </si>
  <si>
    <t>Power</t>
  </si>
  <si>
    <t xml:space="preserve">Power Installation </t>
  </si>
  <si>
    <t>HSE Equipment</t>
  </si>
  <si>
    <t>Site Mobilization</t>
  </si>
  <si>
    <t>ofiice building (Contractor offices)</t>
  </si>
  <si>
    <t>m2</t>
  </si>
  <si>
    <t>office building (Client offices)</t>
  </si>
  <si>
    <t xml:space="preserve">office furnish </t>
  </si>
  <si>
    <t>total</t>
  </si>
  <si>
    <t>Healthcare Station</t>
  </si>
  <si>
    <t>12m2 conex+first aid equipment+ambulance</t>
  </si>
  <si>
    <t xml:space="preserve">Fire Fighting Station </t>
  </si>
  <si>
    <t>1 fire fighting car</t>
  </si>
  <si>
    <t>fence</t>
  </si>
  <si>
    <t>m</t>
  </si>
  <si>
    <t>Labors Dormitory</t>
  </si>
  <si>
    <t>6m2 per each persons</t>
  </si>
  <si>
    <t>Engineers Dormitory</t>
  </si>
  <si>
    <t>Dormitory furnish</t>
  </si>
  <si>
    <t>Transfers (ticket,cars,…)</t>
  </si>
  <si>
    <t>Domestic &amp; International Transfers</t>
  </si>
  <si>
    <t>Demobilization</t>
  </si>
  <si>
    <t>HSE consumption</t>
  </si>
  <si>
    <t>Machine List</t>
  </si>
  <si>
    <t>rent month</t>
  </si>
  <si>
    <t>unit/month</t>
  </si>
  <si>
    <t>Overheads (30%)</t>
  </si>
  <si>
    <t>total price (Euro)</t>
  </si>
  <si>
    <t>Total+Overheads</t>
  </si>
  <si>
    <t>bulldozer</t>
  </si>
  <si>
    <t>Excavator</t>
  </si>
  <si>
    <t>Loader</t>
  </si>
  <si>
    <t>Truck 10 tons</t>
  </si>
  <si>
    <t xml:space="preserve">Water Sprinkler Machine </t>
  </si>
  <si>
    <t>Roller Machine</t>
  </si>
  <si>
    <t>Mixer</t>
  </si>
  <si>
    <t>Boom truck crane 10 tons</t>
  </si>
  <si>
    <t>Forklift 10 tons</t>
  </si>
  <si>
    <t>Grider</t>
  </si>
  <si>
    <t xml:space="preserve">Bilbackho </t>
  </si>
  <si>
    <t>Mini Bus</t>
  </si>
  <si>
    <t xml:space="preserve">Personal Cars </t>
  </si>
  <si>
    <t>description</t>
  </si>
  <si>
    <t>Total month</t>
  </si>
  <si>
    <t>salary / month</t>
  </si>
  <si>
    <t>overheads</t>
  </si>
  <si>
    <t>total salary/month</t>
  </si>
  <si>
    <t>Total salary commulate (euro)</t>
  </si>
  <si>
    <t>salary</t>
  </si>
  <si>
    <t>person/month</t>
  </si>
  <si>
    <t xml:space="preserve">Accomodation </t>
  </si>
  <si>
    <t>breakfast,lunch,dinner,camp costs</t>
  </si>
  <si>
    <t>Personal HSE Equipment</t>
  </si>
  <si>
    <t>protective shoes , hamlet , dress 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</si>
</sst>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.0"/>
    <numFmt numFmtId="166" formatCode="_(* #,##0_);_(* \(#,##0\);_(* &quot;-&quot;??_);_(@_)"/>
  </numFmts>
  <fonts count="38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2"/>
      <color rgb="FF000000"/>
      <name val="Times New Roman"/>
      <charset val="1"/>
    </font>
    <font>
      <sz val="11"/>
      <color rgb="FF000000"/>
      <name val="Calibri Light"/>
      <charset val="1"/>
    </font>
    <font>
      <b/>
      <sz val="12"/>
      <color rgb="FF000000"/>
      <name val="Calibri Light"/>
      <charset val="1"/>
    </font>
    <font>
      <b/>
      <sz val="7"/>
      <color rgb="FF000000"/>
      <name val="Times New Roman"/>
      <charset val="1"/>
    </font>
    <font>
      <sz val="8"/>
      <color rgb="FF000000"/>
      <name val="Times New Roman"/>
      <charset val="1"/>
    </font>
    <font>
      <sz val="7"/>
      <color rgb="FF000000"/>
      <name val="Times New Roman"/>
      <charset val="1"/>
    </font>
    <font>
      <sz val="6"/>
      <color rgb="FF000000"/>
      <name val="Times New Roman"/>
      <charset val="1"/>
    </font>
    <font>
      <sz val="8"/>
      <color rgb="FF000000"/>
      <name val="Arial (Arabic)"/>
      <charset val="1"/>
    </font>
    <font>
      <b/>
      <sz val="9"/>
      <color rgb="FF000000"/>
      <name val="Times New Roman"/>
      <charset val="1"/>
    </font>
    <font>
      <b/>
      <sz val="9"/>
      <color rgb="FF000000"/>
      <name val="Arial (Arabic)"/>
      <charset val="1"/>
    </font>
    <font>
      <sz val="7"/>
      <color rgb="FF000000"/>
      <name val="Arial (Arabic)"/>
      <charset val="1"/>
    </font>
    <font>
      <sz val="9"/>
      <color rgb="FF000000"/>
      <name val="Times New Roman"/>
      <charset val="1"/>
    </font>
    <font>
      <b/>
      <sz val="11"/>
      <color rgb="FFFFFFFF"/>
      <name val="Calibri"/>
      <charset val="1"/>
    </font>
    <font>
      <b/>
      <sz val="26"/>
      <color rgb="FF000000"/>
      <name val="Arial"/>
      <charset val="1"/>
    </font>
    <font>
      <b/>
      <sz val="26"/>
      <color rgb="FF000000"/>
      <name val="Calibri Light"/>
      <charset val="1"/>
    </font>
    <font>
      <sz val="11"/>
      <color rgb="FFFFFFFF"/>
      <name val="Calibri"/>
      <charset val="1"/>
    </font>
    <font>
      <b/>
      <sz val="16"/>
      <color rgb="FFFFFFFF"/>
      <name val="Calibri"/>
      <charset val="1"/>
    </font>
    <font>
      <sz val="14"/>
      <color rgb="FFFFFFFF"/>
      <name val="Calibri"/>
      <charset val="1"/>
    </font>
    <font>
      <sz val="16"/>
      <color rgb="FFFFFFFF"/>
      <name val="Calibri"/>
      <charset val="1"/>
    </font>
    <font>
      <b/>
      <sz val="20"/>
      <color rgb="FFFFFFFF"/>
      <name val="Calibri"/>
      <charset val="1"/>
    </font>
    <font>
      <sz val="11"/>
      <color rgb="FFFF0000"/>
      <name val="Calibri"/>
      <charset val="1"/>
    </font>
    <font>
      <b/>
      <sz val="11"/>
      <color rgb="FF000000"/>
      <name val="Calibri"/>
      <charset val="1"/>
    </font>
    <font>
      <b/>
      <sz val="18"/>
      <color rgb="FFFFFFFF"/>
      <name val="Arial"/>
      <charset val="1"/>
    </font>
    <font>
      <b/>
      <sz val="20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Calibri Light"/>
      <charset val="1"/>
    </font>
    <font>
      <b/>
      <sz val="16"/>
      <color rgb="FF000000"/>
      <name val="Calibri Light"/>
      <charset val="1"/>
    </font>
    <font>
      <sz val="10"/>
      <color rgb="FF000000"/>
      <name val="Calibri Light"/>
      <charset val="1"/>
    </font>
    <font>
      <sz val="10"/>
      <color rgb="FF000000"/>
      <name val="Times New Roman"/>
      <charset val="1"/>
    </font>
    <font>
      <b/>
      <sz val="18"/>
      <color rgb="FF000000"/>
      <name val="Arial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Arial"/>
      <charset val="1"/>
    </font>
    <font>
      <sz val="11"/>
      <color rgb="FF000000"/>
      <name val="Times New Roman"/>
      <charset val="1"/>
    </font>
    <font>
      <b/>
      <sz val="14"/>
      <color rgb="FFFFFF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03A64"/>
        <bgColor rgb="FF000000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3" borderId="0" xfId="0" applyFont="1" applyFill="1" applyAlignment="1">
      <alignment vertical="center" wrapText="1"/>
    </xf>
    <xf numFmtId="0" fontId="12" fillId="3" borderId="16" xfId="0" applyFont="1" applyFill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0" fontId="12" fillId="3" borderId="8" xfId="0" applyFont="1" applyFill="1" applyBorder="1" applyAlignment="1">
      <alignment vertical="center" wrapText="1"/>
    </xf>
    <xf numFmtId="0" fontId="12" fillId="3" borderId="18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vertical="top" wrapText="1"/>
    </xf>
    <xf numFmtId="0" fontId="12" fillId="3" borderId="13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3" fontId="0" fillId="5" borderId="0" xfId="0" applyNumberForma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21" xfId="0" applyFont="1" applyBorder="1" applyAlignment="1">
      <alignment vertical="center"/>
    </xf>
    <xf numFmtId="3" fontId="0" fillId="0" borderId="0" xfId="0" applyNumberFormat="1"/>
    <xf numFmtId="3" fontId="15" fillId="0" borderId="20" xfId="0" applyNumberFormat="1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4" borderId="0" xfId="0" applyFont="1" applyFill="1" applyAlignment="1">
      <alignment vertical="center"/>
    </xf>
    <xf numFmtId="164" fontId="18" fillId="4" borderId="0" xfId="0" applyNumberFormat="1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10" xfId="0" applyBorder="1"/>
    <xf numFmtId="0" fontId="0" fillId="5" borderId="10" xfId="0" applyFill="1" applyBorder="1"/>
    <xf numFmtId="166" fontId="19" fillId="4" borderId="10" xfId="0" applyNumberFormat="1" applyFont="1" applyFill="1" applyBorder="1"/>
    <xf numFmtId="0" fontId="0" fillId="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20" fillId="4" borderId="10" xfId="0" applyNumberFormat="1" applyFont="1" applyFill="1" applyBorder="1" applyAlignment="1">
      <alignment horizontal="center" vertical="center"/>
    </xf>
    <xf numFmtId="3" fontId="19" fillId="4" borderId="0" xfId="0" applyNumberFormat="1" applyFont="1" applyFill="1" applyAlignment="1">
      <alignment horizontal="center" vertical="center"/>
    </xf>
    <xf numFmtId="3" fontId="21" fillId="4" borderId="0" xfId="0" applyNumberFormat="1" applyFont="1" applyFill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9" fontId="17" fillId="0" borderId="10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3" fontId="17" fillId="0" borderId="10" xfId="0" applyNumberFormat="1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3" fontId="6" fillId="6" borderId="10" xfId="0" applyNumberFormat="1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0" fillId="6" borderId="10" xfId="0" applyFill="1" applyBorder="1"/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3" fontId="15" fillId="0" borderId="0" xfId="0" applyNumberFormat="1" applyFont="1" applyAlignment="1">
      <alignment vertical="center"/>
    </xf>
    <xf numFmtId="0" fontId="7" fillId="6" borderId="11" xfId="0" applyFont="1" applyFill="1" applyBorder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3" fontId="6" fillId="7" borderId="10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0" xfId="0" applyNumberFormat="1" applyBorder="1"/>
    <xf numFmtId="10" fontId="0" fillId="0" borderId="10" xfId="0" applyNumberFormat="1" applyBorder="1"/>
    <xf numFmtId="0" fontId="17" fillId="8" borderId="10" xfId="0" applyFont="1" applyFill="1" applyBorder="1"/>
    <xf numFmtId="3" fontId="17" fillId="8" borderId="10" xfId="0" applyNumberFormat="1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5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7" fillId="3" borderId="0" xfId="0" applyFont="1" applyFill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0" borderId="34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21" xfId="0" applyFont="1" applyBorder="1" applyAlignment="1">
      <alignment horizontal="center" vertical="top" wrapText="1"/>
    </xf>
    <xf numFmtId="0" fontId="28" fillId="0" borderId="35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3" fontId="0" fillId="0" borderId="1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35" fillId="4" borderId="10" xfId="0" applyFont="1" applyFill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3" fontId="24" fillId="4" borderId="10" xfId="0" applyNumberFormat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3" fontId="26" fillId="0" borderId="22" xfId="0" applyNumberFormat="1" applyFont="1" applyBorder="1" applyAlignment="1">
      <alignment horizontal="center" vertical="center"/>
    </xf>
    <xf numFmtId="3" fontId="26" fillId="0" borderId="25" xfId="0" applyNumberFormat="1" applyFont="1" applyBorder="1" applyAlignment="1">
      <alignment horizontal="center" vertical="center"/>
    </xf>
    <xf numFmtId="3" fontId="26" fillId="0" borderId="26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3" fontId="32" fillId="0" borderId="22" xfId="0" applyNumberFormat="1" applyFont="1" applyBorder="1" applyAlignment="1">
      <alignment horizontal="center" vertical="center"/>
    </xf>
    <xf numFmtId="3" fontId="32" fillId="0" borderId="25" xfId="0" applyNumberFormat="1" applyFont="1" applyBorder="1" applyAlignment="1">
      <alignment horizontal="center" vertical="center"/>
    </xf>
    <xf numFmtId="3" fontId="32" fillId="0" borderId="26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20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3" fontId="24" fillId="4" borderId="22" xfId="0" applyNumberFormat="1" applyFont="1" applyFill="1" applyBorder="1" applyAlignment="1">
      <alignment horizontal="center" vertical="center"/>
    </xf>
    <xf numFmtId="3" fontId="24" fillId="4" borderId="25" xfId="0" applyNumberFormat="1" applyFont="1" applyFill="1" applyBorder="1" applyAlignment="1">
      <alignment horizontal="center" vertical="center"/>
    </xf>
    <xf numFmtId="3" fontId="24" fillId="4" borderId="26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36" fillId="0" borderId="54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3" fontId="20" fillId="4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3" fontId="37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6" xfId="0" applyNumberFormat="1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18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17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165" fontId="33" fillId="0" borderId="0" xfId="0" applyNumberFormat="1" applyFont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31" fillId="6" borderId="22" xfId="0" applyFont="1" applyFill="1" applyBorder="1" applyAlignment="1">
      <alignment horizontal="center" vertical="center" wrapText="1"/>
    </xf>
    <xf numFmtId="0" fontId="31" fillId="6" borderId="25" xfId="0" applyFont="1" applyFill="1" applyBorder="1" applyAlignment="1">
      <alignment horizontal="center" vertical="center" wrapText="1"/>
    </xf>
    <xf numFmtId="0" fontId="31" fillId="6" borderId="26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36635</xdr:colOff>
      <xdr:row>0</xdr:row>
      <xdr:rowOff>21981</xdr:rowOff>
    </xdr:from>
    <xdr:to>
      <xdr:col>5</xdr:col>
      <xdr:colOff>73270</xdr:colOff>
      <xdr:row>2</xdr:row>
      <xdr:rowOff>234462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36</xdr:col>
      <xdr:colOff>6415</xdr:colOff>
      <xdr:row>0</xdr:row>
      <xdr:rowOff>42554</xdr:rowOff>
    </xdr:from>
    <xdr:to>
      <xdr:col>38</xdr:col>
      <xdr:colOff>269395</xdr:colOff>
      <xdr:row>2</xdr:row>
      <xdr:rowOff>243017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187327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177801</xdr:colOff>
      <xdr:row>0</xdr:row>
      <xdr:rowOff>0</xdr:rowOff>
    </xdr:from>
    <xdr:to>
      <xdr:col>3</xdr:col>
      <xdr:colOff>495300</xdr:colOff>
      <xdr:row>2</xdr:row>
      <xdr:rowOff>369316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15877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177801</xdr:colOff>
      <xdr:row>0</xdr:row>
      <xdr:rowOff>0</xdr:rowOff>
    </xdr:from>
    <xdr:to>
      <xdr:col>3</xdr:col>
      <xdr:colOff>495300</xdr:colOff>
      <xdr:row>2</xdr:row>
      <xdr:rowOff>207391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194660</xdr:colOff>
      <xdr:row>1</xdr:row>
      <xdr:rowOff>25536</xdr:rowOff>
    </xdr:from>
    <xdr:to>
      <xdr:col>19</xdr:col>
      <xdr:colOff>578717</xdr:colOff>
      <xdr:row>2</xdr:row>
      <xdr:rowOff>285885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0</xdr:col>
      <xdr:colOff>192278</xdr:colOff>
      <xdr:row>0</xdr:row>
      <xdr:rowOff>17318</xdr:rowOff>
    </xdr:from>
    <xdr:to>
      <xdr:col>5</xdr:col>
      <xdr:colOff>52866</xdr:colOff>
      <xdr:row>2</xdr:row>
      <xdr:rowOff>405391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158752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5</xdr:col>
      <xdr:colOff>438</xdr:colOff>
      <xdr:row>2</xdr:row>
      <xdr:rowOff>264981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251666</xdr:colOff>
      <xdr:row>0</xdr:row>
      <xdr:rowOff>363818</xdr:rowOff>
    </xdr:from>
    <xdr:to>
      <xdr:col>20</xdr:col>
      <xdr:colOff>1065792</xdr:colOff>
      <xdr:row>1</xdr:row>
      <xdr:rowOff>365127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79376</xdr:colOff>
      <xdr:row>0</xdr:row>
      <xdr:rowOff>0</xdr:rowOff>
    </xdr:from>
    <xdr:to>
      <xdr:col>5</xdr:col>
      <xdr:colOff>95250</xdr:colOff>
      <xdr:row>2</xdr:row>
      <xdr:rowOff>158749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338978</xdr:colOff>
      <xdr:row>0</xdr:row>
      <xdr:rowOff>205068</xdr:rowOff>
    </xdr:from>
    <xdr:to>
      <xdr:col>21</xdr:col>
      <xdr:colOff>613354</xdr:colOff>
      <xdr:row>1</xdr:row>
      <xdr:rowOff>206377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63501</xdr:colOff>
      <xdr:row>0</xdr:row>
      <xdr:rowOff>0</xdr:rowOff>
    </xdr:from>
    <xdr:to>
      <xdr:col>6</xdr:col>
      <xdr:colOff>150812</xdr:colOff>
      <xdr:row>2</xdr:row>
      <xdr:rowOff>158749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243728</xdr:colOff>
      <xdr:row>0</xdr:row>
      <xdr:rowOff>284040</xdr:rowOff>
    </xdr:from>
    <xdr:to>
      <xdr:col>20</xdr:col>
      <xdr:colOff>400050</xdr:colOff>
      <xdr:row>2</xdr:row>
      <xdr:rowOff>53977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279402</xdr:colOff>
      <xdr:row>0</xdr:row>
      <xdr:rowOff>12700</xdr:rowOff>
    </xdr:from>
    <xdr:to>
      <xdr:col>5</xdr:col>
      <xdr:colOff>22226</xdr:colOff>
      <xdr:row>2</xdr:row>
      <xdr:rowOff>220531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338978</xdr:colOff>
      <xdr:row>0</xdr:row>
      <xdr:rowOff>205068</xdr:rowOff>
    </xdr:from>
    <xdr:to>
      <xdr:col>14</xdr:col>
      <xdr:colOff>422854</xdr:colOff>
      <xdr:row>2</xdr:row>
      <xdr:rowOff>158752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57899</xdr:colOff>
      <xdr:row>0</xdr:row>
      <xdr:rowOff>0</xdr:rowOff>
    </xdr:from>
    <xdr:to>
      <xdr:col>2</xdr:col>
      <xdr:colOff>270624</xdr:colOff>
      <xdr:row>2</xdr:row>
      <xdr:rowOff>264981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377824</xdr:colOff>
      <xdr:row>0</xdr:row>
      <xdr:rowOff>178081</xdr:rowOff>
    </xdr:from>
    <xdr:to>
      <xdr:col>15</xdr:col>
      <xdr:colOff>295853</xdr:colOff>
      <xdr:row>2</xdr:row>
      <xdr:rowOff>96500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206376</xdr:colOff>
      <xdr:row>0</xdr:row>
      <xdr:rowOff>47625</xdr:rowOff>
    </xdr:from>
    <xdr:to>
      <xdr:col>4</xdr:col>
      <xdr:colOff>114299</xdr:colOff>
      <xdr:row>2</xdr:row>
      <xdr:rowOff>132325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183755</xdr:colOff>
      <xdr:row>0</xdr:row>
      <xdr:rowOff>275624</xdr:rowOff>
    </xdr:from>
    <xdr:to>
      <xdr:col>18</xdr:col>
      <xdr:colOff>345721</xdr:colOff>
      <xdr:row>2</xdr:row>
      <xdr:rowOff>38671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4</xdr:col>
      <xdr:colOff>288926</xdr:colOff>
      <xdr:row>2</xdr:row>
      <xdr:rowOff>207831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338978</xdr:colOff>
      <xdr:row>0</xdr:row>
      <xdr:rowOff>205068</xdr:rowOff>
    </xdr:from>
    <xdr:to>
      <xdr:col>20</xdr:col>
      <xdr:colOff>422854</xdr:colOff>
      <xdr:row>2</xdr:row>
      <xdr:rowOff>263527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3</xdr:col>
      <xdr:colOff>371476</xdr:colOff>
      <xdr:row>2</xdr:row>
      <xdr:rowOff>388806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"/>
  <sheetViews>
    <sheetView topLeftCell="A21" workbookViewId="0"/>
  </sheetViews>
  <sheetFormatPr defaultRowHeight="15"/>
  <cols>
    <col min="1" max="10" width="2.85546875" customWidth="1"/>
    <col min="11" max="11" width="20.5703125" customWidth="1"/>
    <col min="12" max="36" width="2.85546875" customWidth="1"/>
    <col min="37" max="37" width="3.5703125" customWidth="1"/>
    <col min="38" max="38" width="3.85546875" customWidth="1"/>
    <col min="39" max="39" width="4.140625" customWidth="1"/>
    <col min="40" max="41" width="2.85546875" customWidth="1"/>
    <col min="42" max="42" width="10.42578125" customWidth="1"/>
  </cols>
  <sheetData>
    <row r="1" spans="1:41" ht="21.95" customHeight="1">
      <c r="A1" s="211"/>
      <c r="B1" s="212"/>
      <c r="C1" s="212"/>
      <c r="D1" s="212"/>
      <c r="E1" s="212"/>
      <c r="F1" s="212"/>
      <c r="G1" s="213"/>
      <c r="H1" s="216" t="s">
        <v>0</v>
      </c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7"/>
      <c r="AJ1" s="218"/>
      <c r="AK1" s="218"/>
      <c r="AL1" s="218"/>
      <c r="AM1" s="218"/>
      <c r="AN1" s="218"/>
      <c r="AO1" s="219"/>
    </row>
    <row r="2" spans="1:41" ht="21.95" customHeight="1">
      <c r="A2" s="214"/>
      <c r="B2" s="151"/>
      <c r="C2" s="151"/>
      <c r="D2" s="151"/>
      <c r="E2" s="151"/>
      <c r="F2" s="151"/>
      <c r="G2" s="152"/>
      <c r="H2" s="222" t="s">
        <v>1</v>
      </c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4"/>
      <c r="AI2" s="161"/>
      <c r="AJ2" s="162"/>
      <c r="AK2" s="162"/>
      <c r="AL2" s="162"/>
      <c r="AM2" s="162"/>
      <c r="AN2" s="162"/>
      <c r="AO2" s="220"/>
    </row>
    <row r="3" spans="1:41" ht="21.95" customHeight="1">
      <c r="A3" s="215"/>
      <c r="B3" s="154"/>
      <c r="C3" s="154"/>
      <c r="D3" s="154"/>
      <c r="E3" s="154"/>
      <c r="F3" s="154"/>
      <c r="G3" s="155"/>
      <c r="H3" s="169">
        <f>A19</f>
        <v>0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225"/>
      <c r="AI3" s="164"/>
      <c r="AJ3" s="165"/>
      <c r="AK3" s="165"/>
      <c r="AL3" s="165"/>
      <c r="AM3" s="165"/>
      <c r="AN3" s="165"/>
      <c r="AO3" s="221"/>
    </row>
    <row r="4" spans="1:41" ht="21.95" customHeight="1">
      <c r="A4" s="226" t="s">
        <v>2</v>
      </c>
      <c r="B4" s="172"/>
      <c r="C4" s="172"/>
      <c r="D4" s="172"/>
      <c r="E4" s="172"/>
      <c r="F4" s="172"/>
      <c r="G4" s="173"/>
      <c r="H4" s="222" t="s">
        <v>3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4"/>
      <c r="AI4" s="230" t="s">
        <v>4</v>
      </c>
      <c r="AJ4" s="230"/>
      <c r="AK4" s="230"/>
      <c r="AL4" s="230"/>
      <c r="AM4" s="230"/>
      <c r="AN4" s="230"/>
      <c r="AO4" s="230"/>
    </row>
    <row r="5" spans="1:41" ht="21.95" customHeight="1">
      <c r="A5" s="227"/>
      <c r="B5" s="228"/>
      <c r="C5" s="228"/>
      <c r="D5" s="228"/>
      <c r="E5" s="228"/>
      <c r="F5" s="228"/>
      <c r="G5" s="229"/>
      <c r="H5" s="169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225"/>
      <c r="AI5" s="230" t="s">
        <v>5</v>
      </c>
      <c r="AJ5" s="230"/>
      <c r="AK5" s="230"/>
      <c r="AL5" s="230"/>
      <c r="AM5" s="230"/>
      <c r="AN5" s="230"/>
      <c r="AO5" s="230"/>
    </row>
    <row r="6" spans="1:41" ht="9" customHeight="1">
      <c r="A6" s="208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10"/>
    </row>
    <row r="7" spans="1:41" ht="9" customHeight="1">
      <c r="A7" s="208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10"/>
    </row>
    <row r="8" spans="1:41" ht="9" customHeight="1">
      <c r="A8" s="208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10"/>
    </row>
    <row r="9" spans="1:41" ht="9" customHeight="1">
      <c r="A9" s="235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7"/>
    </row>
    <row r="10" spans="1:41" ht="21.95" customHeight="1">
      <c r="A10" s="238" t="s">
        <v>6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40"/>
    </row>
    <row r="11" spans="1:41" ht="21.95" customHeight="1">
      <c r="A11" s="52"/>
      <c r="B11" s="49"/>
      <c r="C11" s="49"/>
      <c r="D11" s="49"/>
      <c r="E11" s="200" t="s">
        <v>7</v>
      </c>
      <c r="F11" s="200"/>
      <c r="G11" s="200"/>
      <c r="H11" s="200"/>
      <c r="I11" s="200"/>
      <c r="J11" s="200"/>
      <c r="K11" s="200"/>
      <c r="L11" s="192">
        <f>'VESSELS(SEPARATOR)'!W18</f>
        <v>206652</v>
      </c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49"/>
      <c r="AI11" s="49"/>
      <c r="AJ11" s="49"/>
      <c r="AK11" s="49"/>
      <c r="AL11" s="49"/>
      <c r="AM11" s="49"/>
      <c r="AN11" s="49"/>
      <c r="AO11" s="50"/>
    </row>
    <row r="12" spans="1:41" ht="21.95" customHeight="1">
      <c r="A12" s="48"/>
      <c r="B12" s="49"/>
      <c r="C12" s="49"/>
      <c r="D12" s="49"/>
      <c r="E12" s="200" t="s">
        <v>8</v>
      </c>
      <c r="F12" s="200"/>
      <c r="G12" s="200"/>
      <c r="H12" s="200"/>
      <c r="I12" s="200"/>
      <c r="J12" s="200"/>
      <c r="K12" s="200"/>
      <c r="L12" s="192">
        <f>TANKS!W23</f>
        <v>4355900</v>
      </c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49"/>
      <c r="AI12" s="49"/>
      <c r="AJ12" s="49"/>
      <c r="AK12" s="49"/>
      <c r="AL12" s="49"/>
      <c r="AM12" s="49"/>
      <c r="AN12" s="49"/>
      <c r="AO12" s="50"/>
    </row>
    <row r="13" spans="1:41" ht="21.95" customHeight="1">
      <c r="A13" s="48"/>
      <c r="B13" s="49"/>
      <c r="C13" s="49"/>
      <c r="D13" s="49"/>
      <c r="E13" s="200" t="s">
        <v>9</v>
      </c>
      <c r="F13" s="200"/>
      <c r="G13" s="200"/>
      <c r="H13" s="200"/>
      <c r="I13" s="200"/>
      <c r="J13" s="200"/>
      <c r="K13" s="200"/>
      <c r="L13" s="192">
        <f>'DESALTER PACKAGE'!Y22</f>
        <v>4001350</v>
      </c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49"/>
      <c r="AI13" s="49"/>
      <c r="AJ13" s="49"/>
      <c r="AK13" s="49"/>
      <c r="AL13" s="49"/>
      <c r="AM13" s="49"/>
      <c r="AN13" s="49"/>
      <c r="AO13" s="50"/>
    </row>
    <row r="14" spans="1:41" ht="21.95" customHeight="1">
      <c r="A14" s="48"/>
      <c r="B14" s="49"/>
      <c r="C14" s="49"/>
      <c r="D14" s="49"/>
      <c r="E14" s="200" t="s">
        <v>10</v>
      </c>
      <c r="F14" s="200"/>
      <c r="G14" s="200"/>
      <c r="H14" s="200"/>
      <c r="I14" s="200"/>
      <c r="J14" s="200"/>
      <c r="K14" s="200"/>
      <c r="L14" s="192">
        <f>ROTARY!V30</f>
        <v>6170183</v>
      </c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49"/>
      <c r="AI14" s="49"/>
      <c r="AJ14" s="49"/>
      <c r="AK14" s="49"/>
      <c r="AL14" s="49"/>
      <c r="AM14" s="49"/>
      <c r="AN14" s="49"/>
      <c r="AO14" s="50"/>
    </row>
    <row r="15" spans="1:41" ht="21.95" customHeight="1">
      <c r="A15" s="48"/>
      <c r="B15" s="49"/>
      <c r="C15" s="49"/>
      <c r="D15" s="49"/>
      <c r="E15" s="200" t="s">
        <v>11</v>
      </c>
      <c r="F15" s="200"/>
      <c r="G15" s="200"/>
      <c r="H15" s="200"/>
      <c r="I15" s="200"/>
      <c r="J15" s="200"/>
      <c r="K15" s="200"/>
      <c r="L15" s="192">
        <f>STACK!Y20</f>
        <v>1114300</v>
      </c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49"/>
      <c r="AI15" s="49"/>
      <c r="AJ15" s="49"/>
      <c r="AK15" s="49"/>
      <c r="AL15" s="49"/>
      <c r="AM15" s="49"/>
      <c r="AN15" s="49"/>
      <c r="AO15" s="50"/>
    </row>
    <row r="16" spans="1:41" ht="21.95" customHeight="1">
      <c r="A16" s="48"/>
      <c r="B16" s="49"/>
      <c r="C16" s="49"/>
      <c r="D16" s="49"/>
      <c r="E16" s="200" t="s">
        <v>12</v>
      </c>
      <c r="F16" s="200"/>
      <c r="G16" s="200"/>
      <c r="H16" s="200"/>
      <c r="I16" s="200"/>
      <c r="J16" s="200"/>
      <c r="K16" s="200"/>
      <c r="L16" s="192">
        <f>'H-EX &amp; HEATER'!Z20</f>
        <v>2743204</v>
      </c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49"/>
      <c r="AI16" s="49"/>
      <c r="AJ16" s="49"/>
      <c r="AK16" s="49"/>
      <c r="AL16" s="49"/>
      <c r="AM16" s="49"/>
      <c r="AN16" s="49"/>
      <c r="AO16" s="50"/>
    </row>
    <row r="17" spans="1:42" ht="21.95" customHeight="1">
      <c r="A17" s="48"/>
      <c r="B17" s="49"/>
      <c r="C17" s="49"/>
      <c r="D17" s="49"/>
      <c r="E17" s="200" t="s">
        <v>13</v>
      </c>
      <c r="F17" s="200"/>
      <c r="G17" s="200"/>
      <c r="H17" s="200"/>
      <c r="I17" s="200"/>
      <c r="J17" s="200"/>
      <c r="K17" s="200"/>
      <c r="L17" s="192">
        <f>STRUCTURE!Y20</f>
        <v>2127300</v>
      </c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49"/>
      <c r="AI17" s="49"/>
      <c r="AJ17" s="49"/>
      <c r="AK17" s="49"/>
      <c r="AL17" s="49"/>
      <c r="AM17" s="49"/>
      <c r="AN17" s="49"/>
      <c r="AO17" s="50"/>
    </row>
    <row r="18" spans="1:42" ht="21.95" customHeight="1">
      <c r="A18" s="48"/>
      <c r="B18" s="49"/>
      <c r="C18" s="49"/>
      <c r="D18" s="49"/>
      <c r="E18" s="200" t="s">
        <v>14</v>
      </c>
      <c r="F18" s="200"/>
      <c r="G18" s="200"/>
      <c r="H18" s="200"/>
      <c r="I18" s="200"/>
      <c r="J18" s="200"/>
      <c r="K18" s="200"/>
      <c r="L18" s="192">
        <f>PACKAGE!S20</f>
        <v>2431200</v>
      </c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49"/>
      <c r="AI18" s="49"/>
      <c r="AJ18" s="49"/>
      <c r="AK18" s="49"/>
      <c r="AL18" s="49"/>
      <c r="AM18" s="49"/>
      <c r="AN18" s="49"/>
      <c r="AO18" s="50"/>
    </row>
    <row r="19" spans="1:42" ht="21.95" customHeight="1">
      <c r="A19" s="53"/>
      <c r="B19" s="54"/>
      <c r="C19" s="54"/>
      <c r="D19" s="54"/>
      <c r="E19" s="200" t="s">
        <v>15</v>
      </c>
      <c r="F19" s="200"/>
      <c r="G19" s="200"/>
      <c r="H19" s="200"/>
      <c r="I19" s="200"/>
      <c r="J19" s="200"/>
      <c r="K19" s="200"/>
      <c r="L19" s="192">
        <f>'Civil Work'!T20</f>
        <v>3536383</v>
      </c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54"/>
      <c r="AI19" s="54"/>
      <c r="AJ19" s="54"/>
      <c r="AK19" s="54"/>
      <c r="AL19" s="54"/>
      <c r="AM19" s="54"/>
      <c r="AN19" s="54"/>
      <c r="AO19" s="55"/>
    </row>
    <row r="20" spans="1:42" ht="21.95" customHeight="1">
      <c r="A20" s="48"/>
      <c r="B20" s="49"/>
      <c r="C20" s="49"/>
      <c r="D20" s="49"/>
      <c r="E20" s="201" t="s">
        <v>16</v>
      </c>
      <c r="F20" s="201"/>
      <c r="G20" s="201"/>
      <c r="H20" s="201"/>
      <c r="I20" s="201"/>
      <c r="J20" s="201"/>
      <c r="K20" s="201"/>
      <c r="L20" s="192">
        <f>'PIPE &amp; FITTING &amp; Valves'!Z21</f>
        <v>7212560</v>
      </c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49"/>
      <c r="AI20" s="49"/>
      <c r="AJ20" s="49"/>
      <c r="AK20" s="49"/>
      <c r="AL20" s="49"/>
      <c r="AM20" s="49"/>
      <c r="AN20" s="49"/>
      <c r="AO20" s="50"/>
    </row>
    <row r="21" spans="1:42" ht="21.95" customHeight="1">
      <c r="A21" s="48"/>
      <c r="B21" s="49"/>
      <c r="C21" s="49"/>
      <c r="D21" s="49"/>
      <c r="E21" s="200" t="s">
        <v>17</v>
      </c>
      <c r="F21" s="200"/>
      <c r="G21" s="200"/>
      <c r="H21" s="200"/>
      <c r="I21" s="200"/>
      <c r="J21" s="200"/>
      <c r="K21" s="200"/>
      <c r="L21" s="192">
        <f>'E&amp;I&amp;C'!Y21</f>
        <v>6977544</v>
      </c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49"/>
      <c r="AI21" s="49"/>
      <c r="AJ21" s="49"/>
      <c r="AK21" s="49"/>
      <c r="AL21" s="49"/>
      <c r="AM21" s="49"/>
      <c r="AN21" s="49"/>
      <c r="AO21" s="50"/>
    </row>
    <row r="22" spans="1:42" ht="21.95" customHeight="1">
      <c r="A22" s="48"/>
      <c r="B22" s="49"/>
      <c r="C22" s="49"/>
      <c r="D22" s="49"/>
      <c r="E22" s="200" t="s">
        <v>18</v>
      </c>
      <c r="F22" s="200"/>
      <c r="G22" s="200"/>
      <c r="H22" s="200"/>
      <c r="I22" s="200"/>
      <c r="J22" s="200"/>
      <c r="K22" s="200"/>
      <c r="L22" s="192">
        <f>'Mob-Demobilization'!F17</f>
        <v>2276262</v>
      </c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49"/>
      <c r="AI22" s="49"/>
      <c r="AJ22" s="49"/>
      <c r="AK22" s="49"/>
      <c r="AL22" s="49"/>
      <c r="AM22" s="49"/>
      <c r="AN22" s="49"/>
      <c r="AO22" s="50"/>
    </row>
    <row r="23" spans="1:42" ht="21.95" customHeight="1">
      <c r="A23" s="48"/>
      <c r="B23" s="49"/>
      <c r="C23" s="49"/>
      <c r="D23" s="49"/>
      <c r="E23" s="200" t="s">
        <v>19</v>
      </c>
      <c r="F23" s="200"/>
      <c r="G23" s="200"/>
      <c r="H23" s="200"/>
      <c r="I23" s="200"/>
      <c r="J23" s="200"/>
      <c r="K23" s="200"/>
      <c r="L23" s="192">
        <v>4052000</v>
      </c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49"/>
      <c r="AI23" s="49"/>
      <c r="AJ23" s="49"/>
      <c r="AK23" s="49"/>
      <c r="AL23" s="49"/>
      <c r="AM23" s="49"/>
      <c r="AN23" s="49"/>
      <c r="AO23" s="50"/>
    </row>
    <row r="24" spans="1:42" ht="21.95" customHeight="1">
      <c r="A24" s="48"/>
      <c r="B24" s="49"/>
      <c r="C24" s="49"/>
      <c r="D24" s="49"/>
      <c r="E24" s="200" t="s">
        <v>20</v>
      </c>
      <c r="F24" s="200"/>
      <c r="G24" s="200"/>
      <c r="H24" s="200"/>
      <c r="I24" s="200"/>
      <c r="J24" s="200"/>
      <c r="K24" s="200"/>
      <c r="L24" s="192">
        <f>Machinery!I19</f>
        <v>547172</v>
      </c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49"/>
      <c r="AI24" s="49"/>
      <c r="AJ24" s="49"/>
      <c r="AK24" s="92">
        <f>55126279-L27</f>
        <v>0</v>
      </c>
      <c r="AL24" s="49"/>
      <c r="AM24" s="49"/>
      <c r="AN24" s="49"/>
      <c r="AO24" s="50"/>
    </row>
    <row r="25" spans="1:42" ht="21.95" customHeight="1">
      <c r="A25" s="48"/>
      <c r="B25" s="49"/>
      <c r="C25" s="49"/>
      <c r="D25" s="49"/>
      <c r="E25" s="201" t="s">
        <v>21</v>
      </c>
      <c r="F25" s="201"/>
      <c r="G25" s="201"/>
      <c r="H25" s="201"/>
      <c r="I25" s="201"/>
      <c r="J25" s="201"/>
      <c r="K25" s="201"/>
      <c r="L25" s="192">
        <f>'employee Salary &amp; Accomodation '!I6</f>
        <v>2722032</v>
      </c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49"/>
      <c r="AI25" s="49"/>
      <c r="AJ25" s="49"/>
      <c r="AK25" s="49"/>
      <c r="AL25" s="49"/>
      <c r="AM25" s="49"/>
      <c r="AN25" s="49"/>
      <c r="AO25" s="50"/>
    </row>
    <row r="26" spans="1:42" ht="21.95" customHeight="1">
      <c r="A26" s="48"/>
      <c r="B26" s="49"/>
      <c r="C26" s="49"/>
      <c r="D26" s="49"/>
      <c r="E26" s="194" t="s">
        <v>22</v>
      </c>
      <c r="F26" s="195"/>
      <c r="G26" s="195"/>
      <c r="H26" s="195"/>
      <c r="I26" s="195"/>
      <c r="J26" s="195"/>
      <c r="K26" s="196"/>
      <c r="L26" s="197">
        <f>'Instruments , Power &amp; CCR '!E18</f>
        <v>5368879</v>
      </c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9"/>
      <c r="AH26" s="49"/>
      <c r="AI26" s="49"/>
      <c r="AJ26" s="49"/>
      <c r="AK26" s="49"/>
      <c r="AL26" s="49"/>
      <c r="AM26" s="49"/>
      <c r="AN26" s="49"/>
      <c r="AO26" s="50"/>
    </row>
    <row r="27" spans="1:42" ht="33.950000000000003" customHeight="1">
      <c r="A27" s="48"/>
      <c r="B27" s="49"/>
      <c r="C27" s="49"/>
      <c r="D27" s="49"/>
      <c r="E27" s="191" t="s">
        <v>23</v>
      </c>
      <c r="F27" s="191"/>
      <c r="G27" s="191"/>
      <c r="H27" s="191"/>
      <c r="I27" s="191"/>
      <c r="J27" s="191"/>
      <c r="K27" s="191"/>
      <c r="L27" s="193">
        <f>SUM(L11:AG26)</f>
        <v>55842921</v>
      </c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49"/>
      <c r="AI27" s="49"/>
      <c r="AJ27" s="92" t="e">
        <f>L27-#REF!</f>
        <v>#REF!</v>
      </c>
      <c r="AK27" s="49"/>
      <c r="AL27" s="49"/>
      <c r="AM27" s="49"/>
      <c r="AN27" s="49"/>
      <c r="AO27" s="50"/>
      <c r="AP27" s="51"/>
    </row>
    <row r="28" spans="1:42" ht="21.95" customHeight="1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49"/>
      <c r="AI28" s="49"/>
      <c r="AJ28" s="49"/>
      <c r="AK28" s="49"/>
      <c r="AL28" s="49"/>
      <c r="AM28" s="49"/>
      <c r="AN28" s="49"/>
      <c r="AO28" s="50"/>
    </row>
    <row r="29" spans="1:42" ht="21.95" customHeight="1">
      <c r="A29" s="241"/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7"/>
    </row>
    <row r="30" spans="1:42" ht="21.95" customHeight="1">
      <c r="A30" s="232">
        <f>L27*1.18</f>
        <v>65894646</v>
      </c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4"/>
      <c r="W30" s="193" t="s">
        <v>24</v>
      </c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</row>
    <row r="31" spans="1:42" ht="21.95" customHeight="1">
      <c r="A31" s="205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7"/>
      <c r="W31" s="205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7"/>
    </row>
    <row r="32" spans="1:42" ht="21.95" customHeight="1">
      <c r="A32" s="205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7"/>
      <c r="W32" s="205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7"/>
    </row>
    <row r="33" spans="1:41" ht="21.95" customHeight="1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</row>
    <row r="34" spans="1:41" ht="21.95" customHeight="1">
      <c r="A34" s="204" t="s">
        <v>25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</row>
    <row r="35" spans="1:41" ht="21.95" customHeight="1">
      <c r="A35" s="204" t="s">
        <v>26</v>
      </c>
      <c r="B35" s="204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</row>
    <row r="36" spans="1:41" ht="21.95" customHeight="1">
      <c r="A36" s="202" t="s">
        <v>27</v>
      </c>
      <c r="B36" s="202"/>
      <c r="C36" s="202" t="s">
        <v>28</v>
      </c>
      <c r="D36" s="202"/>
      <c r="E36" s="202"/>
      <c r="F36" s="202"/>
      <c r="G36" s="202"/>
      <c r="H36" s="202" t="s">
        <v>29</v>
      </c>
      <c r="I36" s="202"/>
      <c r="J36" s="202"/>
      <c r="K36" s="202"/>
      <c r="L36" s="202"/>
      <c r="M36" s="202"/>
      <c r="N36" s="202"/>
      <c r="O36" s="202"/>
      <c r="P36" s="202" t="s">
        <v>30</v>
      </c>
      <c r="Q36" s="202"/>
      <c r="R36" s="202"/>
      <c r="S36" s="202"/>
      <c r="T36" s="202"/>
      <c r="U36" s="202"/>
      <c r="V36" s="202"/>
      <c r="W36" s="202" t="s">
        <v>31</v>
      </c>
      <c r="X36" s="202"/>
      <c r="Y36" s="202"/>
      <c r="Z36" s="202"/>
      <c r="AA36" s="202"/>
      <c r="AB36" s="202"/>
      <c r="AC36" s="202"/>
      <c r="AD36" s="202"/>
      <c r="AE36" s="202" t="s">
        <v>32</v>
      </c>
      <c r="AF36" s="202"/>
      <c r="AG36" s="202"/>
      <c r="AH36" s="202"/>
      <c r="AI36" s="202"/>
      <c r="AJ36" s="202"/>
      <c r="AK36" s="202"/>
      <c r="AL36" s="202" t="s">
        <v>33</v>
      </c>
      <c r="AM36" s="202"/>
      <c r="AN36" s="202"/>
      <c r="AO36" s="202"/>
    </row>
    <row r="37" spans="1:41" ht="21.95" customHeight="1">
      <c r="A37" s="203" t="s">
        <v>34</v>
      </c>
      <c r="B37" s="203"/>
      <c r="C37" s="203" t="s">
        <v>35</v>
      </c>
      <c r="D37" s="203"/>
      <c r="E37" s="203"/>
      <c r="F37" s="203"/>
      <c r="G37" s="203"/>
      <c r="H37" s="203" t="s">
        <v>36</v>
      </c>
      <c r="I37" s="203"/>
      <c r="J37" s="203"/>
      <c r="K37" s="203"/>
      <c r="L37" s="203"/>
      <c r="M37" s="203"/>
      <c r="N37" s="203"/>
      <c r="O37" s="203"/>
      <c r="P37" s="203" t="s">
        <v>37</v>
      </c>
      <c r="Q37" s="203"/>
      <c r="R37" s="203"/>
      <c r="S37" s="203"/>
      <c r="T37" s="203"/>
      <c r="U37" s="203"/>
      <c r="V37" s="203"/>
      <c r="W37" s="203" t="s">
        <v>38</v>
      </c>
      <c r="X37" s="203"/>
      <c r="Y37" s="203"/>
      <c r="Z37" s="203"/>
      <c r="AA37" s="203"/>
      <c r="AB37" s="203"/>
      <c r="AC37" s="203"/>
      <c r="AD37" s="203"/>
      <c r="AE37" s="203" t="s">
        <v>39</v>
      </c>
      <c r="AF37" s="203"/>
      <c r="AG37" s="203"/>
      <c r="AH37" s="203"/>
      <c r="AI37" s="203"/>
      <c r="AJ37" s="203"/>
      <c r="AK37" s="203"/>
      <c r="AL37" s="203" t="s">
        <v>40</v>
      </c>
      <c r="AM37" s="203"/>
      <c r="AN37" s="203"/>
      <c r="AO37" s="203"/>
    </row>
    <row r="38" spans="1:4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3"/>
    </row>
    <row r="39" spans="1:4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6"/>
    </row>
  </sheetData>
  <mergeCells count="92">
    <mergeCell ref="L28:AG28"/>
    <mergeCell ref="A30:V30"/>
    <mergeCell ref="W30:AO30"/>
    <mergeCell ref="A7:AO7"/>
    <mergeCell ref="A8:AO8"/>
    <mergeCell ref="A9:AO9"/>
    <mergeCell ref="A10:AO10"/>
    <mergeCell ref="E11:K11"/>
    <mergeCell ref="A29:AO29"/>
    <mergeCell ref="E20:K20"/>
    <mergeCell ref="L20:AG20"/>
    <mergeCell ref="E21:K21"/>
    <mergeCell ref="L21:AG21"/>
    <mergeCell ref="E14:K14"/>
    <mergeCell ref="E15:K15"/>
    <mergeCell ref="E16:K16"/>
    <mergeCell ref="L14:AG14"/>
    <mergeCell ref="L15:AG15"/>
    <mergeCell ref="A6:AO6"/>
    <mergeCell ref="A1:G3"/>
    <mergeCell ref="H1:AH1"/>
    <mergeCell ref="AI1:AO3"/>
    <mergeCell ref="H2:AH2"/>
    <mergeCell ref="H3:AH3"/>
    <mergeCell ref="A4:G5"/>
    <mergeCell ref="H4:AH4"/>
    <mergeCell ref="AI4:AO4"/>
    <mergeCell ref="H5:AH5"/>
    <mergeCell ref="AI5:AO5"/>
    <mergeCell ref="E12:K12"/>
    <mergeCell ref="E13:K13"/>
    <mergeCell ref="L11:AG11"/>
    <mergeCell ref="L12:AG12"/>
    <mergeCell ref="L13:AG13"/>
    <mergeCell ref="AE33:AK33"/>
    <mergeCell ref="AL33:AO33"/>
    <mergeCell ref="A31:V31"/>
    <mergeCell ref="W31:AO31"/>
    <mergeCell ref="A32:V32"/>
    <mergeCell ref="W32:AO32"/>
    <mergeCell ref="E22:K22"/>
    <mergeCell ref="L22:AG22"/>
    <mergeCell ref="E23:K23"/>
    <mergeCell ref="L23:AG23"/>
    <mergeCell ref="L16:AG16"/>
    <mergeCell ref="L17:AG17"/>
    <mergeCell ref="L18:AG18"/>
    <mergeCell ref="E19:K19"/>
    <mergeCell ref="A33:B33"/>
    <mergeCell ref="C33:G33"/>
    <mergeCell ref="H33:O33"/>
    <mergeCell ref="P33:V33"/>
    <mergeCell ref="W33:AD33"/>
    <mergeCell ref="AE35:AK35"/>
    <mergeCell ref="AL35:AO35"/>
    <mergeCell ref="A34:B34"/>
    <mergeCell ref="C34:G34"/>
    <mergeCell ref="H34:O34"/>
    <mergeCell ref="P34:V34"/>
    <mergeCell ref="W34:AD34"/>
    <mergeCell ref="AE34:AK34"/>
    <mergeCell ref="A35:B35"/>
    <mergeCell ref="C35:G35"/>
    <mergeCell ref="H35:O35"/>
    <mergeCell ref="P35:V35"/>
    <mergeCell ref="W35:AD35"/>
    <mergeCell ref="AL34:AO34"/>
    <mergeCell ref="AL36:AO36"/>
    <mergeCell ref="A37:B37"/>
    <mergeCell ref="C37:G37"/>
    <mergeCell ref="H37:O37"/>
    <mergeCell ref="P37:V37"/>
    <mergeCell ref="W37:AD37"/>
    <mergeCell ref="AE37:AK37"/>
    <mergeCell ref="AL37:AO37"/>
    <mergeCell ref="A36:B36"/>
    <mergeCell ref="C36:G36"/>
    <mergeCell ref="H36:O36"/>
    <mergeCell ref="P36:V36"/>
    <mergeCell ref="W36:AD36"/>
    <mergeCell ref="AE36:AK36"/>
    <mergeCell ref="L19:AG19"/>
    <mergeCell ref="E17:K17"/>
    <mergeCell ref="E18:K18"/>
    <mergeCell ref="E24:K24"/>
    <mergeCell ref="E25:K25"/>
    <mergeCell ref="E27:K27"/>
    <mergeCell ref="L24:AG24"/>
    <mergeCell ref="L25:AG25"/>
    <mergeCell ref="L27:AG27"/>
    <mergeCell ref="E26:K26"/>
    <mergeCell ref="L26:AG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"/>
  <sheetViews>
    <sheetView workbookViewId="0"/>
  </sheetViews>
  <sheetFormatPr defaultRowHeight="15"/>
  <cols>
    <col min="5" max="5" width="32.42578125" customWidth="1"/>
    <col min="6" max="6" width="17.5703125" style="40" customWidth="1"/>
    <col min="8" max="8" width="18.28515625" customWidth="1"/>
    <col min="9" max="9" width="14.5703125" customWidth="1"/>
  </cols>
  <sheetData>
    <row r="1" spans="1:31" ht="19.5" customHeight="1">
      <c r="E1" s="242" t="s">
        <v>6</v>
      </c>
      <c r="F1" s="242"/>
      <c r="G1" s="242"/>
      <c r="H1" s="242"/>
      <c r="I1" s="103"/>
    </row>
    <row r="2" spans="1:31" ht="19.5" customHeight="1">
      <c r="A2" s="100"/>
      <c r="B2" s="100"/>
      <c r="C2" s="100"/>
      <c r="D2" s="100"/>
      <c r="E2" s="105" t="s">
        <v>41</v>
      </c>
      <c r="F2" s="105" t="s">
        <v>42</v>
      </c>
      <c r="G2" s="105"/>
      <c r="H2" s="105" t="s">
        <v>43</v>
      </c>
      <c r="I2" s="105"/>
      <c r="J2" s="100"/>
      <c r="K2" s="100"/>
    </row>
    <row r="3" spans="1:31" ht="19.5" customHeight="1">
      <c r="E3" s="60" t="s">
        <v>7</v>
      </c>
      <c r="F3" s="81">
        <v>206652</v>
      </c>
      <c r="G3" s="60" t="s">
        <v>44</v>
      </c>
      <c r="H3" s="101">
        <v>0.1</v>
      </c>
      <c r="I3" s="60"/>
    </row>
    <row r="4" spans="1:31" ht="19.5" customHeight="1">
      <c r="E4" s="60" t="s">
        <v>8</v>
      </c>
      <c r="F4" s="81">
        <v>4355900</v>
      </c>
      <c r="G4" s="60" t="s">
        <v>44</v>
      </c>
      <c r="H4" s="101">
        <v>0.1</v>
      </c>
      <c r="I4" s="60"/>
    </row>
    <row r="5" spans="1:31" ht="19.5" customHeight="1">
      <c r="E5" s="60" t="s">
        <v>9</v>
      </c>
      <c r="F5" s="81">
        <v>4001350</v>
      </c>
      <c r="G5" s="60" t="s">
        <v>44</v>
      </c>
      <c r="H5" s="101">
        <v>0.1</v>
      </c>
      <c r="I5" s="60"/>
    </row>
    <row r="6" spans="1:31" ht="19.5" customHeight="1">
      <c r="E6" s="60" t="s">
        <v>10</v>
      </c>
      <c r="F6" s="81">
        <v>6170183</v>
      </c>
      <c r="G6" s="60" t="s">
        <v>45</v>
      </c>
      <c r="H6" s="101">
        <v>0</v>
      </c>
      <c r="I6" s="60"/>
    </row>
    <row r="7" spans="1:31" ht="19.5" customHeight="1">
      <c r="E7" s="60" t="s">
        <v>11</v>
      </c>
      <c r="F7" s="81">
        <v>1114300</v>
      </c>
      <c r="G7" s="60" t="s">
        <v>44</v>
      </c>
      <c r="H7" s="101">
        <v>0.1</v>
      </c>
      <c r="I7" s="60"/>
    </row>
    <row r="8" spans="1:31" ht="19.5" customHeight="1">
      <c r="E8" s="60" t="s">
        <v>12</v>
      </c>
      <c r="F8" s="81">
        <v>2743204</v>
      </c>
      <c r="G8" s="60" t="s">
        <v>44</v>
      </c>
      <c r="H8" s="101">
        <v>0.1</v>
      </c>
      <c r="I8" s="60"/>
    </row>
    <row r="9" spans="1:31" ht="19.5" customHeight="1">
      <c r="E9" s="60" t="s">
        <v>13</v>
      </c>
      <c r="F9" s="81">
        <v>2127300</v>
      </c>
      <c r="G9" s="60" t="s">
        <v>44</v>
      </c>
      <c r="H9" s="101">
        <v>0.1</v>
      </c>
      <c r="I9" s="60"/>
    </row>
    <row r="10" spans="1:31" ht="19.5" customHeight="1">
      <c r="E10" s="60" t="s">
        <v>14</v>
      </c>
      <c r="F10" s="81">
        <v>2431200</v>
      </c>
      <c r="G10" s="60" t="s">
        <v>44</v>
      </c>
      <c r="H10" s="101">
        <v>0.1</v>
      </c>
      <c r="I10" s="60"/>
    </row>
    <row r="11" spans="1:31" ht="19.5" customHeight="1">
      <c r="E11" s="60" t="s">
        <v>15</v>
      </c>
      <c r="F11" s="81">
        <v>3536383</v>
      </c>
      <c r="G11" s="60" t="s">
        <v>44</v>
      </c>
      <c r="H11" s="101">
        <v>0.1</v>
      </c>
      <c r="I11" s="60"/>
    </row>
    <row r="12" spans="1:31" ht="19.5" customHeight="1">
      <c r="E12" s="60" t="s">
        <v>16</v>
      </c>
      <c r="F12" s="81">
        <v>7212560</v>
      </c>
      <c r="G12" s="60" t="s">
        <v>46</v>
      </c>
      <c r="H12" s="101">
        <v>0</v>
      </c>
      <c r="I12" s="60"/>
    </row>
    <row r="13" spans="1:31" ht="19.5" customHeight="1">
      <c r="E13" s="60" t="s">
        <v>17</v>
      </c>
      <c r="F13" s="81">
        <v>6977544</v>
      </c>
      <c r="G13" s="60" t="s">
        <v>45</v>
      </c>
      <c r="H13" s="101">
        <v>0</v>
      </c>
      <c r="I13" s="60"/>
    </row>
    <row r="14" spans="1:31" ht="19.5" customHeight="1">
      <c r="E14" s="60" t="s">
        <v>18</v>
      </c>
      <c r="F14" s="81">
        <v>2276262</v>
      </c>
      <c r="G14" s="60" t="s">
        <v>44</v>
      </c>
      <c r="H14" s="101">
        <v>0.1</v>
      </c>
      <c r="I14" s="60"/>
    </row>
    <row r="15" spans="1:31" ht="19.5" customHeight="1">
      <c r="E15" s="60" t="s">
        <v>19</v>
      </c>
      <c r="F15" s="81">
        <v>4052000</v>
      </c>
      <c r="G15" s="60" t="s">
        <v>47</v>
      </c>
      <c r="H15" s="102">
        <v>0.16669999999999999</v>
      </c>
      <c r="I15" s="60"/>
    </row>
    <row r="16" spans="1:31" ht="19.5" customHeight="1">
      <c r="E16" s="60" t="s">
        <v>20</v>
      </c>
      <c r="F16" s="81">
        <v>547172</v>
      </c>
      <c r="G16" s="60" t="s">
        <v>48</v>
      </c>
      <c r="H16" s="101">
        <v>0.08</v>
      </c>
      <c r="I16" s="60"/>
      <c r="AE16">
        <v>0</v>
      </c>
    </row>
    <row r="17" spans="5:9" ht="19.5" customHeight="1">
      <c r="E17" s="60" t="s">
        <v>21</v>
      </c>
      <c r="F17" s="81">
        <v>2722032</v>
      </c>
      <c r="G17" s="60" t="s">
        <v>47</v>
      </c>
      <c r="H17" s="102">
        <v>0.16669999999999999</v>
      </c>
      <c r="I17" s="60"/>
    </row>
    <row r="18" spans="5:9" ht="19.5" customHeight="1">
      <c r="E18" s="60" t="s">
        <v>22</v>
      </c>
      <c r="F18" s="81">
        <v>5368879</v>
      </c>
      <c r="G18" s="60" t="s">
        <v>45</v>
      </c>
      <c r="H18" s="101">
        <v>0</v>
      </c>
      <c r="I18" s="60"/>
    </row>
    <row r="19" spans="5:9" ht="19.5" customHeight="1">
      <c r="E19" s="103" t="s">
        <v>23</v>
      </c>
      <c r="F19" s="104">
        <f>SUM(F3:F18)</f>
        <v>55842921</v>
      </c>
      <c r="G19" s="103"/>
      <c r="H19" s="103"/>
      <c r="I19" s="103"/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topLeftCell="A4" workbookViewId="0"/>
  </sheetViews>
  <sheetFormatPr defaultRowHeight="15"/>
  <cols>
    <col min="19" max="19" width="13.140625" style="41" customWidth="1"/>
    <col min="20" max="22" width="8.85546875" style="40" customWidth="1"/>
    <col min="23" max="23" width="17.85546875" customWidth="1"/>
  </cols>
  <sheetData>
    <row r="1" spans="1:23" ht="22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3" ht="23.2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3" ht="30.7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3">
      <c r="A4" s="171" t="s">
        <v>50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f>#NAME?</f>
        <v>#NAME?</v>
      </c>
      <c r="Q4" s="180"/>
      <c r="R4" s="181"/>
    </row>
    <row r="5" spans="1:23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f>#NAME?</f>
        <v>#NAME?</v>
      </c>
      <c r="Q5" s="185"/>
      <c r="R5" s="186"/>
    </row>
    <row r="6" spans="1:23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3" ht="29.1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35" t="s">
        <v>57</v>
      </c>
      <c r="O7" s="35" t="s">
        <v>58</v>
      </c>
      <c r="P7" s="145" t="s">
        <v>59</v>
      </c>
      <c r="Q7" s="146"/>
      <c r="R7" s="140" t="s">
        <v>60</v>
      </c>
      <c r="S7" s="247" t="s">
        <v>61</v>
      </c>
      <c r="T7" s="248" t="s">
        <v>62</v>
      </c>
      <c r="U7" s="248" t="s">
        <v>63</v>
      </c>
      <c r="V7" s="248" t="s">
        <v>64</v>
      </c>
      <c r="W7" s="190" t="s">
        <v>65</v>
      </c>
    </row>
    <row r="8" spans="1:23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7" t="s">
        <v>66</v>
      </c>
      <c r="O8" s="137" t="s">
        <v>67</v>
      </c>
      <c r="P8" s="117"/>
      <c r="Q8" s="118"/>
      <c r="R8" s="245"/>
      <c r="S8" s="247"/>
      <c r="T8" s="248"/>
      <c r="U8" s="248"/>
      <c r="V8" s="248"/>
      <c r="W8" s="190"/>
    </row>
    <row r="9" spans="1:23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245"/>
      <c r="S9" s="247"/>
      <c r="T9" s="248"/>
      <c r="U9" s="248"/>
      <c r="V9" s="248"/>
      <c r="W9" s="190"/>
    </row>
    <row r="10" spans="1:2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139"/>
      <c r="O10" s="139"/>
      <c r="P10" s="117"/>
      <c r="Q10" s="118"/>
      <c r="R10" s="246"/>
      <c r="S10" s="247"/>
      <c r="T10" s="248"/>
      <c r="U10" s="248"/>
      <c r="V10" s="248"/>
      <c r="W10" s="190"/>
    </row>
    <row r="11" spans="1:23" ht="42.75" customHeight="1">
      <c r="A11" s="125" t="s">
        <v>68</v>
      </c>
      <c r="B11" s="126"/>
      <c r="C11" s="126"/>
      <c r="D11" s="126" t="s">
        <v>69</v>
      </c>
      <c r="E11" s="126"/>
      <c r="F11" s="126"/>
      <c r="G11" s="126"/>
      <c r="H11" s="126"/>
      <c r="I11" s="126"/>
      <c r="J11" s="12">
        <v>1</v>
      </c>
      <c r="K11" s="12" t="s">
        <v>70</v>
      </c>
      <c r="L11" s="12" t="s">
        <v>71</v>
      </c>
      <c r="M11" s="13" t="s">
        <v>72</v>
      </c>
      <c r="N11" s="12">
        <v>85</v>
      </c>
      <c r="O11" s="12">
        <v>5</v>
      </c>
      <c r="P11" s="126" t="s">
        <v>73</v>
      </c>
      <c r="Q11" s="126"/>
      <c r="R11" s="79"/>
      <c r="S11" s="81">
        <f t="shared" ref="S11:S17" si="0">U11*T11</f>
        <v>11143</v>
      </c>
      <c r="T11" s="64">
        <v>2026</v>
      </c>
      <c r="U11" s="106">
        <v>5.5</v>
      </c>
      <c r="V11" s="82">
        <v>0.3</v>
      </c>
      <c r="W11" s="190"/>
    </row>
    <row r="12" spans="1:23" ht="43.5" customHeight="1">
      <c r="A12" s="127" t="s">
        <v>74</v>
      </c>
      <c r="B12" s="128"/>
      <c r="C12" s="122"/>
      <c r="D12" s="121" t="s">
        <v>75</v>
      </c>
      <c r="E12" s="128"/>
      <c r="F12" s="128"/>
      <c r="G12" s="128"/>
      <c r="H12" s="128"/>
      <c r="I12" s="122"/>
      <c r="J12" s="12">
        <v>1</v>
      </c>
      <c r="K12" s="12" t="s">
        <v>76</v>
      </c>
      <c r="L12" s="12" t="s">
        <v>71</v>
      </c>
      <c r="M12" s="13" t="s">
        <v>77</v>
      </c>
      <c r="N12" s="12">
        <v>85</v>
      </c>
      <c r="O12" s="12">
        <v>10</v>
      </c>
      <c r="P12" s="126" t="s">
        <v>73</v>
      </c>
      <c r="Q12" s="126"/>
      <c r="R12" s="79"/>
      <c r="S12" s="81">
        <f t="shared" si="0"/>
        <v>39000</v>
      </c>
      <c r="T12" s="64">
        <v>7091</v>
      </c>
      <c r="U12" s="106">
        <v>5.5</v>
      </c>
      <c r="V12" s="82">
        <v>0.3</v>
      </c>
      <c r="W12" s="190"/>
    </row>
    <row r="13" spans="1:23" ht="52.5" customHeight="1">
      <c r="A13" s="125" t="s">
        <v>78</v>
      </c>
      <c r="B13" s="126"/>
      <c r="C13" s="126"/>
      <c r="D13" s="126" t="s">
        <v>79</v>
      </c>
      <c r="E13" s="126"/>
      <c r="F13" s="126"/>
      <c r="G13" s="126"/>
      <c r="H13" s="126"/>
      <c r="I13" s="126"/>
      <c r="J13" s="12">
        <v>1</v>
      </c>
      <c r="K13" s="12" t="s">
        <v>80</v>
      </c>
      <c r="L13" s="12" t="s">
        <v>71</v>
      </c>
      <c r="M13" s="13" t="s">
        <v>81</v>
      </c>
      <c r="N13" s="12">
        <v>85</v>
      </c>
      <c r="O13" s="12">
        <v>3.5</v>
      </c>
      <c r="P13" s="126" t="s">
        <v>82</v>
      </c>
      <c r="Q13" s="126"/>
      <c r="R13" s="77"/>
      <c r="S13" s="81">
        <f t="shared" si="0"/>
        <v>39000</v>
      </c>
      <c r="T13" s="64">
        <v>7091</v>
      </c>
      <c r="U13" s="106">
        <v>5.5</v>
      </c>
      <c r="V13" s="82">
        <v>0.3</v>
      </c>
      <c r="W13" s="190"/>
    </row>
    <row r="14" spans="1:23" ht="52.5" customHeight="1">
      <c r="A14" s="125" t="s">
        <v>83</v>
      </c>
      <c r="B14" s="126"/>
      <c r="C14" s="126"/>
      <c r="D14" s="126" t="s">
        <v>84</v>
      </c>
      <c r="E14" s="126"/>
      <c r="F14" s="126"/>
      <c r="G14" s="126"/>
      <c r="H14" s="126"/>
      <c r="I14" s="126"/>
      <c r="J14" s="12">
        <v>2</v>
      </c>
      <c r="K14" s="12" t="s">
        <v>76</v>
      </c>
      <c r="L14" s="12" t="s">
        <v>71</v>
      </c>
      <c r="M14" s="13" t="s">
        <v>85</v>
      </c>
      <c r="N14" s="12">
        <v>85</v>
      </c>
      <c r="O14" s="12">
        <v>10</v>
      </c>
      <c r="P14" s="126" t="s">
        <v>73</v>
      </c>
      <c r="Q14" s="126"/>
      <c r="R14" s="79"/>
      <c r="S14" s="81">
        <f t="shared" si="0"/>
        <v>27857</v>
      </c>
      <c r="T14" s="64">
        <v>5065</v>
      </c>
      <c r="U14" s="106">
        <v>5.5</v>
      </c>
      <c r="V14" s="82">
        <v>0.3</v>
      </c>
      <c r="W14" s="190"/>
    </row>
    <row r="15" spans="1:23" ht="50.25" customHeight="1">
      <c r="A15" s="125" t="s">
        <v>86</v>
      </c>
      <c r="B15" s="126"/>
      <c r="C15" s="126"/>
      <c r="D15" s="126" t="s">
        <v>87</v>
      </c>
      <c r="E15" s="126"/>
      <c r="F15" s="126"/>
      <c r="G15" s="126"/>
      <c r="H15" s="126"/>
      <c r="I15" s="126"/>
      <c r="J15" s="12">
        <v>2</v>
      </c>
      <c r="K15" s="12" t="s">
        <v>88</v>
      </c>
      <c r="L15" s="12" t="s">
        <v>71</v>
      </c>
      <c r="M15" s="13" t="s">
        <v>89</v>
      </c>
      <c r="N15" s="13" t="s">
        <v>85</v>
      </c>
      <c r="O15" s="12">
        <v>12.5</v>
      </c>
      <c r="P15" s="126" t="s">
        <v>82</v>
      </c>
      <c r="Q15" s="126"/>
      <c r="R15" s="77"/>
      <c r="S15" s="81">
        <f t="shared" si="0"/>
        <v>27857</v>
      </c>
      <c r="T15" s="64">
        <v>5065</v>
      </c>
      <c r="U15" s="106">
        <v>5.5</v>
      </c>
      <c r="V15" s="82">
        <v>0.3</v>
      </c>
      <c r="W15" s="190"/>
    </row>
    <row r="16" spans="1:23" ht="42" customHeight="1">
      <c r="A16" s="125" t="s">
        <v>90</v>
      </c>
      <c r="B16" s="126"/>
      <c r="C16" s="126"/>
      <c r="D16" s="126" t="s">
        <v>91</v>
      </c>
      <c r="E16" s="126"/>
      <c r="F16" s="126"/>
      <c r="G16" s="126"/>
      <c r="H16" s="126"/>
      <c r="I16" s="126"/>
      <c r="J16" s="12">
        <v>2</v>
      </c>
      <c r="K16" s="12" t="s">
        <v>92</v>
      </c>
      <c r="L16" s="12" t="s">
        <v>71</v>
      </c>
      <c r="M16" s="13" t="s">
        <v>93</v>
      </c>
      <c r="N16" s="13" t="s">
        <v>94</v>
      </c>
      <c r="O16" s="12" t="s">
        <v>94</v>
      </c>
      <c r="P16" s="126" t="s">
        <v>94</v>
      </c>
      <c r="Q16" s="126"/>
      <c r="R16" s="77"/>
      <c r="S16" s="81">
        <f t="shared" si="0"/>
        <v>22286</v>
      </c>
      <c r="T16" s="64">
        <v>4052</v>
      </c>
      <c r="U16" s="106">
        <v>5.5</v>
      </c>
      <c r="V16" s="82">
        <v>0.3</v>
      </c>
      <c r="W16" s="190"/>
    </row>
    <row r="17" spans="1:23" ht="43.5" customHeight="1">
      <c r="A17" s="123" t="s">
        <v>95</v>
      </c>
      <c r="B17" s="124"/>
      <c r="C17" s="124"/>
      <c r="D17" s="124" t="s">
        <v>96</v>
      </c>
      <c r="E17" s="124"/>
      <c r="F17" s="124"/>
      <c r="G17" s="124"/>
      <c r="H17" s="124"/>
      <c r="I17" s="124"/>
      <c r="J17" s="12">
        <v>1</v>
      </c>
      <c r="K17" s="12" t="s">
        <v>97</v>
      </c>
      <c r="L17" s="12" t="s">
        <v>71</v>
      </c>
      <c r="M17" s="13" t="s">
        <v>98</v>
      </c>
      <c r="N17" s="12">
        <v>85</v>
      </c>
      <c r="O17" s="12">
        <v>3.5</v>
      </c>
      <c r="P17" s="126" t="s">
        <v>82</v>
      </c>
      <c r="Q17" s="126"/>
      <c r="R17" s="77"/>
      <c r="S17" s="81">
        <f t="shared" si="0"/>
        <v>94715</v>
      </c>
      <c r="T17" s="64">
        <v>17221</v>
      </c>
      <c r="U17" s="106">
        <v>5.5</v>
      </c>
      <c r="V17" s="82">
        <v>0.3</v>
      </c>
      <c r="W17" s="190"/>
    </row>
    <row r="18" spans="1:23" ht="30" customHeight="1">
      <c r="A18" s="243" t="s">
        <v>99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81">
        <f>SUM(S11:S17)</f>
        <v>261860</v>
      </c>
      <c r="T18" s="64"/>
      <c r="U18" s="64"/>
      <c r="V18" s="81">
        <f>S18*30/100</f>
        <v>78558</v>
      </c>
      <c r="W18" s="67">
        <v>206652</v>
      </c>
    </row>
    <row r="19" spans="1:23" ht="27.7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3"/>
      <c r="N19" s="12"/>
      <c r="O19" s="12"/>
      <c r="P19" s="121"/>
      <c r="Q19" s="122"/>
      <c r="R19" s="15"/>
    </row>
    <row r="20" spans="1:23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17"/>
      <c r="Q20" s="17"/>
      <c r="R20" s="18"/>
    </row>
    <row r="21" spans="1:23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24"/>
      <c r="Q21" s="24"/>
      <c r="R21" s="25"/>
    </row>
    <row r="22" spans="1:23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29"/>
      <c r="Q22" s="29"/>
      <c r="R22" s="30"/>
    </row>
    <row r="23" spans="1:23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4"/>
      <c r="Q23" s="34"/>
      <c r="R23" s="34"/>
    </row>
    <row r="27" spans="1:23">
      <c r="H27" s="51"/>
    </row>
  </sheetData>
  <mergeCells count="53">
    <mergeCell ref="S7:S10"/>
    <mergeCell ref="T7:T10"/>
    <mergeCell ref="U7:U10"/>
    <mergeCell ref="V7:V10"/>
    <mergeCell ref="W7:W17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R7:R10"/>
    <mergeCell ref="N8:N10"/>
    <mergeCell ref="O8:O10"/>
    <mergeCell ref="A6:R6"/>
    <mergeCell ref="A7:C10"/>
    <mergeCell ref="D7:I10"/>
    <mergeCell ref="J7:J10"/>
    <mergeCell ref="K7:K10"/>
    <mergeCell ref="L7:L10"/>
    <mergeCell ref="M7:M10"/>
    <mergeCell ref="P7:Q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7:C17"/>
    <mergeCell ref="D17:I17"/>
    <mergeCell ref="P17:Q17"/>
    <mergeCell ref="A18:R18"/>
    <mergeCell ref="A15:C15"/>
    <mergeCell ref="D15:I15"/>
    <mergeCell ref="P15:Q15"/>
    <mergeCell ref="A16:C16"/>
    <mergeCell ref="D16:I16"/>
    <mergeCell ref="P16:Q16"/>
    <mergeCell ref="A19:C19"/>
    <mergeCell ref="D19:I19"/>
    <mergeCell ref="P19:Q19"/>
    <mergeCell ref="I21:O22"/>
    <mergeCell ref="A20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"/>
  <sheetViews>
    <sheetView topLeftCell="B14" workbookViewId="0"/>
  </sheetViews>
  <sheetFormatPr defaultRowHeight="15"/>
  <cols>
    <col min="15" max="15" width="10.5703125" customWidth="1"/>
    <col min="19" max="19" width="13.140625" style="41" customWidth="1"/>
    <col min="20" max="20" width="8.85546875" style="41" customWidth="1"/>
    <col min="21" max="22" width="8.85546875" style="40" customWidth="1"/>
    <col min="23" max="23" width="15.140625" customWidth="1"/>
  </cols>
  <sheetData>
    <row r="1" spans="1:23" ht="32.2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3" ht="27.7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3" ht="20.2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3" ht="29.25" customHeight="1">
      <c r="A4" s="171" t="s">
        <v>102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f>#NAME?</f>
        <v>#NAME?</v>
      </c>
      <c r="Q4" s="180"/>
      <c r="R4" s="181"/>
    </row>
    <row r="5" spans="1:23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f>#NAME?</f>
        <v>#NAME?</v>
      </c>
      <c r="Q5" s="185"/>
      <c r="R5" s="186"/>
    </row>
    <row r="6" spans="1:23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3" ht="14.4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35" t="s">
        <v>57</v>
      </c>
      <c r="O7" s="35" t="s">
        <v>58</v>
      </c>
      <c r="P7" s="145" t="s">
        <v>59</v>
      </c>
      <c r="Q7" s="146"/>
      <c r="R7" s="142" t="s">
        <v>60</v>
      </c>
      <c r="S7" s="187" t="s">
        <v>61</v>
      </c>
      <c r="T7" s="188" t="s">
        <v>62</v>
      </c>
      <c r="U7" s="189" t="s">
        <v>63</v>
      </c>
      <c r="V7" s="189" t="s">
        <v>64</v>
      </c>
      <c r="W7" s="190" t="s">
        <v>65</v>
      </c>
    </row>
    <row r="8" spans="1:23" ht="15" customHeight="1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7" t="s">
        <v>66</v>
      </c>
      <c r="O8" s="137" t="s">
        <v>67</v>
      </c>
      <c r="P8" s="117"/>
      <c r="Q8" s="118"/>
      <c r="R8" s="143"/>
      <c r="S8" s="187"/>
      <c r="T8" s="188"/>
      <c r="U8" s="189"/>
      <c r="V8" s="189"/>
      <c r="W8" s="190"/>
    </row>
    <row r="9" spans="1:23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143"/>
      <c r="S9" s="187"/>
      <c r="T9" s="188"/>
      <c r="U9" s="189"/>
      <c r="V9" s="189"/>
      <c r="W9" s="190"/>
    </row>
    <row r="10" spans="1:2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251"/>
      <c r="O10" s="139"/>
      <c r="P10" s="117"/>
      <c r="Q10" s="118"/>
      <c r="R10" s="144"/>
      <c r="S10" s="187"/>
      <c r="T10" s="188"/>
      <c r="U10" s="189"/>
      <c r="V10" s="189"/>
      <c r="W10" s="190"/>
    </row>
    <row r="11" spans="1:23" ht="45">
      <c r="A11" s="125" t="s">
        <v>103</v>
      </c>
      <c r="B11" s="126"/>
      <c r="C11" s="126"/>
      <c r="D11" s="126" t="s">
        <v>104</v>
      </c>
      <c r="E11" s="126"/>
      <c r="F11" s="126"/>
      <c r="G11" s="126"/>
      <c r="H11" s="126"/>
      <c r="I11" s="126"/>
      <c r="J11" s="12">
        <v>1</v>
      </c>
      <c r="K11" s="12" t="s">
        <v>105</v>
      </c>
      <c r="L11" s="12" t="s">
        <v>71</v>
      </c>
      <c r="M11" s="13" t="s">
        <v>106</v>
      </c>
      <c r="N11" s="12">
        <v>85</v>
      </c>
      <c r="O11" s="39" t="s">
        <v>107</v>
      </c>
      <c r="P11" s="126" t="s">
        <v>73</v>
      </c>
      <c r="Q11" s="126"/>
      <c r="R11" s="14"/>
      <c r="S11" s="41">
        <v>384727</v>
      </c>
      <c r="T11" s="41">
        <v>60780</v>
      </c>
      <c r="U11" s="75">
        <v>4.2</v>
      </c>
      <c r="V11" s="42">
        <v>0.3</v>
      </c>
      <c r="W11" s="190"/>
    </row>
    <row r="12" spans="1:23" ht="44.25" customHeight="1">
      <c r="A12" s="127" t="s">
        <v>108</v>
      </c>
      <c r="B12" s="128"/>
      <c r="C12" s="122"/>
      <c r="D12" s="121" t="s">
        <v>109</v>
      </c>
      <c r="E12" s="128"/>
      <c r="F12" s="128"/>
      <c r="G12" s="128"/>
      <c r="H12" s="128"/>
      <c r="I12" s="122"/>
      <c r="J12" s="12">
        <v>1</v>
      </c>
      <c r="K12" s="12" t="s">
        <v>110</v>
      </c>
      <c r="L12" s="12" t="s">
        <v>71</v>
      </c>
      <c r="M12" s="13" t="s">
        <v>111</v>
      </c>
      <c r="N12" s="12">
        <v>85</v>
      </c>
      <c r="O12" s="12" t="s">
        <v>112</v>
      </c>
      <c r="P12" s="126" t="s">
        <v>82</v>
      </c>
      <c r="Q12" s="126"/>
      <c r="R12" s="14"/>
      <c r="S12" s="41">
        <v>53182</v>
      </c>
      <c r="T12" s="41">
        <v>4558</v>
      </c>
      <c r="U12" s="75">
        <v>4.2</v>
      </c>
      <c r="V12" s="42">
        <v>0.3</v>
      </c>
      <c r="W12" s="190"/>
    </row>
    <row r="13" spans="1:23" ht="45.75" customHeight="1">
      <c r="A13" s="125" t="s">
        <v>113</v>
      </c>
      <c r="B13" s="126"/>
      <c r="C13" s="126"/>
      <c r="D13" s="126" t="s">
        <v>114</v>
      </c>
      <c r="E13" s="126"/>
      <c r="F13" s="126"/>
      <c r="G13" s="126"/>
      <c r="H13" s="126"/>
      <c r="I13" s="126"/>
      <c r="J13" s="12">
        <v>1</v>
      </c>
      <c r="K13" s="12" t="s">
        <v>105</v>
      </c>
      <c r="L13" s="12" t="s">
        <v>71</v>
      </c>
      <c r="M13" s="13" t="s">
        <v>115</v>
      </c>
      <c r="N13" s="12">
        <v>85</v>
      </c>
      <c r="O13" s="12" t="s">
        <v>112</v>
      </c>
      <c r="P13" s="126" t="s">
        <v>73</v>
      </c>
      <c r="Q13" s="126"/>
      <c r="R13" s="15"/>
      <c r="S13" s="41">
        <v>50650</v>
      </c>
      <c r="T13" s="41">
        <v>9623</v>
      </c>
      <c r="U13" s="75">
        <v>4.2</v>
      </c>
      <c r="V13" s="42">
        <v>0.3</v>
      </c>
      <c r="W13" s="190"/>
    </row>
    <row r="14" spans="1:23" ht="45">
      <c r="A14" s="125" t="s">
        <v>116</v>
      </c>
      <c r="B14" s="126"/>
      <c r="C14" s="126"/>
      <c r="D14" s="126" t="s">
        <v>117</v>
      </c>
      <c r="E14" s="126"/>
      <c r="F14" s="126"/>
      <c r="G14" s="126"/>
      <c r="H14" s="126"/>
      <c r="I14" s="126"/>
      <c r="J14" s="12">
        <v>1</v>
      </c>
      <c r="K14" s="12" t="s">
        <v>105</v>
      </c>
      <c r="L14" s="12" t="s">
        <v>71</v>
      </c>
      <c r="M14" s="13" t="s">
        <v>118</v>
      </c>
      <c r="N14" s="12">
        <v>85</v>
      </c>
      <c r="O14" s="12" t="s">
        <v>112</v>
      </c>
      <c r="P14" s="126" t="s">
        <v>73</v>
      </c>
      <c r="Q14" s="126"/>
      <c r="R14" s="14"/>
      <c r="S14" s="41">
        <v>638190</v>
      </c>
      <c r="T14" s="41">
        <v>91170</v>
      </c>
      <c r="U14" s="75">
        <v>4.2</v>
      </c>
      <c r="V14" s="42">
        <v>0.3</v>
      </c>
      <c r="W14" s="190"/>
    </row>
    <row r="15" spans="1:23" ht="45">
      <c r="A15" s="125" t="s">
        <v>119</v>
      </c>
      <c r="B15" s="126"/>
      <c r="C15" s="126"/>
      <c r="D15" s="126" t="s">
        <v>120</v>
      </c>
      <c r="E15" s="126"/>
      <c r="F15" s="126"/>
      <c r="G15" s="126"/>
      <c r="H15" s="126"/>
      <c r="I15" s="126"/>
      <c r="J15" s="12">
        <v>1</v>
      </c>
      <c r="K15" s="12" t="s">
        <v>105</v>
      </c>
      <c r="L15" s="12" t="s">
        <v>71</v>
      </c>
      <c r="M15" s="13" t="s">
        <v>106</v>
      </c>
      <c r="N15" s="12">
        <v>85</v>
      </c>
      <c r="O15" s="12" t="s">
        <v>112</v>
      </c>
      <c r="P15" s="126" t="s">
        <v>73</v>
      </c>
      <c r="Q15" s="126"/>
      <c r="R15" s="15"/>
      <c r="S15" s="41">
        <v>384829</v>
      </c>
      <c r="T15" s="41">
        <v>45585</v>
      </c>
      <c r="U15" s="75">
        <v>4.2</v>
      </c>
      <c r="V15" s="42">
        <v>0.3</v>
      </c>
      <c r="W15" s="190"/>
    </row>
    <row r="16" spans="1:23" ht="45">
      <c r="A16" s="125" t="s">
        <v>121</v>
      </c>
      <c r="B16" s="126"/>
      <c r="C16" s="126"/>
      <c r="D16" s="126" t="s">
        <v>122</v>
      </c>
      <c r="E16" s="126"/>
      <c r="F16" s="126"/>
      <c r="G16" s="126"/>
      <c r="H16" s="126"/>
      <c r="I16" s="126"/>
      <c r="J16" s="12">
        <v>1</v>
      </c>
      <c r="K16" s="12" t="s">
        <v>123</v>
      </c>
      <c r="L16" s="12" t="s">
        <v>71</v>
      </c>
      <c r="M16" s="13" t="s">
        <v>124</v>
      </c>
      <c r="N16" s="12">
        <v>85</v>
      </c>
      <c r="O16" s="39" t="s">
        <v>125</v>
      </c>
      <c r="P16" s="126" t="s">
        <v>73</v>
      </c>
      <c r="Q16" s="126"/>
      <c r="R16" s="15"/>
      <c r="S16" s="41">
        <v>561607</v>
      </c>
      <c r="T16" s="41">
        <v>89144</v>
      </c>
      <c r="U16" s="75">
        <v>4.2</v>
      </c>
      <c r="V16" s="42">
        <v>0.3</v>
      </c>
      <c r="W16" s="190"/>
    </row>
    <row r="17" spans="1:23" ht="45.75" customHeight="1">
      <c r="A17" s="123" t="s">
        <v>126</v>
      </c>
      <c r="B17" s="124"/>
      <c r="C17" s="124"/>
      <c r="D17" s="124" t="s">
        <v>127</v>
      </c>
      <c r="E17" s="124"/>
      <c r="F17" s="124"/>
      <c r="G17" s="124"/>
      <c r="H17" s="124"/>
      <c r="I17" s="124"/>
      <c r="J17" s="12">
        <v>1</v>
      </c>
      <c r="K17" s="12" t="s">
        <v>128</v>
      </c>
      <c r="L17" s="12" t="s">
        <v>71</v>
      </c>
      <c r="M17" s="13" t="s">
        <v>129</v>
      </c>
      <c r="N17" s="12">
        <v>85</v>
      </c>
      <c r="O17" s="39" t="s">
        <v>107</v>
      </c>
      <c r="P17" s="126" t="s">
        <v>73</v>
      </c>
      <c r="Q17" s="126"/>
      <c r="R17" s="15"/>
      <c r="S17" s="41">
        <v>351004</v>
      </c>
      <c r="T17" s="41">
        <v>55715</v>
      </c>
      <c r="U17" s="75">
        <v>4.2</v>
      </c>
      <c r="V17" s="42">
        <v>0.3</v>
      </c>
      <c r="W17" s="190"/>
    </row>
    <row r="18" spans="1:23" ht="44.25" customHeight="1">
      <c r="A18" s="123" t="s">
        <v>130</v>
      </c>
      <c r="B18" s="124"/>
      <c r="C18" s="124"/>
      <c r="D18" s="124" t="s">
        <v>131</v>
      </c>
      <c r="E18" s="124"/>
      <c r="F18" s="124"/>
      <c r="G18" s="124"/>
      <c r="H18" s="124"/>
      <c r="I18" s="124"/>
      <c r="J18" s="12">
        <v>1</v>
      </c>
      <c r="K18" s="12" t="s">
        <v>97</v>
      </c>
      <c r="L18" s="12" t="s">
        <v>71</v>
      </c>
      <c r="M18" s="13" t="s">
        <v>132</v>
      </c>
      <c r="N18" s="12">
        <v>85</v>
      </c>
      <c r="O18" s="39" t="s">
        <v>107</v>
      </c>
      <c r="P18" s="126" t="s">
        <v>73</v>
      </c>
      <c r="Q18" s="126"/>
      <c r="R18" s="15"/>
      <c r="S18" s="41">
        <v>5065</v>
      </c>
      <c r="T18" s="41">
        <v>20260</v>
      </c>
      <c r="U18" s="75">
        <v>4.2</v>
      </c>
      <c r="V18" s="42">
        <v>0.3</v>
      </c>
      <c r="W18" s="190"/>
    </row>
    <row r="19" spans="1:23" ht="49.5" customHeight="1">
      <c r="A19" s="123" t="s">
        <v>133</v>
      </c>
      <c r="B19" s="124"/>
      <c r="C19" s="124"/>
      <c r="D19" s="121" t="s">
        <v>134</v>
      </c>
      <c r="E19" s="128"/>
      <c r="F19" s="128"/>
      <c r="G19" s="128"/>
      <c r="H19" s="128"/>
      <c r="I19" s="122"/>
      <c r="J19" s="12">
        <v>1</v>
      </c>
      <c r="K19" s="12" t="s">
        <v>92</v>
      </c>
      <c r="L19" s="12" t="s">
        <v>71</v>
      </c>
      <c r="M19" s="13" t="s">
        <v>106</v>
      </c>
      <c r="N19" s="12">
        <v>85</v>
      </c>
      <c r="O19" s="39" t="s">
        <v>107</v>
      </c>
      <c r="P19" s="126" t="s">
        <v>73</v>
      </c>
      <c r="Q19" s="126"/>
      <c r="R19" s="15"/>
      <c r="S19" s="41">
        <v>384829</v>
      </c>
      <c r="T19" s="41">
        <v>60780</v>
      </c>
      <c r="U19" s="75">
        <v>4.2</v>
      </c>
      <c r="V19" s="42">
        <v>0.3</v>
      </c>
      <c r="W19" s="190"/>
    </row>
    <row r="20" spans="1:23" ht="44.25" customHeight="1">
      <c r="A20" s="127" t="s">
        <v>135</v>
      </c>
      <c r="B20" s="128"/>
      <c r="C20" s="122"/>
      <c r="D20" s="121" t="s">
        <v>136</v>
      </c>
      <c r="E20" s="128"/>
      <c r="F20" s="128"/>
      <c r="G20" s="128"/>
      <c r="H20" s="128"/>
      <c r="I20" s="122"/>
      <c r="J20" s="12">
        <v>1</v>
      </c>
      <c r="K20" s="12" t="s">
        <v>92</v>
      </c>
      <c r="L20" s="12" t="s">
        <v>85</v>
      </c>
      <c r="M20" s="13" t="s">
        <v>137</v>
      </c>
      <c r="N20" s="12" t="s">
        <v>94</v>
      </c>
      <c r="O20" s="39" t="s">
        <v>112</v>
      </c>
      <c r="P20" s="121" t="s">
        <v>94</v>
      </c>
      <c r="Q20" s="122"/>
      <c r="R20" s="15"/>
      <c r="S20" s="41">
        <v>638190</v>
      </c>
      <c r="T20" s="41">
        <v>101300</v>
      </c>
      <c r="U20" s="75">
        <v>4.2</v>
      </c>
      <c r="V20" s="42">
        <v>0.3</v>
      </c>
      <c r="W20" s="190"/>
    </row>
    <row r="21" spans="1:23" ht="44.25" customHeight="1">
      <c r="A21" s="127" t="s">
        <v>138</v>
      </c>
      <c r="B21" s="128"/>
      <c r="C21" s="122"/>
      <c r="D21" s="121" t="s">
        <v>139</v>
      </c>
      <c r="E21" s="128"/>
      <c r="F21" s="128"/>
      <c r="G21" s="128"/>
      <c r="H21" s="128"/>
      <c r="I21" s="122"/>
      <c r="J21" s="12">
        <v>1</v>
      </c>
      <c r="K21" s="12" t="s">
        <v>97</v>
      </c>
      <c r="L21" s="12" t="s">
        <v>71</v>
      </c>
      <c r="M21" s="13" t="s">
        <v>118</v>
      </c>
      <c r="N21" s="12">
        <v>85</v>
      </c>
      <c r="O21" s="39" t="s">
        <v>107</v>
      </c>
      <c r="P21" s="126" t="s">
        <v>73</v>
      </c>
      <c r="Q21" s="126"/>
      <c r="R21" s="15"/>
      <c r="S21" s="41">
        <v>638190</v>
      </c>
      <c r="T21" s="41">
        <v>121560</v>
      </c>
      <c r="U21" s="75">
        <v>4.2</v>
      </c>
      <c r="V21" s="42">
        <v>0.3</v>
      </c>
      <c r="W21" s="190"/>
    </row>
    <row r="22" spans="1:23" ht="44.25" customHeight="1">
      <c r="A22" s="59"/>
      <c r="B22" s="249" t="s">
        <v>99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50"/>
      <c r="V22" s="42"/>
      <c r="W22" s="43"/>
    </row>
    <row r="23" spans="1:23">
      <c r="A23" s="107" t="s">
        <v>100</v>
      </c>
      <c r="B23" s="108"/>
      <c r="C23" s="108"/>
      <c r="D23" s="108"/>
      <c r="E23" s="108"/>
      <c r="F23" s="108"/>
      <c r="G23" s="108"/>
      <c r="H23" s="36"/>
      <c r="I23" s="36"/>
      <c r="J23" s="36"/>
      <c r="K23" s="36"/>
      <c r="L23" s="36"/>
      <c r="M23" s="36"/>
      <c r="N23" s="36"/>
      <c r="O23" s="36"/>
      <c r="P23" s="17"/>
      <c r="Q23" s="17"/>
      <c r="R23" s="18"/>
      <c r="S23" s="41">
        <v>4355900</v>
      </c>
      <c r="T23" s="41">
        <f>SUM(T11:T21)</f>
        <v>660476</v>
      </c>
      <c r="V23" s="40">
        <f>V21*S23</f>
        <v>1306770</v>
      </c>
      <c r="W23" s="252">
        <v>4355900</v>
      </c>
    </row>
    <row r="24" spans="1:23">
      <c r="A24" s="109"/>
      <c r="B24" s="110"/>
      <c r="C24" s="110"/>
      <c r="D24" s="110"/>
      <c r="E24" s="110"/>
      <c r="F24" s="110"/>
      <c r="G24" s="110"/>
      <c r="H24" s="37"/>
      <c r="I24" s="113" t="s">
        <v>101</v>
      </c>
      <c r="J24" s="113"/>
      <c r="K24" s="113"/>
      <c r="L24" s="113"/>
      <c r="M24" s="113"/>
      <c r="N24" s="113"/>
      <c r="O24" s="113"/>
      <c r="P24" s="24"/>
      <c r="Q24" s="24"/>
      <c r="R24" s="25"/>
      <c r="W24" s="253"/>
    </row>
    <row r="25" spans="1:23">
      <c r="A25" s="111"/>
      <c r="B25" s="112"/>
      <c r="C25" s="112"/>
      <c r="D25" s="112"/>
      <c r="E25" s="112"/>
      <c r="F25" s="112"/>
      <c r="G25" s="112"/>
      <c r="H25" s="38"/>
      <c r="I25" s="114"/>
      <c r="J25" s="114"/>
      <c r="K25" s="114"/>
      <c r="L25" s="114"/>
      <c r="M25" s="114"/>
      <c r="N25" s="114"/>
      <c r="O25" s="114"/>
      <c r="P25" s="29"/>
      <c r="Q25" s="29"/>
      <c r="R25" s="30"/>
      <c r="W25" s="253"/>
    </row>
  </sheetData>
  <mergeCells count="63">
    <mergeCell ref="W23:W25"/>
    <mergeCell ref="S7:S10"/>
    <mergeCell ref="T7:T10"/>
    <mergeCell ref="U7:U10"/>
    <mergeCell ref="V7:V10"/>
    <mergeCell ref="W7:W21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A6:R6"/>
    <mergeCell ref="A7:C10"/>
    <mergeCell ref="D7:I10"/>
    <mergeCell ref="J7:J10"/>
    <mergeCell ref="K7:K10"/>
    <mergeCell ref="L7:L10"/>
    <mergeCell ref="M7:M10"/>
    <mergeCell ref="P7:Q10"/>
    <mergeCell ref="R7:R10"/>
    <mergeCell ref="N8:N10"/>
    <mergeCell ref="O8:O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5:C15"/>
    <mergeCell ref="D15:I15"/>
    <mergeCell ref="P15:Q15"/>
    <mergeCell ref="A16:C16"/>
    <mergeCell ref="D16:I16"/>
    <mergeCell ref="P16:Q16"/>
    <mergeCell ref="A17:C17"/>
    <mergeCell ref="D17:I17"/>
    <mergeCell ref="P17:Q17"/>
    <mergeCell ref="A18:C18"/>
    <mergeCell ref="D18:I18"/>
    <mergeCell ref="P18:Q18"/>
    <mergeCell ref="A21:C21"/>
    <mergeCell ref="D21:I21"/>
    <mergeCell ref="P21:Q21"/>
    <mergeCell ref="A23:G25"/>
    <mergeCell ref="I24:O25"/>
    <mergeCell ref="B22:R22"/>
    <mergeCell ref="A19:C19"/>
    <mergeCell ref="D19:I19"/>
    <mergeCell ref="P19:Q19"/>
    <mergeCell ref="A20:C20"/>
    <mergeCell ref="D20:I20"/>
    <mergeCell ref="P20:Q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"/>
  <sheetViews>
    <sheetView tabSelected="1" topLeftCell="A6" workbookViewId="0">
      <selection activeCell="A6" sqref="A6:T6"/>
    </sheetView>
  </sheetViews>
  <sheetFormatPr defaultRowHeight="15"/>
  <cols>
    <col min="1" max="3" width="2.85546875" customWidth="1"/>
    <col min="4" max="9" width="2.5703125" customWidth="1"/>
    <col min="16" max="16" width="5.5703125" customWidth="1"/>
    <col min="17" max="17" width="3.140625" customWidth="1"/>
    <col min="19" max="19" width="4.42578125" customWidth="1"/>
    <col min="21" max="21" width="11.5703125" style="41" customWidth="1"/>
    <col min="22" max="22" width="8.85546875" style="41" customWidth="1"/>
    <col min="23" max="24" width="8.85546875" style="40" customWidth="1"/>
    <col min="25" max="25" width="15.140625" customWidth="1"/>
  </cols>
  <sheetData>
    <row r="1" spans="1:25" ht="15.75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8"/>
      <c r="S1" s="159"/>
      <c r="T1" s="160"/>
    </row>
    <row r="2" spans="1:25" ht="25.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1"/>
      <c r="S2" s="162"/>
      <c r="T2" s="163"/>
    </row>
    <row r="3" spans="1:25" ht="33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64"/>
      <c r="S3" s="165"/>
      <c r="T3" s="166"/>
    </row>
    <row r="4" spans="1:25">
      <c r="A4" s="171" t="s">
        <v>140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9" t="e">
        <f>#NAME?</f>
        <v>#NAME?</v>
      </c>
      <c r="S4" s="180"/>
      <c r="T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4" t="e">
        <f>#NAME?</f>
        <v>#NAME?</v>
      </c>
      <c r="S5" s="185"/>
      <c r="T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142</v>
      </c>
      <c r="O7" s="35" t="s">
        <v>58</v>
      </c>
      <c r="P7" s="140" t="s">
        <v>57</v>
      </c>
      <c r="Q7" s="141"/>
      <c r="R7" s="145" t="s">
        <v>59</v>
      </c>
      <c r="S7" s="146"/>
      <c r="T7" s="142" t="s">
        <v>60</v>
      </c>
      <c r="U7" s="187" t="s">
        <v>61</v>
      </c>
      <c r="V7" s="188" t="s">
        <v>62</v>
      </c>
      <c r="W7" s="189" t="s">
        <v>63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7" t="s">
        <v>143</v>
      </c>
      <c r="P8" s="115" t="s">
        <v>144</v>
      </c>
      <c r="Q8" s="116"/>
      <c r="R8" s="117"/>
      <c r="S8" s="118"/>
      <c r="T8" s="143"/>
      <c r="U8" s="187"/>
      <c r="V8" s="188"/>
      <c r="W8" s="189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17"/>
      <c r="Q9" s="118"/>
      <c r="R9" s="117"/>
      <c r="S9" s="118"/>
      <c r="T9" s="143"/>
      <c r="U9" s="187"/>
      <c r="V9" s="188"/>
      <c r="W9" s="189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139"/>
      <c r="P10" s="119"/>
      <c r="Q10" s="120"/>
      <c r="R10" s="117"/>
      <c r="S10" s="118"/>
      <c r="T10" s="144"/>
      <c r="U10" s="187"/>
      <c r="V10" s="188"/>
      <c r="W10" s="189"/>
      <c r="X10" s="189"/>
      <c r="Y10" s="190"/>
    </row>
    <row r="11" spans="1:25" ht="25.35" customHeight="1">
      <c r="A11" s="125" t="s">
        <v>145</v>
      </c>
      <c r="B11" s="126"/>
      <c r="C11" s="126"/>
      <c r="D11" s="126" t="s">
        <v>146</v>
      </c>
      <c r="E11" s="126"/>
      <c r="F11" s="126"/>
      <c r="G11" s="126"/>
      <c r="H11" s="126"/>
      <c r="I11" s="126"/>
      <c r="J11" s="12">
        <v>1</v>
      </c>
      <c r="K11" s="12" t="s">
        <v>97</v>
      </c>
      <c r="L11" s="12" t="s">
        <v>94</v>
      </c>
      <c r="M11" s="12" t="s">
        <v>71</v>
      </c>
      <c r="N11" s="13" t="s">
        <v>147</v>
      </c>
      <c r="O11" s="39" t="s">
        <v>148</v>
      </c>
      <c r="P11" s="121">
        <v>85</v>
      </c>
      <c r="Q11" s="122"/>
      <c r="R11" s="126" t="s">
        <v>149</v>
      </c>
      <c r="S11" s="126"/>
      <c r="T11" s="14"/>
      <c r="U11" s="41">
        <f>W11*V11</f>
        <v>729360</v>
      </c>
      <c r="V11" s="41">
        <v>60780</v>
      </c>
      <c r="W11" s="75">
        <v>12</v>
      </c>
      <c r="X11" s="42">
        <v>0.3</v>
      </c>
      <c r="Y11" s="190"/>
    </row>
    <row r="12" spans="1:25" ht="33" customHeight="1">
      <c r="A12" s="127" t="s">
        <v>150</v>
      </c>
      <c r="B12" s="128"/>
      <c r="C12" s="122"/>
      <c r="D12" s="121" t="s">
        <v>146</v>
      </c>
      <c r="E12" s="128"/>
      <c r="F12" s="128"/>
      <c r="G12" s="128"/>
      <c r="H12" s="128"/>
      <c r="I12" s="122"/>
      <c r="J12" s="12">
        <v>1</v>
      </c>
      <c r="K12" s="12" t="s">
        <v>97</v>
      </c>
      <c r="L12" s="12" t="s">
        <v>94</v>
      </c>
      <c r="M12" s="12" t="s">
        <v>71</v>
      </c>
      <c r="N12" s="13" t="s">
        <v>147</v>
      </c>
      <c r="O12" s="39" t="s">
        <v>148</v>
      </c>
      <c r="P12" s="121">
        <v>85</v>
      </c>
      <c r="Q12" s="122"/>
      <c r="R12" s="126" t="s">
        <v>149</v>
      </c>
      <c r="S12" s="126"/>
      <c r="T12" s="14"/>
      <c r="U12" s="41">
        <f>W12*V12</f>
        <v>729360</v>
      </c>
      <c r="V12" s="41">
        <v>60780</v>
      </c>
      <c r="W12" s="75">
        <v>12</v>
      </c>
      <c r="X12" s="42">
        <v>0.3</v>
      </c>
      <c r="Y12" s="190"/>
    </row>
    <row r="13" spans="1:25" ht="32.450000000000003" customHeight="1">
      <c r="A13" s="125"/>
      <c r="B13" s="126"/>
      <c r="C13" s="126"/>
      <c r="D13" s="126" t="s">
        <v>151</v>
      </c>
      <c r="E13" s="126"/>
      <c r="F13" s="126"/>
      <c r="G13" s="126"/>
      <c r="H13" s="126"/>
      <c r="I13" s="126"/>
      <c r="J13" s="12">
        <v>1</v>
      </c>
      <c r="K13" s="12"/>
      <c r="L13" s="12"/>
      <c r="M13" s="12"/>
      <c r="N13" s="13"/>
      <c r="O13" s="12"/>
      <c r="P13" s="121"/>
      <c r="Q13" s="122"/>
      <c r="R13" s="126"/>
      <c r="S13" s="126"/>
      <c r="T13" s="15"/>
      <c r="U13" s="68">
        <v>2532500</v>
      </c>
      <c r="X13" s="42"/>
      <c r="Y13" s="190"/>
    </row>
    <row r="14" spans="1:25" ht="24.6" customHeight="1">
      <c r="A14" s="125"/>
      <c r="B14" s="126"/>
      <c r="C14" s="126"/>
      <c r="D14" s="126" t="s">
        <v>152</v>
      </c>
      <c r="E14" s="126"/>
      <c r="F14" s="126"/>
      <c r="G14" s="126"/>
      <c r="H14" s="126"/>
      <c r="I14" s="126"/>
      <c r="J14" s="12">
        <v>1</v>
      </c>
      <c r="K14" s="12"/>
      <c r="L14" s="12"/>
      <c r="M14" s="12"/>
      <c r="N14" s="13"/>
      <c r="O14" s="12"/>
      <c r="P14" s="121"/>
      <c r="Q14" s="122"/>
      <c r="R14" s="126"/>
      <c r="S14" s="126"/>
      <c r="T14" s="14"/>
      <c r="U14" s="68">
        <v>322557</v>
      </c>
      <c r="X14" s="42"/>
      <c r="Y14" s="190"/>
    </row>
    <row r="15" spans="1:25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"/>
      <c r="L15" s="12"/>
      <c r="M15" s="12"/>
      <c r="N15" s="13"/>
      <c r="O15" s="12"/>
      <c r="P15" s="121"/>
      <c r="Q15" s="122"/>
      <c r="R15" s="126"/>
      <c r="S15" s="126"/>
      <c r="T15" s="15"/>
      <c r="X15" s="42"/>
      <c r="Y15" s="190"/>
    </row>
    <row r="16" spans="1:25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39"/>
      <c r="P16" s="121"/>
      <c r="Q16" s="122"/>
      <c r="R16" s="126"/>
      <c r="S16" s="126"/>
      <c r="T16" s="15"/>
      <c r="X16" s="42"/>
      <c r="Y16" s="190"/>
    </row>
    <row r="17" spans="1:25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1"/>
      <c r="Q17" s="122"/>
      <c r="R17" s="126"/>
      <c r="S17" s="126"/>
      <c r="T17" s="15"/>
      <c r="X17" s="42"/>
      <c r="Y17" s="190"/>
    </row>
    <row r="18" spans="1:25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1"/>
      <c r="Q18" s="122"/>
      <c r="R18" s="126"/>
      <c r="S18" s="126"/>
      <c r="T18" s="15"/>
      <c r="X18" s="42"/>
      <c r="Y18" s="190"/>
    </row>
    <row r="19" spans="1:25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1"/>
      <c r="Q19" s="122"/>
      <c r="R19" s="121"/>
      <c r="S19" s="122"/>
      <c r="T19" s="15"/>
      <c r="X19" s="42"/>
      <c r="Y19" s="190"/>
    </row>
    <row r="20" spans="1:25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36"/>
      <c r="Q20" s="17"/>
      <c r="R20" s="17"/>
      <c r="S20" s="17"/>
      <c r="T20" s="18"/>
      <c r="X20" s="42"/>
      <c r="Y20" s="190"/>
    </row>
    <row r="21" spans="1:25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113"/>
      <c r="Q21" s="24"/>
      <c r="R21" s="24"/>
      <c r="S21" s="24"/>
      <c r="T21" s="25"/>
      <c r="X21" s="42"/>
      <c r="Y21" s="190"/>
    </row>
    <row r="22" spans="1:25" ht="18.75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114"/>
      <c r="Q22" s="29"/>
      <c r="R22" s="29"/>
      <c r="S22" s="29"/>
      <c r="T22" s="30"/>
      <c r="U22" s="41">
        <v>4001350</v>
      </c>
      <c r="V22" s="41">
        <f>SUM(V11:V21)</f>
        <v>121560</v>
      </c>
      <c r="X22" s="40">
        <f>X12*U22</f>
        <v>1200405</v>
      </c>
      <c r="Y22" s="66">
        <f>U22</f>
        <v>4001350</v>
      </c>
    </row>
    <row r="23" spans="1:25">
      <c r="Y23" s="56"/>
    </row>
    <row r="24" spans="1:25">
      <c r="Y24" s="56"/>
    </row>
  </sheetData>
  <mergeCells count="66">
    <mergeCell ref="U7:U10"/>
    <mergeCell ref="V7:V10"/>
    <mergeCell ref="W7:W10"/>
    <mergeCell ref="X7:X10"/>
    <mergeCell ref="Y7:Y21"/>
    <mergeCell ref="A4:G5"/>
    <mergeCell ref="H4:Q4"/>
    <mergeCell ref="R4:T4"/>
    <mergeCell ref="H5:Q5"/>
    <mergeCell ref="R5:T5"/>
    <mergeCell ref="A1:G3"/>
    <mergeCell ref="H1:Q1"/>
    <mergeCell ref="R1:T3"/>
    <mergeCell ref="H2:Q2"/>
    <mergeCell ref="H3:Q3"/>
    <mergeCell ref="A6:T6"/>
    <mergeCell ref="A7:C10"/>
    <mergeCell ref="D7:I10"/>
    <mergeCell ref="J7:J10"/>
    <mergeCell ref="K7:K10"/>
    <mergeCell ref="L7:L10"/>
    <mergeCell ref="M7:M10"/>
    <mergeCell ref="N7:N10"/>
    <mergeCell ref="P7:Q7"/>
    <mergeCell ref="T7:T10"/>
    <mergeCell ref="O8:O10"/>
    <mergeCell ref="R7:S10"/>
    <mergeCell ref="A11:C11"/>
    <mergeCell ref="D11:I11"/>
    <mergeCell ref="R11:S11"/>
    <mergeCell ref="R12:S12"/>
    <mergeCell ref="A13:C13"/>
    <mergeCell ref="D13:I13"/>
    <mergeCell ref="R13:S13"/>
    <mergeCell ref="R16:S16"/>
    <mergeCell ref="A17:C17"/>
    <mergeCell ref="D17:I17"/>
    <mergeCell ref="R17:S17"/>
    <mergeCell ref="A14:C14"/>
    <mergeCell ref="D14:I14"/>
    <mergeCell ref="R14:S14"/>
    <mergeCell ref="A15:C15"/>
    <mergeCell ref="D15:I15"/>
    <mergeCell ref="R15:S15"/>
    <mergeCell ref="R18:S18"/>
    <mergeCell ref="A19:C19"/>
    <mergeCell ref="D19:I19"/>
    <mergeCell ref="R19:S19"/>
    <mergeCell ref="P18:Q18"/>
    <mergeCell ref="P19:Q19"/>
    <mergeCell ref="A20:G22"/>
    <mergeCell ref="I21:P22"/>
    <mergeCell ref="P8:Q10"/>
    <mergeCell ref="P11:Q11"/>
    <mergeCell ref="P12:Q12"/>
    <mergeCell ref="P13:Q13"/>
    <mergeCell ref="P14:Q14"/>
    <mergeCell ref="P15:Q15"/>
    <mergeCell ref="P16:Q16"/>
    <mergeCell ref="P17:Q17"/>
    <mergeCell ref="A18:C18"/>
    <mergeCell ref="D18:I18"/>
    <mergeCell ref="A16:C16"/>
    <mergeCell ref="D16:I16"/>
    <mergeCell ref="A12:C12"/>
    <mergeCell ref="D12:I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topLeftCell="A9" workbookViewId="0"/>
  </sheetViews>
  <sheetFormatPr defaultRowHeight="15"/>
  <cols>
    <col min="1" max="3" width="5.5703125" customWidth="1"/>
    <col min="4" max="9" width="4.140625" customWidth="1"/>
    <col min="11" max="11" width="11.42578125" customWidth="1"/>
    <col min="12" max="12" width="10.85546875" customWidth="1"/>
    <col min="19" max="19" width="11.5703125" style="41" customWidth="1"/>
    <col min="20" max="20" width="15.140625" style="41" customWidth="1"/>
    <col min="21" max="21" width="8.85546875" style="40" customWidth="1"/>
    <col min="22" max="22" width="15.140625" customWidth="1"/>
  </cols>
  <sheetData>
    <row r="1" spans="1:22" ht="25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2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2" ht="26.2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2">
      <c r="A4" s="171" t="s">
        <v>153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f>#NAME?</f>
        <v>#NAME?</v>
      </c>
      <c r="Q4" s="180"/>
      <c r="R4" s="181"/>
    </row>
    <row r="5" spans="1:22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f>#NAME?</f>
        <v>#NAME?</v>
      </c>
      <c r="Q5" s="185"/>
      <c r="R5" s="186"/>
    </row>
    <row r="6" spans="1:22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2" ht="22.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138" t="s">
        <v>154</v>
      </c>
      <c r="O7" s="35" t="s">
        <v>155</v>
      </c>
      <c r="P7" s="145" t="s">
        <v>59</v>
      </c>
      <c r="Q7" s="146"/>
      <c r="R7" s="142" t="s">
        <v>60</v>
      </c>
      <c r="S7" s="187" t="s">
        <v>156</v>
      </c>
      <c r="T7" s="188" t="s">
        <v>42</v>
      </c>
      <c r="U7" s="189" t="s">
        <v>64</v>
      </c>
      <c r="V7" s="190" t="s">
        <v>65</v>
      </c>
    </row>
    <row r="8" spans="1:22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9"/>
      <c r="O8" s="137" t="s">
        <v>157</v>
      </c>
      <c r="P8" s="117"/>
      <c r="Q8" s="118"/>
      <c r="R8" s="143"/>
      <c r="S8" s="187"/>
      <c r="T8" s="188"/>
      <c r="U8" s="189"/>
      <c r="V8" s="190"/>
    </row>
    <row r="9" spans="1:22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143"/>
      <c r="S9" s="187"/>
      <c r="T9" s="188"/>
      <c r="U9" s="189"/>
      <c r="V9" s="190"/>
    </row>
    <row r="10" spans="1:22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251"/>
      <c r="O10" s="139"/>
      <c r="P10" s="117"/>
      <c r="Q10" s="118"/>
      <c r="R10" s="144"/>
      <c r="S10" s="187"/>
      <c r="T10" s="188"/>
      <c r="U10" s="189"/>
      <c r="V10" s="190"/>
    </row>
    <row r="11" spans="1:22" ht="56.25">
      <c r="A11" s="125" t="s">
        <v>158</v>
      </c>
      <c r="B11" s="126"/>
      <c r="C11" s="126"/>
      <c r="D11" s="126" t="s">
        <v>159</v>
      </c>
      <c r="E11" s="126"/>
      <c r="F11" s="126"/>
      <c r="G11" s="126"/>
      <c r="H11" s="126"/>
      <c r="I11" s="126"/>
      <c r="J11" s="85">
        <v>3</v>
      </c>
      <c r="K11" s="12" t="s">
        <v>105</v>
      </c>
      <c r="L11" s="12" t="s">
        <v>160</v>
      </c>
      <c r="M11" s="13" t="s">
        <v>161</v>
      </c>
      <c r="N11" s="12" t="s">
        <v>162</v>
      </c>
      <c r="O11" s="39" t="s">
        <v>163</v>
      </c>
      <c r="P11" s="126" t="s">
        <v>94</v>
      </c>
      <c r="Q11" s="126"/>
      <c r="R11" s="14"/>
      <c r="S11" s="41">
        <v>45585</v>
      </c>
      <c r="T11" s="41">
        <f t="shared" ref="T11:T28" si="0">S11*J11</f>
        <v>136755</v>
      </c>
      <c r="U11" s="76">
        <v>0.6</v>
      </c>
      <c r="V11" s="190"/>
    </row>
    <row r="12" spans="1:22" ht="63" customHeight="1">
      <c r="A12" s="127" t="s">
        <v>164</v>
      </c>
      <c r="B12" s="128"/>
      <c r="C12" s="122"/>
      <c r="D12" s="121" t="s">
        <v>165</v>
      </c>
      <c r="E12" s="128"/>
      <c r="F12" s="128"/>
      <c r="G12" s="128"/>
      <c r="H12" s="128"/>
      <c r="I12" s="122"/>
      <c r="J12" s="85">
        <v>2</v>
      </c>
      <c r="K12" s="12" t="s">
        <v>110</v>
      </c>
      <c r="L12" s="12" t="s">
        <v>160</v>
      </c>
      <c r="M12" s="13" t="s">
        <v>161</v>
      </c>
      <c r="N12" s="12" t="s">
        <v>166</v>
      </c>
      <c r="O12" s="12">
        <v>1.5</v>
      </c>
      <c r="P12" s="126" t="s">
        <v>94</v>
      </c>
      <c r="Q12" s="126"/>
      <c r="R12" s="14"/>
      <c r="S12" s="41">
        <v>25325</v>
      </c>
      <c r="T12" s="41">
        <f t="shared" si="0"/>
        <v>50650</v>
      </c>
      <c r="U12" s="76">
        <v>0.6</v>
      </c>
      <c r="V12" s="190"/>
    </row>
    <row r="13" spans="1:22" ht="42.75" customHeight="1">
      <c r="A13" s="125" t="s">
        <v>167</v>
      </c>
      <c r="B13" s="126"/>
      <c r="C13" s="126"/>
      <c r="D13" s="126" t="s">
        <v>168</v>
      </c>
      <c r="E13" s="126"/>
      <c r="F13" s="126"/>
      <c r="G13" s="126"/>
      <c r="H13" s="126"/>
      <c r="I13" s="126"/>
      <c r="J13" s="85">
        <v>3</v>
      </c>
      <c r="K13" s="12" t="s">
        <v>76</v>
      </c>
      <c r="L13" s="12" t="s">
        <v>161</v>
      </c>
      <c r="M13" s="13" t="s">
        <v>161</v>
      </c>
      <c r="N13" s="12" t="s">
        <v>169</v>
      </c>
      <c r="O13" s="12">
        <v>8</v>
      </c>
      <c r="P13" s="126" t="s">
        <v>94</v>
      </c>
      <c r="Q13" s="126"/>
      <c r="R13" s="15"/>
      <c r="S13" s="41">
        <v>111430</v>
      </c>
      <c r="T13" s="41">
        <f t="shared" si="0"/>
        <v>334290</v>
      </c>
      <c r="U13" s="76">
        <v>0.6</v>
      </c>
      <c r="V13" s="190"/>
    </row>
    <row r="14" spans="1:22" ht="56.25">
      <c r="A14" s="125" t="s">
        <v>170</v>
      </c>
      <c r="B14" s="126"/>
      <c r="C14" s="126"/>
      <c r="D14" s="126" t="s">
        <v>171</v>
      </c>
      <c r="E14" s="126"/>
      <c r="F14" s="126"/>
      <c r="G14" s="126"/>
      <c r="H14" s="126"/>
      <c r="I14" s="126"/>
      <c r="J14" s="85">
        <v>4</v>
      </c>
      <c r="K14" s="12" t="s">
        <v>105</v>
      </c>
      <c r="L14" s="12" t="s">
        <v>160</v>
      </c>
      <c r="M14" s="13" t="s">
        <v>161</v>
      </c>
      <c r="N14" s="12" t="s">
        <v>172</v>
      </c>
      <c r="O14" s="12">
        <v>77</v>
      </c>
      <c r="P14" s="126" t="s">
        <v>94</v>
      </c>
      <c r="Q14" s="126"/>
      <c r="R14" s="14"/>
      <c r="S14" s="41">
        <v>91170</v>
      </c>
      <c r="T14" s="41">
        <f t="shared" si="0"/>
        <v>364680</v>
      </c>
      <c r="U14" s="76">
        <v>0.6</v>
      </c>
      <c r="V14" s="190"/>
    </row>
    <row r="15" spans="1:22" ht="56.25">
      <c r="A15" s="125" t="s">
        <v>173</v>
      </c>
      <c r="B15" s="126"/>
      <c r="C15" s="126"/>
      <c r="D15" s="126" t="s">
        <v>174</v>
      </c>
      <c r="E15" s="126"/>
      <c r="F15" s="126"/>
      <c r="G15" s="126"/>
      <c r="H15" s="126"/>
      <c r="I15" s="126"/>
      <c r="J15" s="85">
        <v>4</v>
      </c>
      <c r="K15" s="12" t="s">
        <v>105</v>
      </c>
      <c r="L15" s="12" t="s">
        <v>160</v>
      </c>
      <c r="M15" s="13" t="s">
        <v>161</v>
      </c>
      <c r="N15" s="12" t="s">
        <v>175</v>
      </c>
      <c r="O15" s="12">
        <v>58</v>
      </c>
      <c r="P15" s="126">
        <v>151950</v>
      </c>
      <c r="Q15" s="126"/>
      <c r="R15" s="15"/>
      <c r="S15" s="41">
        <v>607800</v>
      </c>
      <c r="T15" s="41">
        <f t="shared" si="0"/>
        <v>2431200</v>
      </c>
      <c r="U15" s="76">
        <v>0.6</v>
      </c>
      <c r="V15" s="190"/>
    </row>
    <row r="16" spans="1:22" ht="70.5" customHeight="1">
      <c r="A16" s="125" t="s">
        <v>176</v>
      </c>
      <c r="B16" s="126"/>
      <c r="C16" s="126"/>
      <c r="D16" s="126" t="s">
        <v>177</v>
      </c>
      <c r="E16" s="126"/>
      <c r="F16" s="126"/>
      <c r="G16" s="126"/>
      <c r="H16" s="126"/>
      <c r="I16" s="126"/>
      <c r="J16" s="85">
        <v>3</v>
      </c>
      <c r="K16" s="12" t="s">
        <v>105</v>
      </c>
      <c r="L16" s="12" t="s">
        <v>160</v>
      </c>
      <c r="M16" s="13" t="s">
        <v>161</v>
      </c>
      <c r="N16" s="12" t="s">
        <v>178</v>
      </c>
      <c r="O16" s="39" t="s">
        <v>179</v>
      </c>
      <c r="P16" s="126" t="s">
        <v>94</v>
      </c>
      <c r="Q16" s="126"/>
      <c r="R16" s="15"/>
      <c r="S16" s="41">
        <v>70910</v>
      </c>
      <c r="T16" s="41">
        <f t="shared" si="0"/>
        <v>212730</v>
      </c>
      <c r="U16" s="76">
        <v>0.6</v>
      </c>
      <c r="V16" s="190"/>
    </row>
    <row r="17" spans="1:22" ht="37.5" customHeight="1">
      <c r="A17" s="123"/>
      <c r="B17" s="124"/>
      <c r="C17" s="124"/>
      <c r="D17" s="124" t="s">
        <v>180</v>
      </c>
      <c r="E17" s="124"/>
      <c r="F17" s="124"/>
      <c r="G17" s="124"/>
      <c r="H17" s="124"/>
      <c r="I17" s="124"/>
      <c r="J17" s="85">
        <v>2</v>
      </c>
      <c r="K17" s="12"/>
      <c r="L17" s="12"/>
      <c r="M17" s="13"/>
      <c r="N17" s="12"/>
      <c r="O17" s="12"/>
      <c r="P17" s="126"/>
      <c r="Q17" s="126"/>
      <c r="R17" s="15"/>
      <c r="S17" s="41">
        <v>20260</v>
      </c>
      <c r="T17" s="41">
        <f t="shared" si="0"/>
        <v>40520</v>
      </c>
      <c r="U17" s="76">
        <v>0.6</v>
      </c>
      <c r="V17" s="190"/>
    </row>
    <row r="18" spans="1:22" ht="61.5" customHeight="1">
      <c r="A18" s="123" t="s">
        <v>181</v>
      </c>
      <c r="B18" s="124"/>
      <c r="C18" s="124"/>
      <c r="D18" s="124" t="s">
        <v>182</v>
      </c>
      <c r="E18" s="124"/>
      <c r="F18" s="124"/>
      <c r="G18" s="124"/>
      <c r="H18" s="124"/>
      <c r="I18" s="124"/>
      <c r="J18" s="85">
        <v>3</v>
      </c>
      <c r="K18" s="12" t="s">
        <v>105</v>
      </c>
      <c r="L18" s="12" t="s">
        <v>160</v>
      </c>
      <c r="M18" s="13" t="s">
        <v>161</v>
      </c>
      <c r="N18" s="12" t="s">
        <v>183</v>
      </c>
      <c r="O18" s="12">
        <v>4.3</v>
      </c>
      <c r="P18" s="126"/>
      <c r="Q18" s="126"/>
      <c r="R18" s="15"/>
      <c r="S18" s="41">
        <v>25325</v>
      </c>
      <c r="T18" s="41">
        <f t="shared" si="0"/>
        <v>75975</v>
      </c>
      <c r="U18" s="76">
        <v>0.6</v>
      </c>
      <c r="V18" s="190"/>
    </row>
    <row r="19" spans="1:22" ht="68.25" customHeight="1">
      <c r="A19" s="127" t="s">
        <v>184</v>
      </c>
      <c r="B19" s="128"/>
      <c r="C19" s="122"/>
      <c r="D19" s="121" t="s">
        <v>185</v>
      </c>
      <c r="E19" s="128"/>
      <c r="F19" s="128"/>
      <c r="G19" s="128"/>
      <c r="H19" s="128"/>
      <c r="I19" s="122"/>
      <c r="J19" s="85">
        <v>3</v>
      </c>
      <c r="K19" s="12" t="s">
        <v>105</v>
      </c>
      <c r="L19" s="12" t="s">
        <v>160</v>
      </c>
      <c r="M19" s="13" t="s">
        <v>161</v>
      </c>
      <c r="N19" s="12" t="s">
        <v>186</v>
      </c>
      <c r="O19" s="12">
        <v>5.0999999999999996</v>
      </c>
      <c r="P19" s="121"/>
      <c r="Q19" s="122"/>
      <c r="R19" s="15"/>
      <c r="S19" s="41">
        <v>40520</v>
      </c>
      <c r="T19" s="41">
        <f t="shared" si="0"/>
        <v>121560</v>
      </c>
      <c r="U19" s="76">
        <v>0.6</v>
      </c>
      <c r="V19" s="190"/>
    </row>
    <row r="20" spans="1:22" ht="65.25" customHeight="1">
      <c r="A20" s="127" t="s">
        <v>187</v>
      </c>
      <c r="B20" s="128"/>
      <c r="C20" s="122"/>
      <c r="D20" s="121" t="s">
        <v>188</v>
      </c>
      <c r="E20" s="128"/>
      <c r="F20" s="128"/>
      <c r="G20" s="128"/>
      <c r="H20" s="128"/>
      <c r="I20" s="122"/>
      <c r="J20" s="85">
        <v>3</v>
      </c>
      <c r="K20" s="12" t="s">
        <v>105</v>
      </c>
      <c r="L20" s="12" t="s">
        <v>160</v>
      </c>
      <c r="M20" s="13" t="s">
        <v>161</v>
      </c>
      <c r="N20" s="12" t="s">
        <v>189</v>
      </c>
      <c r="O20" s="12">
        <v>81</v>
      </c>
      <c r="P20" s="121">
        <v>1823400</v>
      </c>
      <c r="Q20" s="122"/>
      <c r="R20" s="15"/>
      <c r="S20" s="41">
        <v>91170</v>
      </c>
      <c r="T20" s="41">
        <f t="shared" si="0"/>
        <v>273510</v>
      </c>
      <c r="U20" s="76">
        <v>0.6</v>
      </c>
      <c r="V20" s="190"/>
    </row>
    <row r="21" spans="1:22" ht="63" customHeight="1">
      <c r="A21" s="127" t="s">
        <v>190</v>
      </c>
      <c r="B21" s="128"/>
      <c r="C21" s="122"/>
      <c r="D21" s="121" t="s">
        <v>191</v>
      </c>
      <c r="E21" s="128"/>
      <c r="F21" s="128"/>
      <c r="G21" s="128"/>
      <c r="H21" s="128"/>
      <c r="I21" s="122"/>
      <c r="J21" s="85">
        <v>3</v>
      </c>
      <c r="K21" s="12" t="s">
        <v>97</v>
      </c>
      <c r="L21" s="12" t="s">
        <v>160</v>
      </c>
      <c r="M21" s="13" t="s">
        <v>161</v>
      </c>
      <c r="N21" s="12" t="s">
        <v>192</v>
      </c>
      <c r="O21" s="12">
        <v>2</v>
      </c>
      <c r="P21" s="121"/>
      <c r="Q21" s="122"/>
      <c r="R21" s="15"/>
      <c r="S21" s="41">
        <v>10130</v>
      </c>
      <c r="T21" s="41">
        <f t="shared" si="0"/>
        <v>30390</v>
      </c>
      <c r="U21" s="76">
        <v>0.6</v>
      </c>
      <c r="V21" s="190"/>
    </row>
    <row r="22" spans="1:22" ht="65.25" customHeight="1">
      <c r="A22" s="127" t="s">
        <v>193</v>
      </c>
      <c r="B22" s="128"/>
      <c r="C22" s="122"/>
      <c r="D22" s="121" t="s">
        <v>194</v>
      </c>
      <c r="E22" s="128"/>
      <c r="F22" s="128"/>
      <c r="G22" s="128"/>
      <c r="H22" s="128"/>
      <c r="I22" s="122"/>
      <c r="J22" s="85">
        <v>2</v>
      </c>
      <c r="K22" s="12" t="s">
        <v>97</v>
      </c>
      <c r="L22" s="12" t="s">
        <v>160</v>
      </c>
      <c r="M22" s="13" t="s">
        <v>161</v>
      </c>
      <c r="N22" s="12" t="s">
        <v>195</v>
      </c>
      <c r="O22" s="12">
        <v>2</v>
      </c>
      <c r="P22" s="121"/>
      <c r="Q22" s="122"/>
      <c r="R22" s="15"/>
      <c r="S22" s="41">
        <v>25325</v>
      </c>
      <c r="T22" s="41">
        <f t="shared" si="0"/>
        <v>50650</v>
      </c>
      <c r="U22" s="76">
        <v>0.6</v>
      </c>
      <c r="V22" s="190"/>
    </row>
    <row r="23" spans="1:22" ht="62.25" customHeight="1">
      <c r="A23" s="127" t="s">
        <v>196</v>
      </c>
      <c r="B23" s="128"/>
      <c r="C23" s="122"/>
      <c r="D23" s="121" t="s">
        <v>197</v>
      </c>
      <c r="E23" s="128"/>
      <c r="F23" s="128"/>
      <c r="G23" s="128"/>
      <c r="H23" s="128"/>
      <c r="I23" s="122"/>
      <c r="J23" s="85">
        <v>3</v>
      </c>
      <c r="K23" s="12" t="s">
        <v>92</v>
      </c>
      <c r="L23" s="12" t="s">
        <v>160</v>
      </c>
      <c r="M23" s="13" t="s">
        <v>161</v>
      </c>
      <c r="N23" s="12" t="s">
        <v>198</v>
      </c>
      <c r="O23" s="12">
        <v>2</v>
      </c>
      <c r="P23" s="121"/>
      <c r="Q23" s="122"/>
      <c r="R23" s="15"/>
      <c r="S23" s="41">
        <v>25325</v>
      </c>
      <c r="T23" s="41">
        <f t="shared" si="0"/>
        <v>75975</v>
      </c>
      <c r="U23" s="76">
        <v>0.6</v>
      </c>
      <c r="V23" s="190"/>
    </row>
    <row r="24" spans="1:22" ht="64.5" customHeight="1">
      <c r="A24" s="127" t="s">
        <v>199</v>
      </c>
      <c r="B24" s="128"/>
      <c r="C24" s="122"/>
      <c r="D24" s="121" t="s">
        <v>200</v>
      </c>
      <c r="E24" s="128"/>
      <c r="F24" s="128"/>
      <c r="G24" s="128"/>
      <c r="H24" s="128"/>
      <c r="I24" s="122"/>
      <c r="J24" s="85">
        <v>2</v>
      </c>
      <c r="K24" s="12" t="s">
        <v>92</v>
      </c>
      <c r="L24" s="12" t="s">
        <v>160</v>
      </c>
      <c r="M24" s="13" t="s">
        <v>161</v>
      </c>
      <c r="N24" s="12" t="s">
        <v>201</v>
      </c>
      <c r="O24" s="12">
        <v>2</v>
      </c>
      <c r="P24" s="121"/>
      <c r="Q24" s="122"/>
      <c r="R24" s="15"/>
      <c r="S24" s="41">
        <v>20260</v>
      </c>
      <c r="T24" s="41">
        <f t="shared" si="0"/>
        <v>40520</v>
      </c>
      <c r="U24" s="76">
        <v>0.6</v>
      </c>
      <c r="V24" s="190"/>
    </row>
    <row r="25" spans="1:22" ht="69.75" customHeight="1">
      <c r="A25" s="127" t="s">
        <v>202</v>
      </c>
      <c r="B25" s="128"/>
      <c r="C25" s="122"/>
      <c r="D25" s="121" t="s">
        <v>203</v>
      </c>
      <c r="E25" s="128"/>
      <c r="F25" s="128"/>
      <c r="G25" s="128"/>
      <c r="H25" s="128"/>
      <c r="I25" s="122"/>
      <c r="J25" s="85"/>
      <c r="K25" s="12" t="s">
        <v>97</v>
      </c>
      <c r="L25" s="12" t="s">
        <v>160</v>
      </c>
      <c r="M25" s="13" t="s">
        <v>161</v>
      </c>
      <c r="N25" s="12" t="s">
        <v>204</v>
      </c>
      <c r="O25" s="12">
        <v>5</v>
      </c>
      <c r="P25" s="121"/>
      <c r="Q25" s="122"/>
      <c r="R25" s="15"/>
      <c r="S25" s="41">
        <v>30390</v>
      </c>
      <c r="T25" s="41">
        <f t="shared" si="0"/>
        <v>0</v>
      </c>
      <c r="U25" s="76">
        <v>0.6</v>
      </c>
      <c r="V25" s="190"/>
    </row>
    <row r="26" spans="1:22" ht="63" customHeight="1">
      <c r="A26" s="127" t="s">
        <v>205</v>
      </c>
      <c r="B26" s="128"/>
      <c r="C26" s="122"/>
      <c r="D26" s="121" t="s">
        <v>206</v>
      </c>
      <c r="E26" s="128"/>
      <c r="F26" s="128"/>
      <c r="G26" s="128"/>
      <c r="H26" s="128"/>
      <c r="I26" s="122"/>
      <c r="J26" s="85">
        <v>3</v>
      </c>
      <c r="K26" s="12" t="s">
        <v>97</v>
      </c>
      <c r="L26" s="12" t="s">
        <v>160</v>
      </c>
      <c r="M26" s="13" t="s">
        <v>161</v>
      </c>
      <c r="N26" s="12" t="s">
        <v>207</v>
      </c>
      <c r="O26" s="12">
        <v>2</v>
      </c>
      <c r="P26" s="121"/>
      <c r="Q26" s="122"/>
      <c r="R26" s="15"/>
      <c r="S26" s="41">
        <v>20260</v>
      </c>
      <c r="T26" s="41">
        <f t="shared" si="0"/>
        <v>60780</v>
      </c>
      <c r="U26" s="76">
        <v>0.6</v>
      </c>
      <c r="V26" s="190"/>
    </row>
    <row r="27" spans="1:22" ht="54" customHeight="1">
      <c r="A27" s="127" t="s">
        <v>208</v>
      </c>
      <c r="B27" s="128"/>
      <c r="C27" s="122"/>
      <c r="D27" s="121" t="s">
        <v>209</v>
      </c>
      <c r="E27" s="128"/>
      <c r="F27" s="128"/>
      <c r="G27" s="128"/>
      <c r="H27" s="128"/>
      <c r="I27" s="122"/>
      <c r="J27" s="85">
        <v>3</v>
      </c>
      <c r="K27" s="12" t="s">
        <v>210</v>
      </c>
      <c r="L27" s="12" t="s">
        <v>85</v>
      </c>
      <c r="M27" s="13" t="s">
        <v>94</v>
      </c>
      <c r="N27" s="12" t="s">
        <v>211</v>
      </c>
      <c r="O27" s="12">
        <v>0.7</v>
      </c>
      <c r="P27" s="121"/>
      <c r="Q27" s="122"/>
      <c r="R27" s="15"/>
      <c r="S27" s="41">
        <v>15195</v>
      </c>
      <c r="T27" s="41">
        <f t="shared" si="0"/>
        <v>45585</v>
      </c>
      <c r="U27" s="76">
        <v>0.6</v>
      </c>
      <c r="V27" s="190"/>
    </row>
    <row r="28" spans="1:22" ht="39" customHeight="1">
      <c r="A28" s="127" t="s">
        <v>212</v>
      </c>
      <c r="B28" s="128"/>
      <c r="C28" s="122"/>
      <c r="D28" s="121" t="s">
        <v>213</v>
      </c>
      <c r="E28" s="128"/>
      <c r="F28" s="128"/>
      <c r="G28" s="128"/>
      <c r="H28" s="128"/>
      <c r="I28" s="122"/>
      <c r="J28" s="85">
        <v>3</v>
      </c>
      <c r="K28" s="12" t="s">
        <v>94</v>
      </c>
      <c r="L28" s="12" t="s">
        <v>85</v>
      </c>
      <c r="M28" s="13" t="s">
        <v>214</v>
      </c>
      <c r="N28" s="12" t="s">
        <v>94</v>
      </c>
      <c r="O28" s="12" t="s">
        <v>94</v>
      </c>
      <c r="P28" s="121"/>
      <c r="Q28" s="122"/>
      <c r="R28" s="15"/>
      <c r="S28" s="41">
        <v>10130</v>
      </c>
      <c r="T28" s="41">
        <f t="shared" si="0"/>
        <v>30390</v>
      </c>
      <c r="U28" s="76">
        <v>0.6</v>
      </c>
      <c r="V28" s="190"/>
    </row>
    <row r="29" spans="1:22" ht="39" customHeight="1">
      <c r="A29" s="254" t="s">
        <v>215</v>
      </c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55"/>
      <c r="P29" s="121"/>
      <c r="Q29" s="122"/>
      <c r="R29" s="15"/>
      <c r="T29" s="68">
        <v>911700</v>
      </c>
      <c r="U29" s="42"/>
      <c r="V29" s="43"/>
    </row>
    <row r="30" spans="1:22">
      <c r="A30" s="107" t="s">
        <v>100</v>
      </c>
      <c r="B30" s="108"/>
      <c r="C30" s="108"/>
      <c r="D30" s="108"/>
      <c r="E30" s="108"/>
      <c r="F30" s="108"/>
      <c r="G30" s="108"/>
      <c r="H30" s="36"/>
      <c r="I30" s="36"/>
      <c r="J30" s="36"/>
      <c r="K30" s="36"/>
      <c r="L30" s="36"/>
      <c r="M30" s="36"/>
      <c r="N30" s="36"/>
      <c r="O30" s="36"/>
      <c r="P30" s="17"/>
      <c r="Q30" s="17"/>
      <c r="R30" s="18"/>
      <c r="S30" s="69">
        <v>5157183</v>
      </c>
      <c r="T30" s="69">
        <f>SUM(T11:T29)</f>
        <v>5287860</v>
      </c>
      <c r="U30" s="70">
        <f>U28*S30</f>
        <v>3094310</v>
      </c>
      <c r="V30" s="256">
        <v>6170183</v>
      </c>
    </row>
    <row r="31" spans="1:22">
      <c r="A31" s="109"/>
      <c r="B31" s="110"/>
      <c r="C31" s="110"/>
      <c r="D31" s="110"/>
      <c r="E31" s="110"/>
      <c r="F31" s="110"/>
      <c r="G31" s="110"/>
      <c r="H31" s="37"/>
      <c r="I31" s="113" t="s">
        <v>101</v>
      </c>
      <c r="J31" s="113"/>
      <c r="K31" s="113"/>
      <c r="L31" s="113"/>
      <c r="M31" s="113"/>
      <c r="N31" s="113"/>
      <c r="O31" s="113"/>
      <c r="P31" s="24"/>
      <c r="Q31" s="24"/>
      <c r="R31" s="25"/>
      <c r="V31" s="257"/>
    </row>
    <row r="32" spans="1:22">
      <c r="A32" s="111"/>
      <c r="B32" s="112"/>
      <c r="C32" s="112"/>
      <c r="D32" s="112"/>
      <c r="E32" s="112"/>
      <c r="F32" s="112"/>
      <c r="G32" s="112"/>
      <c r="H32" s="38"/>
      <c r="I32" s="114"/>
      <c r="J32" s="114"/>
      <c r="K32" s="114"/>
      <c r="L32" s="114"/>
      <c r="M32" s="114"/>
      <c r="N32" s="114"/>
      <c r="O32" s="114"/>
      <c r="P32" s="29"/>
      <c r="Q32" s="29"/>
      <c r="R32" s="30"/>
      <c r="V32" s="257"/>
    </row>
    <row r="34" spans="10:10">
      <c r="J34">
        <f>SUM(J11:J28)</f>
        <v>49</v>
      </c>
    </row>
  </sheetData>
  <mergeCells count="84">
    <mergeCell ref="V7:V28"/>
    <mergeCell ref="V30:V32"/>
    <mergeCell ref="S7:S10"/>
    <mergeCell ref="T7:T10"/>
    <mergeCell ref="U7:U10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A6:R6"/>
    <mergeCell ref="A7:C10"/>
    <mergeCell ref="D7:I10"/>
    <mergeCell ref="J7:J10"/>
    <mergeCell ref="K7:K10"/>
    <mergeCell ref="L7:L10"/>
    <mergeCell ref="M7:M10"/>
    <mergeCell ref="P7:Q10"/>
    <mergeCell ref="R7:R10"/>
    <mergeCell ref="O8:O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5:C15"/>
    <mergeCell ref="D15:I15"/>
    <mergeCell ref="P15:Q15"/>
    <mergeCell ref="A16:C16"/>
    <mergeCell ref="D16:I16"/>
    <mergeCell ref="P16:Q16"/>
    <mergeCell ref="A17:C17"/>
    <mergeCell ref="D17:I17"/>
    <mergeCell ref="P17:Q17"/>
    <mergeCell ref="P28:Q28"/>
    <mergeCell ref="D20:I20"/>
    <mergeCell ref="D21:I21"/>
    <mergeCell ref="D22:I22"/>
    <mergeCell ref="D23:I23"/>
    <mergeCell ref="A24:C24"/>
    <mergeCell ref="P24:Q24"/>
    <mergeCell ref="P18:Q18"/>
    <mergeCell ref="D27:I27"/>
    <mergeCell ref="P19:Q19"/>
    <mergeCell ref="P20:Q20"/>
    <mergeCell ref="P21:Q21"/>
    <mergeCell ref="P22:Q22"/>
    <mergeCell ref="A30:G32"/>
    <mergeCell ref="I31:O32"/>
    <mergeCell ref="N7:N10"/>
    <mergeCell ref="A19:C19"/>
    <mergeCell ref="A20:C20"/>
    <mergeCell ref="A21:C21"/>
    <mergeCell ref="A22:C22"/>
    <mergeCell ref="A23:C23"/>
    <mergeCell ref="D19:I19"/>
    <mergeCell ref="A18:C18"/>
    <mergeCell ref="D18:I18"/>
    <mergeCell ref="A28:C28"/>
    <mergeCell ref="D28:I28"/>
    <mergeCell ref="D24:I24"/>
    <mergeCell ref="D25:I25"/>
    <mergeCell ref="D26:I26"/>
    <mergeCell ref="P29:Q29"/>
    <mergeCell ref="A29:O29"/>
    <mergeCell ref="P23:Q23"/>
    <mergeCell ref="P25:Q25"/>
    <mergeCell ref="P26:Q26"/>
    <mergeCell ref="P27:Q27"/>
    <mergeCell ref="A25:C25"/>
    <mergeCell ref="A26:C26"/>
    <mergeCell ref="A27:C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1"/>
  <sheetViews>
    <sheetView topLeftCell="C13" workbookViewId="0"/>
  </sheetViews>
  <sheetFormatPr defaultRowHeight="15"/>
  <cols>
    <col min="1" max="3" width="5.140625" customWidth="1"/>
    <col min="4" max="9" width="3.140625" customWidth="1"/>
    <col min="10" max="13" width="7.85546875" customWidth="1"/>
    <col min="14" max="14" width="9" customWidth="1"/>
    <col min="15" max="15" width="10.85546875" customWidth="1"/>
    <col min="16" max="20" width="3.85546875" customWidth="1"/>
    <col min="21" max="21" width="15.85546875" customWidth="1"/>
    <col min="22" max="22" width="11.5703125" style="41" customWidth="1"/>
    <col min="23" max="23" width="15.140625" style="41" customWidth="1"/>
    <col min="24" max="24" width="11.85546875" style="40" customWidth="1"/>
    <col min="25" max="25" width="15.140625" customWidth="1"/>
  </cols>
  <sheetData>
    <row r="1" spans="1:25" ht="43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8"/>
      <c r="S1" s="158"/>
      <c r="T1" s="159"/>
      <c r="U1" s="160"/>
    </row>
    <row r="2" spans="1:25" ht="33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7"/>
      <c r="S2" s="161"/>
      <c r="T2" s="162"/>
      <c r="U2" s="163"/>
    </row>
    <row r="3" spans="1:25" ht="15.75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9"/>
      <c r="S3" s="164"/>
      <c r="T3" s="165"/>
      <c r="U3" s="166"/>
    </row>
    <row r="4" spans="1:25">
      <c r="A4" s="171" t="s">
        <v>216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7"/>
      <c r="S4" s="179" t="e">
        <f>#NAME?</f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0"/>
      <c r="S5" s="184" t="e">
        <f>#NAME?</f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 ht="18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45" t="s">
        <v>217</v>
      </c>
      <c r="L7" s="146"/>
      <c r="M7" s="145" t="s">
        <v>218</v>
      </c>
      <c r="N7" s="263"/>
      <c r="O7" s="146"/>
      <c r="P7" s="145" t="s">
        <v>60</v>
      </c>
      <c r="Q7" s="263"/>
      <c r="R7" s="263"/>
      <c r="S7" s="263"/>
      <c r="T7" s="263"/>
      <c r="U7" s="264"/>
      <c r="V7" s="187" t="s">
        <v>156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17"/>
      <c r="L8" s="118"/>
      <c r="M8" s="117"/>
      <c r="N8" s="265"/>
      <c r="O8" s="118"/>
      <c r="P8" s="117"/>
      <c r="Q8" s="265"/>
      <c r="R8" s="265"/>
      <c r="S8" s="265"/>
      <c r="T8" s="265"/>
      <c r="U8" s="266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17"/>
      <c r="L9" s="118"/>
      <c r="M9" s="117"/>
      <c r="N9" s="265"/>
      <c r="O9" s="118"/>
      <c r="P9" s="117"/>
      <c r="Q9" s="265"/>
      <c r="R9" s="265"/>
      <c r="S9" s="265"/>
      <c r="T9" s="265"/>
      <c r="U9" s="266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19"/>
      <c r="L10" s="120"/>
      <c r="M10" s="119"/>
      <c r="N10" s="267"/>
      <c r="O10" s="120"/>
      <c r="P10" s="119"/>
      <c r="Q10" s="267"/>
      <c r="R10" s="267"/>
      <c r="S10" s="267"/>
      <c r="T10" s="267"/>
      <c r="U10" s="268"/>
      <c r="V10" s="187"/>
      <c r="W10" s="188"/>
      <c r="X10" s="189"/>
      <c r="Y10" s="190"/>
    </row>
    <row r="11" spans="1:25" ht="48.75" customHeight="1">
      <c r="A11" s="125" t="s">
        <v>219</v>
      </c>
      <c r="B11" s="126"/>
      <c r="C11" s="126"/>
      <c r="D11" s="126" t="s">
        <v>220</v>
      </c>
      <c r="E11" s="126"/>
      <c r="F11" s="126"/>
      <c r="G11" s="126"/>
      <c r="H11" s="126"/>
      <c r="I11" s="126"/>
      <c r="J11" s="12">
        <v>1</v>
      </c>
      <c r="K11" s="121" t="s">
        <v>221</v>
      </c>
      <c r="L11" s="122"/>
      <c r="M11" s="260" t="s">
        <v>222</v>
      </c>
      <c r="N11" s="261"/>
      <c r="O11" s="262"/>
      <c r="P11" s="121"/>
      <c r="Q11" s="128"/>
      <c r="R11" s="128"/>
      <c r="S11" s="128"/>
      <c r="T11" s="128"/>
      <c r="U11" s="258"/>
      <c r="V11" s="68">
        <v>303900</v>
      </c>
      <c r="W11" s="68">
        <f>V11*J11</f>
        <v>303900</v>
      </c>
      <c r="X11" s="42">
        <v>0.3</v>
      </c>
      <c r="Y11" s="190"/>
    </row>
    <row r="12" spans="1:25" ht="45" customHeight="1">
      <c r="A12" s="127" t="s">
        <v>223</v>
      </c>
      <c r="B12" s="128"/>
      <c r="C12" s="122"/>
      <c r="D12" s="121" t="s">
        <v>224</v>
      </c>
      <c r="E12" s="128"/>
      <c r="F12" s="128"/>
      <c r="G12" s="128"/>
      <c r="H12" s="128"/>
      <c r="I12" s="122"/>
      <c r="J12" s="12">
        <v>1</v>
      </c>
      <c r="K12" s="121" t="s">
        <v>221</v>
      </c>
      <c r="L12" s="122"/>
      <c r="M12" s="260" t="s">
        <v>222</v>
      </c>
      <c r="N12" s="261"/>
      <c r="O12" s="262"/>
      <c r="P12" s="121"/>
      <c r="Q12" s="128"/>
      <c r="R12" s="128"/>
      <c r="S12" s="128"/>
      <c r="T12" s="128"/>
      <c r="U12" s="258"/>
      <c r="V12" s="68">
        <v>303900</v>
      </c>
      <c r="W12" s="68">
        <f>V12*J12</f>
        <v>303900</v>
      </c>
      <c r="X12" s="42">
        <v>0.3</v>
      </c>
      <c r="Y12" s="190"/>
    </row>
    <row r="13" spans="1:25" ht="44.25" customHeight="1">
      <c r="A13" s="269" t="s">
        <v>99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1"/>
      <c r="X13" s="42"/>
      <c r="Y13" s="190"/>
    </row>
    <row r="14" spans="1:25" ht="38.25" customHeight="1">
      <c r="A14" s="125"/>
      <c r="B14" s="126"/>
      <c r="C14" s="126"/>
      <c r="D14" s="126"/>
      <c r="E14" s="126"/>
      <c r="F14" s="126"/>
      <c r="G14" s="126"/>
      <c r="H14" s="126"/>
      <c r="I14" s="126"/>
      <c r="J14" s="12"/>
      <c r="K14" s="121"/>
      <c r="L14" s="122"/>
      <c r="M14" s="260"/>
      <c r="N14" s="261"/>
      <c r="O14" s="262"/>
      <c r="P14" s="121"/>
      <c r="Q14" s="128"/>
      <c r="R14" s="128"/>
      <c r="S14" s="128"/>
      <c r="T14" s="128"/>
      <c r="U14" s="258"/>
      <c r="X14" s="42"/>
      <c r="Y14" s="190"/>
    </row>
    <row r="15" spans="1:25" ht="39" customHeight="1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1"/>
      <c r="L15" s="122"/>
      <c r="M15" s="260"/>
      <c r="N15" s="261"/>
      <c r="O15" s="262"/>
      <c r="P15" s="121"/>
      <c r="Q15" s="128"/>
      <c r="R15" s="128"/>
      <c r="S15" s="128"/>
      <c r="T15" s="128"/>
      <c r="U15" s="258"/>
      <c r="X15" s="42"/>
      <c r="Y15" s="190"/>
    </row>
    <row r="16" spans="1:25" ht="44.25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1"/>
      <c r="L16" s="122"/>
      <c r="M16" s="260"/>
      <c r="N16" s="261"/>
      <c r="O16" s="262"/>
      <c r="P16" s="121"/>
      <c r="Q16" s="128"/>
      <c r="R16" s="128"/>
      <c r="S16" s="128"/>
      <c r="T16" s="128"/>
      <c r="U16" s="258"/>
      <c r="X16" s="42"/>
      <c r="Y16" s="190"/>
    </row>
    <row r="17" spans="1:25" ht="45.75" customHeight="1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1"/>
      <c r="L17" s="122"/>
      <c r="M17" s="260"/>
      <c r="N17" s="261"/>
      <c r="O17" s="262"/>
      <c r="P17" s="121"/>
      <c r="Q17" s="128"/>
      <c r="R17" s="128"/>
      <c r="S17" s="128"/>
      <c r="T17" s="128"/>
      <c r="U17" s="258"/>
      <c r="X17" s="42"/>
      <c r="Y17" s="190"/>
    </row>
    <row r="18" spans="1:25" ht="39" customHeight="1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1"/>
      <c r="L18" s="122"/>
      <c r="M18" s="260"/>
      <c r="N18" s="261"/>
      <c r="O18" s="262"/>
      <c r="P18" s="121"/>
      <c r="Q18" s="128"/>
      <c r="R18" s="128"/>
      <c r="S18" s="128"/>
      <c r="T18" s="128"/>
      <c r="U18" s="258"/>
      <c r="X18" s="42"/>
      <c r="Y18" s="190"/>
    </row>
    <row r="19" spans="1:25" ht="4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1"/>
      <c r="L19" s="122"/>
      <c r="M19" s="260"/>
      <c r="N19" s="261"/>
      <c r="O19" s="262"/>
      <c r="P19" s="259"/>
      <c r="Q19" s="249"/>
      <c r="R19" s="249"/>
      <c r="S19" s="249"/>
      <c r="T19" s="249"/>
      <c r="U19" s="250"/>
      <c r="X19" s="42"/>
      <c r="Y19" s="190"/>
    </row>
    <row r="20" spans="1: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W20" s="41">
        <f>SUM(W11:W19)</f>
        <v>607800</v>
      </c>
      <c r="X20" s="74">
        <f>W20*X12</f>
        <v>182340</v>
      </c>
      <c r="Y20" s="274">
        <v>1114300</v>
      </c>
    </row>
    <row r="21" spans="1:25">
      <c r="A21" s="19"/>
      <c r="B21" s="20"/>
      <c r="C21" s="20"/>
      <c r="D21" s="21"/>
      <c r="E21" s="21"/>
      <c r="F21" s="22" t="s">
        <v>100</v>
      </c>
      <c r="G21" s="23"/>
      <c r="H21" s="23"/>
      <c r="I21" s="113" t="s">
        <v>101</v>
      </c>
      <c r="J21" s="113"/>
      <c r="K21" s="113"/>
      <c r="L21" s="113"/>
      <c r="M21" s="113"/>
      <c r="N21" s="113"/>
      <c r="O21" s="113"/>
      <c r="P21" s="113"/>
      <c r="Q21" s="24"/>
      <c r="R21" s="24"/>
      <c r="S21" s="24"/>
      <c r="T21" s="24"/>
      <c r="U21" s="25"/>
      <c r="X21" s="42"/>
      <c r="Y21" s="275"/>
    </row>
    <row r="22" spans="1:25">
      <c r="A22" s="26"/>
      <c r="B22" s="27"/>
      <c r="C22" s="27"/>
      <c r="D22" s="28"/>
      <c r="E22" s="28"/>
      <c r="F22" s="28"/>
      <c r="G22" s="28"/>
      <c r="H22" s="28"/>
      <c r="I22" s="114"/>
      <c r="J22" s="114"/>
      <c r="K22" s="114"/>
      <c r="L22" s="114"/>
      <c r="M22" s="114"/>
      <c r="N22" s="114"/>
      <c r="O22" s="114"/>
      <c r="P22" s="114"/>
      <c r="Q22" s="29"/>
      <c r="R22" s="29"/>
      <c r="S22" s="29"/>
      <c r="T22" s="29"/>
      <c r="U22" s="30"/>
      <c r="X22" s="42"/>
      <c r="Y22" s="275"/>
    </row>
    <row r="23" spans="1:25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4"/>
      <c r="R23" s="34"/>
      <c r="S23" s="34"/>
      <c r="T23" s="34"/>
      <c r="U23" s="34"/>
      <c r="X23" s="42"/>
      <c r="Y23" s="45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V28" s="44"/>
      <c r="X28" s="42"/>
      <c r="Y28" s="45"/>
    </row>
    <row r="29" spans="1:25">
      <c r="Y29" s="272">
        <f>X29+V29</f>
        <v>0</v>
      </c>
    </row>
    <row r="30" spans="1:25">
      <c r="Y30" s="273"/>
    </row>
    <row r="31" spans="1:25">
      <c r="Y31" s="273"/>
    </row>
  </sheetData>
  <mergeCells count="65">
    <mergeCell ref="V7:V10"/>
    <mergeCell ref="W7:W10"/>
    <mergeCell ref="X7:X10"/>
    <mergeCell ref="Y29:Y31"/>
    <mergeCell ref="Y20:Y22"/>
    <mergeCell ref="Y7:Y19"/>
    <mergeCell ref="A6:U6"/>
    <mergeCell ref="A7:C10"/>
    <mergeCell ref="D7:I10"/>
    <mergeCell ref="J7:J10"/>
    <mergeCell ref="A1:G3"/>
    <mergeCell ref="H1:Q1"/>
    <mergeCell ref="S1:U3"/>
    <mergeCell ref="H2:Q2"/>
    <mergeCell ref="H3:Q3"/>
    <mergeCell ref="A4:G5"/>
    <mergeCell ref="H4:Q4"/>
    <mergeCell ref="S4:U4"/>
    <mergeCell ref="H5:Q5"/>
    <mergeCell ref="S5:U5"/>
    <mergeCell ref="A12:C12"/>
    <mergeCell ref="D12:I12"/>
    <mergeCell ref="M12:O12"/>
    <mergeCell ref="A13:U13"/>
    <mergeCell ref="A11:C11"/>
    <mergeCell ref="D11:I11"/>
    <mergeCell ref="M11:O11"/>
    <mergeCell ref="A14:C14"/>
    <mergeCell ref="D14:I14"/>
    <mergeCell ref="A15:C15"/>
    <mergeCell ref="D15:I15"/>
    <mergeCell ref="M14:O14"/>
    <mergeCell ref="M15:O15"/>
    <mergeCell ref="A16:C16"/>
    <mergeCell ref="D16:I16"/>
    <mergeCell ref="A17:C17"/>
    <mergeCell ref="D17:I17"/>
    <mergeCell ref="K17:L17"/>
    <mergeCell ref="A18:C18"/>
    <mergeCell ref="D18:I18"/>
    <mergeCell ref="A19:C19"/>
    <mergeCell ref="D19:I19"/>
    <mergeCell ref="K18:L18"/>
    <mergeCell ref="K19:L19"/>
    <mergeCell ref="P15:U15"/>
    <mergeCell ref="P16:U16"/>
    <mergeCell ref="I21:P22"/>
    <mergeCell ref="K7:L10"/>
    <mergeCell ref="K11:L11"/>
    <mergeCell ref="K12:L12"/>
    <mergeCell ref="K14:L14"/>
    <mergeCell ref="K15:L15"/>
    <mergeCell ref="K16:L16"/>
    <mergeCell ref="M16:O16"/>
    <mergeCell ref="P7:U10"/>
    <mergeCell ref="P11:U11"/>
    <mergeCell ref="P12:U12"/>
    <mergeCell ref="P14:U14"/>
    <mergeCell ref="M7:O10"/>
    <mergeCell ref="P17:U17"/>
    <mergeCell ref="P18:U18"/>
    <mergeCell ref="P19:U19"/>
    <mergeCell ref="M17:O17"/>
    <mergeCell ref="M18:O18"/>
    <mergeCell ref="M19:O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1"/>
  <sheetViews>
    <sheetView topLeftCell="A11" workbookViewId="0"/>
  </sheetViews>
  <sheetFormatPr defaultRowHeight="15"/>
  <cols>
    <col min="1" max="3" width="3.85546875" customWidth="1"/>
    <col min="4" max="9" width="4" customWidth="1"/>
    <col min="10" max="14" width="7.85546875" customWidth="1"/>
    <col min="15" max="15" width="9" customWidth="1"/>
    <col min="16" max="16" width="10.85546875" customWidth="1"/>
    <col min="17" max="21" width="7.85546875" customWidth="1"/>
    <col min="22" max="22" width="11.85546875" customWidth="1"/>
    <col min="23" max="23" width="11.5703125" style="41" customWidth="1"/>
    <col min="24" max="24" width="15.140625" style="41" customWidth="1"/>
    <col min="25" max="25" width="11.85546875" style="40" customWidth="1"/>
    <col min="26" max="26" width="17.85546875" customWidth="1"/>
  </cols>
  <sheetData>
    <row r="1" spans="1:26" ht="43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8"/>
      <c r="T1" s="158"/>
      <c r="U1" s="159"/>
      <c r="V1" s="160"/>
    </row>
    <row r="2" spans="1:26" ht="33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7"/>
      <c r="T2" s="161"/>
      <c r="U2" s="162"/>
      <c r="V2" s="163"/>
    </row>
    <row r="3" spans="1:26" ht="15.75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9"/>
      <c r="T3" s="164"/>
      <c r="U3" s="165"/>
      <c r="V3" s="166"/>
    </row>
    <row r="4" spans="1:26">
      <c r="A4" s="171" t="s">
        <v>225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7"/>
      <c r="T4" s="179" t="e">
        <f>#NAME?</f>
        <v>#NAME?</v>
      </c>
      <c r="U4" s="180"/>
      <c r="V4" s="181"/>
    </row>
    <row r="5" spans="1:26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0"/>
      <c r="T5" s="184" t="e">
        <f>#NAME?</f>
        <v>#NAME?</v>
      </c>
      <c r="U5" s="185"/>
      <c r="V5" s="186"/>
    </row>
    <row r="6" spans="1:26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1"/>
    </row>
    <row r="7" spans="1:26" ht="2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56</v>
      </c>
      <c r="O7" s="35" t="s">
        <v>57</v>
      </c>
      <c r="P7" s="35" t="s">
        <v>58</v>
      </c>
      <c r="Q7" s="145" t="s">
        <v>226</v>
      </c>
      <c r="R7" s="146"/>
      <c r="S7" s="11" t="s">
        <v>56</v>
      </c>
      <c r="T7" s="145" t="s">
        <v>59</v>
      </c>
      <c r="U7" s="146"/>
      <c r="V7" s="142" t="s">
        <v>60</v>
      </c>
      <c r="W7" s="187" t="s">
        <v>156</v>
      </c>
      <c r="X7" s="188" t="s">
        <v>42</v>
      </c>
      <c r="Y7" s="189" t="s">
        <v>64</v>
      </c>
      <c r="Z7" s="190" t="s">
        <v>65</v>
      </c>
    </row>
    <row r="8" spans="1:26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7" t="s">
        <v>66</v>
      </c>
      <c r="P8" s="137" t="s">
        <v>67</v>
      </c>
      <c r="Q8" s="117"/>
      <c r="R8" s="118"/>
      <c r="S8" s="137" t="s">
        <v>227</v>
      </c>
      <c r="T8" s="117"/>
      <c r="U8" s="118"/>
      <c r="V8" s="143"/>
      <c r="W8" s="187"/>
      <c r="X8" s="188"/>
      <c r="Y8" s="189"/>
      <c r="Z8" s="190"/>
    </row>
    <row r="9" spans="1:26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17"/>
      <c r="R9" s="118"/>
      <c r="S9" s="139"/>
      <c r="T9" s="117"/>
      <c r="U9" s="118"/>
      <c r="V9" s="143"/>
      <c r="W9" s="187"/>
      <c r="X9" s="188"/>
      <c r="Y9" s="189"/>
      <c r="Z9" s="190"/>
    </row>
    <row r="10" spans="1:26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139"/>
      <c r="P10" s="139"/>
      <c r="Q10" s="119"/>
      <c r="R10" s="120"/>
      <c r="S10" s="139"/>
      <c r="T10" s="117"/>
      <c r="U10" s="118"/>
      <c r="V10" s="144"/>
      <c r="W10" s="187"/>
      <c r="X10" s="188"/>
      <c r="Y10" s="189"/>
      <c r="Z10" s="190"/>
    </row>
    <row r="11" spans="1:26" ht="48.75" customHeight="1">
      <c r="A11" s="125" t="s">
        <v>228</v>
      </c>
      <c r="B11" s="126"/>
      <c r="C11" s="126"/>
      <c r="D11" s="126" t="s">
        <v>229</v>
      </c>
      <c r="E11" s="126"/>
      <c r="F11" s="126"/>
      <c r="G11" s="126"/>
      <c r="H11" s="126"/>
      <c r="I11" s="126"/>
      <c r="J11" s="12">
        <v>1</v>
      </c>
      <c r="K11" s="12" t="s">
        <v>105</v>
      </c>
      <c r="L11" s="12" t="s">
        <v>230</v>
      </c>
      <c r="M11" s="12" t="s">
        <v>71</v>
      </c>
      <c r="N11" s="13" t="s">
        <v>161</v>
      </c>
      <c r="O11" s="12" t="s">
        <v>231</v>
      </c>
      <c r="P11" s="12">
        <v>13.4</v>
      </c>
      <c r="Q11" s="121" t="s">
        <v>232</v>
      </c>
      <c r="R11" s="122"/>
      <c r="S11" s="12"/>
      <c r="T11" s="126" t="s">
        <v>149</v>
      </c>
      <c r="U11" s="126"/>
      <c r="V11" s="14">
        <v>99274</v>
      </c>
      <c r="W11" s="68">
        <v>65845</v>
      </c>
      <c r="X11" s="68">
        <f>W11*J11</f>
        <v>65845</v>
      </c>
      <c r="Y11" s="42">
        <v>0.3</v>
      </c>
      <c r="Z11" s="190"/>
    </row>
    <row r="12" spans="1:26" ht="45" customHeight="1">
      <c r="A12" s="127" t="s">
        <v>233</v>
      </c>
      <c r="B12" s="128"/>
      <c r="C12" s="122"/>
      <c r="D12" s="121" t="s">
        <v>234</v>
      </c>
      <c r="E12" s="128"/>
      <c r="F12" s="128"/>
      <c r="G12" s="128"/>
      <c r="H12" s="128"/>
      <c r="I12" s="122"/>
      <c r="J12" s="12">
        <v>1</v>
      </c>
      <c r="K12" s="12" t="s">
        <v>97</v>
      </c>
      <c r="L12" s="12" t="s">
        <v>230</v>
      </c>
      <c r="M12" s="12" t="s">
        <v>71</v>
      </c>
      <c r="N12" s="13" t="s">
        <v>161</v>
      </c>
      <c r="O12" s="12" t="s">
        <v>235</v>
      </c>
      <c r="P12" s="12">
        <v>16</v>
      </c>
      <c r="Q12" s="121" t="s">
        <v>236</v>
      </c>
      <c r="R12" s="122"/>
      <c r="S12" s="12"/>
      <c r="T12" s="126" t="s">
        <v>149</v>
      </c>
      <c r="U12" s="126"/>
      <c r="V12" s="14">
        <v>212730</v>
      </c>
      <c r="W12" s="68">
        <v>222860</v>
      </c>
      <c r="X12" s="68">
        <f>W12*J12</f>
        <v>222860</v>
      </c>
      <c r="Y12" s="42">
        <v>0.3</v>
      </c>
      <c r="Z12" s="190"/>
    </row>
    <row r="13" spans="1:26" ht="44.25" customHeight="1">
      <c r="A13" s="125" t="s">
        <v>237</v>
      </c>
      <c r="B13" s="126"/>
      <c r="C13" s="126"/>
      <c r="D13" s="126" t="s">
        <v>238</v>
      </c>
      <c r="E13" s="126"/>
      <c r="F13" s="126"/>
      <c r="G13" s="126"/>
      <c r="H13" s="126"/>
      <c r="I13" s="126"/>
      <c r="J13" s="12">
        <v>1</v>
      </c>
      <c r="K13" s="12" t="s">
        <v>97</v>
      </c>
      <c r="L13" s="12" t="s">
        <v>239</v>
      </c>
      <c r="M13" s="12" t="s">
        <v>71</v>
      </c>
      <c r="N13" s="13" t="s">
        <v>240</v>
      </c>
      <c r="O13" s="12">
        <v>93</v>
      </c>
      <c r="P13" s="12" t="s">
        <v>241</v>
      </c>
      <c r="Q13" s="121">
        <v>3900</v>
      </c>
      <c r="R13" s="122"/>
      <c r="S13" s="12"/>
      <c r="T13" s="126" t="s">
        <v>149</v>
      </c>
      <c r="U13" s="126"/>
      <c r="V13" s="15">
        <v>1215600</v>
      </c>
      <c r="W13" s="68">
        <v>1620800</v>
      </c>
      <c r="X13" s="68">
        <f>W13*J13</f>
        <v>1620800</v>
      </c>
      <c r="Y13" s="42">
        <v>0.3</v>
      </c>
      <c r="Z13" s="190"/>
    </row>
    <row r="14" spans="1:26" ht="38.25" customHeight="1">
      <c r="A14" s="125" t="s">
        <v>242</v>
      </c>
      <c r="B14" s="126"/>
      <c r="C14" s="126"/>
      <c r="D14" s="126" t="s">
        <v>238</v>
      </c>
      <c r="E14" s="126"/>
      <c r="F14" s="126"/>
      <c r="G14" s="126"/>
      <c r="H14" s="126"/>
      <c r="I14" s="126"/>
      <c r="J14" s="12">
        <v>1</v>
      </c>
      <c r="K14" s="12" t="s">
        <v>97</v>
      </c>
      <c r="L14" s="12" t="s">
        <v>239</v>
      </c>
      <c r="M14" s="12" t="s">
        <v>71</v>
      </c>
      <c r="N14" s="13" t="s">
        <v>240</v>
      </c>
      <c r="O14" s="12">
        <v>93</v>
      </c>
      <c r="P14" s="12" t="s">
        <v>241</v>
      </c>
      <c r="Q14" s="121">
        <v>3900</v>
      </c>
      <c r="R14" s="122"/>
      <c r="S14" s="12"/>
      <c r="T14" s="126" t="s">
        <v>149</v>
      </c>
      <c r="U14" s="126"/>
      <c r="V14" s="14">
        <v>1215600</v>
      </c>
      <c r="W14" s="68">
        <v>1620800</v>
      </c>
      <c r="X14" s="68">
        <f>W14*J14</f>
        <v>1620800</v>
      </c>
      <c r="Y14" s="42">
        <v>0.3</v>
      </c>
      <c r="Z14" s="190"/>
    </row>
    <row r="15" spans="1:26" ht="39" customHeight="1">
      <c r="A15" s="127" t="s">
        <v>243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258"/>
      <c r="W15" s="41">
        <v>1</v>
      </c>
      <c r="X15" s="41">
        <v>151950</v>
      </c>
      <c r="Y15" s="42"/>
      <c r="Z15" s="190"/>
    </row>
    <row r="16" spans="1:26" ht="44.25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12"/>
      <c r="P16" s="12"/>
      <c r="Q16" s="121"/>
      <c r="R16" s="122"/>
      <c r="S16" s="12"/>
      <c r="T16" s="126"/>
      <c r="U16" s="126"/>
      <c r="V16" s="15">
        <f>SUM(V11:V14)</f>
        <v>2743204</v>
      </c>
      <c r="Y16" s="42"/>
      <c r="Z16" s="190"/>
    </row>
    <row r="17" spans="1:26" ht="45.75" customHeight="1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"/>
      <c r="Q17" s="121"/>
      <c r="R17" s="122"/>
      <c r="S17" s="12"/>
      <c r="T17" s="126"/>
      <c r="U17" s="126"/>
      <c r="V17" s="15"/>
      <c r="Y17" s="42"/>
      <c r="Z17" s="190"/>
    </row>
    <row r="18" spans="1:26" ht="39" customHeight="1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"/>
      <c r="Q18" s="121"/>
      <c r="R18" s="122"/>
      <c r="S18" s="12"/>
      <c r="T18" s="126"/>
      <c r="U18" s="126"/>
      <c r="V18" s="15"/>
      <c r="Y18" s="42"/>
      <c r="Z18" s="190"/>
    </row>
    <row r="19" spans="1:26" ht="4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"/>
      <c r="Q19" s="121"/>
      <c r="R19" s="122"/>
      <c r="S19" s="12"/>
      <c r="T19" s="121"/>
      <c r="U19" s="122"/>
      <c r="V19" s="15"/>
      <c r="Y19" s="42"/>
      <c r="Z19" s="190"/>
    </row>
    <row r="20" spans="1:26" ht="14.4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  <c r="W20" s="69"/>
      <c r="X20" s="69">
        <f>SUM(X11:X19)</f>
        <v>3682255</v>
      </c>
      <c r="Y20" s="71">
        <f>X20*Y12</f>
        <v>1104676</v>
      </c>
      <c r="Z20" s="57">
        <f>V16</f>
        <v>2743204</v>
      </c>
    </row>
    <row r="21" spans="1:26" ht="14.45" customHeight="1">
      <c r="A21" s="19"/>
      <c r="B21" s="20"/>
      <c r="C21" s="20"/>
      <c r="D21" s="21"/>
      <c r="E21" s="21"/>
      <c r="F21" s="22" t="s">
        <v>100</v>
      </c>
      <c r="G21" s="23"/>
      <c r="H21" s="23"/>
      <c r="I21" s="113" t="s">
        <v>101</v>
      </c>
      <c r="J21" s="113"/>
      <c r="K21" s="113"/>
      <c r="L21" s="113"/>
      <c r="M21" s="113"/>
      <c r="N21" s="113"/>
      <c r="O21" s="113"/>
      <c r="P21" s="113"/>
      <c r="Q21" s="113"/>
      <c r="R21" s="24"/>
      <c r="S21" s="24"/>
      <c r="T21" s="24"/>
      <c r="U21" s="24"/>
      <c r="V21" s="25"/>
      <c r="Y21" s="42"/>
      <c r="Z21" s="58"/>
    </row>
    <row r="22" spans="1:26" ht="15" customHeight="1">
      <c r="A22" s="26"/>
      <c r="B22" s="27"/>
      <c r="C22" s="27"/>
      <c r="D22" s="28"/>
      <c r="E22" s="28"/>
      <c r="F22" s="28"/>
      <c r="G22" s="28"/>
      <c r="H22" s="28"/>
      <c r="I22" s="114"/>
      <c r="J22" s="114"/>
      <c r="K22" s="114"/>
      <c r="L22" s="114"/>
      <c r="M22" s="114"/>
      <c r="N22" s="114"/>
      <c r="O22" s="114"/>
      <c r="P22" s="114"/>
      <c r="Q22" s="114"/>
      <c r="R22" s="29"/>
      <c r="S22" s="29"/>
      <c r="T22" s="29"/>
      <c r="U22" s="29"/>
      <c r="V22" s="30"/>
      <c r="Y22" s="42"/>
      <c r="Z22" s="58"/>
    </row>
    <row r="23" spans="1:26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3"/>
      <c r="R23" s="34"/>
      <c r="S23" s="34"/>
      <c r="T23" s="34"/>
      <c r="U23" s="34"/>
      <c r="V23" s="34"/>
      <c r="Y23" s="42"/>
      <c r="Z23" s="45"/>
    </row>
    <row r="24" spans="1:26">
      <c r="Y24" s="42"/>
      <c r="Z24" s="45"/>
    </row>
    <row r="25" spans="1:26">
      <c r="Y25" s="42"/>
      <c r="Z25" s="45"/>
    </row>
    <row r="26" spans="1:26">
      <c r="Y26" s="42"/>
      <c r="Z26" s="45"/>
    </row>
    <row r="27" spans="1:26">
      <c r="Y27" s="42"/>
      <c r="Z27" s="45"/>
    </row>
    <row r="28" spans="1:26">
      <c r="W28" s="44"/>
      <c r="Y28" s="42"/>
      <c r="Z28" s="45"/>
    </row>
    <row r="29" spans="1:26">
      <c r="Z29" s="272">
        <f>Y29+W29</f>
        <v>0</v>
      </c>
    </row>
    <row r="30" spans="1:26">
      <c r="Z30" s="273"/>
    </row>
    <row r="31" spans="1:26">
      <c r="Z31" s="273"/>
    </row>
  </sheetData>
  <mergeCells count="63">
    <mergeCell ref="A1:G3"/>
    <mergeCell ref="H1:R1"/>
    <mergeCell ref="T1:V3"/>
    <mergeCell ref="H2:R2"/>
    <mergeCell ref="H3:R3"/>
    <mergeCell ref="V7:V10"/>
    <mergeCell ref="O8:O10"/>
    <mergeCell ref="P8:P10"/>
    <mergeCell ref="T5:V5"/>
    <mergeCell ref="A6:V6"/>
    <mergeCell ref="A7:C10"/>
    <mergeCell ref="D7:I10"/>
    <mergeCell ref="J7:J10"/>
    <mergeCell ref="K7:K10"/>
    <mergeCell ref="L7:L10"/>
    <mergeCell ref="N7:N10"/>
    <mergeCell ref="A4:G5"/>
    <mergeCell ref="H4:R4"/>
    <mergeCell ref="T4:V4"/>
    <mergeCell ref="H5:R5"/>
    <mergeCell ref="M7:M10"/>
    <mergeCell ref="S8:S10"/>
    <mergeCell ref="A11:C11"/>
    <mergeCell ref="D11:I11"/>
    <mergeCell ref="T11:U11"/>
    <mergeCell ref="T7:U10"/>
    <mergeCell ref="Q7:R10"/>
    <mergeCell ref="Q11:R11"/>
    <mergeCell ref="T12:U12"/>
    <mergeCell ref="A13:C13"/>
    <mergeCell ref="D13:I13"/>
    <mergeCell ref="T13:U13"/>
    <mergeCell ref="A14:C14"/>
    <mergeCell ref="D14:I14"/>
    <mergeCell ref="T14:U14"/>
    <mergeCell ref="A12:C12"/>
    <mergeCell ref="D12:I12"/>
    <mergeCell ref="Q12:R12"/>
    <mergeCell ref="Q13:R13"/>
    <mergeCell ref="Q14:R14"/>
    <mergeCell ref="D16:I16"/>
    <mergeCell ref="T16:U16"/>
    <mergeCell ref="A17:C17"/>
    <mergeCell ref="D17:I17"/>
    <mergeCell ref="T17:U17"/>
    <mergeCell ref="Q16:R16"/>
    <mergeCell ref="Q17:R17"/>
    <mergeCell ref="Z29:Z31"/>
    <mergeCell ref="A15:V15"/>
    <mergeCell ref="W7:W10"/>
    <mergeCell ref="X7:X10"/>
    <mergeCell ref="Y7:Y10"/>
    <mergeCell ref="Z7:Z19"/>
    <mergeCell ref="T18:U18"/>
    <mergeCell ref="A19:C19"/>
    <mergeCell ref="D19:I19"/>
    <mergeCell ref="T19:U19"/>
    <mergeCell ref="I21:Q22"/>
    <mergeCell ref="A18:C18"/>
    <mergeCell ref="D18:I18"/>
    <mergeCell ref="Q18:R18"/>
    <mergeCell ref="Q19:R19"/>
    <mergeCell ref="A16:C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1"/>
  <sheetViews>
    <sheetView topLeftCell="K4" workbookViewId="0"/>
  </sheetViews>
  <sheetFormatPr defaultRowHeight="15"/>
  <cols>
    <col min="1" max="3" width="4.140625" customWidth="1"/>
    <col min="4" max="9" width="3.5703125" customWidth="1"/>
    <col min="19" max="20" width="6.42578125" customWidth="1"/>
    <col min="22" max="22" width="11.5703125" style="41" customWidth="1"/>
    <col min="23" max="23" width="15.140625" style="41" customWidth="1"/>
    <col min="24" max="24" width="11.85546875" style="40" customWidth="1"/>
    <col min="25" max="25" width="15.140625" customWidth="1"/>
  </cols>
  <sheetData>
    <row r="1" spans="1:25" ht="31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  <c r="T1" s="159"/>
      <c r="U1" s="160"/>
    </row>
    <row r="2" spans="1:25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1"/>
      <c r="T2" s="162"/>
      <c r="U2" s="163"/>
    </row>
    <row r="3" spans="1:25" ht="22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64"/>
      <c r="T3" s="165"/>
      <c r="U3" s="166"/>
    </row>
    <row r="4" spans="1:25">
      <c r="A4" s="171" t="s">
        <v>244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9" t="e">
        <f>#NAME?</f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 t="e">
        <f>#NAME?</f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245</v>
      </c>
      <c r="K7" s="133" t="s">
        <v>54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0" t="s">
        <v>226</v>
      </c>
      <c r="R7" s="141"/>
      <c r="S7" s="145" t="s">
        <v>59</v>
      </c>
      <c r="T7" s="146"/>
      <c r="U7" s="142" t="s">
        <v>60</v>
      </c>
      <c r="V7" s="187" t="s">
        <v>246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35"/>
      <c r="R8" s="135"/>
      <c r="S8" s="117"/>
      <c r="T8" s="118"/>
      <c r="U8" s="143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35"/>
      <c r="R9" s="135"/>
      <c r="S9" s="117"/>
      <c r="T9" s="118"/>
      <c r="U9" s="143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37"/>
      <c r="R10" s="137"/>
      <c r="S10" s="117"/>
      <c r="T10" s="118"/>
      <c r="U10" s="144"/>
      <c r="V10" s="187"/>
      <c r="W10" s="188"/>
      <c r="X10" s="189"/>
      <c r="Y10" s="190"/>
    </row>
    <row r="11" spans="1:25" ht="26.45" customHeight="1">
      <c r="A11" s="125"/>
      <c r="B11" s="126"/>
      <c r="C11" s="126"/>
      <c r="D11" s="126" t="s">
        <v>247</v>
      </c>
      <c r="E11" s="126"/>
      <c r="F11" s="126"/>
      <c r="G11" s="126"/>
      <c r="H11" s="126"/>
      <c r="I11" s="126"/>
      <c r="J11" s="12">
        <v>709100</v>
      </c>
      <c r="K11" s="12"/>
      <c r="L11" s="12"/>
      <c r="M11" s="12"/>
      <c r="N11" s="13"/>
      <c r="O11" s="12"/>
      <c r="P11" s="39"/>
      <c r="Q11" s="12"/>
      <c r="R11" s="12"/>
      <c r="S11" s="126"/>
      <c r="T11" s="126"/>
      <c r="U11" s="14"/>
      <c r="V11" s="68">
        <v>3</v>
      </c>
      <c r="W11" s="41">
        <f>V11*J11</f>
        <v>2127300</v>
      </c>
      <c r="X11" s="42">
        <v>0.3</v>
      </c>
      <c r="Y11" s="190"/>
    </row>
    <row r="12" spans="1:25">
      <c r="A12" s="127"/>
      <c r="B12" s="128"/>
      <c r="C12" s="122"/>
      <c r="D12" s="121" t="s">
        <v>248</v>
      </c>
      <c r="E12" s="128"/>
      <c r="F12" s="128"/>
      <c r="G12" s="128"/>
      <c r="H12" s="128"/>
      <c r="I12" s="122"/>
      <c r="J12" s="12"/>
      <c r="K12" s="12"/>
      <c r="L12" s="12"/>
      <c r="M12" s="12"/>
      <c r="N12" s="13"/>
      <c r="O12" s="12"/>
      <c r="P12" s="12"/>
      <c r="Q12" s="12"/>
      <c r="R12" s="12"/>
      <c r="S12" s="126"/>
      <c r="T12" s="126"/>
      <c r="U12" s="14"/>
      <c r="V12" s="41">
        <v>1</v>
      </c>
      <c r="W12" s="41">
        <v>202600</v>
      </c>
      <c r="X12" s="42">
        <v>0.3</v>
      </c>
      <c r="Y12" s="190"/>
    </row>
    <row r="13" spans="1:25">
      <c r="A13" s="125"/>
      <c r="B13" s="126"/>
      <c r="C13" s="126"/>
      <c r="D13" s="126"/>
      <c r="E13" s="126"/>
      <c r="F13" s="126"/>
      <c r="G13" s="126"/>
      <c r="H13" s="126"/>
      <c r="I13" s="126"/>
      <c r="J13" s="12"/>
      <c r="K13" s="12"/>
      <c r="L13" s="12"/>
      <c r="M13" s="12"/>
      <c r="N13" s="13"/>
      <c r="O13" s="12"/>
      <c r="P13" s="12"/>
      <c r="Q13" s="12"/>
      <c r="R13" s="12"/>
      <c r="S13" s="126"/>
      <c r="T13" s="126"/>
      <c r="U13" s="15"/>
      <c r="X13" s="42">
        <v>0.3</v>
      </c>
      <c r="Y13" s="190"/>
    </row>
    <row r="14" spans="1:25">
      <c r="A14" s="125"/>
      <c r="B14" s="126"/>
      <c r="C14" s="126"/>
      <c r="D14" s="126"/>
      <c r="E14" s="126"/>
      <c r="F14" s="126"/>
      <c r="G14" s="126"/>
      <c r="H14" s="126"/>
      <c r="I14" s="126"/>
      <c r="J14" s="12"/>
      <c r="K14" s="12"/>
      <c r="L14" s="12"/>
      <c r="M14" s="12"/>
      <c r="N14" s="13"/>
      <c r="O14" s="12"/>
      <c r="P14" s="12"/>
      <c r="Q14" s="12"/>
      <c r="R14" s="12"/>
      <c r="S14" s="126"/>
      <c r="T14" s="126"/>
      <c r="U14" s="14"/>
      <c r="X14" s="42">
        <v>0.3</v>
      </c>
      <c r="Y14" s="190"/>
    </row>
    <row r="15" spans="1:25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"/>
      <c r="L15" s="12"/>
      <c r="M15" s="12"/>
      <c r="N15" s="13"/>
      <c r="O15" s="12"/>
      <c r="P15" s="12"/>
      <c r="Q15" s="12"/>
      <c r="R15" s="12"/>
      <c r="S15" s="126"/>
      <c r="T15" s="126"/>
      <c r="U15" s="15"/>
      <c r="X15" s="42"/>
      <c r="Y15" s="190"/>
    </row>
    <row r="16" spans="1:25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12"/>
      <c r="P16" s="39"/>
      <c r="Q16" s="12"/>
      <c r="R16" s="12"/>
      <c r="S16" s="126"/>
      <c r="T16" s="126"/>
      <c r="U16" s="15"/>
      <c r="X16" s="42"/>
      <c r="Y16" s="190"/>
    </row>
    <row r="17" spans="1:25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"/>
      <c r="Q17" s="12"/>
      <c r="R17" s="12"/>
      <c r="S17" s="126"/>
      <c r="T17" s="126"/>
      <c r="U17" s="15"/>
      <c r="X17" s="42"/>
      <c r="Y17" s="190"/>
    </row>
    <row r="18" spans="1:25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"/>
      <c r="Q18" s="12"/>
      <c r="R18" s="12"/>
      <c r="S18" s="126"/>
      <c r="T18" s="126"/>
      <c r="U18" s="15"/>
      <c r="X18" s="42"/>
      <c r="Y18" s="190"/>
    </row>
    <row r="19" spans="1:25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"/>
      <c r="Q19" s="12"/>
      <c r="R19" s="12"/>
      <c r="S19" s="121"/>
      <c r="T19" s="122"/>
      <c r="U19" s="15"/>
      <c r="V19" s="41">
        <v>2127300</v>
      </c>
      <c r="X19" s="42"/>
      <c r="Y19" s="190"/>
    </row>
    <row r="20" spans="1:25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17"/>
      <c r="S20" s="17"/>
      <c r="T20" s="17"/>
      <c r="U20" s="18"/>
      <c r="W20" s="41">
        <f>SUM(W11:W19)</f>
        <v>2329900</v>
      </c>
      <c r="X20" s="74">
        <f>W20*X12</f>
        <v>698970</v>
      </c>
      <c r="Y20" s="274">
        <f>V19</f>
        <v>2127300</v>
      </c>
    </row>
    <row r="21" spans="1:25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113"/>
      <c r="Q21" s="113"/>
      <c r="R21" s="24"/>
      <c r="S21" s="24"/>
      <c r="T21" s="24"/>
      <c r="U21" s="25"/>
      <c r="X21" s="42"/>
      <c r="Y21" s="275"/>
    </row>
    <row r="22" spans="1:25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114"/>
      <c r="Q22" s="114"/>
      <c r="R22" s="29"/>
      <c r="S22" s="29"/>
      <c r="T22" s="29"/>
      <c r="U22" s="30"/>
      <c r="X22" s="42"/>
      <c r="Y22" s="275"/>
    </row>
    <row r="23" spans="1:25">
      <c r="X23" s="42"/>
      <c r="Y23" s="45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V28" s="44"/>
      <c r="X28" s="42"/>
      <c r="Y28" s="45"/>
    </row>
    <row r="29" spans="1:25">
      <c r="Y29" s="272">
        <f>X29+V29</f>
        <v>0</v>
      </c>
    </row>
    <row r="30" spans="1:25">
      <c r="Y30" s="273"/>
    </row>
    <row r="31" spans="1:25">
      <c r="Y31" s="273"/>
    </row>
  </sheetData>
  <mergeCells count="60">
    <mergeCell ref="A4:G5"/>
    <mergeCell ref="H4:R4"/>
    <mergeCell ref="S4:U4"/>
    <mergeCell ref="H5:R5"/>
    <mergeCell ref="S5:U5"/>
    <mergeCell ref="A1:G3"/>
    <mergeCell ref="H1:R1"/>
    <mergeCell ref="S1:U3"/>
    <mergeCell ref="H2:R2"/>
    <mergeCell ref="H3:R3"/>
    <mergeCell ref="A6:U6"/>
    <mergeCell ref="A7:C10"/>
    <mergeCell ref="D7:I10"/>
    <mergeCell ref="J7:J10"/>
    <mergeCell ref="K7:K10"/>
    <mergeCell ref="L7:L10"/>
    <mergeCell ref="M7:M10"/>
    <mergeCell ref="N7:N10"/>
    <mergeCell ref="O7:O10"/>
    <mergeCell ref="Q7:R7"/>
    <mergeCell ref="S7:T10"/>
    <mergeCell ref="U7:U10"/>
    <mergeCell ref="P8:P10"/>
    <mergeCell ref="Q8:Q10"/>
    <mergeCell ref="R8:R10"/>
    <mergeCell ref="A12:C12"/>
    <mergeCell ref="D12:I12"/>
    <mergeCell ref="S12:T12"/>
    <mergeCell ref="A11:C11"/>
    <mergeCell ref="D11:I11"/>
    <mergeCell ref="S11:T11"/>
    <mergeCell ref="A13:C13"/>
    <mergeCell ref="D13:I13"/>
    <mergeCell ref="S13:T13"/>
    <mergeCell ref="A14:C14"/>
    <mergeCell ref="D14:I14"/>
    <mergeCell ref="S14:T14"/>
    <mergeCell ref="A15:C15"/>
    <mergeCell ref="D15:I15"/>
    <mergeCell ref="S15:T15"/>
    <mergeCell ref="A16:C16"/>
    <mergeCell ref="D16:I16"/>
    <mergeCell ref="S16:T16"/>
    <mergeCell ref="A17:C17"/>
    <mergeCell ref="D17:I17"/>
    <mergeCell ref="S17:T17"/>
    <mergeCell ref="A20:G22"/>
    <mergeCell ref="I21:Q22"/>
    <mergeCell ref="A18:C18"/>
    <mergeCell ref="D18:I18"/>
    <mergeCell ref="S18:T18"/>
    <mergeCell ref="A19:C19"/>
    <mergeCell ref="D19:I19"/>
    <mergeCell ref="S19:T19"/>
    <mergeCell ref="Y29:Y31"/>
    <mergeCell ref="V7:V10"/>
    <mergeCell ref="W7:W10"/>
    <mergeCell ref="X7:X10"/>
    <mergeCell ref="Y7:Y19"/>
    <mergeCell ref="Y20:Y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1"/>
  <sheetViews>
    <sheetView topLeftCell="A15" workbookViewId="0"/>
  </sheetViews>
  <sheetFormatPr defaultRowHeight="15"/>
  <cols>
    <col min="16" max="16" width="11.5703125" style="41" customWidth="1"/>
    <col min="17" max="17" width="15.140625" style="41" customWidth="1"/>
    <col min="18" max="18" width="11.85546875" style="40" customWidth="1"/>
    <col min="19" max="19" width="15.140625" customWidth="1"/>
  </cols>
  <sheetData>
    <row r="1" spans="1:19" ht="25.5" customHeight="1">
      <c r="A1" s="147"/>
      <c r="B1" s="148"/>
      <c r="C1" s="148"/>
      <c r="D1" s="148"/>
      <c r="E1" s="279" t="s">
        <v>0</v>
      </c>
      <c r="F1" s="279"/>
      <c r="G1" s="279"/>
      <c r="H1" s="279"/>
      <c r="I1" s="279"/>
      <c r="J1" s="279"/>
      <c r="K1" s="279"/>
      <c r="L1" s="280"/>
      <c r="M1" s="158"/>
      <c r="N1" s="159"/>
      <c r="O1" s="160"/>
    </row>
    <row r="2" spans="1:19" ht="24" customHeight="1">
      <c r="A2" s="150"/>
      <c r="B2" s="151"/>
      <c r="C2" s="151"/>
      <c r="D2" s="151"/>
      <c r="E2" s="281" t="s">
        <v>1</v>
      </c>
      <c r="F2" s="281"/>
      <c r="G2" s="281"/>
      <c r="H2" s="281"/>
      <c r="I2" s="281"/>
      <c r="J2" s="281"/>
      <c r="K2" s="281"/>
      <c r="L2" s="282"/>
      <c r="M2" s="161"/>
      <c r="N2" s="162"/>
      <c r="O2" s="163"/>
    </row>
    <row r="3" spans="1:19" ht="26.25" customHeight="1">
      <c r="A3" s="153"/>
      <c r="B3" s="154"/>
      <c r="C3" s="154"/>
      <c r="D3" s="154"/>
      <c r="E3" s="170" t="s">
        <v>49</v>
      </c>
      <c r="F3" s="170"/>
      <c r="G3" s="170"/>
      <c r="H3" s="170"/>
      <c r="I3" s="170"/>
      <c r="J3" s="170"/>
      <c r="K3" s="170"/>
      <c r="L3" s="225"/>
      <c r="M3" s="164"/>
      <c r="N3" s="165"/>
      <c r="O3" s="166"/>
    </row>
    <row r="4" spans="1:19" ht="15" customHeight="1">
      <c r="A4" s="286" t="s">
        <v>249</v>
      </c>
      <c r="B4" s="287"/>
      <c r="C4" s="287"/>
      <c r="D4" s="287"/>
      <c r="E4" s="168" t="s">
        <v>3</v>
      </c>
      <c r="F4" s="168"/>
      <c r="G4" s="168"/>
      <c r="H4" s="168"/>
      <c r="I4" s="168"/>
      <c r="J4" s="168"/>
      <c r="K4" s="168"/>
      <c r="L4" s="283"/>
      <c r="M4" s="179" t="e">
        <f>#NAME?</f>
        <v>#NAME?</v>
      </c>
      <c r="N4" s="180"/>
      <c r="O4" s="181"/>
    </row>
    <row r="5" spans="1:19">
      <c r="A5" s="288"/>
      <c r="B5" s="289"/>
      <c r="C5" s="289"/>
      <c r="D5" s="289"/>
      <c r="E5" s="284"/>
      <c r="F5" s="284"/>
      <c r="G5" s="284"/>
      <c r="H5" s="284"/>
      <c r="I5" s="284"/>
      <c r="J5" s="284"/>
      <c r="K5" s="284"/>
      <c r="L5" s="285"/>
      <c r="M5" s="184" t="e">
        <f>#NAME?</f>
        <v>#NAME?</v>
      </c>
      <c r="N5" s="185"/>
      <c r="O5" s="186"/>
    </row>
    <row r="6" spans="1:19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7" spans="1:19" ht="22.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8" t="s">
        <v>154</v>
      </c>
      <c r="L7" s="138" t="s">
        <v>250</v>
      </c>
      <c r="M7" s="145" t="s">
        <v>251</v>
      </c>
      <c r="N7" s="146"/>
      <c r="O7" s="142" t="s">
        <v>60</v>
      </c>
      <c r="P7" s="187" t="s">
        <v>156</v>
      </c>
      <c r="Q7" s="188" t="s">
        <v>42</v>
      </c>
      <c r="R7" s="189" t="s">
        <v>64</v>
      </c>
      <c r="S7" s="190" t="s">
        <v>65</v>
      </c>
    </row>
    <row r="8" spans="1:19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9"/>
      <c r="L8" s="139"/>
      <c r="M8" s="117"/>
      <c r="N8" s="118"/>
      <c r="O8" s="143"/>
      <c r="P8" s="187"/>
      <c r="Q8" s="188"/>
      <c r="R8" s="189"/>
      <c r="S8" s="190"/>
    </row>
    <row r="9" spans="1:19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9"/>
      <c r="L9" s="139"/>
      <c r="M9" s="117"/>
      <c r="N9" s="118"/>
      <c r="O9" s="143"/>
      <c r="P9" s="187"/>
      <c r="Q9" s="188"/>
      <c r="R9" s="189"/>
      <c r="S9" s="190"/>
    </row>
    <row r="10" spans="1:19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251"/>
      <c r="L10" s="251"/>
      <c r="M10" s="117"/>
      <c r="N10" s="118"/>
      <c r="O10" s="144"/>
      <c r="P10" s="187"/>
      <c r="Q10" s="188"/>
      <c r="R10" s="189"/>
      <c r="S10" s="190"/>
    </row>
    <row r="11" spans="1:19" ht="33.75" customHeight="1">
      <c r="A11" s="125" t="s">
        <v>252</v>
      </c>
      <c r="B11" s="126"/>
      <c r="C11" s="126"/>
      <c r="D11" s="126" t="s">
        <v>253</v>
      </c>
      <c r="E11" s="126"/>
      <c r="F11" s="126"/>
      <c r="G11" s="126"/>
      <c r="H11" s="126"/>
      <c r="I11" s="126"/>
      <c r="J11" s="12">
        <v>1</v>
      </c>
      <c r="K11" s="12" t="s">
        <v>254</v>
      </c>
      <c r="L11" s="39" t="s">
        <v>255</v>
      </c>
      <c r="M11" s="126" t="s">
        <v>256</v>
      </c>
      <c r="N11" s="126"/>
      <c r="O11" s="14">
        <v>172210</v>
      </c>
      <c r="P11" s="68">
        <v>506500</v>
      </c>
      <c r="Q11" s="68">
        <f t="shared" ref="Q11:Q18" si="0">P11*J11</f>
        <v>506500</v>
      </c>
      <c r="R11" s="42">
        <v>0.3</v>
      </c>
      <c r="S11" s="190"/>
    </row>
    <row r="12" spans="1:19" ht="51.75" customHeight="1">
      <c r="A12" s="127" t="s">
        <v>257</v>
      </c>
      <c r="B12" s="128"/>
      <c r="C12" s="122"/>
      <c r="D12" s="126" t="s">
        <v>253</v>
      </c>
      <c r="E12" s="126"/>
      <c r="F12" s="126"/>
      <c r="G12" s="126"/>
      <c r="H12" s="126"/>
      <c r="I12" s="126"/>
      <c r="J12" s="12">
        <v>1</v>
      </c>
      <c r="K12" s="12" t="s">
        <v>258</v>
      </c>
      <c r="L12" s="39" t="s">
        <v>255</v>
      </c>
      <c r="M12" s="126" t="s">
        <v>259</v>
      </c>
      <c r="N12" s="126"/>
      <c r="O12" s="14"/>
      <c r="P12" s="68">
        <v>607800</v>
      </c>
      <c r="Q12" s="68">
        <f t="shared" si="0"/>
        <v>607800</v>
      </c>
      <c r="R12" s="42">
        <v>0.3</v>
      </c>
      <c r="S12" s="190"/>
    </row>
    <row r="13" spans="1:19" ht="42.75" customHeight="1">
      <c r="A13" s="125" t="s">
        <v>260</v>
      </c>
      <c r="B13" s="126"/>
      <c r="C13" s="126"/>
      <c r="D13" s="126" t="s">
        <v>261</v>
      </c>
      <c r="E13" s="126"/>
      <c r="F13" s="126"/>
      <c r="G13" s="126"/>
      <c r="H13" s="126"/>
      <c r="I13" s="126"/>
      <c r="J13" s="12">
        <v>1</v>
      </c>
      <c r="K13" s="12" t="s">
        <v>262</v>
      </c>
      <c r="L13" s="39" t="s">
        <v>263</v>
      </c>
      <c r="M13" s="126" t="s">
        <v>264</v>
      </c>
      <c r="N13" s="126"/>
      <c r="O13" s="15"/>
      <c r="P13" s="68">
        <v>455850</v>
      </c>
      <c r="Q13" s="68">
        <f t="shared" si="0"/>
        <v>455850</v>
      </c>
      <c r="R13" s="42">
        <v>0.3</v>
      </c>
      <c r="S13" s="190"/>
    </row>
    <row r="14" spans="1:19" ht="34.5" customHeight="1">
      <c r="A14" s="125" t="s">
        <v>265</v>
      </c>
      <c r="B14" s="126"/>
      <c r="C14" s="126"/>
      <c r="D14" s="126" t="s">
        <v>266</v>
      </c>
      <c r="E14" s="126"/>
      <c r="F14" s="126"/>
      <c r="G14" s="126"/>
      <c r="H14" s="126"/>
      <c r="I14" s="126"/>
      <c r="J14" s="12">
        <v>1</v>
      </c>
      <c r="K14" s="12" t="s">
        <v>267</v>
      </c>
      <c r="L14" s="12" t="s">
        <v>263</v>
      </c>
      <c r="M14" s="126" t="s">
        <v>268</v>
      </c>
      <c r="N14" s="126"/>
      <c r="O14" s="14"/>
      <c r="P14" s="68">
        <v>557150</v>
      </c>
      <c r="Q14" s="68">
        <f t="shared" si="0"/>
        <v>557150</v>
      </c>
      <c r="R14" s="42">
        <v>0.3</v>
      </c>
      <c r="S14" s="190"/>
    </row>
    <row r="15" spans="1:19" ht="41.25" customHeight="1">
      <c r="A15" s="125" t="s">
        <v>269</v>
      </c>
      <c r="B15" s="126"/>
      <c r="C15" s="126"/>
      <c r="D15" s="126" t="s">
        <v>270</v>
      </c>
      <c r="E15" s="126"/>
      <c r="F15" s="126"/>
      <c r="G15" s="126"/>
      <c r="H15" s="126"/>
      <c r="I15" s="126"/>
      <c r="J15" s="12">
        <v>1</v>
      </c>
      <c r="K15" s="12" t="s">
        <v>271</v>
      </c>
      <c r="L15" s="12" t="s">
        <v>263</v>
      </c>
      <c r="M15" s="126" t="s">
        <v>272</v>
      </c>
      <c r="N15" s="126"/>
      <c r="O15" s="15"/>
      <c r="P15" s="68">
        <v>354550</v>
      </c>
      <c r="Q15" s="68">
        <f t="shared" si="0"/>
        <v>354550</v>
      </c>
      <c r="R15" s="42">
        <v>0.3</v>
      </c>
      <c r="S15" s="190"/>
    </row>
    <row r="16" spans="1:19" ht="70.5" customHeight="1">
      <c r="A16" s="125" t="s">
        <v>273</v>
      </c>
      <c r="B16" s="126"/>
      <c r="C16" s="126"/>
      <c r="D16" s="126" t="s">
        <v>274</v>
      </c>
      <c r="E16" s="126"/>
      <c r="F16" s="126"/>
      <c r="G16" s="126"/>
      <c r="H16" s="126"/>
      <c r="I16" s="126"/>
      <c r="J16" s="12">
        <v>1</v>
      </c>
      <c r="K16" s="12" t="s">
        <v>267</v>
      </c>
      <c r="L16" s="39" t="s">
        <v>263</v>
      </c>
      <c r="M16" s="126" t="s">
        <v>275</v>
      </c>
      <c r="N16" s="126"/>
      <c r="O16" s="15"/>
      <c r="P16" s="68">
        <v>455850</v>
      </c>
      <c r="Q16" s="68">
        <f t="shared" si="0"/>
        <v>455850</v>
      </c>
      <c r="R16" s="42">
        <v>0.3</v>
      </c>
      <c r="S16" s="190"/>
    </row>
    <row r="17" spans="1:19" ht="37.5" customHeight="1">
      <c r="A17" s="123" t="s">
        <v>276</v>
      </c>
      <c r="B17" s="124"/>
      <c r="C17" s="124"/>
      <c r="D17" s="124" t="s">
        <v>277</v>
      </c>
      <c r="E17" s="124"/>
      <c r="F17" s="124"/>
      <c r="G17" s="124"/>
      <c r="H17" s="124"/>
      <c r="I17" s="124"/>
      <c r="J17" s="12">
        <v>1</v>
      </c>
      <c r="K17" s="12" t="s">
        <v>278</v>
      </c>
      <c r="L17" s="12" t="s">
        <v>255</v>
      </c>
      <c r="M17" s="126" t="s">
        <v>275</v>
      </c>
      <c r="N17" s="126"/>
      <c r="O17" s="15"/>
      <c r="P17" s="68">
        <v>354550</v>
      </c>
      <c r="Q17" s="68">
        <f t="shared" si="0"/>
        <v>354550</v>
      </c>
      <c r="R17" s="42">
        <v>0.3</v>
      </c>
      <c r="S17" s="190"/>
    </row>
    <row r="18" spans="1:19" ht="61.5" customHeight="1">
      <c r="A18" s="123" t="s">
        <v>279</v>
      </c>
      <c r="B18" s="124"/>
      <c r="C18" s="124"/>
      <c r="D18" s="124" t="s">
        <v>280</v>
      </c>
      <c r="E18" s="124"/>
      <c r="F18" s="124"/>
      <c r="G18" s="124"/>
      <c r="H18" s="124"/>
      <c r="I18" s="124"/>
      <c r="J18" s="12">
        <v>1</v>
      </c>
      <c r="K18" s="12" t="s">
        <v>162</v>
      </c>
      <c r="L18" s="12" t="s">
        <v>94</v>
      </c>
      <c r="M18" s="126" t="s">
        <v>281</v>
      </c>
      <c r="N18" s="126"/>
      <c r="O18" s="15">
        <v>1874050</v>
      </c>
      <c r="P18" s="68">
        <v>861050</v>
      </c>
      <c r="Q18" s="68">
        <f t="shared" si="0"/>
        <v>861050</v>
      </c>
      <c r="R18" s="42">
        <v>0.3</v>
      </c>
      <c r="S18" s="190"/>
    </row>
    <row r="19" spans="1:19" ht="39" customHeight="1">
      <c r="A19" s="276" t="s">
        <v>243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8"/>
      <c r="P19" s="68">
        <v>1</v>
      </c>
      <c r="Q19" s="68">
        <v>607800</v>
      </c>
      <c r="R19" s="42">
        <v>0.3</v>
      </c>
      <c r="S19" s="190"/>
    </row>
    <row r="20" spans="1:19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17"/>
      <c r="N20" s="17"/>
      <c r="O20" s="18"/>
      <c r="P20" s="41">
        <v>2431200</v>
      </c>
      <c r="Q20" s="68">
        <f>SUM(Q11:Q19)</f>
        <v>4761100</v>
      </c>
      <c r="R20" s="74">
        <f>Q20*R12</f>
        <v>1428330</v>
      </c>
      <c r="S20" s="274">
        <f>P20</f>
        <v>2431200</v>
      </c>
    </row>
    <row r="21" spans="1:19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24"/>
      <c r="N21" s="24"/>
      <c r="O21" s="25"/>
      <c r="R21" s="42"/>
      <c r="S21" s="275"/>
    </row>
    <row r="22" spans="1:19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29"/>
      <c r="N22" s="29"/>
      <c r="O22" s="30"/>
      <c r="R22" s="42"/>
      <c r="S22" s="275"/>
    </row>
    <row r="23" spans="1:19">
      <c r="R23" s="42"/>
      <c r="S23" s="45"/>
    </row>
    <row r="24" spans="1:19">
      <c r="R24" s="42"/>
      <c r="S24" s="91">
        <v>3</v>
      </c>
    </row>
    <row r="25" spans="1:19">
      <c r="R25" s="42"/>
      <c r="S25" s="91"/>
    </row>
    <row r="26" spans="1:19">
      <c r="R26" s="42"/>
      <c r="S26" s="45"/>
    </row>
    <row r="27" spans="1:19">
      <c r="R27" s="42"/>
      <c r="S27" s="45"/>
    </row>
    <row r="28" spans="1:19">
      <c r="P28" s="44"/>
      <c r="R28" s="42"/>
      <c r="S28" s="45"/>
    </row>
    <row r="29" spans="1:19">
      <c r="S29" s="272">
        <f>R29+P29</f>
        <v>0</v>
      </c>
    </row>
    <row r="30" spans="1:19">
      <c r="S30" s="273"/>
    </row>
    <row r="31" spans="1:19">
      <c r="S31" s="273"/>
    </row>
  </sheetData>
  <mergeCells count="50">
    <mergeCell ref="M1:O3"/>
    <mergeCell ref="M4:O4"/>
    <mergeCell ref="M5:O5"/>
    <mergeCell ref="A6:O6"/>
    <mergeCell ref="A7:C10"/>
    <mergeCell ref="D7:I10"/>
    <mergeCell ref="J7:J10"/>
    <mergeCell ref="K7:K10"/>
    <mergeCell ref="M7:N10"/>
    <mergeCell ref="O7:O10"/>
    <mergeCell ref="E1:L1"/>
    <mergeCell ref="E2:L2"/>
    <mergeCell ref="E3:L3"/>
    <mergeCell ref="E4:L5"/>
    <mergeCell ref="A4:D5"/>
    <mergeCell ref="A1:D3"/>
    <mergeCell ref="A11:C11"/>
    <mergeCell ref="D11:I11"/>
    <mergeCell ref="M11:N11"/>
    <mergeCell ref="A12:C12"/>
    <mergeCell ref="D12:I12"/>
    <mergeCell ref="M12:N12"/>
    <mergeCell ref="A13:C13"/>
    <mergeCell ref="D13:I13"/>
    <mergeCell ref="M13:N13"/>
    <mergeCell ref="A14:C14"/>
    <mergeCell ref="D14:I14"/>
    <mergeCell ref="M14:N14"/>
    <mergeCell ref="M18:N18"/>
    <mergeCell ref="D15:I15"/>
    <mergeCell ref="M15:N15"/>
    <mergeCell ref="A16:C16"/>
    <mergeCell ref="D16:I16"/>
    <mergeCell ref="M16:N16"/>
    <mergeCell ref="S29:S31"/>
    <mergeCell ref="A19:O19"/>
    <mergeCell ref="P7:P10"/>
    <mergeCell ref="Q7:Q10"/>
    <mergeCell ref="R7:R10"/>
    <mergeCell ref="S7:S19"/>
    <mergeCell ref="S20:S22"/>
    <mergeCell ref="A20:G22"/>
    <mergeCell ref="I21:L22"/>
    <mergeCell ref="L7:L10"/>
    <mergeCell ref="A15:C15"/>
    <mergeCell ref="A17:C17"/>
    <mergeCell ref="D17:I17"/>
    <mergeCell ref="M17:N17"/>
    <mergeCell ref="A18:C18"/>
    <mergeCell ref="D18:I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1"/>
  <sheetViews>
    <sheetView topLeftCell="A5" workbookViewId="0"/>
  </sheetViews>
  <sheetFormatPr defaultRowHeight="15"/>
  <cols>
    <col min="1" max="3" width="4.5703125" customWidth="1"/>
    <col min="4" max="9" width="5.42578125" customWidth="1"/>
    <col min="13" max="13" width="11.140625" customWidth="1"/>
    <col min="17" max="17" width="11.5703125" style="41" customWidth="1"/>
    <col min="18" max="18" width="15.140625" style="41" customWidth="1"/>
    <col min="19" max="19" width="11.85546875" style="40" customWidth="1"/>
    <col min="20" max="20" width="19.5703125" customWidth="1"/>
  </cols>
  <sheetData>
    <row r="1" spans="1:20" ht="24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8"/>
      <c r="O1" s="159"/>
      <c r="P1" s="160"/>
    </row>
    <row r="2" spans="1:20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1"/>
      <c r="O2" s="162"/>
      <c r="P2" s="163"/>
    </row>
    <row r="3" spans="1:20" ht="18.7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64"/>
      <c r="O3" s="165"/>
      <c r="P3" s="166"/>
    </row>
    <row r="4" spans="1:20">
      <c r="A4" s="171" t="s">
        <v>282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9" t="e">
        <f>#NAME?</f>
        <v>#NAME?</v>
      </c>
      <c r="O4" s="180"/>
      <c r="P4" s="181"/>
    </row>
    <row r="5" spans="1:20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4" t="e">
        <f>#NAME?</f>
        <v>#NAME?</v>
      </c>
      <c r="O5" s="185"/>
      <c r="P5" s="186"/>
    </row>
    <row r="6" spans="1:20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1"/>
    </row>
    <row r="7" spans="1:20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283</v>
      </c>
      <c r="N7" s="145" t="s">
        <v>59</v>
      </c>
      <c r="O7" s="146"/>
      <c r="P7" s="140" t="s">
        <v>60</v>
      </c>
      <c r="Q7" s="247" t="s">
        <v>156</v>
      </c>
      <c r="R7" s="247" t="s">
        <v>42</v>
      </c>
      <c r="S7" s="248" t="s">
        <v>64</v>
      </c>
      <c r="T7" s="190" t="s">
        <v>65</v>
      </c>
    </row>
    <row r="8" spans="1:20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17"/>
      <c r="O8" s="118"/>
      <c r="P8" s="245"/>
      <c r="Q8" s="247"/>
      <c r="R8" s="247"/>
      <c r="S8" s="248"/>
      <c r="T8" s="190"/>
    </row>
    <row r="9" spans="1:20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17"/>
      <c r="O9" s="118"/>
      <c r="P9" s="245"/>
      <c r="Q9" s="247"/>
      <c r="R9" s="247"/>
      <c r="S9" s="248"/>
      <c r="T9" s="190"/>
    </row>
    <row r="10" spans="1:20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117"/>
      <c r="O10" s="118"/>
      <c r="P10" s="246"/>
      <c r="Q10" s="247"/>
      <c r="R10" s="247"/>
      <c r="S10" s="248"/>
      <c r="T10" s="190"/>
    </row>
    <row r="11" spans="1:20" ht="34.5" customHeight="1">
      <c r="A11" s="125" t="s">
        <v>284</v>
      </c>
      <c r="B11" s="126"/>
      <c r="C11" s="126"/>
      <c r="D11" s="126" t="s">
        <v>285</v>
      </c>
      <c r="E11" s="126"/>
      <c r="F11" s="126"/>
      <c r="G11" s="126"/>
      <c r="H11" s="126"/>
      <c r="I11" s="126"/>
      <c r="J11" s="12">
        <v>1</v>
      </c>
      <c r="K11" s="12" t="s">
        <v>92</v>
      </c>
      <c r="L11" s="12" t="s">
        <v>286</v>
      </c>
      <c r="M11" s="13" t="s">
        <v>287</v>
      </c>
      <c r="N11" s="126"/>
      <c r="O11" s="126"/>
      <c r="P11" s="79"/>
      <c r="Q11" s="81">
        <v>911700</v>
      </c>
      <c r="R11" s="81">
        <f t="shared" ref="R11:R18" si="0">Q11*J11</f>
        <v>911700</v>
      </c>
      <c r="S11" s="82">
        <v>0.3</v>
      </c>
      <c r="T11" s="190"/>
    </row>
    <row r="12" spans="1:20" ht="38.25" customHeight="1">
      <c r="A12" s="127" t="s">
        <v>288</v>
      </c>
      <c r="B12" s="128"/>
      <c r="C12" s="122"/>
      <c r="D12" s="121" t="s">
        <v>289</v>
      </c>
      <c r="E12" s="128"/>
      <c r="F12" s="128"/>
      <c r="G12" s="128"/>
      <c r="H12" s="128"/>
      <c r="I12" s="122"/>
      <c r="J12" s="12">
        <v>1</v>
      </c>
      <c r="K12" s="12" t="s">
        <v>80</v>
      </c>
      <c r="L12" s="12" t="s">
        <v>286</v>
      </c>
      <c r="M12" s="13" t="s">
        <v>290</v>
      </c>
      <c r="N12" s="126"/>
      <c r="O12" s="126"/>
      <c r="P12" s="79"/>
      <c r="Q12" s="81">
        <v>121560</v>
      </c>
      <c r="R12" s="81">
        <f t="shared" si="0"/>
        <v>121560</v>
      </c>
      <c r="S12" s="82">
        <v>0.3</v>
      </c>
      <c r="T12" s="190"/>
    </row>
    <row r="13" spans="1:20" ht="30.75" customHeight="1">
      <c r="A13" s="125" t="s">
        <v>291</v>
      </c>
      <c r="B13" s="126"/>
      <c r="C13" s="126"/>
      <c r="D13" s="126" t="s">
        <v>292</v>
      </c>
      <c r="E13" s="126"/>
      <c r="F13" s="126"/>
      <c r="G13" s="126"/>
      <c r="H13" s="126"/>
      <c r="I13" s="126"/>
      <c r="J13" s="12">
        <v>1</v>
      </c>
      <c r="K13" s="12" t="s">
        <v>92</v>
      </c>
      <c r="L13" s="12" t="s">
        <v>286</v>
      </c>
      <c r="M13" s="13" t="s">
        <v>293</v>
      </c>
      <c r="N13" s="126"/>
      <c r="O13" s="126"/>
      <c r="P13" s="77"/>
      <c r="Q13" s="81">
        <v>121560</v>
      </c>
      <c r="R13" s="81">
        <f t="shared" si="0"/>
        <v>121560</v>
      </c>
      <c r="S13" s="82">
        <v>0.3</v>
      </c>
      <c r="T13" s="190"/>
    </row>
    <row r="14" spans="1:20" ht="31.5" customHeight="1">
      <c r="A14" s="125"/>
      <c r="B14" s="126"/>
      <c r="C14" s="126"/>
      <c r="D14" s="126" t="s">
        <v>294</v>
      </c>
      <c r="E14" s="126"/>
      <c r="F14" s="126"/>
      <c r="G14" s="126"/>
      <c r="H14" s="126"/>
      <c r="I14" s="126"/>
      <c r="J14" s="12">
        <v>1</v>
      </c>
      <c r="K14" s="12"/>
      <c r="L14" s="12"/>
      <c r="M14" s="13"/>
      <c r="N14" s="126"/>
      <c r="O14" s="126"/>
      <c r="P14" s="79"/>
      <c r="Q14" s="81">
        <v>1114300</v>
      </c>
      <c r="R14" s="81">
        <f t="shared" si="0"/>
        <v>1114300</v>
      </c>
      <c r="S14" s="82">
        <v>0.3</v>
      </c>
      <c r="T14" s="190"/>
    </row>
    <row r="15" spans="1:20" ht="31.5" customHeight="1">
      <c r="A15" s="125"/>
      <c r="B15" s="126"/>
      <c r="C15" s="126"/>
      <c r="D15" s="126" t="s">
        <v>295</v>
      </c>
      <c r="E15" s="126"/>
      <c r="F15" s="126"/>
      <c r="G15" s="126"/>
      <c r="H15" s="126"/>
      <c r="I15" s="126"/>
      <c r="J15" s="12">
        <v>1</v>
      </c>
      <c r="K15" s="12"/>
      <c r="L15" s="12"/>
      <c r="M15" s="13"/>
      <c r="N15" s="126"/>
      <c r="O15" s="126"/>
      <c r="P15" s="77"/>
      <c r="Q15" s="81">
        <v>1823400</v>
      </c>
      <c r="R15" s="81">
        <f t="shared" si="0"/>
        <v>1823400</v>
      </c>
      <c r="S15" s="82">
        <v>0.3</v>
      </c>
      <c r="T15" s="190"/>
    </row>
    <row r="16" spans="1:20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3"/>
      <c r="N16" s="126"/>
      <c r="O16" s="126"/>
      <c r="P16" s="77"/>
      <c r="Q16" s="81"/>
      <c r="R16" s="81">
        <f t="shared" si="0"/>
        <v>0</v>
      </c>
      <c r="S16" s="82">
        <v>0.3</v>
      </c>
      <c r="T16" s="190"/>
    </row>
    <row r="17" spans="1:20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3"/>
      <c r="N17" s="126"/>
      <c r="O17" s="126"/>
      <c r="P17" s="77"/>
      <c r="Q17" s="81"/>
      <c r="R17" s="81">
        <f t="shared" si="0"/>
        <v>0</v>
      </c>
      <c r="S17" s="82">
        <v>0.3</v>
      </c>
      <c r="T17" s="190"/>
    </row>
    <row r="18" spans="1:20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3"/>
      <c r="N18" s="126"/>
      <c r="O18" s="126"/>
      <c r="P18" s="77"/>
      <c r="Q18" s="81">
        <v>3536383</v>
      </c>
      <c r="R18" s="81">
        <f t="shared" si="0"/>
        <v>0</v>
      </c>
      <c r="S18" s="82">
        <v>0.3</v>
      </c>
      <c r="T18" s="190"/>
    </row>
    <row r="19" spans="1:20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3"/>
      <c r="N19" s="121"/>
      <c r="O19" s="122"/>
      <c r="P19" s="77"/>
      <c r="Q19" s="81"/>
      <c r="R19" s="81">
        <f>Q19*K19</f>
        <v>0</v>
      </c>
      <c r="S19" s="82">
        <v>0.3</v>
      </c>
      <c r="T19" s="190"/>
    </row>
    <row r="20" spans="1:20" ht="14.45" customHeight="1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17"/>
      <c r="O20" s="17"/>
      <c r="P20" s="80"/>
      <c r="Q20" s="83"/>
      <c r="R20" s="83">
        <f>(SUM(R11:R19))*1.2</f>
        <v>4911024</v>
      </c>
      <c r="S20" s="84">
        <f>R20*S12</f>
        <v>1473307</v>
      </c>
      <c r="T20" s="57">
        <f>Q18</f>
        <v>3536383</v>
      </c>
    </row>
    <row r="21" spans="1:20" ht="14.45" customHeight="1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24"/>
      <c r="O21" s="24"/>
      <c r="P21" s="24"/>
      <c r="Q21" s="83"/>
      <c r="R21" s="83"/>
      <c r="S21" s="78"/>
      <c r="T21" s="58"/>
    </row>
    <row r="22" spans="1:20" ht="14.45" customHeight="1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29"/>
      <c r="O22" s="29"/>
      <c r="P22" s="29"/>
      <c r="Q22" s="81"/>
      <c r="R22" s="81"/>
      <c r="S22" s="82"/>
      <c r="T22" s="58"/>
    </row>
    <row r="23" spans="1:20">
      <c r="S23" s="42"/>
      <c r="T23" s="45"/>
    </row>
    <row r="24" spans="1:20">
      <c r="S24" s="42"/>
      <c r="T24" s="45"/>
    </row>
    <row r="25" spans="1:20">
      <c r="S25" s="42"/>
      <c r="T25" s="45"/>
    </row>
    <row r="26" spans="1:20">
      <c r="S26" s="42"/>
      <c r="T26" s="45"/>
    </row>
    <row r="27" spans="1:20">
      <c r="S27" s="42"/>
      <c r="T27" s="45"/>
    </row>
    <row r="28" spans="1:20">
      <c r="Q28" s="44"/>
      <c r="S28" s="42"/>
      <c r="T28" s="45"/>
    </row>
    <row r="29" spans="1:20">
      <c r="T29" s="272">
        <f>S29+Q29</f>
        <v>0</v>
      </c>
    </row>
    <row r="30" spans="1:20">
      <c r="T30" s="273"/>
    </row>
    <row r="31" spans="1:20">
      <c r="T31" s="273"/>
    </row>
  </sheetData>
  <mergeCells count="53">
    <mergeCell ref="A4:G5"/>
    <mergeCell ref="H4:M4"/>
    <mergeCell ref="N4:P4"/>
    <mergeCell ref="H5:M5"/>
    <mergeCell ref="N5:P5"/>
    <mergeCell ref="A1:G3"/>
    <mergeCell ref="H1:M1"/>
    <mergeCell ref="N1:P3"/>
    <mergeCell ref="H2:M2"/>
    <mergeCell ref="H3:M3"/>
    <mergeCell ref="A6:P6"/>
    <mergeCell ref="A7:C10"/>
    <mergeCell ref="D7:I10"/>
    <mergeCell ref="J7:J10"/>
    <mergeCell ref="K7:K10"/>
    <mergeCell ref="L7:L10"/>
    <mergeCell ref="M7:M10"/>
    <mergeCell ref="N7:O10"/>
    <mergeCell ref="P7:P10"/>
    <mergeCell ref="A11:C11"/>
    <mergeCell ref="D11:I11"/>
    <mergeCell ref="N11:O11"/>
    <mergeCell ref="A12:C12"/>
    <mergeCell ref="D12:I12"/>
    <mergeCell ref="N12:O12"/>
    <mergeCell ref="A13:C13"/>
    <mergeCell ref="D13:I13"/>
    <mergeCell ref="N13:O13"/>
    <mergeCell ref="A14:C14"/>
    <mergeCell ref="D14:I14"/>
    <mergeCell ref="N14:O14"/>
    <mergeCell ref="A15:C15"/>
    <mergeCell ref="D15:I15"/>
    <mergeCell ref="N15:O15"/>
    <mergeCell ref="A16:C16"/>
    <mergeCell ref="D16:I16"/>
    <mergeCell ref="N16:O16"/>
    <mergeCell ref="A17:C17"/>
    <mergeCell ref="D17:I17"/>
    <mergeCell ref="N17:O17"/>
    <mergeCell ref="A20:G22"/>
    <mergeCell ref="I21:M22"/>
    <mergeCell ref="A18:C18"/>
    <mergeCell ref="D18:I18"/>
    <mergeCell ref="N18:O18"/>
    <mergeCell ref="A19:C19"/>
    <mergeCell ref="D19:I19"/>
    <mergeCell ref="N19:O19"/>
    <mergeCell ref="T29:T31"/>
    <mergeCell ref="Q7:Q10"/>
    <mergeCell ref="R7:R10"/>
    <mergeCell ref="S7:S10"/>
    <mergeCell ref="T7:T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2"/>
  <sheetViews>
    <sheetView topLeftCell="A6" workbookViewId="0"/>
  </sheetViews>
  <sheetFormatPr defaultRowHeight="15"/>
  <cols>
    <col min="1" max="3" width="5.140625" customWidth="1"/>
    <col min="4" max="9" width="4.85546875" customWidth="1"/>
    <col min="10" max="11" width="9" customWidth="1"/>
    <col min="17" max="18" width="6.140625" customWidth="1"/>
    <col min="19" max="19" width="6.5703125" customWidth="1"/>
    <col min="20" max="20" width="11.5703125" style="46" customWidth="1"/>
    <col min="21" max="21" width="7.85546875" style="46" customWidth="1"/>
    <col min="22" max="22" width="8.5703125" style="41" customWidth="1"/>
    <col min="23" max="23" width="12.85546875" style="41" customWidth="1"/>
    <col min="24" max="24" width="20.5703125" style="41" customWidth="1"/>
    <col min="25" max="25" width="11.85546875" style="41" customWidth="1"/>
    <col min="26" max="26" width="18.140625" customWidth="1"/>
  </cols>
  <sheetData>
    <row r="1" spans="1:26" ht="24.7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8"/>
      <c r="R1" s="159"/>
      <c r="S1" s="160"/>
    </row>
    <row r="2" spans="1:26" ht="30.7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1"/>
      <c r="R2" s="162"/>
      <c r="S2" s="163"/>
    </row>
    <row r="3" spans="1:26" ht="22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64"/>
      <c r="R3" s="165"/>
      <c r="S3" s="166"/>
    </row>
    <row r="4" spans="1:26">
      <c r="A4" s="171" t="s">
        <v>296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9" t="e">
        <f>#NAME?</f>
        <v>#NAME?</v>
      </c>
      <c r="R4" s="180"/>
      <c r="S4" s="181"/>
    </row>
    <row r="5" spans="1:26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4" t="e">
        <f>#NAME?</f>
        <v>#NAME?</v>
      </c>
      <c r="R5" s="185"/>
      <c r="S5" s="186"/>
    </row>
    <row r="6" spans="1:26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1"/>
    </row>
    <row r="7" spans="1:26" ht="29.1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297</v>
      </c>
      <c r="K7" s="133" t="s">
        <v>298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5" t="s">
        <v>59</v>
      </c>
      <c r="R7" s="146"/>
      <c r="S7" s="142" t="s">
        <v>60</v>
      </c>
      <c r="T7" s="291" t="s">
        <v>246</v>
      </c>
      <c r="U7" s="290" t="s">
        <v>299</v>
      </c>
      <c r="V7" s="188" t="s">
        <v>300</v>
      </c>
      <c r="W7" s="188" t="s">
        <v>301</v>
      </c>
      <c r="X7" s="188" t="s">
        <v>302</v>
      </c>
      <c r="Y7" s="188" t="s">
        <v>303</v>
      </c>
      <c r="Z7" s="190" t="s">
        <v>65</v>
      </c>
    </row>
    <row r="8" spans="1:26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17"/>
      <c r="R8" s="118"/>
      <c r="S8" s="143"/>
      <c r="T8" s="291"/>
      <c r="U8" s="290"/>
      <c r="V8" s="188"/>
      <c r="W8" s="188"/>
      <c r="X8" s="188"/>
      <c r="Y8" s="188"/>
      <c r="Z8" s="190"/>
    </row>
    <row r="9" spans="1:26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17"/>
      <c r="R9" s="118"/>
      <c r="S9" s="143"/>
      <c r="T9" s="291"/>
      <c r="U9" s="290"/>
      <c r="V9" s="188"/>
      <c r="W9" s="188"/>
      <c r="X9" s="188"/>
      <c r="Y9" s="188"/>
      <c r="Z9" s="190"/>
    </row>
    <row r="10" spans="1:26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17"/>
      <c r="R10" s="118"/>
      <c r="S10" s="144"/>
      <c r="T10" s="291"/>
      <c r="U10" s="290"/>
      <c r="V10" s="188"/>
      <c r="W10" s="188"/>
      <c r="X10" s="188"/>
      <c r="Y10" s="188"/>
      <c r="Z10" s="190"/>
    </row>
    <row r="11" spans="1:26">
      <c r="A11" s="125"/>
      <c r="B11" s="126"/>
      <c r="C11" s="126"/>
      <c r="D11" s="292" t="s">
        <v>304</v>
      </c>
      <c r="E11" s="292"/>
      <c r="F11" s="292"/>
      <c r="G11" s="292"/>
      <c r="H11" s="292"/>
      <c r="I11" s="292"/>
      <c r="J11" s="13">
        <v>12156</v>
      </c>
      <c r="K11" s="12">
        <v>10</v>
      </c>
      <c r="L11" s="12"/>
      <c r="M11" s="12"/>
      <c r="N11" s="13"/>
      <c r="O11" s="12"/>
      <c r="P11" s="39"/>
      <c r="Q11" s="126"/>
      <c r="R11" s="126"/>
      <c r="S11" s="14"/>
      <c r="T11" s="46">
        <v>2</v>
      </c>
      <c r="V11" s="41">
        <v>60.31</v>
      </c>
      <c r="W11" s="41">
        <f>V11*J11</f>
        <v>733128</v>
      </c>
      <c r="X11" s="41">
        <f>W11*T11</f>
        <v>1466257</v>
      </c>
      <c r="Y11" s="42">
        <v>0.3</v>
      </c>
      <c r="Z11" s="190"/>
    </row>
    <row r="12" spans="1:26">
      <c r="A12" s="127"/>
      <c r="B12" s="128"/>
      <c r="C12" s="122"/>
      <c r="D12" s="295" t="s">
        <v>305</v>
      </c>
      <c r="E12" s="296"/>
      <c r="F12" s="296"/>
      <c r="G12" s="296"/>
      <c r="H12" s="296"/>
      <c r="I12" s="297"/>
      <c r="J12" s="13">
        <v>1013</v>
      </c>
      <c r="K12" s="12">
        <v>4</v>
      </c>
      <c r="L12" s="12"/>
      <c r="M12" s="12"/>
      <c r="N12" s="13"/>
      <c r="O12" s="12"/>
      <c r="P12" s="12"/>
      <c r="Q12" s="126"/>
      <c r="R12" s="126"/>
      <c r="S12" s="14"/>
      <c r="T12" s="46">
        <v>1</v>
      </c>
      <c r="V12" s="41">
        <v>17</v>
      </c>
      <c r="W12" s="41">
        <f>V12*J12</f>
        <v>17221</v>
      </c>
      <c r="X12" s="41">
        <f>W12*T12</f>
        <v>17221</v>
      </c>
      <c r="Y12" s="42">
        <v>0.3</v>
      </c>
      <c r="Z12" s="190"/>
    </row>
    <row r="13" spans="1:26">
      <c r="A13" s="301"/>
      <c r="B13" s="302"/>
      <c r="C13" s="294"/>
      <c r="D13" s="298" t="s">
        <v>306</v>
      </c>
      <c r="E13" s="299"/>
      <c r="F13" s="299"/>
      <c r="G13" s="299"/>
      <c r="H13" s="299"/>
      <c r="I13" s="300"/>
      <c r="J13" s="86">
        <v>6078</v>
      </c>
      <c r="K13" s="85">
        <v>6</v>
      </c>
      <c r="L13" s="85"/>
      <c r="M13" s="85"/>
      <c r="N13" s="86"/>
      <c r="O13" s="85"/>
      <c r="P13" s="85"/>
      <c r="Q13" s="293"/>
      <c r="R13" s="294"/>
      <c r="S13" s="93"/>
      <c r="T13" s="94">
        <v>1</v>
      </c>
      <c r="U13" s="94"/>
      <c r="V13" s="95">
        <v>42.55</v>
      </c>
      <c r="W13" s="95">
        <f>V13*J13</f>
        <v>258619</v>
      </c>
      <c r="X13" s="95">
        <f>W13*T13</f>
        <v>258619</v>
      </c>
      <c r="Y13" s="96">
        <v>0.3</v>
      </c>
      <c r="Z13" s="190"/>
    </row>
    <row r="14" spans="1:26">
      <c r="A14" s="125"/>
      <c r="B14" s="126"/>
      <c r="C14" s="126"/>
      <c r="D14" s="292" t="s">
        <v>307</v>
      </c>
      <c r="E14" s="292"/>
      <c r="F14" s="292"/>
      <c r="G14" s="292"/>
      <c r="H14" s="292"/>
      <c r="I14" s="292"/>
      <c r="J14" s="13">
        <v>2532</v>
      </c>
      <c r="K14" s="12">
        <v>6</v>
      </c>
      <c r="L14" s="12"/>
      <c r="M14" s="12"/>
      <c r="N14" s="13"/>
      <c r="O14" s="12"/>
      <c r="P14" s="12"/>
      <c r="Q14" s="126"/>
      <c r="R14" s="126"/>
      <c r="S14" s="15"/>
      <c r="U14" s="46">
        <v>5</v>
      </c>
      <c r="V14" s="41">
        <v>42</v>
      </c>
      <c r="W14" s="41">
        <f>U14*J14</f>
        <v>12662</v>
      </c>
      <c r="X14" s="41">
        <f>W14</f>
        <v>12662</v>
      </c>
      <c r="Y14" s="42">
        <v>0.3</v>
      </c>
      <c r="Z14" s="190"/>
    </row>
    <row r="15" spans="1:26">
      <c r="A15" s="125"/>
      <c r="B15" s="126"/>
      <c r="C15" s="126"/>
      <c r="D15" s="292" t="s">
        <v>308</v>
      </c>
      <c r="E15" s="292"/>
      <c r="F15" s="292"/>
      <c r="G15" s="292"/>
      <c r="H15" s="292"/>
      <c r="I15" s="292"/>
      <c r="J15" s="13">
        <v>20260</v>
      </c>
      <c r="K15" s="12">
        <v>6</v>
      </c>
      <c r="L15" s="12"/>
      <c r="M15" s="12"/>
      <c r="N15" s="13"/>
      <c r="O15" s="12"/>
      <c r="P15" s="12"/>
      <c r="Q15" s="126"/>
      <c r="R15" s="126"/>
      <c r="S15" s="14"/>
      <c r="U15" s="46">
        <v>7</v>
      </c>
      <c r="V15" s="41">
        <v>28.26</v>
      </c>
      <c r="W15" s="41">
        <f>U15*J15</f>
        <v>141820</v>
      </c>
      <c r="X15" s="41">
        <f>W15</f>
        <v>141820</v>
      </c>
      <c r="Y15" s="42">
        <v>0.3</v>
      </c>
      <c r="Z15" s="190"/>
    </row>
    <row r="16" spans="1:26">
      <c r="A16" s="125"/>
      <c r="B16" s="126"/>
      <c r="C16" s="126"/>
      <c r="D16" s="292" t="s">
        <v>309</v>
      </c>
      <c r="E16" s="292"/>
      <c r="F16" s="292"/>
      <c r="G16" s="292"/>
      <c r="H16" s="292"/>
      <c r="I16" s="292"/>
      <c r="J16" s="13">
        <v>2026</v>
      </c>
      <c r="K16" s="12" t="s">
        <v>310</v>
      </c>
      <c r="L16" s="12"/>
      <c r="M16" s="12"/>
      <c r="N16" s="13"/>
      <c r="O16" s="12"/>
      <c r="P16" s="12"/>
      <c r="Q16" s="126"/>
      <c r="R16" s="126"/>
      <c r="S16" s="15"/>
      <c r="T16" s="46">
        <v>0.9</v>
      </c>
      <c r="V16" s="41">
        <v>80</v>
      </c>
      <c r="W16" s="41">
        <f>V16*J16</f>
        <v>162080</v>
      </c>
      <c r="X16" s="41">
        <f>W16*T16</f>
        <v>145872</v>
      </c>
      <c r="Y16" s="42">
        <v>0.3</v>
      </c>
      <c r="Z16" s="190"/>
    </row>
    <row r="17" spans="1:26">
      <c r="A17" s="125"/>
      <c r="B17" s="126"/>
      <c r="C17" s="126"/>
      <c r="D17" s="292" t="s">
        <v>311</v>
      </c>
      <c r="E17" s="292"/>
      <c r="F17" s="292"/>
      <c r="G17" s="292"/>
      <c r="H17" s="292"/>
      <c r="I17" s="292"/>
      <c r="J17" s="13">
        <v>100</v>
      </c>
      <c r="K17" s="12">
        <v>16</v>
      </c>
      <c r="L17" s="12"/>
      <c r="M17" s="12"/>
      <c r="N17" s="13"/>
      <c r="O17" s="12"/>
      <c r="P17" s="39"/>
      <c r="Q17" s="126"/>
      <c r="R17" s="126"/>
      <c r="S17" s="15"/>
      <c r="V17" s="41">
        <v>210</v>
      </c>
      <c r="W17" s="41">
        <f>V17*J17</f>
        <v>21273</v>
      </c>
      <c r="X17" s="41">
        <f>W17</f>
        <v>21273</v>
      </c>
      <c r="Y17" s="42">
        <v>0.3</v>
      </c>
      <c r="Z17" s="190"/>
    </row>
    <row r="18" spans="1:26">
      <c r="A18" s="123"/>
      <c r="B18" s="124"/>
      <c r="C18" s="124"/>
      <c r="D18" s="124" t="s">
        <v>312</v>
      </c>
      <c r="E18" s="124"/>
      <c r="F18" s="124"/>
      <c r="G18" s="124"/>
      <c r="H18" s="124"/>
      <c r="I18" s="124"/>
      <c r="J18" s="12">
        <v>28364</v>
      </c>
      <c r="K18" s="12"/>
      <c r="L18" s="12"/>
      <c r="M18" s="12"/>
      <c r="N18" s="13"/>
      <c r="O18" s="12"/>
      <c r="P18" s="12"/>
      <c r="Q18" s="126"/>
      <c r="R18" s="126"/>
      <c r="S18" s="15"/>
      <c r="T18" s="46">
        <v>25</v>
      </c>
      <c r="V18" s="41">
        <f>T18*M18</f>
        <v>0</v>
      </c>
      <c r="W18" s="41">
        <f>J18</f>
        <v>28364</v>
      </c>
      <c r="X18" s="41">
        <f>W18*T18</f>
        <v>709100</v>
      </c>
      <c r="Y18" s="42">
        <v>0.3</v>
      </c>
      <c r="Z18" s="190"/>
    </row>
    <row r="19" spans="1:26">
      <c r="A19" s="123"/>
      <c r="B19" s="124"/>
      <c r="C19" s="124"/>
      <c r="D19" s="124" t="s">
        <v>313</v>
      </c>
      <c r="E19" s="124"/>
      <c r="F19" s="124"/>
      <c r="G19" s="124"/>
      <c r="H19" s="124"/>
      <c r="I19" s="124"/>
      <c r="J19" s="12"/>
      <c r="K19" s="12"/>
      <c r="L19" s="12"/>
      <c r="M19" s="12"/>
      <c r="N19" s="13"/>
      <c r="O19" s="12"/>
      <c r="P19" s="12"/>
      <c r="Q19" s="126"/>
      <c r="R19" s="126"/>
      <c r="S19" s="15"/>
      <c r="V19" s="41">
        <f>T19*M19</f>
        <v>0</v>
      </c>
      <c r="W19" s="41">
        <f>V19*J19</f>
        <v>0</v>
      </c>
      <c r="X19" s="41">
        <v>2026000</v>
      </c>
      <c r="Y19" s="42">
        <v>0.3</v>
      </c>
      <c r="Z19" s="190"/>
    </row>
    <row r="20" spans="1:26">
      <c r="A20" s="127"/>
      <c r="B20" s="128"/>
      <c r="C20" s="122"/>
      <c r="D20" s="121" t="s">
        <v>314</v>
      </c>
      <c r="E20" s="128"/>
      <c r="F20" s="128"/>
      <c r="G20" s="128"/>
      <c r="H20" s="128"/>
      <c r="I20" s="122"/>
      <c r="J20" s="12">
        <v>1</v>
      </c>
      <c r="K20" s="12"/>
      <c r="L20" s="12"/>
      <c r="M20" s="12"/>
      <c r="N20" s="13"/>
      <c r="O20" s="12"/>
      <c r="P20" s="12"/>
      <c r="Q20" s="121"/>
      <c r="R20" s="122"/>
      <c r="S20" s="15"/>
      <c r="V20" s="41">
        <f>T20*N20</f>
        <v>0</v>
      </c>
      <c r="W20" s="41">
        <f>V20*J20</f>
        <v>0</v>
      </c>
      <c r="X20" s="41">
        <v>2026000</v>
      </c>
      <c r="Y20" s="42">
        <v>0.3</v>
      </c>
      <c r="Z20" s="190"/>
    </row>
    <row r="21" spans="1:26" ht="14.45" customHeight="1">
      <c r="A21" s="107" t="s">
        <v>100</v>
      </c>
      <c r="B21" s="108"/>
      <c r="C21" s="108"/>
      <c r="D21" s="108"/>
      <c r="E21" s="108"/>
      <c r="F21" s="108"/>
      <c r="G21" s="108"/>
      <c r="H21" s="36"/>
      <c r="I21" s="36"/>
      <c r="J21" s="36"/>
      <c r="K21" s="36"/>
      <c r="L21" s="36"/>
      <c r="M21" s="36"/>
      <c r="N21" s="36"/>
      <c r="O21" s="36"/>
      <c r="P21" s="36"/>
      <c r="Q21" s="17"/>
      <c r="R21" s="17"/>
      <c r="S21" s="18"/>
      <c r="V21" s="41">
        <f>SUM(V11:V20)</f>
        <v>480.12</v>
      </c>
      <c r="X21" s="41">
        <f>SUM(X11:X20)</f>
        <v>6824824</v>
      </c>
      <c r="Y21" s="41">
        <f>Y18*X21</f>
        <v>2047447</v>
      </c>
      <c r="Z21" s="57">
        <v>7212560</v>
      </c>
    </row>
    <row r="22" spans="1:26" ht="14.45" customHeight="1">
      <c r="A22" s="109"/>
      <c r="B22" s="110"/>
      <c r="C22" s="110"/>
      <c r="D22" s="110"/>
      <c r="E22" s="110"/>
      <c r="F22" s="110"/>
      <c r="G22" s="110"/>
      <c r="H22" s="37"/>
      <c r="I22" s="113" t="s">
        <v>101</v>
      </c>
      <c r="J22" s="113"/>
      <c r="K22" s="113"/>
      <c r="L22" s="113"/>
      <c r="M22" s="113"/>
      <c r="N22" s="113"/>
      <c r="O22" s="113"/>
      <c r="P22" s="113"/>
      <c r="Q22" s="24"/>
      <c r="R22" s="24"/>
      <c r="S22" s="25"/>
      <c r="Z22" s="58"/>
    </row>
    <row r="23" spans="1:26" ht="15" customHeight="1">
      <c r="A23" s="111"/>
      <c r="B23" s="112"/>
      <c r="C23" s="112"/>
      <c r="D23" s="112"/>
      <c r="E23" s="112"/>
      <c r="F23" s="112"/>
      <c r="G23" s="112"/>
      <c r="H23" s="38"/>
      <c r="I23" s="114"/>
      <c r="J23" s="114"/>
      <c r="K23" s="114"/>
      <c r="L23" s="114"/>
      <c r="M23" s="114"/>
      <c r="N23" s="114"/>
      <c r="O23" s="114"/>
      <c r="P23" s="114"/>
      <c r="Q23" s="29"/>
      <c r="R23" s="29"/>
      <c r="S23" s="30"/>
      <c r="T23" s="72">
        <v>7212560</v>
      </c>
      <c r="U23" s="72"/>
      <c r="V23" s="69"/>
      <c r="W23" s="69"/>
      <c r="X23" s="69"/>
      <c r="Y23" s="69"/>
      <c r="Z23" s="58"/>
    </row>
    <row r="24" spans="1:26">
      <c r="T24" s="72"/>
      <c r="U24" s="72"/>
      <c r="V24" s="69"/>
      <c r="W24" s="69"/>
      <c r="X24" s="41" t="s">
        <v>315</v>
      </c>
      <c r="Y24" s="41">
        <v>1013000</v>
      </c>
      <c r="Z24" s="45"/>
    </row>
    <row r="25" spans="1:26">
      <c r="T25" s="72"/>
      <c r="U25" s="72"/>
      <c r="V25" s="69"/>
      <c r="W25" s="69"/>
      <c r="X25" s="69"/>
      <c r="Y25" s="69"/>
      <c r="Z25" s="45"/>
    </row>
    <row r="26" spans="1:26">
      <c r="T26" s="72"/>
      <c r="U26" s="72"/>
      <c r="V26" s="69"/>
      <c r="W26" s="69">
        <f>Z21*35/100</f>
        <v>2524396</v>
      </c>
      <c r="X26" s="69"/>
      <c r="Y26" s="69"/>
      <c r="Z26" s="45"/>
    </row>
    <row r="27" spans="1:26">
      <c r="Z27" s="45"/>
    </row>
    <row r="28" spans="1:26">
      <c r="Z28" s="45"/>
    </row>
    <row r="29" spans="1:26">
      <c r="T29" s="47"/>
      <c r="U29" s="47"/>
      <c r="Z29" s="45"/>
    </row>
    <row r="30" spans="1:26">
      <c r="Z30" s="272" t="e">
        <f>#REF!+T30</f>
        <v>#REF!</v>
      </c>
    </row>
    <row r="31" spans="1:26">
      <c r="Z31" s="273"/>
    </row>
    <row r="32" spans="1:26">
      <c r="Z32" s="273"/>
    </row>
  </sheetData>
  <mergeCells count="62">
    <mergeCell ref="A1:G3"/>
    <mergeCell ref="A4:G5"/>
    <mergeCell ref="H1:P1"/>
    <mergeCell ref="Q1:S3"/>
    <mergeCell ref="H2:P2"/>
    <mergeCell ref="H3:P3"/>
    <mergeCell ref="H4:P4"/>
    <mergeCell ref="Q4:S4"/>
    <mergeCell ref="H5:P5"/>
    <mergeCell ref="Q5:S5"/>
    <mergeCell ref="A6:S6"/>
    <mergeCell ref="A7:C10"/>
    <mergeCell ref="D7:I10"/>
    <mergeCell ref="J7:J10"/>
    <mergeCell ref="K7:K10"/>
    <mergeCell ref="L7:L10"/>
    <mergeCell ref="M7:M10"/>
    <mergeCell ref="N7:N10"/>
    <mergeCell ref="O7:O10"/>
    <mergeCell ref="Q7:R10"/>
    <mergeCell ref="S7:S10"/>
    <mergeCell ref="A16:C16"/>
    <mergeCell ref="D16:I16"/>
    <mergeCell ref="Q16:R16"/>
    <mergeCell ref="P8:P10"/>
    <mergeCell ref="A11:C11"/>
    <mergeCell ref="D11:I11"/>
    <mergeCell ref="Q11:R11"/>
    <mergeCell ref="A12:C12"/>
    <mergeCell ref="D12:I12"/>
    <mergeCell ref="Q12:R12"/>
    <mergeCell ref="A14:C14"/>
    <mergeCell ref="D14:I14"/>
    <mergeCell ref="Q14:R14"/>
    <mergeCell ref="A15:C15"/>
    <mergeCell ref="D13:I13"/>
    <mergeCell ref="A13:C13"/>
    <mergeCell ref="A21:G23"/>
    <mergeCell ref="I22:P23"/>
    <mergeCell ref="A17:C17"/>
    <mergeCell ref="D17:I17"/>
    <mergeCell ref="Q17:R17"/>
    <mergeCell ref="A18:C18"/>
    <mergeCell ref="D18:I18"/>
    <mergeCell ref="Q18:R18"/>
    <mergeCell ref="A19:C19"/>
    <mergeCell ref="D19:I19"/>
    <mergeCell ref="Q19:R19"/>
    <mergeCell ref="A20:C20"/>
    <mergeCell ref="T7:T10"/>
    <mergeCell ref="V7:V10"/>
    <mergeCell ref="Z7:Z20"/>
    <mergeCell ref="D15:I15"/>
    <mergeCell ref="Q15:R15"/>
    <mergeCell ref="D20:I20"/>
    <mergeCell ref="Q20:R20"/>
    <mergeCell ref="Q13:R13"/>
    <mergeCell ref="Z30:Z32"/>
    <mergeCell ref="W7:W10"/>
    <mergeCell ref="X7:X10"/>
    <mergeCell ref="U7:U10"/>
    <mergeCell ref="Y7:Y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2"/>
  <sheetViews>
    <sheetView topLeftCell="B4" workbookViewId="0"/>
  </sheetViews>
  <sheetFormatPr defaultRowHeight="15"/>
  <cols>
    <col min="4" max="9" width="5.5703125" customWidth="1"/>
    <col min="11" max="15" width="0" hidden="1" customWidth="1"/>
    <col min="22" max="22" width="11.5703125" style="41" customWidth="1"/>
    <col min="23" max="23" width="9.85546875" style="41" customWidth="1"/>
    <col min="24" max="24" width="13" style="40" customWidth="1"/>
    <col min="25" max="25" width="20.140625" customWidth="1"/>
  </cols>
  <sheetData>
    <row r="1" spans="1:25" ht="15.75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  <c r="T1" s="159"/>
      <c r="U1" s="160"/>
    </row>
    <row r="2" spans="1:25" ht="25.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1"/>
      <c r="T2" s="162"/>
      <c r="U2" s="163"/>
    </row>
    <row r="3" spans="1:25" ht="31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64"/>
      <c r="T3" s="165"/>
      <c r="U3" s="166"/>
    </row>
    <row r="4" spans="1:25">
      <c r="A4" s="171" t="s">
        <v>316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9" t="e">
        <f>#NAME?</f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 t="e">
        <f>#NAME?</f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0" t="s">
        <v>226</v>
      </c>
      <c r="R7" s="141"/>
      <c r="S7" s="145" t="s">
        <v>59</v>
      </c>
      <c r="T7" s="146"/>
      <c r="U7" s="142" t="s">
        <v>60</v>
      </c>
      <c r="V7" s="187" t="s">
        <v>156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35"/>
      <c r="R8" s="135"/>
      <c r="S8" s="117"/>
      <c r="T8" s="118"/>
      <c r="U8" s="143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35"/>
      <c r="R9" s="135"/>
      <c r="S9" s="117"/>
      <c r="T9" s="118"/>
      <c r="U9" s="143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37"/>
      <c r="R10" s="137"/>
      <c r="S10" s="117"/>
      <c r="T10" s="118"/>
      <c r="U10" s="144"/>
      <c r="V10" s="187"/>
      <c r="W10" s="188"/>
      <c r="X10" s="189"/>
      <c r="Y10" s="190"/>
    </row>
    <row r="11" spans="1:25">
      <c r="A11" s="125" t="s">
        <v>317</v>
      </c>
      <c r="B11" s="126"/>
      <c r="C11" s="126"/>
      <c r="D11" s="126" t="s">
        <v>318</v>
      </c>
      <c r="E11" s="126"/>
      <c r="F11" s="126"/>
      <c r="G11" s="126"/>
      <c r="H11" s="126"/>
      <c r="I11" s="126"/>
      <c r="J11" s="12">
        <v>1</v>
      </c>
      <c r="K11" s="12"/>
      <c r="L11" s="12"/>
      <c r="M11" s="12"/>
      <c r="N11" s="13"/>
      <c r="O11" s="12"/>
      <c r="P11" s="39"/>
      <c r="Q11" s="12"/>
      <c r="R11" s="12"/>
      <c r="S11" s="126"/>
      <c r="T11" s="126"/>
      <c r="U11" s="14"/>
      <c r="V11" s="68">
        <v>101300</v>
      </c>
      <c r="W11" s="41">
        <f t="shared" ref="W11:W20" si="0">V11*J11</f>
        <v>101300</v>
      </c>
      <c r="X11" s="42">
        <v>0.4</v>
      </c>
      <c r="Y11" s="190"/>
    </row>
    <row r="12" spans="1:25">
      <c r="A12" s="127" t="s">
        <v>319</v>
      </c>
      <c r="B12" s="128"/>
      <c r="C12" s="122"/>
      <c r="D12" s="121" t="s">
        <v>320</v>
      </c>
      <c r="E12" s="128"/>
      <c r="F12" s="128"/>
      <c r="G12" s="128"/>
      <c r="H12" s="128"/>
      <c r="I12" s="122"/>
      <c r="J12" s="12">
        <v>1</v>
      </c>
      <c r="K12" s="12"/>
      <c r="L12" s="12"/>
      <c r="M12" s="12"/>
      <c r="N12" s="13"/>
      <c r="O12" s="12"/>
      <c r="P12" s="12"/>
      <c r="Q12" s="12"/>
      <c r="R12" s="12"/>
      <c r="S12" s="126"/>
      <c r="T12" s="126"/>
      <c r="U12" s="14"/>
      <c r="V12" s="68">
        <v>121560</v>
      </c>
      <c r="W12" s="41">
        <f t="shared" si="0"/>
        <v>121560</v>
      </c>
      <c r="X12" s="42">
        <v>0.4</v>
      </c>
      <c r="Y12" s="190"/>
    </row>
    <row r="13" spans="1:25" ht="27" customHeight="1">
      <c r="A13" s="125" t="s">
        <v>321</v>
      </c>
      <c r="B13" s="126"/>
      <c r="C13" s="126"/>
      <c r="D13" s="126" t="s">
        <v>322</v>
      </c>
      <c r="E13" s="126"/>
      <c r="F13" s="126"/>
      <c r="G13" s="126"/>
      <c r="H13" s="126"/>
      <c r="I13" s="126"/>
      <c r="J13" s="12">
        <v>1</v>
      </c>
      <c r="K13" s="12"/>
      <c r="L13" s="12"/>
      <c r="M13" s="12"/>
      <c r="N13" s="13"/>
      <c r="O13" s="12"/>
      <c r="P13" s="12"/>
      <c r="Q13" s="12"/>
      <c r="R13" s="12"/>
      <c r="S13" s="126"/>
      <c r="T13" s="126"/>
      <c r="U13" s="15"/>
      <c r="V13" s="68">
        <v>91170</v>
      </c>
      <c r="W13" s="41">
        <f t="shared" si="0"/>
        <v>91170</v>
      </c>
      <c r="X13" s="42">
        <v>0.4</v>
      </c>
      <c r="Y13" s="190"/>
    </row>
    <row r="14" spans="1:25">
      <c r="A14" s="125" t="s">
        <v>288</v>
      </c>
      <c r="B14" s="126"/>
      <c r="C14" s="126"/>
      <c r="D14" s="126" t="s">
        <v>322</v>
      </c>
      <c r="E14" s="126"/>
      <c r="F14" s="126"/>
      <c r="G14" s="126"/>
      <c r="H14" s="126"/>
      <c r="I14" s="126"/>
      <c r="J14" s="12">
        <v>1</v>
      </c>
      <c r="K14" s="12"/>
      <c r="L14" s="12"/>
      <c r="M14" s="12"/>
      <c r="N14" s="13"/>
      <c r="O14" s="12"/>
      <c r="P14" s="12"/>
      <c r="Q14" s="12"/>
      <c r="R14" s="12"/>
      <c r="S14" s="126"/>
      <c r="T14" s="126"/>
      <c r="U14" s="14"/>
      <c r="V14" s="68">
        <v>70910</v>
      </c>
      <c r="W14" s="41">
        <f t="shared" si="0"/>
        <v>70910</v>
      </c>
      <c r="X14" s="42">
        <v>0.4</v>
      </c>
      <c r="Y14" s="190"/>
    </row>
    <row r="15" spans="1:25">
      <c r="A15" s="125" t="s">
        <v>237</v>
      </c>
      <c r="B15" s="126"/>
      <c r="C15" s="126"/>
      <c r="D15" s="126" t="s">
        <v>323</v>
      </c>
      <c r="E15" s="126"/>
      <c r="F15" s="126"/>
      <c r="G15" s="126"/>
      <c r="H15" s="126"/>
      <c r="I15" s="126"/>
      <c r="J15" s="12">
        <v>1</v>
      </c>
      <c r="K15" s="12"/>
      <c r="L15" s="12"/>
      <c r="M15" s="12"/>
      <c r="N15" s="13"/>
      <c r="O15" s="12"/>
      <c r="P15" s="12"/>
      <c r="Q15" s="12"/>
      <c r="R15" s="12"/>
      <c r="S15" s="126"/>
      <c r="T15" s="126"/>
      <c r="U15" s="15"/>
      <c r="V15" s="68">
        <v>121560</v>
      </c>
      <c r="W15" s="41">
        <f t="shared" si="0"/>
        <v>121560</v>
      </c>
      <c r="X15" s="42">
        <v>0.4</v>
      </c>
      <c r="Y15" s="190"/>
    </row>
    <row r="16" spans="1:25">
      <c r="A16" s="125" t="s">
        <v>324</v>
      </c>
      <c r="B16" s="126"/>
      <c r="C16" s="126"/>
      <c r="D16" s="126" t="s">
        <v>323</v>
      </c>
      <c r="E16" s="126"/>
      <c r="F16" s="126"/>
      <c r="G16" s="126"/>
      <c r="H16" s="126"/>
      <c r="I16" s="126"/>
      <c r="J16" s="12">
        <v>1</v>
      </c>
      <c r="K16" s="12"/>
      <c r="L16" s="12"/>
      <c r="M16" s="12"/>
      <c r="N16" s="13"/>
      <c r="O16" s="12"/>
      <c r="P16" s="39"/>
      <c r="Q16" s="12"/>
      <c r="R16" s="12"/>
      <c r="S16" s="126"/>
      <c r="T16" s="126"/>
      <c r="U16" s="15"/>
      <c r="V16" s="68">
        <v>121560</v>
      </c>
      <c r="W16" s="41">
        <f t="shared" si="0"/>
        <v>121560</v>
      </c>
      <c r="X16" s="42">
        <v>0.4</v>
      </c>
      <c r="Y16" s="190"/>
    </row>
    <row r="17" spans="1:25">
      <c r="A17" s="123"/>
      <c r="B17" s="124"/>
      <c r="C17" s="124"/>
      <c r="D17" s="124" t="s">
        <v>325</v>
      </c>
      <c r="E17" s="124"/>
      <c r="F17" s="124"/>
      <c r="G17" s="124"/>
      <c r="H17" s="124"/>
      <c r="I17" s="124"/>
      <c r="J17" s="12">
        <v>1</v>
      </c>
      <c r="K17" s="12"/>
      <c r="L17" s="12"/>
      <c r="M17" s="12"/>
      <c r="N17" s="13"/>
      <c r="O17" s="12"/>
      <c r="P17" s="12"/>
      <c r="Q17" s="12"/>
      <c r="R17" s="12"/>
      <c r="S17" s="126"/>
      <c r="T17" s="126"/>
      <c r="U17" s="15"/>
      <c r="V17" s="68">
        <v>2228600</v>
      </c>
      <c r="W17" s="41">
        <f t="shared" si="0"/>
        <v>2228600</v>
      </c>
      <c r="X17" s="42">
        <v>0.4</v>
      </c>
      <c r="Y17" s="190"/>
    </row>
    <row r="18" spans="1:25">
      <c r="A18" s="89"/>
      <c r="B18" s="90"/>
      <c r="C18" s="90"/>
      <c r="D18" s="306" t="s">
        <v>326</v>
      </c>
      <c r="E18" s="307"/>
      <c r="F18" s="307"/>
      <c r="G18" s="307"/>
      <c r="H18" s="307"/>
      <c r="I18" s="308"/>
      <c r="J18" s="97">
        <v>2</v>
      </c>
      <c r="K18" s="97"/>
      <c r="L18" s="97"/>
      <c r="M18" s="97"/>
      <c r="N18" s="98"/>
      <c r="O18" s="97"/>
      <c r="P18" s="97"/>
      <c r="Q18" s="97"/>
      <c r="R18" s="97"/>
      <c r="S18" s="306"/>
      <c r="T18" s="308"/>
      <c r="U18" s="99"/>
      <c r="V18" s="68">
        <v>506500</v>
      </c>
      <c r="W18" s="41">
        <f t="shared" si="0"/>
        <v>1013000</v>
      </c>
      <c r="X18" s="42">
        <v>0.4</v>
      </c>
      <c r="Y18" s="190"/>
    </row>
    <row r="19" spans="1:25">
      <c r="A19" s="303"/>
      <c r="B19" s="304"/>
      <c r="C19" s="304"/>
      <c r="D19" s="304" t="s">
        <v>327</v>
      </c>
      <c r="E19" s="304"/>
      <c r="F19" s="304"/>
      <c r="G19" s="304"/>
      <c r="H19" s="304"/>
      <c r="I19" s="304"/>
      <c r="J19" s="85">
        <v>1</v>
      </c>
      <c r="K19" s="85"/>
      <c r="L19" s="85"/>
      <c r="M19" s="85"/>
      <c r="N19" s="86"/>
      <c r="O19" s="85"/>
      <c r="P19" s="85"/>
      <c r="Q19" s="85"/>
      <c r="R19" s="85"/>
      <c r="S19" s="305"/>
      <c r="T19" s="305"/>
      <c r="U19" s="87"/>
      <c r="V19" s="41">
        <v>3039000</v>
      </c>
      <c r="W19" s="41">
        <f t="shared" si="0"/>
        <v>3039000</v>
      </c>
      <c r="X19" s="42">
        <v>0.4</v>
      </c>
      <c r="Y19" s="190"/>
    </row>
    <row r="20" spans="1:25">
      <c r="A20" s="301"/>
      <c r="B20" s="302"/>
      <c r="C20" s="294"/>
      <c r="D20" s="293" t="s">
        <v>328</v>
      </c>
      <c r="E20" s="302"/>
      <c r="F20" s="302"/>
      <c r="G20" s="302"/>
      <c r="H20" s="302"/>
      <c r="I20" s="294"/>
      <c r="J20" s="85">
        <v>1</v>
      </c>
      <c r="K20" s="85"/>
      <c r="L20" s="85"/>
      <c r="M20" s="85"/>
      <c r="N20" s="86"/>
      <c r="O20" s="85"/>
      <c r="P20" s="85"/>
      <c r="Q20" s="85"/>
      <c r="R20" s="85"/>
      <c r="S20" s="293"/>
      <c r="T20" s="294"/>
      <c r="U20" s="87"/>
      <c r="V20" s="41">
        <v>1013000</v>
      </c>
      <c r="W20" s="41">
        <f t="shared" si="0"/>
        <v>1013000</v>
      </c>
      <c r="X20" s="42">
        <v>0.4</v>
      </c>
      <c r="Y20" s="190"/>
    </row>
    <row r="21" spans="1:25" ht="14.45" customHeight="1">
      <c r="A21" s="107" t="s">
        <v>100</v>
      </c>
      <c r="B21" s="108"/>
      <c r="C21" s="108"/>
      <c r="D21" s="108"/>
      <c r="E21" s="108"/>
      <c r="F21" s="108"/>
      <c r="G21" s="10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17"/>
      <c r="S21" s="17"/>
      <c r="T21" s="17"/>
      <c r="U21" s="18"/>
      <c r="W21" s="41">
        <f>SUM(W11:W20)</f>
        <v>7921660</v>
      </c>
      <c r="X21" s="74">
        <f>W21*X12</f>
        <v>3168664</v>
      </c>
      <c r="Y21" s="57">
        <v>6977544</v>
      </c>
    </row>
    <row r="22" spans="1:25" ht="14.45" customHeight="1">
      <c r="A22" s="109"/>
      <c r="B22" s="110"/>
      <c r="C22" s="110"/>
      <c r="D22" s="110"/>
      <c r="E22" s="110"/>
      <c r="F22" s="110"/>
      <c r="G22" s="110"/>
      <c r="H22" s="37"/>
      <c r="I22" s="113" t="s">
        <v>101</v>
      </c>
      <c r="J22" s="113"/>
      <c r="K22" s="113"/>
      <c r="L22" s="113"/>
      <c r="M22" s="113"/>
      <c r="N22" s="113"/>
      <c r="O22" s="113"/>
      <c r="P22" s="113"/>
      <c r="Q22" s="113"/>
      <c r="R22" s="24"/>
      <c r="S22" s="24"/>
      <c r="T22" s="24"/>
      <c r="U22" s="25"/>
      <c r="X22" s="42"/>
      <c r="Y22" s="58"/>
    </row>
    <row r="23" spans="1:25" ht="15" customHeight="1">
      <c r="A23" s="111"/>
      <c r="B23" s="112"/>
      <c r="C23" s="112"/>
      <c r="D23" s="112"/>
      <c r="E23" s="112"/>
      <c r="F23" s="112"/>
      <c r="G23" s="112"/>
      <c r="H23" s="38"/>
      <c r="I23" s="114"/>
      <c r="J23" s="114"/>
      <c r="K23" s="114"/>
      <c r="L23" s="114"/>
      <c r="M23" s="114"/>
      <c r="N23" s="114"/>
      <c r="O23" s="114"/>
      <c r="P23" s="114"/>
      <c r="Q23" s="114"/>
      <c r="R23" s="29"/>
      <c r="S23" s="29"/>
      <c r="T23" s="29"/>
      <c r="U23" s="30"/>
      <c r="X23" s="42"/>
      <c r="Y23" s="58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X28" s="42"/>
      <c r="Y28" s="45"/>
    </row>
    <row r="29" spans="1:25">
      <c r="V29" s="44"/>
      <c r="X29" s="42"/>
      <c r="Y29" s="45"/>
    </row>
    <row r="30" spans="1:25">
      <c r="Y30" s="272">
        <f>X30+V30</f>
        <v>0</v>
      </c>
    </row>
    <row r="31" spans="1:25">
      <c r="Y31" s="273"/>
    </row>
    <row r="32" spans="1:25">
      <c r="Y32" s="273"/>
    </row>
  </sheetData>
  <mergeCells count="61">
    <mergeCell ref="A4:G5"/>
    <mergeCell ref="H4:R4"/>
    <mergeCell ref="S4:U4"/>
    <mergeCell ref="H5:R5"/>
    <mergeCell ref="S5:U5"/>
    <mergeCell ref="A1:G3"/>
    <mergeCell ref="H1:R1"/>
    <mergeCell ref="S1:U3"/>
    <mergeCell ref="H2:R2"/>
    <mergeCell ref="H3:R3"/>
    <mergeCell ref="A6:U6"/>
    <mergeCell ref="A7:C10"/>
    <mergeCell ref="D7:I10"/>
    <mergeCell ref="J7:J10"/>
    <mergeCell ref="K7:K10"/>
    <mergeCell ref="L7:L10"/>
    <mergeCell ref="M7:M10"/>
    <mergeCell ref="N7:N10"/>
    <mergeCell ref="O7:O10"/>
    <mergeCell ref="Q7:R7"/>
    <mergeCell ref="S7:T10"/>
    <mergeCell ref="U7:U10"/>
    <mergeCell ref="P8:P10"/>
    <mergeCell ref="Q8:Q10"/>
    <mergeCell ref="R8:R10"/>
    <mergeCell ref="A12:C12"/>
    <mergeCell ref="D12:I12"/>
    <mergeCell ref="S12:T12"/>
    <mergeCell ref="A11:C11"/>
    <mergeCell ref="D11:I11"/>
    <mergeCell ref="S11:T11"/>
    <mergeCell ref="A13:C13"/>
    <mergeCell ref="D13:I13"/>
    <mergeCell ref="S13:T13"/>
    <mergeCell ref="A14:C14"/>
    <mergeCell ref="D14:I14"/>
    <mergeCell ref="S14:T14"/>
    <mergeCell ref="A15:C15"/>
    <mergeCell ref="D15:I15"/>
    <mergeCell ref="S15:T15"/>
    <mergeCell ref="A16:C16"/>
    <mergeCell ref="D16:I16"/>
    <mergeCell ref="S16:T16"/>
    <mergeCell ref="A17:C17"/>
    <mergeCell ref="D17:I17"/>
    <mergeCell ref="S17:T17"/>
    <mergeCell ref="A21:G23"/>
    <mergeCell ref="I22:Q23"/>
    <mergeCell ref="A19:C19"/>
    <mergeCell ref="D19:I19"/>
    <mergeCell ref="S19:T19"/>
    <mergeCell ref="A20:C20"/>
    <mergeCell ref="D20:I20"/>
    <mergeCell ref="S20:T20"/>
    <mergeCell ref="D18:I18"/>
    <mergeCell ref="S18:T18"/>
    <mergeCell ref="Y30:Y32"/>
    <mergeCell ref="V7:V10"/>
    <mergeCell ref="W7:W10"/>
    <mergeCell ref="X7:X10"/>
    <mergeCell ref="Y7:Y2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/>
  </sheetViews>
  <sheetFormatPr defaultRowHeight="15"/>
  <cols>
    <col min="2" max="2" width="20.85546875" customWidth="1"/>
    <col min="4" max="4" width="14.42578125" customWidth="1"/>
    <col min="5" max="5" width="15.85546875" customWidth="1"/>
  </cols>
  <sheetData>
    <row r="1" spans="1:5">
      <c r="A1" s="61" t="s">
        <v>329</v>
      </c>
      <c r="B1" s="61" t="s">
        <v>330</v>
      </c>
      <c r="C1" s="61" t="s">
        <v>331</v>
      </c>
      <c r="D1" s="61" t="s">
        <v>332</v>
      </c>
      <c r="E1" s="61" t="s">
        <v>42</v>
      </c>
    </row>
    <row r="2" spans="1:5">
      <c r="A2" s="61">
        <v>1</v>
      </c>
      <c r="B2" s="60" t="s">
        <v>330</v>
      </c>
      <c r="C2" s="60">
        <v>1</v>
      </c>
      <c r="D2" s="60">
        <v>2026000</v>
      </c>
      <c r="E2" s="60">
        <f t="shared" ref="E2:E16" si="0">D2*C2</f>
        <v>2026000</v>
      </c>
    </row>
    <row r="3" spans="1:5">
      <c r="A3" s="61">
        <v>2</v>
      </c>
      <c r="B3" s="60" t="s">
        <v>333</v>
      </c>
      <c r="C3" s="60">
        <v>1</v>
      </c>
      <c r="D3" s="60">
        <v>303900</v>
      </c>
      <c r="E3" s="60">
        <f t="shared" si="0"/>
        <v>303900</v>
      </c>
    </row>
    <row r="4" spans="1:5">
      <c r="A4" s="61">
        <v>3</v>
      </c>
      <c r="B4" s="60" t="s">
        <v>334</v>
      </c>
      <c r="C4" s="60">
        <v>1</v>
      </c>
      <c r="D4" s="60">
        <v>405200</v>
      </c>
      <c r="E4" s="60">
        <f t="shared" si="0"/>
        <v>405200</v>
      </c>
    </row>
    <row r="5" spans="1:5">
      <c r="A5" s="61">
        <v>4</v>
      </c>
      <c r="B5" s="60" t="s">
        <v>335</v>
      </c>
      <c r="C5" s="60">
        <v>1</v>
      </c>
      <c r="D5" s="60">
        <v>506500</v>
      </c>
      <c r="E5" s="60">
        <f t="shared" si="0"/>
        <v>506500</v>
      </c>
    </row>
    <row r="6" spans="1:5">
      <c r="A6" s="61">
        <v>5</v>
      </c>
      <c r="B6" s="60" t="s">
        <v>336</v>
      </c>
      <c r="C6" s="60">
        <v>1</v>
      </c>
      <c r="D6" s="60">
        <v>151950</v>
      </c>
      <c r="E6" s="60">
        <f t="shared" si="0"/>
        <v>151950</v>
      </c>
    </row>
    <row r="7" spans="1:5">
      <c r="A7" s="61">
        <v>6</v>
      </c>
      <c r="B7" s="88" t="s">
        <v>325</v>
      </c>
      <c r="C7" s="88">
        <v>1</v>
      </c>
      <c r="D7" s="88">
        <v>1519500</v>
      </c>
      <c r="E7" s="88">
        <f t="shared" si="0"/>
        <v>1519500</v>
      </c>
    </row>
    <row r="8" spans="1:5">
      <c r="A8" s="61">
        <v>7</v>
      </c>
      <c r="B8" s="88" t="s">
        <v>337</v>
      </c>
      <c r="C8" s="88">
        <v>1</v>
      </c>
      <c r="D8" s="88">
        <v>1013000</v>
      </c>
      <c r="E8" s="88">
        <f t="shared" si="0"/>
        <v>1013000</v>
      </c>
    </row>
    <row r="9" spans="1:5">
      <c r="A9" s="61">
        <v>8</v>
      </c>
      <c r="B9" s="60"/>
      <c r="C9" s="60"/>
      <c r="D9" s="60"/>
      <c r="E9" s="60">
        <f t="shared" si="0"/>
        <v>0</v>
      </c>
    </row>
    <row r="10" spans="1:5">
      <c r="A10" s="61">
        <v>9</v>
      </c>
      <c r="B10" s="60"/>
      <c r="C10" s="60"/>
      <c r="D10" s="60"/>
      <c r="E10" s="60">
        <f t="shared" si="0"/>
        <v>0</v>
      </c>
    </row>
    <row r="11" spans="1:5">
      <c r="A11" s="61">
        <v>10</v>
      </c>
      <c r="B11" s="60"/>
      <c r="C11" s="60"/>
      <c r="D11" s="60"/>
      <c r="E11" s="60">
        <f t="shared" si="0"/>
        <v>0</v>
      </c>
    </row>
    <row r="12" spans="1:5">
      <c r="A12" s="61">
        <v>11</v>
      </c>
      <c r="B12" s="60"/>
      <c r="C12" s="60"/>
      <c r="D12" s="60"/>
      <c r="E12" s="60">
        <f t="shared" si="0"/>
        <v>0</v>
      </c>
    </row>
    <row r="13" spans="1:5">
      <c r="A13" s="61">
        <v>12</v>
      </c>
      <c r="B13" s="60"/>
      <c r="C13" s="60"/>
      <c r="D13" s="60"/>
      <c r="E13" s="60">
        <f t="shared" si="0"/>
        <v>0</v>
      </c>
    </row>
    <row r="14" spans="1:5">
      <c r="A14" s="61">
        <v>13</v>
      </c>
      <c r="B14" s="60"/>
      <c r="C14" s="60"/>
      <c r="D14" s="60"/>
      <c r="E14" s="60">
        <f t="shared" si="0"/>
        <v>0</v>
      </c>
    </row>
    <row r="15" spans="1:5">
      <c r="A15" s="61">
        <v>14</v>
      </c>
      <c r="B15" s="60"/>
      <c r="C15" s="60"/>
      <c r="D15" s="60"/>
      <c r="E15" s="60">
        <f t="shared" si="0"/>
        <v>0</v>
      </c>
    </row>
    <row r="16" spans="1:5">
      <c r="A16" s="61">
        <v>15</v>
      </c>
      <c r="B16" s="60"/>
      <c r="C16" s="60"/>
      <c r="D16" s="60"/>
      <c r="E16" s="60">
        <f t="shared" si="0"/>
        <v>0</v>
      </c>
    </row>
    <row r="17" spans="1:5">
      <c r="A17" s="61">
        <v>16</v>
      </c>
      <c r="B17" s="60"/>
      <c r="C17" s="60"/>
      <c r="D17" s="60"/>
      <c r="E17" s="60">
        <f>SUM(E2:E16)</f>
        <v>5926050</v>
      </c>
    </row>
    <row r="18" spans="1:5" ht="18.75">
      <c r="A18" s="61"/>
      <c r="B18" s="60"/>
      <c r="C18" s="60"/>
      <c r="D18" s="60"/>
      <c r="E18" s="62">
        <f>3273000+2026979</f>
        <v>5368879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2"/>
  <sheetViews>
    <sheetView workbookViewId="0"/>
  </sheetViews>
  <sheetFormatPr defaultRowHeight="15"/>
  <cols>
    <col min="1" max="1" width="8.85546875" style="40" customWidth="1"/>
    <col min="2" max="2" width="30.42578125" style="40" customWidth="1"/>
    <col min="3" max="5" width="8.85546875" style="40" customWidth="1"/>
    <col min="6" max="6" width="18.140625" style="40" customWidth="1"/>
    <col min="7" max="7" width="45.140625" style="40" customWidth="1"/>
    <col min="8" max="256" width="8.85546875" style="40" customWidth="1"/>
  </cols>
  <sheetData>
    <row r="1" spans="1:7">
      <c r="A1" s="309" t="s">
        <v>338</v>
      </c>
      <c r="B1" s="309"/>
      <c r="C1" s="309"/>
      <c r="D1" s="309"/>
      <c r="E1" s="309"/>
      <c r="F1" s="309"/>
      <c r="G1" s="309"/>
    </row>
    <row r="2" spans="1:7">
      <c r="A2" s="63" t="s">
        <v>329</v>
      </c>
      <c r="B2" s="64" t="s">
        <v>338</v>
      </c>
      <c r="C2" s="64" t="s">
        <v>331</v>
      </c>
      <c r="D2" s="64"/>
      <c r="E2" s="64"/>
      <c r="F2" s="64" t="s">
        <v>42</v>
      </c>
      <c r="G2" s="64" t="s">
        <v>41</v>
      </c>
    </row>
    <row r="3" spans="1:7">
      <c r="A3" s="63">
        <v>1</v>
      </c>
      <c r="B3" s="64" t="s">
        <v>339</v>
      </c>
      <c r="C3" s="64">
        <v>700</v>
      </c>
      <c r="D3" s="64" t="s">
        <v>340</v>
      </c>
      <c r="E3" s="64">
        <v>250</v>
      </c>
      <c r="F3" s="64">
        <f t="shared" ref="F3:F15" si="0">E3*C3</f>
        <v>177275</v>
      </c>
      <c r="G3" s="64"/>
    </row>
    <row r="4" spans="1:7">
      <c r="A4" s="63">
        <v>2</v>
      </c>
      <c r="B4" s="64" t="s">
        <v>341</v>
      </c>
      <c r="C4" s="64">
        <v>250</v>
      </c>
      <c r="D4" s="64" t="s">
        <v>340</v>
      </c>
      <c r="E4" s="64">
        <v>250</v>
      </c>
      <c r="F4" s="64">
        <f t="shared" si="0"/>
        <v>63312</v>
      </c>
      <c r="G4" s="64"/>
    </row>
    <row r="5" spans="1:7">
      <c r="A5" s="63">
        <v>3</v>
      </c>
      <c r="B5" s="64" t="s">
        <v>342</v>
      </c>
      <c r="C5" s="64">
        <v>303900</v>
      </c>
      <c r="D5" s="64" t="s">
        <v>343</v>
      </c>
      <c r="E5" s="64">
        <v>1</v>
      </c>
      <c r="F5" s="64">
        <f t="shared" si="0"/>
        <v>303900</v>
      </c>
      <c r="G5" s="64"/>
    </row>
    <row r="6" spans="1:7">
      <c r="A6" s="63">
        <v>4</v>
      </c>
      <c r="B6" s="64" t="s">
        <v>344</v>
      </c>
      <c r="C6" s="64">
        <v>35455</v>
      </c>
      <c r="D6" s="64"/>
      <c r="E6" s="64">
        <v>1</v>
      </c>
      <c r="F6" s="64">
        <f t="shared" si="0"/>
        <v>35455</v>
      </c>
      <c r="G6" s="64" t="s">
        <v>345</v>
      </c>
    </row>
    <row r="7" spans="1:7">
      <c r="A7" s="63">
        <v>5</v>
      </c>
      <c r="B7" s="64" t="s">
        <v>346</v>
      </c>
      <c r="C7" s="64">
        <v>202600</v>
      </c>
      <c r="D7" s="64"/>
      <c r="E7" s="64">
        <v>1</v>
      </c>
      <c r="F7" s="64">
        <f t="shared" si="0"/>
        <v>202600</v>
      </c>
      <c r="G7" s="64" t="s">
        <v>347</v>
      </c>
    </row>
    <row r="8" spans="1:7">
      <c r="A8" s="63">
        <v>6</v>
      </c>
      <c r="B8" s="64" t="s">
        <v>348</v>
      </c>
      <c r="C8" s="64">
        <v>800</v>
      </c>
      <c r="D8" s="64" t="s">
        <v>349</v>
      </c>
      <c r="E8" s="64">
        <v>70</v>
      </c>
      <c r="F8" s="64">
        <f t="shared" si="0"/>
        <v>56728</v>
      </c>
      <c r="G8" s="64"/>
    </row>
    <row r="9" spans="1:7">
      <c r="A9" s="63">
        <v>7</v>
      </c>
      <c r="B9" s="64" t="s">
        <v>350</v>
      </c>
      <c r="C9" s="64">
        <v>700</v>
      </c>
      <c r="D9" s="64" t="s">
        <v>340</v>
      </c>
      <c r="E9" s="64">
        <v>250</v>
      </c>
      <c r="F9" s="64">
        <f t="shared" si="0"/>
        <v>177275</v>
      </c>
      <c r="G9" s="64" t="s">
        <v>351</v>
      </c>
    </row>
    <row r="10" spans="1:7">
      <c r="A10" s="63">
        <v>8</v>
      </c>
      <c r="B10" s="64" t="s">
        <v>352</v>
      </c>
      <c r="C10" s="64">
        <v>300</v>
      </c>
      <c r="D10" s="64" t="s">
        <v>340</v>
      </c>
      <c r="E10" s="64">
        <v>250</v>
      </c>
      <c r="F10" s="64">
        <f t="shared" si="0"/>
        <v>75975</v>
      </c>
      <c r="G10" s="64"/>
    </row>
    <row r="11" spans="1:7">
      <c r="A11" s="63">
        <v>9</v>
      </c>
      <c r="B11" s="64" t="s">
        <v>353</v>
      </c>
      <c r="C11" s="64">
        <v>202600</v>
      </c>
      <c r="D11" s="64" t="s">
        <v>340</v>
      </c>
      <c r="E11" s="64">
        <v>1</v>
      </c>
      <c r="F11" s="64">
        <f t="shared" si="0"/>
        <v>202600</v>
      </c>
      <c r="G11" s="64"/>
    </row>
    <row r="12" spans="1:7">
      <c r="A12" s="63">
        <v>10</v>
      </c>
      <c r="B12" s="64" t="s">
        <v>354</v>
      </c>
      <c r="C12" s="64">
        <v>202600</v>
      </c>
      <c r="D12" s="64"/>
      <c r="E12" s="64">
        <v>1</v>
      </c>
      <c r="F12" s="64">
        <f t="shared" si="0"/>
        <v>202600</v>
      </c>
      <c r="G12" s="64" t="s">
        <v>355</v>
      </c>
    </row>
    <row r="13" spans="1:7">
      <c r="A13" s="63">
        <v>11</v>
      </c>
      <c r="B13" s="64" t="s">
        <v>356</v>
      </c>
      <c r="C13" s="64">
        <v>151950</v>
      </c>
      <c r="D13" s="64"/>
      <c r="E13" s="64">
        <v>1</v>
      </c>
      <c r="F13" s="64">
        <f t="shared" si="0"/>
        <v>151950</v>
      </c>
      <c r="G13" s="64"/>
    </row>
    <row r="14" spans="1:7">
      <c r="A14" s="63">
        <v>12</v>
      </c>
      <c r="B14" s="64" t="s">
        <v>357</v>
      </c>
      <c r="C14" s="64">
        <v>101300</v>
      </c>
      <c r="D14" s="64"/>
      <c r="E14" s="64">
        <v>1</v>
      </c>
      <c r="F14" s="64">
        <f t="shared" si="0"/>
        <v>101300</v>
      </c>
      <c r="G14" s="64"/>
    </row>
    <row r="15" spans="1:7">
      <c r="A15" s="63">
        <v>13</v>
      </c>
      <c r="B15" s="64"/>
      <c r="C15" s="64"/>
      <c r="D15" s="64"/>
      <c r="E15" s="64"/>
      <c r="F15" s="64">
        <f t="shared" si="0"/>
        <v>0</v>
      </c>
      <c r="G15" s="64"/>
    </row>
    <row r="16" spans="1:7">
      <c r="A16" s="63">
        <v>14</v>
      </c>
      <c r="B16" s="64"/>
      <c r="C16" s="64"/>
      <c r="D16" s="64"/>
      <c r="E16" s="64"/>
      <c r="F16" s="64">
        <f>SUM(F3:F15)</f>
        <v>1750970</v>
      </c>
      <c r="G16" s="64"/>
    </row>
    <row r="17" spans="1:7" ht="21">
      <c r="A17" s="64">
        <v>15</v>
      </c>
      <c r="B17" s="64"/>
      <c r="C17" s="64"/>
      <c r="D17" s="64"/>
      <c r="E17" s="64"/>
      <c r="F17" s="65">
        <f>F16*1.3</f>
        <v>2276262</v>
      </c>
      <c r="G17" s="64"/>
    </row>
    <row r="18" spans="1:7">
      <c r="A18" s="40">
        <v>16</v>
      </c>
    </row>
    <row r="19" spans="1:7">
      <c r="A19" s="40">
        <v>17</v>
      </c>
    </row>
    <row r="20" spans="1:7">
      <c r="A20" s="40">
        <v>18</v>
      </c>
    </row>
    <row r="21" spans="1:7">
      <c r="A21" s="40">
        <v>19</v>
      </c>
    </row>
    <row r="22" spans="1:7">
      <c r="A22" s="40">
        <v>20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/>
  </sheetViews>
  <sheetFormatPr defaultRowHeight="15"/>
  <cols>
    <col min="2" max="2" width="22.140625" customWidth="1"/>
    <col min="4" max="4" width="11.42578125" customWidth="1"/>
    <col min="5" max="5" width="11.85546875" customWidth="1"/>
    <col min="6" max="6" width="15.140625" customWidth="1"/>
    <col min="7" max="7" width="14.85546875" customWidth="1"/>
    <col min="9" max="9" width="16" customWidth="1"/>
  </cols>
  <sheetData>
    <row r="1" spans="1:9">
      <c r="A1" s="63" t="s">
        <v>329</v>
      </c>
      <c r="B1" s="63" t="s">
        <v>358</v>
      </c>
      <c r="C1" s="63" t="s">
        <v>331</v>
      </c>
      <c r="D1" s="63" t="s">
        <v>359</v>
      </c>
      <c r="E1" s="63" t="s">
        <v>360</v>
      </c>
      <c r="F1" s="63" t="s">
        <v>361</v>
      </c>
      <c r="G1" s="63" t="s">
        <v>362</v>
      </c>
      <c r="H1" s="63"/>
      <c r="I1" s="63" t="s">
        <v>363</v>
      </c>
    </row>
    <row r="2" spans="1:9">
      <c r="A2" s="63">
        <v>1</v>
      </c>
      <c r="B2" s="64" t="s">
        <v>364</v>
      </c>
      <c r="C2" s="64">
        <v>1</v>
      </c>
      <c r="D2" s="64">
        <v>3</v>
      </c>
      <c r="E2" s="64">
        <v>10130</v>
      </c>
      <c r="F2" s="82">
        <v>0.3</v>
      </c>
      <c r="G2" s="64">
        <f t="shared" ref="G2:G18" si="0">E2*C2*D2</f>
        <v>30390</v>
      </c>
      <c r="H2" s="64">
        <f t="shared" ref="H2:H14" si="1">G2*F2</f>
        <v>9117</v>
      </c>
      <c r="I2" s="64">
        <f t="shared" ref="I2:I18" si="2">H2+G2</f>
        <v>39507</v>
      </c>
    </row>
    <row r="3" spans="1:9">
      <c r="A3" s="63">
        <v>2</v>
      </c>
      <c r="B3" s="64" t="s">
        <v>365</v>
      </c>
      <c r="C3" s="64">
        <v>3</v>
      </c>
      <c r="D3" s="64">
        <v>3</v>
      </c>
      <c r="E3" s="64">
        <v>5065</v>
      </c>
      <c r="F3" s="82">
        <v>0.3</v>
      </c>
      <c r="G3" s="64">
        <f t="shared" si="0"/>
        <v>45585</v>
      </c>
      <c r="H3" s="64">
        <f t="shared" si="1"/>
        <v>13675</v>
      </c>
      <c r="I3" s="64">
        <f t="shared" si="2"/>
        <v>59260</v>
      </c>
    </row>
    <row r="4" spans="1:9">
      <c r="A4" s="63">
        <v>3</v>
      </c>
      <c r="B4" s="64" t="s">
        <v>366</v>
      </c>
      <c r="C4" s="64">
        <v>2</v>
      </c>
      <c r="D4" s="64">
        <v>3</v>
      </c>
      <c r="E4" s="64">
        <v>3039</v>
      </c>
      <c r="F4" s="82">
        <v>0.3</v>
      </c>
      <c r="G4" s="64">
        <f t="shared" si="0"/>
        <v>18234</v>
      </c>
      <c r="H4" s="64">
        <f t="shared" si="1"/>
        <v>5470</v>
      </c>
      <c r="I4" s="64">
        <f t="shared" si="2"/>
        <v>23704</v>
      </c>
    </row>
    <row r="5" spans="1:9">
      <c r="A5" s="63">
        <v>4</v>
      </c>
      <c r="B5" s="64" t="s">
        <v>367</v>
      </c>
      <c r="C5" s="64">
        <v>8</v>
      </c>
      <c r="D5" s="64">
        <v>3</v>
      </c>
      <c r="E5" s="64">
        <v>2026</v>
      </c>
      <c r="F5" s="82">
        <v>0.3</v>
      </c>
      <c r="G5" s="64">
        <f t="shared" si="0"/>
        <v>48624</v>
      </c>
      <c r="H5" s="64">
        <f t="shared" si="1"/>
        <v>14587</v>
      </c>
      <c r="I5" s="64">
        <f t="shared" si="2"/>
        <v>63211</v>
      </c>
    </row>
    <row r="6" spans="1:9">
      <c r="A6" s="63">
        <v>5</v>
      </c>
      <c r="B6" s="64" t="s">
        <v>368</v>
      </c>
      <c r="C6" s="64">
        <v>2</v>
      </c>
      <c r="D6" s="64">
        <v>3</v>
      </c>
      <c r="E6" s="64">
        <v>1519</v>
      </c>
      <c r="F6" s="82">
        <v>0.3</v>
      </c>
      <c r="G6" s="64">
        <f t="shared" si="0"/>
        <v>9117</v>
      </c>
      <c r="H6" s="64">
        <f t="shared" si="1"/>
        <v>2735</v>
      </c>
      <c r="I6" s="64">
        <f t="shared" si="2"/>
        <v>11852</v>
      </c>
    </row>
    <row r="7" spans="1:9">
      <c r="A7" s="63">
        <v>6</v>
      </c>
      <c r="B7" s="64" t="s">
        <v>369</v>
      </c>
      <c r="C7" s="64">
        <v>1</v>
      </c>
      <c r="D7" s="64">
        <v>3</v>
      </c>
      <c r="E7" s="64">
        <v>3039</v>
      </c>
      <c r="F7" s="82">
        <v>0.3</v>
      </c>
      <c r="G7" s="64">
        <f t="shared" si="0"/>
        <v>9117</v>
      </c>
      <c r="H7" s="64">
        <f t="shared" si="1"/>
        <v>2735</v>
      </c>
      <c r="I7" s="64">
        <f t="shared" si="2"/>
        <v>11852</v>
      </c>
    </row>
    <row r="8" spans="1:9">
      <c r="A8" s="63">
        <v>7</v>
      </c>
      <c r="B8" s="64" t="s">
        <v>370</v>
      </c>
      <c r="C8" s="64">
        <v>3</v>
      </c>
      <c r="D8" s="64">
        <v>3</v>
      </c>
      <c r="E8" s="64">
        <v>3545</v>
      </c>
      <c r="F8" s="82">
        <v>0.3</v>
      </c>
      <c r="G8" s="64">
        <f t="shared" si="0"/>
        <v>31909</v>
      </c>
      <c r="H8" s="64">
        <f t="shared" si="1"/>
        <v>9573</v>
      </c>
      <c r="I8" s="64">
        <f t="shared" si="2"/>
        <v>41482</v>
      </c>
    </row>
    <row r="9" spans="1:9">
      <c r="A9" s="63">
        <v>8</v>
      </c>
      <c r="B9" s="64" t="s">
        <v>371</v>
      </c>
      <c r="C9" s="64">
        <v>2</v>
      </c>
      <c r="D9" s="64">
        <v>12</v>
      </c>
      <c r="E9" s="64">
        <v>2026</v>
      </c>
      <c r="F9" s="82">
        <v>0.3</v>
      </c>
      <c r="G9" s="64">
        <f t="shared" si="0"/>
        <v>48624</v>
      </c>
      <c r="H9" s="64">
        <f t="shared" si="1"/>
        <v>14587</v>
      </c>
      <c r="I9" s="64">
        <f t="shared" si="2"/>
        <v>63211</v>
      </c>
    </row>
    <row r="10" spans="1:9">
      <c r="A10" s="63">
        <v>9</v>
      </c>
      <c r="B10" s="64" t="s">
        <v>372</v>
      </c>
      <c r="C10" s="64">
        <v>1</v>
      </c>
      <c r="D10" s="64">
        <v>12</v>
      </c>
      <c r="E10" s="64">
        <v>2026</v>
      </c>
      <c r="F10" s="82">
        <v>0.3</v>
      </c>
      <c r="G10" s="64">
        <f t="shared" si="0"/>
        <v>24312</v>
      </c>
      <c r="H10" s="64">
        <f t="shared" si="1"/>
        <v>7294</v>
      </c>
      <c r="I10" s="64">
        <f t="shared" si="2"/>
        <v>31606</v>
      </c>
    </row>
    <row r="11" spans="1:9">
      <c r="A11" s="63">
        <v>10</v>
      </c>
      <c r="B11" s="64" t="s">
        <v>373</v>
      </c>
      <c r="C11" s="64">
        <v>1</v>
      </c>
      <c r="D11" s="64">
        <v>3</v>
      </c>
      <c r="E11" s="64">
        <v>2026</v>
      </c>
      <c r="F11" s="82">
        <v>0.3</v>
      </c>
      <c r="G11" s="64">
        <f t="shared" si="0"/>
        <v>6078</v>
      </c>
      <c r="H11" s="64">
        <f t="shared" si="1"/>
        <v>1823</v>
      </c>
      <c r="I11" s="64">
        <f t="shared" si="2"/>
        <v>7901</v>
      </c>
    </row>
    <row r="12" spans="1:9">
      <c r="A12" s="63">
        <v>11</v>
      </c>
      <c r="B12" s="64" t="s">
        <v>374</v>
      </c>
      <c r="C12" s="64">
        <v>1</v>
      </c>
      <c r="D12" s="64">
        <v>12</v>
      </c>
      <c r="E12" s="64">
        <v>1519</v>
      </c>
      <c r="F12" s="82">
        <v>0.3</v>
      </c>
      <c r="G12" s="64">
        <f t="shared" si="0"/>
        <v>18234</v>
      </c>
      <c r="H12" s="64">
        <f t="shared" si="1"/>
        <v>5470</v>
      </c>
      <c r="I12" s="64">
        <f t="shared" si="2"/>
        <v>23704</v>
      </c>
    </row>
    <row r="13" spans="1:9">
      <c r="A13" s="63">
        <v>12</v>
      </c>
      <c r="B13" s="64" t="s">
        <v>375</v>
      </c>
      <c r="C13" s="64">
        <v>3</v>
      </c>
      <c r="D13" s="64">
        <v>13</v>
      </c>
      <c r="E13" s="64">
        <v>1013</v>
      </c>
      <c r="F13" s="82">
        <v>0.3</v>
      </c>
      <c r="G13" s="64">
        <f t="shared" si="0"/>
        <v>39507</v>
      </c>
      <c r="H13" s="64">
        <f t="shared" si="1"/>
        <v>11852</v>
      </c>
      <c r="I13" s="64">
        <f t="shared" si="2"/>
        <v>51359</v>
      </c>
    </row>
    <row r="14" spans="1:9">
      <c r="A14" s="63">
        <v>13</v>
      </c>
      <c r="B14" s="64" t="s">
        <v>376</v>
      </c>
      <c r="C14" s="64">
        <v>6</v>
      </c>
      <c r="D14" s="64">
        <v>15</v>
      </c>
      <c r="E14" s="64">
        <v>1013</v>
      </c>
      <c r="F14" s="82">
        <v>0.3</v>
      </c>
      <c r="G14" s="64">
        <f t="shared" si="0"/>
        <v>91170</v>
      </c>
      <c r="H14" s="64">
        <f t="shared" si="1"/>
        <v>27351</v>
      </c>
      <c r="I14" s="64">
        <f t="shared" si="2"/>
        <v>118521</v>
      </c>
    </row>
    <row r="15" spans="1:9">
      <c r="A15" s="63">
        <v>14</v>
      </c>
      <c r="B15" s="64"/>
      <c r="C15" s="64"/>
      <c r="D15" s="64"/>
      <c r="E15" s="64"/>
      <c r="F15" s="64"/>
      <c r="G15" s="64">
        <f t="shared" si="0"/>
        <v>0</v>
      </c>
      <c r="H15" s="64"/>
      <c r="I15" s="64">
        <f t="shared" si="2"/>
        <v>0</v>
      </c>
    </row>
    <row r="16" spans="1:9">
      <c r="A16" s="63">
        <v>15</v>
      </c>
      <c r="B16" s="64"/>
      <c r="C16" s="64"/>
      <c r="D16" s="64"/>
      <c r="E16" s="64"/>
      <c r="F16" s="64"/>
      <c r="G16" s="64">
        <f t="shared" si="0"/>
        <v>0</v>
      </c>
      <c r="H16" s="64"/>
      <c r="I16" s="64">
        <f t="shared" si="2"/>
        <v>0</v>
      </c>
    </row>
    <row r="17" spans="1:9">
      <c r="A17" s="63">
        <v>16</v>
      </c>
      <c r="B17" s="64"/>
      <c r="C17" s="64"/>
      <c r="D17" s="64"/>
      <c r="E17" s="64"/>
      <c r="F17" s="64"/>
      <c r="G17" s="64">
        <f t="shared" si="0"/>
        <v>0</v>
      </c>
      <c r="H17" s="64"/>
      <c r="I17" s="64">
        <f t="shared" si="2"/>
        <v>0</v>
      </c>
    </row>
    <row r="18" spans="1:9">
      <c r="A18" s="63">
        <v>17</v>
      </c>
      <c r="B18" s="64"/>
      <c r="C18" s="64"/>
      <c r="D18" s="64"/>
      <c r="E18" s="64"/>
      <c r="F18" s="64"/>
      <c r="G18" s="64">
        <f t="shared" si="0"/>
        <v>0</v>
      </c>
      <c r="H18" s="64"/>
      <c r="I18" s="64">
        <f t="shared" si="2"/>
        <v>0</v>
      </c>
    </row>
    <row r="19" spans="1:9" ht="21">
      <c r="A19" s="63">
        <v>18</v>
      </c>
      <c r="B19" s="64"/>
      <c r="C19" s="64"/>
      <c r="D19" s="64"/>
      <c r="E19" s="64"/>
      <c r="F19" s="64"/>
      <c r="G19" s="73">
        <f>SUM(G2:G18)</f>
        <v>420901</v>
      </c>
      <c r="H19" s="73">
        <f>SUM(H2:H18)</f>
        <v>126270</v>
      </c>
      <c r="I19" s="65">
        <f>SUM(I2:I18)</f>
        <v>547172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/>
  <cols>
    <col min="2" max="2" width="21.42578125" customWidth="1"/>
    <col min="4" max="4" width="14.85546875" customWidth="1"/>
    <col min="5" max="5" width="11" customWidth="1"/>
    <col min="6" max="6" width="13.140625" customWidth="1"/>
    <col min="7" max="7" width="9.5703125" customWidth="1"/>
    <col min="8" max="8" width="16.42578125" customWidth="1"/>
    <col min="9" max="9" width="27.5703125" customWidth="1"/>
  </cols>
  <sheetData>
    <row r="1" spans="1:13">
      <c r="A1" s="63" t="s">
        <v>329</v>
      </c>
      <c r="B1" s="63" t="s">
        <v>377</v>
      </c>
      <c r="C1" s="63" t="s">
        <v>331</v>
      </c>
      <c r="D1" s="63"/>
      <c r="E1" s="63" t="s">
        <v>378</v>
      </c>
      <c r="F1" s="63" t="s">
        <v>379</v>
      </c>
      <c r="G1" s="63" t="s">
        <v>380</v>
      </c>
      <c r="H1" s="63" t="s">
        <v>381</v>
      </c>
      <c r="I1" s="63" t="s">
        <v>382</v>
      </c>
      <c r="J1" s="309" t="s">
        <v>377</v>
      </c>
      <c r="K1" s="309"/>
      <c r="L1" s="309"/>
      <c r="M1" s="309"/>
    </row>
    <row r="2" spans="1:13">
      <c r="A2" s="63">
        <v>1</v>
      </c>
      <c r="B2" s="64" t="s">
        <v>383</v>
      </c>
      <c r="C2" s="64">
        <v>90</v>
      </c>
      <c r="D2" s="64" t="s">
        <v>384</v>
      </c>
      <c r="E2" s="64">
        <v>13</v>
      </c>
      <c r="F2" s="64">
        <v>121560</v>
      </c>
      <c r="G2" s="82">
        <v>0.3</v>
      </c>
      <c r="H2" s="64">
        <f>F2*G2+F2</f>
        <v>158028</v>
      </c>
      <c r="I2" s="64">
        <f>H2*E2</f>
        <v>2054364</v>
      </c>
      <c r="J2" s="313"/>
      <c r="K2" s="313"/>
      <c r="L2" s="313"/>
      <c r="M2" s="313"/>
    </row>
    <row r="3" spans="1:13">
      <c r="A3" s="63">
        <v>2</v>
      </c>
      <c r="B3" s="64" t="s">
        <v>385</v>
      </c>
      <c r="C3" s="64">
        <v>90</v>
      </c>
      <c r="D3" s="64" t="s">
        <v>384</v>
      </c>
      <c r="E3" s="64">
        <v>13</v>
      </c>
      <c r="F3" s="64">
        <v>30390</v>
      </c>
      <c r="G3" s="82">
        <v>0.3</v>
      </c>
      <c r="H3" s="64">
        <f>F3*G3+F3</f>
        <v>39507</v>
      </c>
      <c r="I3" s="64">
        <f>H3*E3</f>
        <v>513591</v>
      </c>
      <c r="J3" s="313" t="s">
        <v>386</v>
      </c>
      <c r="K3" s="313"/>
      <c r="L3" s="313"/>
      <c r="M3" s="313"/>
    </row>
    <row r="4" spans="1:13">
      <c r="A4" s="63">
        <v>3</v>
      </c>
      <c r="B4" s="64" t="s">
        <v>387</v>
      </c>
      <c r="C4" s="64">
        <v>90</v>
      </c>
      <c r="D4" s="64" t="s">
        <v>384</v>
      </c>
      <c r="E4" s="64">
        <v>13</v>
      </c>
      <c r="F4" s="64">
        <v>9117</v>
      </c>
      <c r="G4" s="82">
        <v>0.3</v>
      </c>
      <c r="H4" s="64">
        <f>F4*G4+F4</f>
        <v>11852</v>
      </c>
      <c r="I4" s="64">
        <f>H4*E4</f>
        <v>154077</v>
      </c>
      <c r="J4" s="313" t="s">
        <v>388</v>
      </c>
      <c r="K4" s="313"/>
      <c r="L4" s="313"/>
      <c r="M4" s="313"/>
    </row>
    <row r="5" spans="1:13">
      <c r="A5" s="63">
        <v>4</v>
      </c>
      <c r="B5" s="64"/>
      <c r="C5" s="64"/>
      <c r="D5" s="64"/>
      <c r="E5" s="64"/>
      <c r="F5" s="64"/>
      <c r="G5" s="64"/>
      <c r="H5" s="64"/>
      <c r="I5" s="64"/>
      <c r="J5" s="310"/>
      <c r="K5" s="311"/>
      <c r="L5" s="311"/>
      <c r="M5" s="312"/>
    </row>
    <row r="6" spans="1:13" ht="21">
      <c r="A6" s="63">
        <v>15</v>
      </c>
      <c r="B6" s="64"/>
      <c r="C6" s="64"/>
      <c r="D6" s="64"/>
      <c r="E6" s="64"/>
      <c r="F6" s="64"/>
      <c r="G6" s="64"/>
      <c r="H6" s="64"/>
      <c r="I6" s="65">
        <f>SUM(I2:I5)</f>
        <v>2722032</v>
      </c>
      <c r="J6" s="310"/>
      <c r="K6" s="311"/>
      <c r="L6" s="311"/>
      <c r="M6" s="312"/>
    </row>
  </sheetData>
  <mergeCells count="6">
    <mergeCell ref="J6:M6"/>
    <mergeCell ref="J3:M3"/>
    <mergeCell ref="J2:M2"/>
    <mergeCell ref="J1:M1"/>
    <mergeCell ref="J4:M4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COVER</vt:lpstr>
      <vt:lpstr>Insurance</vt:lpstr>
      <vt:lpstr>VESSELS(SEPARATOR)</vt:lpstr>
      <vt:lpstr>TANKS</vt:lpstr>
      <vt:lpstr>DESALTER PACKAGE</vt:lpstr>
      <vt:lpstr>ROTARY</vt:lpstr>
      <vt:lpstr>STACK</vt:lpstr>
      <vt:lpstr>H-EX &amp; HEATER</vt:lpstr>
      <vt:lpstr>STRUCTURE</vt:lpstr>
      <vt:lpstr>PACKAGE</vt:lpstr>
      <vt:lpstr>Civil Work</vt:lpstr>
      <vt:lpstr>PIPE &amp; FITTING &amp; Valves</vt:lpstr>
      <vt:lpstr>E&amp;I&amp;C</vt:lpstr>
      <vt:lpstr>Instruments , Power &amp; CCR </vt:lpstr>
      <vt:lpstr>Mob-Demobilization</vt:lpstr>
      <vt:lpstr>Machinery</vt:lpstr>
      <vt:lpstr>employee Salary &amp; Accomodation </vt:lpstr>
      <vt:lpstr>'H-EX &amp; HEATER'!Print_Area</vt:lpstr>
      <vt:lpstr>STACK!Print_Area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2026-10-19T11:27:29Z</dcterms:modified>
</cp:coreProperties>
</file>